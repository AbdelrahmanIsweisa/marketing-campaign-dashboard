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rahmanisweisa/Desktop/Marketing_Campaign_Dashboard/"/>
    </mc:Choice>
  </mc:AlternateContent>
  <xr:revisionPtr revIDLastSave="0" documentId="13_ncr:1_{80D61B88-BF8D-B647-8E47-8625FAFA405A}" xr6:coauthVersionLast="47" xr6:coauthVersionMax="47" xr10:uidLastSave="{00000000-0000-0000-0000-000000000000}"/>
  <bookViews>
    <workbookView xWindow="0" yWindow="0" windowWidth="28800" windowHeight="18000" xr2:uid="{221A29B9-372E-E447-A0A7-3ADFB8C37158}"/>
  </bookViews>
  <sheets>
    <sheet name="Raw Data" sheetId="2" r:id="rId1"/>
    <sheet name="Channel Analysis" sheetId="3" r:id="rId2"/>
    <sheet name="Monthly Trends" sheetId="5" r:id="rId3"/>
    <sheet name="Budget optimizer" sheetId="7" r:id="rId4"/>
    <sheet name="Dashboard" sheetId="8" r:id="rId5"/>
  </sheets>
  <definedNames>
    <definedName name="ExternalData_1" localSheetId="0" hidden="1">'Raw Data'!$A$1:$N$5857</definedName>
  </definedNames>
  <calcPr calcId="18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G6" i="8"/>
  <c r="D6" i="8"/>
  <c r="A6" i="8"/>
  <c r="B19" i="7"/>
  <c r="B21" i="7" a="1"/>
  <c r="B21" i="7" s="1"/>
  <c r="B20" i="7"/>
  <c r="B18" i="7"/>
  <c r="E3" i="7"/>
  <c r="E4" i="7"/>
  <c r="F4" i="7" s="1"/>
  <c r="E5" i="7"/>
  <c r="E6" i="7"/>
  <c r="F6" i="7" s="1"/>
  <c r="E7" i="7"/>
  <c r="F7" i="7" s="1"/>
  <c r="E8" i="7"/>
  <c r="F8" i="7" s="1"/>
  <c r="E9" i="7"/>
  <c r="F9" i="7" s="1"/>
  <c r="E10" i="7"/>
  <c r="E11" i="7"/>
  <c r="E12" i="7"/>
  <c r="F12" i="7" s="1"/>
  <c r="E2" i="7"/>
  <c r="F2" i="7" s="1"/>
  <c r="F3" i="7"/>
  <c r="F5" i="7"/>
  <c r="F10" i="7"/>
  <c r="F11" i="7"/>
  <c r="B13" i="3"/>
  <c r="F13" i="3" s="1"/>
  <c r="G13" i="3" s="1"/>
  <c r="C13" i="3"/>
  <c r="D13" i="3"/>
  <c r="E13" i="3" s="1"/>
  <c r="B3" i="3"/>
  <c r="F3" i="3" s="1"/>
  <c r="G3" i="3" s="1"/>
  <c r="C3" i="3"/>
  <c r="D3" i="3"/>
  <c r="B4" i="3"/>
  <c r="C4" i="3"/>
  <c r="D4" i="3"/>
  <c r="B5" i="3"/>
  <c r="F5" i="3" s="1"/>
  <c r="G5" i="3" s="1"/>
  <c r="C5" i="3"/>
  <c r="D5" i="3"/>
  <c r="E5" i="3" s="1"/>
  <c r="B6" i="3"/>
  <c r="C6" i="3"/>
  <c r="D6" i="3"/>
  <c r="E6" i="3" s="1"/>
  <c r="B7" i="3"/>
  <c r="F7" i="3" s="1"/>
  <c r="G7" i="3" s="1"/>
  <c r="C7" i="3"/>
  <c r="D7" i="3"/>
  <c r="E7" i="3" s="1"/>
  <c r="B8" i="3"/>
  <c r="C8" i="3"/>
  <c r="D8" i="3"/>
  <c r="E8" i="3" s="1"/>
  <c r="B9" i="3"/>
  <c r="F9" i="3" s="1"/>
  <c r="G9" i="3" s="1"/>
  <c r="C9" i="3"/>
  <c r="D9" i="3"/>
  <c r="B10" i="3"/>
  <c r="C10" i="3"/>
  <c r="D10" i="3"/>
  <c r="B11" i="3"/>
  <c r="C11" i="3"/>
  <c r="D11" i="3"/>
  <c r="E11" i="3" s="1"/>
  <c r="B12" i="3"/>
  <c r="C12" i="3"/>
  <c r="D12" i="3"/>
  <c r="E12" i="3" s="1"/>
  <c r="D2" i="3"/>
  <c r="E2" i="3" s="1"/>
  <c r="C2" i="3"/>
  <c r="B2" i="3"/>
  <c r="F2" i="3" s="1"/>
  <c r="G2" i="3" s="1"/>
  <c r="F11" i="3" l="1"/>
  <c r="G11" i="3" s="1"/>
  <c r="F6" i="3"/>
  <c r="G6" i="3" s="1"/>
  <c r="E10" i="3"/>
  <c r="F8" i="3"/>
  <c r="G8" i="3" s="1"/>
  <c r="E3" i="3"/>
  <c r="F12" i="3"/>
  <c r="G12" i="3" s="1"/>
  <c r="E4" i="3"/>
  <c r="F10" i="3"/>
  <c r="G10" i="3" s="1"/>
  <c r="F4" i="3"/>
  <c r="G4" i="3" s="1"/>
  <c r="E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FAFB6-A94A-5B48-BCD5-DE8AE52B42AE}" keepAlive="1" name="Query - marketing_campaigns" description="Connection to the 'marketing_campaigns' query in the workbook." type="5" refreshedVersion="8" background="1" saveData="1">
    <dbPr connection="Provider=Microsoft.Mashup.OleDb.1;Data Source=$Workbook$;Location=marketing_campaigns;Extended Properties=&quot;&quot;" command="SELECT * FROM [marketing_campaig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<sst xmlns="http://schemas.openxmlformats.org/spreadsheetml/2006/main" count="17671" uniqueCount="90">
  <si>
    <t>date</t>
  </si>
  <si>
    <t>channel</t>
  </si>
  <si>
    <t>campaign_type</t>
  </si>
  <si>
    <t>product</t>
  </si>
  <si>
    <t>impressions</t>
  </si>
  <si>
    <t>clicks</t>
  </si>
  <si>
    <t>conversions</t>
  </si>
  <si>
    <t>spend</t>
  </si>
  <si>
    <t>revenue</t>
  </si>
  <si>
    <t>ctr</t>
  </si>
  <si>
    <t>conversion_rate</t>
  </si>
  <si>
    <t>cac</t>
  </si>
  <si>
    <t>roas</t>
  </si>
  <si>
    <t>profit</t>
  </si>
  <si>
    <t>Google Ads</t>
  </si>
  <si>
    <t>Flash Sale</t>
  </si>
  <si>
    <t>Premium Plan</t>
  </si>
  <si>
    <t>Facebook Ads</t>
  </si>
  <si>
    <t>Brand Awareness</t>
  </si>
  <si>
    <t>Enterprise Plan</t>
  </si>
  <si>
    <t>Instagram Ads</t>
  </si>
  <si>
    <t>Lead Generation</t>
  </si>
  <si>
    <t>Basic Plan</t>
  </si>
  <si>
    <t>LinkedIn Ads</t>
  </si>
  <si>
    <t>Email Marketing</t>
  </si>
  <si>
    <t>Add-on Service</t>
  </si>
  <si>
    <t>Organic Search</t>
  </si>
  <si>
    <t>Display Ads</t>
  </si>
  <si>
    <t>Retargeting</t>
  </si>
  <si>
    <t>YouTube Ads</t>
  </si>
  <si>
    <t>Twitter Ads</t>
  </si>
  <si>
    <t>TikTok Ads</t>
  </si>
  <si>
    <t>Seasonal Promotion</t>
  </si>
  <si>
    <t>Affiliate Marketing</t>
  </si>
  <si>
    <t>Referral</t>
  </si>
  <si>
    <t>Product Launch</t>
  </si>
  <si>
    <t>Starter Kit</t>
  </si>
  <si>
    <t>Channel</t>
  </si>
  <si>
    <t>Total Spend</t>
  </si>
  <si>
    <t>Total Revenue</t>
  </si>
  <si>
    <t>Conversions</t>
  </si>
  <si>
    <t>CAC</t>
  </si>
  <si>
    <t>ROAS</t>
  </si>
  <si>
    <t>Performance Grade</t>
  </si>
  <si>
    <t>Row Labels</t>
  </si>
  <si>
    <t>Grand Total</t>
  </si>
  <si>
    <t>2024</t>
  </si>
  <si>
    <t>2025</t>
  </si>
  <si>
    <t>Jul</t>
  </si>
  <si>
    <t>Aug</t>
  </si>
  <si>
    <t>Sep</t>
  </si>
  <si>
    <t>Jan</t>
  </si>
  <si>
    <t>Feb</t>
  </si>
  <si>
    <t>Mar</t>
  </si>
  <si>
    <t>Apr</t>
  </si>
  <si>
    <t>May</t>
  </si>
  <si>
    <t>Jun</t>
  </si>
  <si>
    <t>Oct</t>
  </si>
  <si>
    <t>Nov</t>
  </si>
  <si>
    <t>Dec</t>
  </si>
  <si>
    <t xml:space="preserve">Total spend </t>
  </si>
  <si>
    <t xml:space="preserve">Total revenue </t>
  </si>
  <si>
    <t>Total conversions</t>
  </si>
  <si>
    <t>_ROAS</t>
  </si>
  <si>
    <t>Current Budget</t>
  </si>
  <si>
    <t>Current ROAS</t>
  </si>
  <si>
    <t>Recommendation</t>
  </si>
  <si>
    <t>New Budget</t>
  </si>
  <si>
    <t>Budget Change</t>
  </si>
  <si>
    <t>Expected Impact</t>
  </si>
  <si>
    <t>🔴 CUT BUDGET 50%</t>
  </si>
  <si>
    <t>🟡 MAINTAIN</t>
  </si>
  <si>
    <t>🟢 INCREASE 50%</t>
  </si>
  <si>
    <t>🟢 INCREASE 100%</t>
  </si>
  <si>
    <t>BUDGET REALLOCATION IMPACT ANALYSIS</t>
  </si>
  <si>
    <t>Metric</t>
  </si>
  <si>
    <t>Value</t>
  </si>
  <si>
    <t>Total Budget Reduction</t>
  </si>
  <si>
    <t>Total Budget Increase</t>
  </si>
  <si>
    <t>Net Budget Change</t>
  </si>
  <si>
    <t>Expected Revenue Lift</t>
  </si>
  <si>
    <t>ROI Improvement</t>
  </si>
  <si>
    <t>Implementation Timeline</t>
  </si>
  <si>
    <t xml:space="preserve">                          Immediate</t>
  </si>
  <si>
    <t xml:space="preserve">Total Revenue </t>
  </si>
  <si>
    <t>Overall ROAS</t>
  </si>
  <si>
    <t>Total Conversions</t>
  </si>
  <si>
    <t>KEY INSIGHTS</t>
  </si>
  <si>
    <t>$229K budget reallocation from Display Ads to Email Marketing projected</t>
  </si>
  <si>
    <t>Increased revenue by $15M+ (15% ROI improvement)
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</si>
</sst>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&quot;$&quot;#,##0.00"/>
    <numFmt numFmtId="172" formatCode="0.00&quot;x&quot;"/>
    <numFmt numFmtId="173" formatCode="\`&quot;$&quot;#,,&quot;M&quot;\`"/>
    <numFmt numFmtId="175" formatCode="&quot;$&quot;#,,&quot;M&quot;"/>
  </numFmts>
  <fonts count="1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rial"/>
      <family val="2"/>
    </font>
    <font>
      <sz val="14"/>
      <color theme="1"/>
      <name val="Aptos Narrow (Body)"/>
    </font>
    <font>
      <b/>
      <sz val="20"/>
      <color theme="1"/>
      <name val="Aptos Narrow (Body)"/>
    </font>
    <font>
      <b/>
      <sz val="20"/>
      <color theme="1"/>
      <name val="Aptos Narrow"/>
      <scheme val="minor"/>
    </font>
    <font>
      <b/>
      <sz val="28"/>
      <color theme="1"/>
      <name val="Aptos Narrow (Body)"/>
    </font>
    <font>
      <sz val="28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8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0" fontId="0" fillId="0" borderId="0" xfId="0" quotePrefix="1"/>
    <xf numFmtId="0" fontId="2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171" fontId="1" fillId="2" borderId="1" xfId="0" applyNumberFormat="1" applyFont="1" applyFill="1" applyBorder="1"/>
    <xf numFmtId="9" fontId="1" fillId="2" borderId="1" xfId="0" applyNumberFormat="1" applyFont="1" applyFill="1" applyBorder="1"/>
    <xf numFmtId="0" fontId="0" fillId="0" borderId="0" xfId="0" applyAlignment="1"/>
    <xf numFmtId="0" fontId="4" fillId="3" borderId="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73" fontId="6" fillId="0" borderId="10" xfId="0" applyNumberFormat="1" applyFont="1" applyBorder="1" applyAlignment="1">
      <alignment horizontal="center"/>
    </xf>
    <xf numFmtId="173" fontId="7" fillId="0" borderId="11" xfId="0" applyNumberFormat="1" applyFont="1" applyBorder="1" applyAlignment="1">
      <alignment horizontal="center"/>
    </xf>
    <xf numFmtId="173" fontId="7" fillId="0" borderId="12" xfId="0" applyNumberFormat="1" applyFont="1" applyBorder="1" applyAlignment="1">
      <alignment horizontal="center"/>
    </xf>
    <xf numFmtId="175" fontId="8" fillId="0" borderId="5" xfId="0" applyNumberFormat="1" applyFont="1" applyBorder="1" applyAlignment="1">
      <alignment horizontal="center"/>
    </xf>
    <xf numFmtId="175" fontId="8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5" fillId="6" borderId="0" xfId="0" applyFont="1" applyFill="1" applyAlignment="1">
      <alignment horizontal="center"/>
    </xf>
    <xf numFmtId="0" fontId="10" fillId="0" borderId="0" xfId="0" applyFont="1" applyAlignment="1"/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1" fontId="0" fillId="0" borderId="0" xfId="0" applyNumberFormat="1" applyBorder="1"/>
    <xf numFmtId="0" fontId="0" fillId="0" borderId="0" xfId="0" applyBorder="1"/>
    <xf numFmtId="172" fontId="0" fillId="0" borderId="0" xfId="0" applyNumberFormat="1" applyBorder="1"/>
    <xf numFmtId="0" fontId="0" fillId="0" borderId="6" xfId="0" applyBorder="1"/>
    <xf numFmtId="0" fontId="0" fillId="0" borderId="7" xfId="0" applyBorder="1"/>
    <xf numFmtId="171" fontId="0" fillId="0" borderId="8" xfId="0" applyNumberFormat="1" applyBorder="1"/>
    <xf numFmtId="0" fontId="0" fillId="0" borderId="8" xfId="0" applyBorder="1"/>
    <xf numFmtId="172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Channel Performance by ROAS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38779527559056"/>
          <c:y val="0.19483814523184603"/>
          <c:w val="0.70918175853018373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'Channel Analysis'!$F$1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Analysis'!$A$2:$A$13</c:f>
              <c:strCache>
                <c:ptCount val="12"/>
                <c:pt idx="0">
                  <c:v>Email Marketing</c:v>
                </c:pt>
                <c:pt idx="1">
                  <c:v>Referral</c:v>
                </c:pt>
                <c:pt idx="2">
                  <c:v>Affiliate Marketing</c:v>
                </c:pt>
                <c:pt idx="3">
                  <c:v>Google Ads</c:v>
                </c:pt>
                <c:pt idx="4">
                  <c:v>TikTok Ads</c:v>
                </c:pt>
                <c:pt idx="5">
                  <c:v>Facebook Ads</c:v>
                </c:pt>
                <c:pt idx="6">
                  <c:v>Instagram Ads</c:v>
                </c:pt>
                <c:pt idx="7">
                  <c:v>YouTube Ads</c:v>
                </c:pt>
                <c:pt idx="8">
                  <c:v>LinkedIn Ads</c:v>
                </c:pt>
                <c:pt idx="9">
                  <c:v>Twitter Ads</c:v>
                </c:pt>
                <c:pt idx="10">
                  <c:v>Display Ads</c:v>
                </c:pt>
                <c:pt idx="11">
                  <c:v>Organic Search</c:v>
                </c:pt>
              </c:strCache>
            </c:strRef>
          </c:cat>
          <c:val>
            <c:numRef>
              <c:f>'Channel Analysis'!$F$2:$F$13</c:f>
              <c:numCache>
                <c:formatCode>0.00"x"</c:formatCode>
                <c:ptCount val="12"/>
                <c:pt idx="0">
                  <c:v>288.57131162877175</c:v>
                </c:pt>
                <c:pt idx="1">
                  <c:v>64.394990746030857</c:v>
                </c:pt>
                <c:pt idx="2">
                  <c:v>11.129006826846005</c:v>
                </c:pt>
                <c:pt idx="3">
                  <c:v>6.0927620783089527</c:v>
                </c:pt>
                <c:pt idx="4">
                  <c:v>4.3897546031221202</c:v>
                </c:pt>
                <c:pt idx="5">
                  <c:v>4.1796300392108297</c:v>
                </c:pt>
                <c:pt idx="6">
                  <c:v>3.8405742235775997</c:v>
                </c:pt>
                <c:pt idx="7">
                  <c:v>2.7857110402394478</c:v>
                </c:pt>
                <c:pt idx="8">
                  <c:v>2.3785109893171152</c:v>
                </c:pt>
                <c:pt idx="9">
                  <c:v>2.1060353081682823</c:v>
                </c:pt>
                <c:pt idx="10">
                  <c:v>1.7363581796985421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5-3D41-B563-64ED72293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14064"/>
        <c:axId val="18221712"/>
      </c:barChart>
      <c:catAx>
        <c:axId val="5911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712"/>
        <c:crosses val="autoZero"/>
        <c:auto val="1"/>
        <c:lblAlgn val="ctr"/>
        <c:lblOffset val="100"/>
        <c:noMultiLvlLbl val="0"/>
      </c:catAx>
      <c:valAx>
        <c:axId val="1822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[Marketing_Campaign_Analysis.xlsx]Monthly Trends!PivotTable1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&amp; Spend Trends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Trends'!$B$5</c:f>
              <c:strCache>
                <c:ptCount val="1"/>
                <c:pt idx="0">
                  <c:v>Total spend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Trends'!$B$6:$B$24</c:f>
              <c:numCache>
                <c:formatCode>"$"#,##0.00</c:formatCode>
                <c:ptCount val="16"/>
                <c:pt idx="0">
                  <c:v>205218.28000000009</c:v>
                </c:pt>
                <c:pt idx="1">
                  <c:v>202474.78000000003</c:v>
                </c:pt>
                <c:pt idx="2">
                  <c:v>232918.78</c:v>
                </c:pt>
                <c:pt idx="3">
                  <c:v>246299.58000000007</c:v>
                </c:pt>
                <c:pt idx="4">
                  <c:v>325426.99</c:v>
                </c:pt>
                <c:pt idx="5">
                  <c:v>336260.98000000039</c:v>
                </c:pt>
                <c:pt idx="6">
                  <c:v>290322.4600000002</c:v>
                </c:pt>
                <c:pt idx="7">
                  <c:v>258866.52</c:v>
                </c:pt>
                <c:pt idx="8">
                  <c:v>241106.26000000004</c:v>
                </c:pt>
                <c:pt idx="9">
                  <c:v>233586.71000000008</c:v>
                </c:pt>
                <c:pt idx="10">
                  <c:v>239702.29</c:v>
                </c:pt>
                <c:pt idx="11">
                  <c:v>193320.36</c:v>
                </c:pt>
                <c:pt idx="12">
                  <c:v>206678.69</c:v>
                </c:pt>
                <c:pt idx="13">
                  <c:v>199387.91</c:v>
                </c:pt>
                <c:pt idx="14">
                  <c:v>232891.93999999992</c:v>
                </c:pt>
                <c:pt idx="15">
                  <c:v>241493.69000000003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7-1444-892B-79630C5B5194}"/>
            </c:ext>
          </c:extLst>
        </c:ser>
        <c:ser>
          <c:idx val="1"/>
          <c:order val="1"/>
          <c:tx>
            <c:strRef>
              <c:f>'Monthly Trends'!$C$5</c:f>
              <c:strCache>
                <c:ptCount val="1"/>
                <c:pt idx="0">
                  <c:v>Total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Trends'!$C$6:$C$24</c:f>
              <c:numCache>
                <c:formatCode>"$"#,##0.00</c:formatCode>
                <c:ptCount val="16"/>
                <c:pt idx="0">
                  <c:v>3126015.0100000007</c:v>
                </c:pt>
                <c:pt idx="1">
                  <c:v>2985192.9699999997</c:v>
                </c:pt>
                <c:pt idx="2">
                  <c:v>3444765.8</c:v>
                </c:pt>
                <c:pt idx="3">
                  <c:v>3609058.9999999986</c:v>
                </c:pt>
                <c:pt idx="4">
                  <c:v>4695012.8400000026</c:v>
                </c:pt>
                <c:pt idx="5">
                  <c:v>4814340.3999999994</c:v>
                </c:pt>
                <c:pt idx="6">
                  <c:v>4594857.8400000008</c:v>
                </c:pt>
                <c:pt idx="7">
                  <c:v>3975006.399999998</c:v>
                </c:pt>
                <c:pt idx="8">
                  <c:v>3590119.3899999978</c:v>
                </c:pt>
                <c:pt idx="9">
                  <c:v>3379318.3800000008</c:v>
                </c:pt>
                <c:pt idx="10">
                  <c:v>3615132.1300000008</c:v>
                </c:pt>
                <c:pt idx="11">
                  <c:v>2883557.8400000008</c:v>
                </c:pt>
                <c:pt idx="12">
                  <c:v>2986022.5700000003</c:v>
                </c:pt>
                <c:pt idx="13">
                  <c:v>2909839.9700000011</c:v>
                </c:pt>
                <c:pt idx="14">
                  <c:v>3489568.8600000022</c:v>
                </c:pt>
                <c:pt idx="15">
                  <c:v>3486417.7900000024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7-1444-892B-79630C5B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576768"/>
        <c:axId val="1580884736"/>
      </c:barChart>
      <c:lineChart>
        <c:grouping val="standard"/>
        <c:varyColors val="0"/>
        <c:ser>
          <c:idx val="2"/>
          <c:order val="2"/>
          <c:tx>
            <c:strRef>
              <c:f>'Monthly Trends'!$D$5</c:f>
              <c:strCache>
                <c:ptCount val="1"/>
                <c:pt idx="0">
                  <c:v>Total 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Trends'!$D$6:$D$24</c:f>
              <c:numCache>
                <c:formatCode>#,##0.00</c:formatCode>
                <c:ptCount val="16"/>
                <c:pt idx="0">
                  <c:v>23698</c:v>
                </c:pt>
                <c:pt idx="1">
                  <c:v>22714</c:v>
                </c:pt>
                <c:pt idx="2">
                  <c:v>26588</c:v>
                </c:pt>
                <c:pt idx="3">
                  <c:v>27525</c:v>
                </c:pt>
                <c:pt idx="4">
                  <c:v>36583</c:v>
                </c:pt>
                <c:pt idx="5">
                  <c:v>37255</c:v>
                </c:pt>
                <c:pt idx="6">
                  <c:v>35238</c:v>
                </c:pt>
                <c:pt idx="7">
                  <c:v>30276</c:v>
                </c:pt>
                <c:pt idx="8">
                  <c:v>27458</c:v>
                </c:pt>
                <c:pt idx="9">
                  <c:v>25592</c:v>
                </c:pt>
                <c:pt idx="10">
                  <c:v>27377</c:v>
                </c:pt>
                <c:pt idx="11">
                  <c:v>21938</c:v>
                </c:pt>
                <c:pt idx="12">
                  <c:v>23310</c:v>
                </c:pt>
                <c:pt idx="13">
                  <c:v>22553</c:v>
                </c:pt>
                <c:pt idx="14">
                  <c:v>26706</c:v>
                </c:pt>
                <c:pt idx="15">
                  <c:v>26591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27-1444-892B-79630C5B5194}"/>
            </c:ext>
          </c:extLst>
        </c:ser>
        <c:ser>
          <c:idx val="3"/>
          <c:order val="3"/>
          <c:tx>
            <c:strRef>
              <c:f>'Monthly Trends'!$E$5</c:f>
              <c:strCache>
                <c:ptCount val="1"/>
                <c:pt idx="0">
                  <c:v>_ROAS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Trends'!$E$6:$E$24</c:f>
              <c:numCache>
                <c:formatCode>0.00"x"</c:formatCode>
                <c:ptCount val="16"/>
                <c:pt idx="0">
                  <c:v>15.23263429554131</c:v>
                </c:pt>
                <c:pt idx="1">
                  <c:v>14.743529885549199</c:v>
                </c:pt>
                <c:pt idx="2">
                  <c:v>14.789557973813876</c:v>
                </c:pt>
                <c:pt idx="3">
                  <c:v>14.653126895303668</c:v>
                </c:pt>
                <c:pt idx="4">
                  <c:v>14.427238625782092</c:v>
                </c:pt>
                <c:pt idx="5">
                  <c:v>14.317273446357035</c:v>
                </c:pt>
                <c:pt idx="6">
                  <c:v>15.826739136889367</c:v>
                </c:pt>
                <c:pt idx="7">
                  <c:v>15.355428736014213</c:v>
                </c:pt>
                <c:pt idx="8">
                  <c:v>14.890195675549847</c:v>
                </c:pt>
                <c:pt idx="9">
                  <c:v>14.467083251440117</c:v>
                </c:pt>
                <c:pt idx="10">
                  <c:v>15.081758835094988</c:v>
                </c:pt>
                <c:pt idx="11">
                  <c:v>14.915955256859656</c:v>
                </c:pt>
                <c:pt idx="12">
                  <c:v>14.447655779122657</c:v>
                </c:pt>
                <c:pt idx="13">
                  <c:v>14.593863639976973</c:v>
                </c:pt>
                <c:pt idx="14">
                  <c:v>14.983639450983162</c:v>
                </c:pt>
                <c:pt idx="15">
                  <c:v>14.436889800309077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27-1444-892B-79630C5B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6768"/>
        <c:axId val="1580884736"/>
      </c:lineChart>
      <c:catAx>
        <c:axId val="205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84736"/>
        <c:crosses val="autoZero"/>
        <c:auto val="1"/>
        <c:lblAlgn val="ctr"/>
        <c:lblOffset val="100"/>
        <c:noMultiLvlLbl val="0"/>
      </c:catAx>
      <c:valAx>
        <c:axId val="15808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'Budget optimizer'!$B$1</c:f>
              <c:strCache>
                <c:ptCount val="1"/>
                <c:pt idx="0">
                  <c:v>Current 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8EA-5548-BA42-F255DA62E9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EA-5548-BA42-F255DA62E9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8EA-5548-BA42-F255DA62E9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EA-5548-BA42-F255DA62E9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8EA-5548-BA42-F255DA62E9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EA-5548-BA42-F255DA62E9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8EA-5548-BA42-F255DA62E9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EA-5548-BA42-F255DA62E9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8EA-5548-BA42-F255DA62E9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EA-5548-BA42-F255DA62E9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8EA-5548-BA42-F255DA62E9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8EA-5548-BA42-F255DA62E9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48EA-5548-BA42-F255DA62E93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8EA-5548-BA42-F255DA62E93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48EA-5548-BA42-F255DA62E93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8EA-5548-BA42-F255DA62E93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48EA-5548-BA42-F255DA62E93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8EA-5548-BA42-F255DA62E93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48EA-5548-BA42-F255DA62E93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48EA-5548-BA42-F255DA62E93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48EA-5548-BA42-F255DA62E93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48EA-5548-BA42-F255DA62E93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48EA-5548-BA42-F255DA62E93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8EA-5548-BA42-F255DA62E930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optimizer'!$A$2:$A$12</c:f>
              <c:strCache>
                <c:ptCount val="11"/>
                <c:pt idx="0">
                  <c:v>Display Ads</c:v>
                </c:pt>
                <c:pt idx="1">
                  <c:v>Twitter Ads</c:v>
                </c:pt>
                <c:pt idx="2">
                  <c:v>LinkedIn Ads</c:v>
                </c:pt>
                <c:pt idx="3">
                  <c:v>YouTube Ads</c:v>
                </c:pt>
                <c:pt idx="4">
                  <c:v>Instagram Ads</c:v>
                </c:pt>
                <c:pt idx="5">
                  <c:v>Facebook Ads</c:v>
                </c:pt>
                <c:pt idx="6">
                  <c:v>TikTok Ads</c:v>
                </c:pt>
                <c:pt idx="7">
                  <c:v>Google Ads</c:v>
                </c:pt>
                <c:pt idx="8">
                  <c:v>Affiliate Marketing</c:v>
                </c:pt>
                <c:pt idx="9">
                  <c:v>Referral</c:v>
                </c:pt>
                <c:pt idx="10">
                  <c:v>Email Marketing</c:v>
                </c:pt>
              </c:strCache>
            </c:strRef>
          </c:cat>
          <c:val>
            <c:numRef>
              <c:f>'Budget optimizer'!$B$2:$B$12</c:f>
              <c:numCache>
                <c:formatCode>"$"#,##0.00</c:formatCode>
                <c:ptCount val="11"/>
                <c:pt idx="0">
                  <c:v>458688.42</c:v>
                </c:pt>
                <c:pt idx="1">
                  <c:v>270659.75</c:v>
                </c:pt>
                <c:pt idx="2">
                  <c:v>612392.92000000004</c:v>
                </c:pt>
                <c:pt idx="3">
                  <c:v>504658.71</c:v>
                </c:pt>
                <c:pt idx="4">
                  <c:v>342496.56</c:v>
                </c:pt>
                <c:pt idx="5">
                  <c:v>418177.83</c:v>
                </c:pt>
                <c:pt idx="6">
                  <c:v>386848.85</c:v>
                </c:pt>
                <c:pt idx="7">
                  <c:v>517449.92</c:v>
                </c:pt>
                <c:pt idx="8">
                  <c:v>224387.66</c:v>
                </c:pt>
                <c:pt idx="9">
                  <c:v>57305.14</c:v>
                </c:pt>
                <c:pt idx="10">
                  <c:v>92890.46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A-5548-BA42-F255DA62E930}"/>
            </c:ext>
          </c:extLst>
        </c:ser>
        <c:ser>
          <c:idx val="1"/>
          <c:order val="1"/>
          <c:tx>
            <c:strRef>
              <c:f>'Budget optimizer'!$C$1</c:f>
              <c:strCache>
                <c:ptCount val="1"/>
                <c:pt idx="0">
                  <c:v>Current ROAS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8EA-5548-BA42-F255DA62E9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8EA-5548-BA42-F255DA62E9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8EA-5548-BA42-F255DA62E9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8EA-5548-BA42-F255DA62E9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8EA-5548-BA42-F255DA62E9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8EA-5548-BA42-F255DA62E9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8EA-5548-BA42-F255DA62E9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8EA-5548-BA42-F255DA62E9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8EA-5548-BA42-F255DA62E9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8EA-5548-BA42-F255DA62E9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8EA-5548-BA42-F255DA62E9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8EA-5548-BA42-F255DA62E93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48EA-5548-BA42-F255DA62E93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8EA-5548-BA42-F255DA62E93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48EA-5548-BA42-F255DA62E93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8EA-5548-BA42-F255DA62E93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48EA-5548-BA42-F255DA62E93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8EA-5548-BA42-F255DA62E93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48EA-5548-BA42-F255DA62E93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8EA-5548-BA42-F255DA62E93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48EA-5548-BA42-F255DA62E93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8EA-5548-BA42-F255DA62E93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48EA-5548-BA42-F255DA62E93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8EA-5548-BA42-F255DA62E930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optimizer'!$A$2:$A$12</c:f>
              <c:strCache>
                <c:ptCount val="11"/>
                <c:pt idx="0">
                  <c:v>Display Ads</c:v>
                </c:pt>
                <c:pt idx="1">
                  <c:v>Twitter Ads</c:v>
                </c:pt>
                <c:pt idx="2">
                  <c:v>LinkedIn Ads</c:v>
                </c:pt>
                <c:pt idx="3">
                  <c:v>YouTube Ads</c:v>
                </c:pt>
                <c:pt idx="4">
                  <c:v>Instagram Ads</c:v>
                </c:pt>
                <c:pt idx="5">
                  <c:v>Facebook Ads</c:v>
                </c:pt>
                <c:pt idx="6">
                  <c:v>TikTok Ads</c:v>
                </c:pt>
                <c:pt idx="7">
                  <c:v>Google Ads</c:v>
                </c:pt>
                <c:pt idx="8">
                  <c:v>Affiliate Marketing</c:v>
                </c:pt>
                <c:pt idx="9">
                  <c:v>Referral</c:v>
                </c:pt>
                <c:pt idx="10">
                  <c:v>Email Marketing</c:v>
                </c:pt>
              </c:strCache>
            </c:strRef>
          </c:cat>
          <c:val>
            <c:numRef>
              <c:f>'Budget optimizer'!$C$2:$C$12</c:f>
              <c:numCache>
                <c:formatCode>0.00"x"</c:formatCode>
                <c:ptCount val="11"/>
                <c:pt idx="0">
                  <c:v>1.74</c:v>
                </c:pt>
                <c:pt idx="1">
                  <c:v>2.11</c:v>
                </c:pt>
                <c:pt idx="2">
                  <c:v>2.38</c:v>
                </c:pt>
                <c:pt idx="3">
                  <c:v>2.79</c:v>
                </c:pt>
                <c:pt idx="4">
                  <c:v>3.84</c:v>
                </c:pt>
                <c:pt idx="5">
                  <c:v>4.18</c:v>
                </c:pt>
                <c:pt idx="6">
                  <c:v>4.3899999999999997</c:v>
                </c:pt>
                <c:pt idx="7">
                  <c:v>6.09</c:v>
                </c:pt>
                <c:pt idx="8">
                  <c:v>11.13</c:v>
                </c:pt>
                <c:pt idx="9">
                  <c:v>64.39</c:v>
                </c:pt>
                <c:pt idx="10">
                  <c:v>288.57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A-5548-BA42-F255DA62E9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optimizer'!$E$1</c:f>
              <c:strCache>
                <c:ptCount val="1"/>
                <c:pt idx="0">
                  <c:v>New Budget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optimizer'!$E$2:$E$12</c:f>
              <c:numCache>
                <c:formatCode>"$"#,##0.00</c:formatCode>
                <c:ptCount val="11"/>
                <c:pt idx="0">
                  <c:v>229344.21</c:v>
                </c:pt>
                <c:pt idx="1">
                  <c:v>270659.75</c:v>
                </c:pt>
                <c:pt idx="2">
                  <c:v>612392.92000000004</c:v>
                </c:pt>
                <c:pt idx="3">
                  <c:v>504658.71</c:v>
                </c:pt>
                <c:pt idx="4">
                  <c:v>342496.56</c:v>
                </c:pt>
                <c:pt idx="5">
                  <c:v>418177.83</c:v>
                </c:pt>
                <c:pt idx="6">
                  <c:v>386848.85</c:v>
                </c:pt>
                <c:pt idx="7">
                  <c:v>517449.92</c:v>
                </c:pt>
                <c:pt idx="8">
                  <c:v>336581.49</c:v>
                </c:pt>
                <c:pt idx="9">
                  <c:v>114610.28</c:v>
                </c:pt>
                <c:pt idx="10">
                  <c:v>185780.92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A-8C47-AF38-8663BE72F6CE}"/>
            </c:ext>
          </c:extLst>
        </c:ser>
        <c:ser>
          <c:idx val="1"/>
          <c:order val="1"/>
          <c:tx>
            <c:strRef>
              <c:f>'Budget optimizer'!$F$1</c:f>
              <c:strCache>
                <c:ptCount val="1"/>
                <c:pt idx="0">
                  <c:v>Budget Change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optimizer'!$F$2:$F$12</c:f>
              <c:numCache>
                <c:formatCode>"$"#,##0.00</c:formatCode>
                <c:ptCount val="11"/>
                <c:pt idx="0">
                  <c:v>-229344.21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112193.82999999999</c:v>
                </c:pt>
                <c:pt idx="9">
                  <c:v>57305.14</c:v>
                </c:pt>
                <c:pt idx="10">
                  <c:v>92890.46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A-8C47-AF38-8663BE72F6CE}"/>
            </c:ext>
          </c:extLst>
        </c:ser>
        <c:ser>
          <c:idx val="2"/>
          <c:order val="2"/>
          <c:tx>
            <c:strRef>
              <c:f>'Budget optimizer'!$G$1</c:f>
              <c:strCache>
                <c:ptCount val="1"/>
                <c:pt idx="0">
                  <c:v>Expected Impact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optimizer'!$G$2:$G$12</c:f>
              <c:numCache>
                <c:formatCode>General</c:formatCode>
                <c:ptCount val="11"/>
                <c:pt idx="0">
                  <c:v>796447.39</c:v>
                </c:pt>
                <c:pt idx="1">
                  <c:v>570018.99</c:v>
                </c:pt>
                <c:pt idx="2">
                  <c:v>1456583.29</c:v>
                </c:pt>
                <c:pt idx="3">
                  <c:v>1405833.34</c:v>
                </c:pt>
                <c:pt idx="4">
                  <c:v>1315383.46</c:v>
                </c:pt>
                <c:pt idx="5">
                  <c:v>1747828.62</c:v>
                </c:pt>
                <c:pt idx="6">
                  <c:v>1698171.52</c:v>
                </c:pt>
                <c:pt idx="7">
                  <c:v>3152699.25</c:v>
                </c:pt>
                <c:pt idx="8">
                  <c:v>2497211.7999999998</c:v>
                </c:pt>
                <c:pt idx="9">
                  <c:v>3690163.96</c:v>
                </c:pt>
                <c:pt idx="10">
                  <c:v>26805521.879999999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A-8C47-AF38-8663BE72F6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Channel Performance by ROAS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38779527559056"/>
          <c:y val="0.19483814523184603"/>
          <c:w val="0.70918175853018373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'Channel Analysis'!$F$1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Analysis'!$A$2:$A$13</c:f>
              <c:strCache>
                <c:ptCount val="12"/>
                <c:pt idx="0">
                  <c:v>Email Marketing</c:v>
                </c:pt>
                <c:pt idx="1">
                  <c:v>Referral</c:v>
                </c:pt>
                <c:pt idx="2">
                  <c:v>Affiliate Marketing</c:v>
                </c:pt>
                <c:pt idx="3">
                  <c:v>Google Ads</c:v>
                </c:pt>
                <c:pt idx="4">
                  <c:v>TikTok Ads</c:v>
                </c:pt>
                <c:pt idx="5">
                  <c:v>Facebook Ads</c:v>
                </c:pt>
                <c:pt idx="6">
                  <c:v>Instagram Ads</c:v>
                </c:pt>
                <c:pt idx="7">
                  <c:v>YouTube Ads</c:v>
                </c:pt>
                <c:pt idx="8">
                  <c:v>LinkedIn Ads</c:v>
                </c:pt>
                <c:pt idx="9">
                  <c:v>Twitter Ads</c:v>
                </c:pt>
                <c:pt idx="10">
                  <c:v>Display Ads</c:v>
                </c:pt>
                <c:pt idx="11">
                  <c:v>Organic Search</c:v>
                </c:pt>
              </c:strCache>
            </c:strRef>
          </c:cat>
          <c:val>
            <c:numRef>
              <c:f>'Channel Analysis'!$F$2:$F$13</c:f>
              <c:numCache>
                <c:formatCode>0.00"x"</c:formatCode>
                <c:ptCount val="12"/>
                <c:pt idx="0">
                  <c:v>288.57131162877175</c:v>
                </c:pt>
                <c:pt idx="1">
                  <c:v>64.394990746030857</c:v>
                </c:pt>
                <c:pt idx="2">
                  <c:v>11.129006826846005</c:v>
                </c:pt>
                <c:pt idx="3">
                  <c:v>6.0927620783089527</c:v>
                </c:pt>
                <c:pt idx="4">
                  <c:v>4.3897546031221202</c:v>
                </c:pt>
                <c:pt idx="5">
                  <c:v>4.1796300392108297</c:v>
                </c:pt>
                <c:pt idx="6">
                  <c:v>3.8405742235775997</c:v>
                </c:pt>
                <c:pt idx="7">
                  <c:v>2.7857110402394478</c:v>
                </c:pt>
                <c:pt idx="8">
                  <c:v>2.3785109893171152</c:v>
                </c:pt>
                <c:pt idx="9">
                  <c:v>2.1060353081682823</c:v>
                </c:pt>
                <c:pt idx="10">
                  <c:v>1.7363581796985421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3-284F-AB25-C113CFA1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14064"/>
        <c:axId val="18221712"/>
      </c:barChart>
      <c:catAx>
        <c:axId val="5911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712"/>
        <c:crosses val="autoZero"/>
        <c:auto val="1"/>
        <c:lblAlgn val="ctr"/>
        <c:lblOffset val="100"/>
        <c:noMultiLvlLbl val="0"/>
      </c:catAx>
      <c:valAx>
        <c:axId val="1822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[Marketing_Campaign_Analysis.xlsx]Monthly Trends!PivotTable1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&amp; Spend Trends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Trends'!$B$5</c:f>
              <c:strCache>
                <c:ptCount val="1"/>
                <c:pt idx="0">
                  <c:v>Total spend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Trends'!$B$6:$B$24</c:f>
              <c:numCache>
                <c:formatCode>"$"#,##0.00</c:formatCode>
                <c:ptCount val="16"/>
                <c:pt idx="0">
                  <c:v>205218.28000000009</c:v>
                </c:pt>
                <c:pt idx="1">
                  <c:v>202474.78000000003</c:v>
                </c:pt>
                <c:pt idx="2">
                  <c:v>232918.78</c:v>
                </c:pt>
                <c:pt idx="3">
                  <c:v>246299.58000000007</c:v>
                </c:pt>
                <c:pt idx="4">
                  <c:v>325426.99</c:v>
                </c:pt>
                <c:pt idx="5">
                  <c:v>336260.98000000039</c:v>
                </c:pt>
                <c:pt idx="6">
                  <c:v>290322.4600000002</c:v>
                </c:pt>
                <c:pt idx="7">
                  <c:v>258866.52</c:v>
                </c:pt>
                <c:pt idx="8">
                  <c:v>241106.26000000004</c:v>
                </c:pt>
                <c:pt idx="9">
                  <c:v>233586.71000000008</c:v>
                </c:pt>
                <c:pt idx="10">
                  <c:v>239702.29</c:v>
                </c:pt>
                <c:pt idx="11">
                  <c:v>193320.36</c:v>
                </c:pt>
                <c:pt idx="12">
                  <c:v>206678.69</c:v>
                </c:pt>
                <c:pt idx="13">
                  <c:v>199387.91</c:v>
                </c:pt>
                <c:pt idx="14">
                  <c:v>232891.93999999992</c:v>
                </c:pt>
                <c:pt idx="15">
                  <c:v>241493.69000000003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6-2042-9CC3-D697B5CFED12}"/>
            </c:ext>
          </c:extLst>
        </c:ser>
        <c:ser>
          <c:idx val="1"/>
          <c:order val="1"/>
          <c:tx>
            <c:strRef>
              <c:f>'Monthly Trends'!$C$5</c:f>
              <c:strCache>
                <c:ptCount val="1"/>
                <c:pt idx="0">
                  <c:v>Total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Trends'!$C$6:$C$24</c:f>
              <c:numCache>
                <c:formatCode>"$"#,##0.00</c:formatCode>
                <c:ptCount val="16"/>
                <c:pt idx="0">
                  <c:v>3126015.0100000007</c:v>
                </c:pt>
                <c:pt idx="1">
                  <c:v>2985192.9699999997</c:v>
                </c:pt>
                <c:pt idx="2">
                  <c:v>3444765.8</c:v>
                </c:pt>
                <c:pt idx="3">
                  <c:v>3609058.9999999986</c:v>
                </c:pt>
                <c:pt idx="4">
                  <c:v>4695012.8400000026</c:v>
                </c:pt>
                <c:pt idx="5">
                  <c:v>4814340.3999999994</c:v>
                </c:pt>
                <c:pt idx="6">
                  <c:v>4594857.8400000008</c:v>
                </c:pt>
                <c:pt idx="7">
                  <c:v>3975006.399999998</c:v>
                </c:pt>
                <c:pt idx="8">
                  <c:v>3590119.3899999978</c:v>
                </c:pt>
                <c:pt idx="9">
                  <c:v>3379318.3800000008</c:v>
                </c:pt>
                <c:pt idx="10">
                  <c:v>3615132.1300000008</c:v>
                </c:pt>
                <c:pt idx="11">
                  <c:v>2883557.8400000008</c:v>
                </c:pt>
                <c:pt idx="12">
                  <c:v>2986022.5700000003</c:v>
                </c:pt>
                <c:pt idx="13">
                  <c:v>2909839.9700000011</c:v>
                </c:pt>
                <c:pt idx="14">
                  <c:v>3489568.8600000022</c:v>
                </c:pt>
                <c:pt idx="15">
                  <c:v>3486417.7900000024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6-2042-9CC3-D697B5CFE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576768"/>
        <c:axId val="1580884736"/>
      </c:barChart>
      <c:lineChart>
        <c:grouping val="standard"/>
        <c:varyColors val="0"/>
        <c:ser>
          <c:idx val="2"/>
          <c:order val="2"/>
          <c:tx>
            <c:strRef>
              <c:f>'Monthly Trends'!$D$5</c:f>
              <c:strCache>
                <c:ptCount val="1"/>
                <c:pt idx="0">
                  <c:v>Total conversions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Trends'!$D$6:$D$24</c:f>
              <c:numCache>
                <c:formatCode>#,##0.00</c:formatCode>
                <c:ptCount val="16"/>
                <c:pt idx="0">
                  <c:v>23698</c:v>
                </c:pt>
                <c:pt idx="1">
                  <c:v>22714</c:v>
                </c:pt>
                <c:pt idx="2">
                  <c:v>26588</c:v>
                </c:pt>
                <c:pt idx="3">
                  <c:v>27525</c:v>
                </c:pt>
                <c:pt idx="4">
                  <c:v>36583</c:v>
                </c:pt>
                <c:pt idx="5">
                  <c:v>37255</c:v>
                </c:pt>
                <c:pt idx="6">
                  <c:v>35238</c:v>
                </c:pt>
                <c:pt idx="7">
                  <c:v>30276</c:v>
                </c:pt>
                <c:pt idx="8">
                  <c:v>27458</c:v>
                </c:pt>
                <c:pt idx="9">
                  <c:v>25592</c:v>
                </c:pt>
                <c:pt idx="10">
                  <c:v>27377</c:v>
                </c:pt>
                <c:pt idx="11">
                  <c:v>21938</c:v>
                </c:pt>
                <c:pt idx="12">
                  <c:v>23310</c:v>
                </c:pt>
                <c:pt idx="13">
                  <c:v>22553</c:v>
                </c:pt>
                <c:pt idx="14">
                  <c:v>26706</c:v>
                </c:pt>
                <c:pt idx="15">
                  <c:v>26591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6-2042-9CC3-D697B5CFED12}"/>
            </c:ext>
          </c:extLst>
        </c:ser>
        <c:ser>
          <c:idx val="3"/>
          <c:order val="3"/>
          <c:tx>
            <c:strRef>
              <c:f>'Monthly Trends'!$E$5</c:f>
              <c:strCache>
                <c:ptCount val="1"/>
                <c:pt idx="0">
                  <c:v>_ROAS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'Monthly Trends'!$A$6:$A$24</c:f>
              <c:multiLvlStrCache>
                <c:ptCount val="16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'Monthly Trends'!$E$6:$E$24</c:f>
              <c:numCache>
                <c:formatCode>0.00"x"</c:formatCode>
                <c:ptCount val="16"/>
                <c:pt idx="0">
                  <c:v>15.23263429554131</c:v>
                </c:pt>
                <c:pt idx="1">
                  <c:v>14.743529885549199</c:v>
                </c:pt>
                <c:pt idx="2">
                  <c:v>14.789557973813876</c:v>
                </c:pt>
                <c:pt idx="3">
                  <c:v>14.653126895303668</c:v>
                </c:pt>
                <c:pt idx="4">
                  <c:v>14.427238625782092</c:v>
                </c:pt>
                <c:pt idx="5">
                  <c:v>14.317273446357035</c:v>
                </c:pt>
                <c:pt idx="6">
                  <c:v>15.826739136889367</c:v>
                </c:pt>
                <c:pt idx="7">
                  <c:v>15.355428736014213</c:v>
                </c:pt>
                <c:pt idx="8">
                  <c:v>14.890195675549847</c:v>
                </c:pt>
                <c:pt idx="9">
                  <c:v>14.467083251440117</c:v>
                </c:pt>
                <c:pt idx="10">
                  <c:v>15.081758835094988</c:v>
                </c:pt>
                <c:pt idx="11">
                  <c:v>14.915955256859656</c:v>
                </c:pt>
                <c:pt idx="12">
                  <c:v>14.447655779122657</c:v>
                </c:pt>
                <c:pt idx="13">
                  <c:v>14.593863639976973</c:v>
                </c:pt>
                <c:pt idx="14">
                  <c:v>14.983639450983162</c:v>
                </c:pt>
                <c:pt idx="15">
                  <c:v>14.436889800309077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A6-2042-9CC3-D697B5CFE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6768"/>
        <c:axId val="1580884736"/>
      </c:lineChart>
      <c:catAx>
        <c:axId val="205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84736"/>
        <c:crosses val="autoZero"/>
        <c:auto val="1"/>
        <c:lblAlgn val="ctr"/>
        <c:lblOffset val="100"/>
        <c:noMultiLvlLbl val="0"/>
      </c:catAx>
      <c:valAx>
        <c:axId val="15808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'Budget optimizer'!$B$1</c:f>
              <c:strCache>
                <c:ptCount val="1"/>
                <c:pt idx="0">
                  <c:v>Current 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F3-F548-B1D9-ABFA86F48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F3-F548-B1D9-ABFA86F48E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F3-F548-B1D9-ABFA86F48E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3F3-F548-B1D9-ABFA86F48E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3F3-F548-B1D9-ABFA86F48E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3F3-F548-B1D9-ABFA86F48E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3F3-F548-B1D9-ABFA86F48E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3F3-F548-B1D9-ABFA86F48E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3F3-F548-B1D9-ABFA86F48E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3F3-F548-B1D9-ABFA86F48E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3F3-F548-B1D9-ABFA86F48E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3F3-F548-B1D9-ABFA86F48E6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3F3-F548-B1D9-ABFA86F48E6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3F3-F548-B1D9-ABFA86F48E6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3F3-F548-B1D9-ABFA86F48E6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3F3-F548-B1D9-ABFA86F48E6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3F3-F548-B1D9-ABFA86F48E6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3F3-F548-B1D9-ABFA86F48E6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3F3-F548-B1D9-ABFA86F48E6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3F3-F548-B1D9-ABFA86F48E6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3F3-F548-B1D9-ABFA86F48E6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B3F3-F548-B1D9-ABFA86F48E6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B3F3-F548-B1D9-ABFA86F48E6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B3F3-F548-B1D9-ABFA86F48E6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optimizer'!$A$2:$A$12</c:f>
              <c:strCache>
                <c:ptCount val="11"/>
                <c:pt idx="0">
                  <c:v>Display Ads</c:v>
                </c:pt>
                <c:pt idx="1">
                  <c:v>Twitter Ads</c:v>
                </c:pt>
                <c:pt idx="2">
                  <c:v>LinkedIn Ads</c:v>
                </c:pt>
                <c:pt idx="3">
                  <c:v>YouTube Ads</c:v>
                </c:pt>
                <c:pt idx="4">
                  <c:v>Instagram Ads</c:v>
                </c:pt>
                <c:pt idx="5">
                  <c:v>Facebook Ads</c:v>
                </c:pt>
                <c:pt idx="6">
                  <c:v>TikTok Ads</c:v>
                </c:pt>
                <c:pt idx="7">
                  <c:v>Google Ads</c:v>
                </c:pt>
                <c:pt idx="8">
                  <c:v>Affiliate Marketing</c:v>
                </c:pt>
                <c:pt idx="9">
                  <c:v>Referral</c:v>
                </c:pt>
                <c:pt idx="10">
                  <c:v>Email Marketing</c:v>
                </c:pt>
              </c:strCache>
            </c:strRef>
          </c:cat>
          <c:val>
            <c:numRef>
              <c:f>'Budget optimizer'!$B$2:$B$12</c:f>
              <c:numCache>
                <c:formatCode>"$"#,##0.00</c:formatCode>
                <c:ptCount val="11"/>
                <c:pt idx="0">
                  <c:v>458688.42</c:v>
                </c:pt>
                <c:pt idx="1">
                  <c:v>270659.75</c:v>
                </c:pt>
                <c:pt idx="2">
                  <c:v>612392.92000000004</c:v>
                </c:pt>
                <c:pt idx="3">
                  <c:v>504658.71</c:v>
                </c:pt>
                <c:pt idx="4">
                  <c:v>342496.56</c:v>
                </c:pt>
                <c:pt idx="5">
                  <c:v>418177.83</c:v>
                </c:pt>
                <c:pt idx="6">
                  <c:v>386848.85</c:v>
                </c:pt>
                <c:pt idx="7">
                  <c:v>517449.92</c:v>
                </c:pt>
                <c:pt idx="8">
                  <c:v>224387.66</c:v>
                </c:pt>
                <c:pt idx="9">
                  <c:v>57305.14</c:v>
                </c:pt>
                <c:pt idx="10">
                  <c:v>92890.46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3F3-F548-B1D9-ABFA86F48E6F}"/>
            </c:ext>
          </c:extLst>
        </c:ser>
        <c:ser>
          <c:idx val="1"/>
          <c:order val="1"/>
          <c:tx>
            <c:strRef>
              <c:f>'Budget optimizer'!$C$1</c:f>
              <c:strCache>
                <c:ptCount val="1"/>
                <c:pt idx="0">
                  <c:v>Current ROAS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B3F3-F548-B1D9-ABFA86F48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B3F3-F548-B1D9-ABFA86F48E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B3F3-F548-B1D9-ABFA86F48E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B3F3-F548-B1D9-ABFA86F48E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B3F3-F548-B1D9-ABFA86F48E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B3F3-F548-B1D9-ABFA86F48E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3F3-F548-B1D9-ABFA86F48E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3F3-F548-B1D9-ABFA86F48E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3F3-F548-B1D9-ABFA86F48E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3F3-F548-B1D9-ABFA86F48E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3F3-F548-B1D9-ABFA86F48E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B3F3-F548-B1D9-ABFA86F48E6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B3F3-F548-B1D9-ABFA86F48E6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B3F3-F548-B1D9-ABFA86F48E6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B3F3-F548-B1D9-ABFA86F48E6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B3F3-F548-B1D9-ABFA86F48E6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2-B3F3-F548-B1D9-ABFA86F48E6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4-B3F3-F548-B1D9-ABFA86F48E6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6-B3F3-F548-B1D9-ABFA86F48E6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8-B3F3-F548-B1D9-ABFA86F48E6F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A-B3F3-F548-B1D9-ABFA86F48E6F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C-B3F3-F548-B1D9-ABFA86F48E6F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E-B3F3-F548-B1D9-ABFA86F48E6F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0-B3F3-F548-B1D9-ABFA86F48E6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optimizer'!$A$2:$A$12</c:f>
              <c:strCache>
                <c:ptCount val="11"/>
                <c:pt idx="0">
                  <c:v>Display Ads</c:v>
                </c:pt>
                <c:pt idx="1">
                  <c:v>Twitter Ads</c:v>
                </c:pt>
                <c:pt idx="2">
                  <c:v>LinkedIn Ads</c:v>
                </c:pt>
                <c:pt idx="3">
                  <c:v>YouTube Ads</c:v>
                </c:pt>
                <c:pt idx="4">
                  <c:v>Instagram Ads</c:v>
                </c:pt>
                <c:pt idx="5">
                  <c:v>Facebook Ads</c:v>
                </c:pt>
                <c:pt idx="6">
                  <c:v>TikTok Ads</c:v>
                </c:pt>
                <c:pt idx="7">
                  <c:v>Google Ads</c:v>
                </c:pt>
                <c:pt idx="8">
                  <c:v>Affiliate Marketing</c:v>
                </c:pt>
                <c:pt idx="9">
                  <c:v>Referral</c:v>
                </c:pt>
                <c:pt idx="10">
                  <c:v>Email Marketing</c:v>
                </c:pt>
              </c:strCache>
            </c:strRef>
          </c:cat>
          <c:val>
            <c:numRef>
              <c:f>'Budget optimizer'!$C$2:$C$12</c:f>
              <c:numCache>
                <c:formatCode>0.00"x"</c:formatCode>
                <c:ptCount val="11"/>
                <c:pt idx="0">
                  <c:v>1.74</c:v>
                </c:pt>
                <c:pt idx="1">
                  <c:v>2.11</c:v>
                </c:pt>
                <c:pt idx="2">
                  <c:v>2.38</c:v>
                </c:pt>
                <c:pt idx="3">
                  <c:v>2.79</c:v>
                </c:pt>
                <c:pt idx="4">
                  <c:v>3.84</c:v>
                </c:pt>
                <c:pt idx="5">
                  <c:v>4.18</c:v>
                </c:pt>
                <c:pt idx="6">
                  <c:v>4.3899999999999997</c:v>
                </c:pt>
                <c:pt idx="7">
                  <c:v>6.09</c:v>
                </c:pt>
                <c:pt idx="8">
                  <c:v>11.13</c:v>
                </c:pt>
                <c:pt idx="9">
                  <c:v>64.39</c:v>
                </c:pt>
                <c:pt idx="10">
                  <c:v>288.57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3F3-F548-B1D9-ABFA86F48E6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optimizer'!$E$1</c:f>
              <c:strCache>
                <c:ptCount val="1"/>
                <c:pt idx="0">
                  <c:v>New Budget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B-BC41-B25B-D68D203EFB9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B-BC41-B25B-D68D203EFB9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B-BC41-B25B-D68D203EFB9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3B-BC41-B25B-D68D203EFB9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3B-BC41-B25B-D68D203EFB9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3B-BC41-B25B-D68D203EFB9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3B-BC41-B25B-D68D203EFB9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3B-BC41-B25B-D68D203EFB9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E3B-BC41-B25B-D68D203EFB93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E3B-BC41-B25B-D68D203EFB93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E3B-BC41-B25B-D68D203EFB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optimizer'!$E$2:$E$12</c:f>
              <c:numCache>
                <c:formatCode>"$"#,##0.00</c:formatCode>
                <c:ptCount val="11"/>
                <c:pt idx="0">
                  <c:v>229344.21</c:v>
                </c:pt>
                <c:pt idx="1">
                  <c:v>270659.75</c:v>
                </c:pt>
                <c:pt idx="2">
                  <c:v>612392.92000000004</c:v>
                </c:pt>
                <c:pt idx="3">
                  <c:v>504658.71</c:v>
                </c:pt>
                <c:pt idx="4">
                  <c:v>342496.56</c:v>
                </c:pt>
                <c:pt idx="5">
                  <c:v>418177.83</c:v>
                </c:pt>
                <c:pt idx="6">
                  <c:v>386848.85</c:v>
                </c:pt>
                <c:pt idx="7">
                  <c:v>517449.92</c:v>
                </c:pt>
                <c:pt idx="8">
                  <c:v>336581.49</c:v>
                </c:pt>
                <c:pt idx="9">
                  <c:v>114610.28</c:v>
                </c:pt>
                <c:pt idx="10">
                  <c:v>185780.92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3B-BC41-B25B-D68D203EFB93}"/>
            </c:ext>
          </c:extLst>
        </c:ser>
        <c:ser>
          <c:idx val="1"/>
          <c:order val="1"/>
          <c:tx>
            <c:strRef>
              <c:f>'Budget optimizer'!$F$1</c:f>
              <c:strCache>
                <c:ptCount val="1"/>
                <c:pt idx="0">
                  <c:v>Budget Change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E3B-BC41-B25B-D68D203EFB9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E3B-BC41-B25B-D68D203EFB9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E3B-BC41-B25B-D68D203EFB9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7E3B-BC41-B25B-D68D203EFB9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7E3B-BC41-B25B-D68D203EFB9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7E3B-BC41-B25B-D68D203EFB9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7E3B-BC41-B25B-D68D203EFB9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7E3B-BC41-B25B-D68D203EFB9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7E3B-BC41-B25B-D68D203EFB93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E3B-BC41-B25B-D68D203EFB93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E3B-BC41-B25B-D68D203EFB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optimizer'!$F$2:$F$12</c:f>
              <c:numCache>
                <c:formatCode>"$"#,##0.00</c:formatCode>
                <c:ptCount val="11"/>
                <c:pt idx="0">
                  <c:v>-229344.21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112193.82999999999</c:v>
                </c:pt>
                <c:pt idx="9">
                  <c:v>57305.14</c:v>
                </c:pt>
                <c:pt idx="10">
                  <c:v>92890.46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E3B-BC41-B25B-D68D203EFB93}"/>
            </c:ext>
          </c:extLst>
        </c:ser>
        <c:ser>
          <c:idx val="2"/>
          <c:order val="2"/>
          <c:tx>
            <c:strRef>
              <c:f>'Budget optimizer'!$G$1</c:f>
              <c:strCache>
                <c:ptCount val="1"/>
                <c:pt idx="0">
                  <c:v>Expected Impact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E3B-BC41-B25B-D68D203EFB9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E3B-BC41-B25B-D68D203EFB9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E3B-BC41-B25B-D68D203EFB9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E3B-BC41-B25B-D68D203EFB9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E3B-BC41-B25B-D68D203EFB9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E3B-BC41-B25B-D68D203EFB9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E3B-BC41-B25B-D68D203EFB9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E3B-BC41-B25B-D68D203EFB9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E3B-BC41-B25B-D68D203EFB93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E3B-BC41-B25B-D68D203EFB93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E3B-BC41-B25B-D68D203EFB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'Budget optimizer'!$A$2:$B$12</c:f>
              <c:multiLvlStrCache>
                <c:ptCount val="11"/>
                <c:lvl>
                  <c:pt idx="0">
                    <c:v>$458,688.42</c:v>
                  </c:pt>
                  <c:pt idx="1">
                    <c:v>$270,659.75</c:v>
                  </c:pt>
                  <c:pt idx="2">
                    <c:v>$612,392.92</c:v>
                  </c:pt>
                  <c:pt idx="3">
                    <c:v>$504,658.71</c:v>
                  </c:pt>
                  <c:pt idx="4">
                    <c:v>$342,496.56</c:v>
                  </c:pt>
                  <c:pt idx="5">
                    <c:v>$418,177.83</c:v>
                  </c:pt>
                  <c:pt idx="6">
                    <c:v>$386,848.85</c:v>
                  </c:pt>
                  <c:pt idx="7">
                    <c:v>$517,449.92</c:v>
                  </c:pt>
                  <c:pt idx="8">
                    <c:v>$224,387.66</c:v>
                  </c:pt>
                  <c:pt idx="9">
                    <c:v>$57,305.14</c:v>
                  </c:pt>
                  <c:pt idx="10">
                    <c:v>$92,890.46</c:v>
                  </c:pt>
                </c:lvl>
                <c:lvl>
                  <c:pt idx="0">
                    <c:v>Display Ads</c:v>
                  </c:pt>
                  <c:pt idx="1">
                    <c:v>Twitter Ads</c:v>
                  </c:pt>
                  <c:pt idx="2">
                    <c:v>LinkedIn Ads</c:v>
                  </c:pt>
                  <c:pt idx="3">
                    <c:v>YouTube Ads</c:v>
                  </c:pt>
                  <c:pt idx="4">
                    <c:v>Instagram Ads</c:v>
                  </c:pt>
                  <c:pt idx="5">
                    <c:v>Facebook Ads</c:v>
                  </c:pt>
                  <c:pt idx="6">
                    <c:v>TikTok Ads</c:v>
                  </c:pt>
                  <c:pt idx="7">
                    <c:v>Google Ads</c:v>
                  </c:pt>
                  <c:pt idx="8">
                    <c:v>Affiliate Marketing</c:v>
                  </c:pt>
                  <c:pt idx="9">
                    <c:v>Referral</c:v>
                  </c:pt>
                  <c:pt idx="10">
                    <c:v>Email Marketing</c:v>
                  </c:pt>
                </c:lvl>
              </c:multiLvlStrCache>
            </c:multiLvlStrRef>
          </c:cat>
          <c:val>
            <c:numRef>
              <c:f>'Budget optimizer'!$G$2:$G$12</c:f>
              <c:numCache>
                <c:formatCode>General</c:formatCode>
                <c:ptCount val="11"/>
                <c:pt idx="0">
                  <c:v>796447.39</c:v>
                </c:pt>
                <c:pt idx="1">
                  <c:v>570018.99</c:v>
                </c:pt>
                <c:pt idx="2">
                  <c:v>1456583.29</c:v>
                </c:pt>
                <c:pt idx="3">
                  <c:v>1405833.34</c:v>
                </c:pt>
                <c:pt idx="4">
                  <c:v>1315383.46</c:v>
                </c:pt>
                <c:pt idx="5">
                  <c:v>1747828.62</c:v>
                </c:pt>
                <c:pt idx="6">
                  <c:v>1698171.52</c:v>
                </c:pt>
                <c:pt idx="7">
                  <c:v>3152699.25</c:v>
                </c:pt>
                <c:pt idx="8">
                  <c:v>2497211.7999999998</c:v>
                </c:pt>
                <c:pt idx="9">
                  <c:v>3690163.96</c:v>
                </c:pt>
                <c:pt idx="10">
                  <c:v>26805521.879999999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7E3B-BC41-B25B-D68D203EFB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6350</xdr:rowOff>
    </xdr:from>
    <xdr:to>
      <xdr:col>6</xdr:col>
      <xdr:colOff>1346200</xdr:colOff>
      <xdr:row>30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83381-73F7-7A94-AB90-C0BA969CE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6350</xdr:rowOff>
    </xdr:from>
    <xdr:to>
      <xdr:col>5</xdr:col>
      <xdr:colOff>12700</xdr:colOff>
      <xdr:row>44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0E2B0-160C-21B2-2242-60A04394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469900</xdr:colOff>
      <xdr:row>1</xdr:row>
      <xdr:rowOff>88900</xdr:rowOff>
    </xdr:from>
    <xdr:to>
      <xdr:col>12</xdr:col>
      <xdr:colOff>431800</xdr:colOff>
      <xdr:row>11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6D4DFE-799D-71E9-B1AD-A6C39BFF5C9F}"/>
            </a:ext>
          </a:extLst>
        </xdr:cNvPr>
        <xdr:cNvSpPr txBox="1"/>
      </xdr:nvSpPr>
      <xdr:spPr>
        <a:xfrm>
          <a:off x="10337800" y="292100"/>
          <a:ext cx="4089400" cy="199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</a:rPr>
            <a:t>KEY RECOMMENDATIONS &amp; ACTION PLAN</a:t>
          </a:r>
        </a:p>
        <a:p>
          <a:endParaRPr lang="en-US" sz="1100"/>
        </a:p>
        <a:p>
          <a:r>
            <a:rPr lang="en-US" sz="1100"/>
            <a:t>1. 🔴 CUT: Display Ads (-50%) - Save $229K from underperforming channel</a:t>
          </a:r>
        </a:p>
        <a:p>
          <a:r>
            <a:rPr lang="en-US" sz="1100"/>
            <a:t>2. 🟢 SCALE: Email Marketing (+100%) - 288x ROAS, highest ROI</a:t>
          </a:r>
        </a:p>
        <a:p>
          <a:r>
            <a:rPr lang="en-US" sz="1100"/>
            <a:t>3. 🟢 EXPAND: Referral (+100%) - 64x ROAS, high-quality leads</a:t>
          </a:r>
        </a:p>
        <a:p>
          <a:r>
            <a:rPr lang="en-US" sz="1100"/>
            <a:t>4. 🟢 GROW: Affiliate (+50%) - 11x ROAS, solid performer</a:t>
          </a:r>
        </a:p>
        <a:p>
          <a:r>
            <a:rPr lang="en-US" sz="1100"/>
            <a:t>5. ⚡ ACTION: Implement cuts Week 1, scale winners Week 2-3</a:t>
          </a:r>
        </a:p>
      </xdr:txBody>
    </xdr:sp>
    <xdr:clientData/>
  </xdr:twoCellAnchor>
  <xdr:twoCellAnchor>
    <xdr:from>
      <xdr:col>2</xdr:col>
      <xdr:colOff>57150</xdr:colOff>
      <xdr:row>12</xdr:row>
      <xdr:rowOff>57150</xdr:rowOff>
    </xdr:from>
    <xdr:to>
      <xdr:col>6</xdr:col>
      <xdr:colOff>444500</xdr:colOff>
      <xdr:row>24</xdr:row>
      <xdr:rowOff>361950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8AA83D-61EA-C8BE-E2DF-55FDF0408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12</xdr:row>
      <xdr:rowOff>57150</xdr:rowOff>
    </xdr:from>
    <xdr:to>
      <xdr:col>13</xdr:col>
      <xdr:colOff>444500</xdr:colOff>
      <xdr:row>24</xdr:row>
      <xdr:rowOff>361950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C407B6-536E-D249-55C0-F8EE5EB94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38100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6B804-5FF8-1740-B7AE-98309FFC9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6</xdr:row>
      <xdr:rowOff>25400</xdr:rowOff>
    </xdr:from>
    <xdr:to>
      <xdr:col>11</xdr:col>
      <xdr:colOff>812800</xdr:colOff>
      <xdr:row>22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D0704-E2FB-B445-8A31-CEA9373C2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12700</xdr:rowOff>
    </xdr:from>
    <xdr:to>
      <xdr:col>6</xdr:col>
      <xdr:colOff>63500</xdr:colOff>
      <xdr:row>39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FAC78E-4DE9-2644-B060-C3FD971E6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50800</xdr:colOff>
      <xdr:row>22</xdr:row>
      <xdr:rowOff>190500</xdr:rowOff>
    </xdr:from>
    <xdr:to>
      <xdr:col>11</xdr:col>
      <xdr:colOff>787400</xdr:colOff>
      <xdr:row>39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B9B811-1957-A149-AEE0-5C102AE59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weisa, Abdelrahman" refreshedDate="45978.554832175927" createdVersion="8" refreshedVersion="8" minRefreshableVersion="3" recordCount="5856" xr:uid="{BE7E397D-C03E-0546-A9F8-C9B2718B90F4}">
  <cacheSource type="worksheet">
    <worksheetSource name="marketing_campaigns"/>
  </cacheSource>
  <cacheFields count="17">
    <cacheField name="date" numFmtId="14">
      <sharedItems containsSemiMixedTypes="0" containsNonDate="0" containsDate="1" containsString="0" minDate="2024-07-01T00:00:00" maxDate="2025-11-01T00:00:00" count="488"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  <fieldGroup par="15"/>
    </cacheField>
    <cacheField name="channel" numFmtId="0">
      <sharedItems/>
    </cacheField>
    <cacheField name="campaign_type" numFmtId="0">
      <sharedItems/>
    </cacheField>
    <cacheField name="product" numFmtId="0">
      <sharedItems/>
    </cacheField>
    <cacheField name="impressions" numFmtId="0">
      <sharedItems containsSemiMixedTypes="0" containsString="0" containsNumber="1" containsInteger="1" minValue="1786" maxValue="55892"/>
    </cacheField>
    <cacheField name="clicks" numFmtId="0">
      <sharedItems containsSemiMixedTypes="0" containsString="0" containsNumber="1" containsInteger="1" minValue="30" maxValue="7667"/>
    </cacheField>
    <cacheField name="conversions" numFmtId="0">
      <sharedItems containsSemiMixedTypes="0" containsString="0" containsNumber="1" containsInteger="1" minValue="3" maxValue="891"/>
    </cacheField>
    <cacheField name="spend" numFmtId="0">
      <sharedItems containsSemiMixedTypes="0" containsString="0" containsNumber="1" minValue="0" maxValue="2505.2600000000002"/>
    </cacheField>
    <cacheField name="revenue" numFmtId="0">
      <sharedItems containsSemiMixedTypes="0" containsString="0" containsNumber="1" minValue="289.5" maxValue="128833.74"/>
    </cacheField>
    <cacheField name="ctr" numFmtId="0">
      <sharedItems containsSemiMixedTypes="0" containsString="0" containsNumber="1" minValue="1" maxValue="24.97"/>
    </cacheField>
    <cacheField name="conversion_rate" numFmtId="0">
      <sharedItems containsSemiMixedTypes="0" containsString="0" containsNumber="1" minValue="1.64" maxValue="17.899999999999999"/>
    </cacheField>
    <cacheField name="cac" numFmtId="0">
      <sharedItems containsSemiMixedTypes="0" containsString="0" containsNumber="1" minValue="0" maxValue="345.66"/>
    </cacheField>
    <cacheField name="roas" numFmtId="0">
      <sharedItems containsSemiMixedTypes="0" containsString="0" containsNumber="1" minValue="0" maxValue="867.12"/>
    </cacheField>
    <cacheField name="profit" numFmtId="0">
      <sharedItems containsSemiMixedTypes="0" containsString="0" containsNumber="1" minValue="-763.56" maxValue="128552"/>
    </cacheField>
    <cacheField name="Months (date)" numFmtId="0" databaseField="0">
      <fieldGroup base="0">
        <rangePr groupBy="months" startDate="2024-07-01T00:00:00" endDate="2025-11-01T00:00:00"/>
        <groupItems count="14">
          <s v="&lt;7/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5"/>
        </groupItems>
      </fieldGroup>
    </cacheField>
    <cacheField name="Years (date)" numFmtId="0" databaseField="0">
      <fieldGroup base="0">
        <rangePr groupBy="years" startDate="2024-07-01T00:00:00" endDate="2025-11-01T00:00:00"/>
        <groupItems count="4">
          <s v="&lt;7/1/24"/>
          <s v="2024"/>
          <s v="2025"/>
          <s v="&gt;11/1/25"/>
        </groupItems>
      </fieldGroup>
    </cacheField>
    <cacheField name=".ROAS" numFmtId="0" formula="revenue/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6">
  <r>
    <x v="0"/>
    <s v="Google Ads"/>
    <s v="Flash Sale"/>
    <s v="Premium Plan"/>
    <n v="7531"/>
    <n v="253"/>
    <n v="28"/>
    <n v="1035.1300000000001"/>
    <n v="4455.7"/>
    <n v="3.36"/>
    <n v="11.07"/>
    <n v="36.97"/>
    <n v="4.3"/>
    <n v="3420.57"/>
  </r>
  <r>
    <x v="0"/>
    <s v="Facebook Ads"/>
    <s v="Brand Awareness"/>
    <s v="Enterprise Plan"/>
    <n v="16928"/>
    <n v="430"/>
    <n v="35"/>
    <n v="691.94"/>
    <n v="3394.89"/>
    <n v="2.54"/>
    <n v="8.14"/>
    <n v="19.77"/>
    <n v="4.91"/>
    <n v="2702.95"/>
  </r>
  <r>
    <x v="0"/>
    <s v="Instagram Ads"/>
    <s v="Lead Generation"/>
    <s v="Basic Plan"/>
    <n v="14887"/>
    <n v="477"/>
    <n v="35"/>
    <n v="540.66"/>
    <n v="3573.9"/>
    <n v="3.2"/>
    <n v="7.34"/>
    <n v="15.45"/>
    <n v="6.61"/>
    <n v="3033.24"/>
  </r>
  <r>
    <x v="0"/>
    <s v="LinkedIn Ads"/>
    <s v="Lead Generation"/>
    <s v="Premium Plan"/>
    <n v="4692"/>
    <n v="85"/>
    <n v="10"/>
    <n v="1297.28"/>
    <n v="2252.89"/>
    <n v="1.81"/>
    <n v="11.76"/>
    <n v="129.72999999999999"/>
    <n v="1.74"/>
    <n v="955.61"/>
  </r>
  <r>
    <x v="0"/>
    <s v="Email Marketing"/>
    <s v="Flash Sale"/>
    <s v="Add-on Service"/>
    <n v="20769"/>
    <n v="4091"/>
    <n v="395"/>
    <n v="235.19"/>
    <n v="54657.73"/>
    <n v="19.7"/>
    <n v="9.66"/>
    <n v="0.6"/>
    <n v="232.4"/>
    <n v="54422.54"/>
  </r>
  <r>
    <x v="0"/>
    <s v="Organic Search"/>
    <s v="Brand Awareness"/>
    <s v="Add-on Service"/>
    <n v="24805"/>
    <n v="1518"/>
    <n v="200"/>
    <n v="0"/>
    <n v="25540.240000000002"/>
    <n v="6.12"/>
    <n v="13.18"/>
    <n v="0"/>
    <n v="0"/>
    <n v="25540.240000000002"/>
  </r>
  <r>
    <x v="0"/>
    <s v="Display Ads"/>
    <s v="Retargeting"/>
    <s v="Premium Plan"/>
    <n v="29854"/>
    <n v="413"/>
    <n v="16"/>
    <n v="828.71"/>
    <n v="1769.66"/>
    <n v="1.38"/>
    <n v="3.87"/>
    <n v="51.79"/>
    <n v="2.14"/>
    <n v="940.95"/>
  </r>
  <r>
    <x v="0"/>
    <s v="YouTube Ads"/>
    <s v="Brand Awareness"/>
    <s v="Premium Plan"/>
    <n v="17499"/>
    <n v="459"/>
    <n v="32"/>
    <n v="1082.71"/>
    <n v="3496.01"/>
    <n v="2.62"/>
    <n v="6.97"/>
    <n v="33.83"/>
    <n v="3.23"/>
    <n v="2413.3000000000002"/>
  </r>
  <r>
    <x v="0"/>
    <s v="Twitter Ads"/>
    <s v="Lead Generation"/>
    <s v="Basic Plan"/>
    <n v="11603"/>
    <n v="244"/>
    <n v="8"/>
    <n v="413.72"/>
    <n v="661.74"/>
    <n v="2.1"/>
    <n v="3.28"/>
    <n v="51.72"/>
    <n v="1.6"/>
    <n v="248.02"/>
  </r>
  <r>
    <x v="0"/>
    <s v="TikTok Ads"/>
    <s v="Seasonal Promotion"/>
    <s v="Add-on Service"/>
    <n v="21458"/>
    <n v="623"/>
    <n v="24"/>
    <n v="626.76"/>
    <n v="1997.83"/>
    <n v="2.9"/>
    <n v="3.85"/>
    <n v="26.12"/>
    <n v="3.19"/>
    <n v="1371.07"/>
  </r>
  <r>
    <x v="0"/>
    <s v="Affiliate Marketing"/>
    <s v="Brand Awareness"/>
    <s v="Add-on Service"/>
    <n v="8244"/>
    <n v="415"/>
    <n v="33"/>
    <n v="441.56"/>
    <n v="3796.5"/>
    <n v="5.03"/>
    <n v="7.95"/>
    <n v="13.38"/>
    <n v="8.6"/>
    <n v="3354.94"/>
  </r>
  <r>
    <x v="0"/>
    <s v="Referral"/>
    <s v="Lead Generation"/>
    <s v="Add-on Service"/>
    <n v="4557"/>
    <n v="452"/>
    <n v="70"/>
    <n v="72.75"/>
    <n v="8214.61"/>
    <n v="9.92"/>
    <n v="15.49"/>
    <n v="1.04"/>
    <n v="112.92"/>
    <n v="8141.86"/>
  </r>
  <r>
    <x v="1"/>
    <s v="Google Ads"/>
    <s v="Retargeting"/>
    <s v="Basic Plan"/>
    <n v="11578"/>
    <n v="459"/>
    <n v="51"/>
    <n v="732.29"/>
    <n v="8982.39"/>
    <n v="3.96"/>
    <n v="11.11"/>
    <n v="14.36"/>
    <n v="12.27"/>
    <n v="8250.1"/>
  </r>
  <r>
    <x v="1"/>
    <s v="Facebook Ads"/>
    <s v="Retargeting"/>
    <s v="Add-on Service"/>
    <n v="13296"/>
    <n v="489"/>
    <n v="27"/>
    <n v="915.59"/>
    <n v="2703.43"/>
    <n v="3.68"/>
    <n v="5.52"/>
    <n v="33.909999999999997"/>
    <n v="2.95"/>
    <n v="1787.84"/>
  </r>
  <r>
    <x v="1"/>
    <s v="Instagram Ads"/>
    <s v="Product Launch"/>
    <s v="Premium Plan"/>
    <n v="13412"/>
    <n v="383"/>
    <n v="28"/>
    <n v="672.94"/>
    <n v="2663.26"/>
    <n v="2.86"/>
    <n v="7.31"/>
    <n v="24.03"/>
    <n v="3.96"/>
    <n v="1990.32"/>
  </r>
  <r>
    <x v="1"/>
    <s v="LinkedIn Ads"/>
    <s v="Lead Generation"/>
    <s v="Starter Kit"/>
    <n v="3134"/>
    <n v="73"/>
    <n v="10"/>
    <n v="1174.33"/>
    <n v="2453.12"/>
    <n v="2.33"/>
    <n v="13.7"/>
    <n v="117.43"/>
    <n v="2.09"/>
    <n v="1278.79"/>
  </r>
  <r>
    <x v="1"/>
    <s v="Email Marketing"/>
    <s v="Product Launch"/>
    <s v="Enterprise Plan"/>
    <n v="16300"/>
    <n v="3899"/>
    <n v="503"/>
    <n v="143.11000000000001"/>
    <n v="61830.879999999997"/>
    <n v="23.92"/>
    <n v="12.9"/>
    <n v="0.28000000000000003"/>
    <n v="432.05"/>
    <n v="61687.77"/>
  </r>
  <r>
    <x v="1"/>
    <s v="Organic Search"/>
    <s v="Lead Generation"/>
    <s v="Basic Plan"/>
    <n v="25712"/>
    <n v="1394"/>
    <n v="198"/>
    <n v="0"/>
    <n v="24139.79"/>
    <n v="5.42"/>
    <n v="14.2"/>
    <n v="0"/>
    <n v="0"/>
    <n v="24139.79"/>
  </r>
  <r>
    <x v="1"/>
    <s v="Display Ads"/>
    <s v="Product Launch"/>
    <s v="Premium Plan"/>
    <n v="22525"/>
    <n v="331"/>
    <n v="14"/>
    <n v="1025.72"/>
    <n v="1513.18"/>
    <n v="1.47"/>
    <n v="4.2300000000000004"/>
    <n v="73.27"/>
    <n v="1.48"/>
    <n v="487.46"/>
  </r>
  <r>
    <x v="1"/>
    <s v="YouTube Ads"/>
    <s v="Brand Awareness"/>
    <s v="Starter Kit"/>
    <n v="19721"/>
    <n v="562"/>
    <n v="44"/>
    <n v="1059.1099999999999"/>
    <n v="4492.45"/>
    <n v="2.85"/>
    <n v="7.83"/>
    <n v="24.07"/>
    <n v="4.24"/>
    <n v="3433.34"/>
  </r>
  <r>
    <x v="1"/>
    <s v="Twitter Ads"/>
    <s v="Brand Awareness"/>
    <s v="Enterprise Plan"/>
    <n v="11787"/>
    <n v="365"/>
    <n v="16"/>
    <n v="635.16999999999996"/>
    <n v="1264.9100000000001"/>
    <n v="3.1"/>
    <n v="4.38"/>
    <n v="39.700000000000003"/>
    <n v="1.99"/>
    <n v="629.74"/>
  </r>
  <r>
    <x v="1"/>
    <s v="TikTok Ads"/>
    <s v="Product Launch"/>
    <s v="Add-on Service"/>
    <n v="24393"/>
    <n v="942"/>
    <n v="45"/>
    <n v="626.29"/>
    <n v="4599.7299999999996"/>
    <n v="3.86"/>
    <n v="4.78"/>
    <n v="13.92"/>
    <n v="7.34"/>
    <n v="3973.44"/>
  </r>
  <r>
    <x v="1"/>
    <s v="Affiliate Marketing"/>
    <s v="Product Launch"/>
    <s v="Premium Plan"/>
    <n v="8246"/>
    <n v="508"/>
    <n v="56"/>
    <n v="512.4"/>
    <n v="9072.1"/>
    <n v="6.16"/>
    <n v="11.02"/>
    <n v="9.15"/>
    <n v="17.71"/>
    <n v="8559.7000000000007"/>
  </r>
  <r>
    <x v="1"/>
    <s v="Referral"/>
    <s v="Flash Sale"/>
    <s v="Starter Kit"/>
    <n v="4534"/>
    <n v="339"/>
    <n v="51"/>
    <n v="134.19999999999999"/>
    <n v="7495.98"/>
    <n v="7.48"/>
    <n v="15.04"/>
    <n v="2.63"/>
    <n v="55.86"/>
    <n v="7361.78"/>
  </r>
  <r>
    <x v="2"/>
    <s v="Google Ads"/>
    <s v="Seasonal Promotion"/>
    <s v="Premium Plan"/>
    <n v="9282"/>
    <n v="369"/>
    <n v="30"/>
    <n v="919.94"/>
    <n v="3784.91"/>
    <n v="3.98"/>
    <n v="8.1300000000000008"/>
    <n v="30.66"/>
    <n v="4.1100000000000003"/>
    <n v="2864.97"/>
  </r>
  <r>
    <x v="2"/>
    <s v="Facebook Ads"/>
    <s v="Retargeting"/>
    <s v="Premium Plan"/>
    <n v="14413"/>
    <n v="329"/>
    <n v="22"/>
    <n v="809.82"/>
    <n v="2875.48"/>
    <n v="2.2799999999999998"/>
    <n v="6.69"/>
    <n v="36.81"/>
    <n v="3.55"/>
    <n v="2065.66"/>
  </r>
  <r>
    <x v="2"/>
    <s v="Instagram Ads"/>
    <s v="Seasonal Promotion"/>
    <s v="Enterprise Plan"/>
    <n v="12672"/>
    <n v="549"/>
    <n v="34"/>
    <n v="824.87"/>
    <n v="4085.76"/>
    <n v="4.33"/>
    <n v="6.19"/>
    <n v="24.26"/>
    <n v="4.95"/>
    <n v="3260.89"/>
  </r>
  <r>
    <x v="2"/>
    <s v="LinkedIn Ads"/>
    <s v="Flash Sale"/>
    <s v="Add-on Service"/>
    <n v="3524"/>
    <n v="102"/>
    <n v="13"/>
    <n v="1055.76"/>
    <n v="2901.35"/>
    <n v="2.89"/>
    <n v="12.75"/>
    <n v="81.209999999999994"/>
    <n v="2.75"/>
    <n v="1845.59"/>
  </r>
  <r>
    <x v="2"/>
    <s v="Email Marketing"/>
    <s v="Product Launch"/>
    <s v="Add-on Service"/>
    <n v="15174"/>
    <n v="3249"/>
    <n v="378"/>
    <n v="177.94"/>
    <n v="44348.94"/>
    <n v="21.41"/>
    <n v="11.63"/>
    <n v="0.47"/>
    <n v="249.24"/>
    <n v="44171"/>
  </r>
  <r>
    <x v="2"/>
    <s v="Organic Search"/>
    <s v="Lead Generation"/>
    <s v="Premium Plan"/>
    <n v="27979"/>
    <n v="2229"/>
    <n v="346"/>
    <n v="0"/>
    <n v="42892.15"/>
    <n v="7.97"/>
    <n v="15.52"/>
    <n v="0"/>
    <n v="0"/>
    <n v="42892.15"/>
  </r>
  <r>
    <x v="2"/>
    <s v="Display Ads"/>
    <s v="Brand Awareness"/>
    <s v="Basic Plan"/>
    <n v="21705"/>
    <n v="266"/>
    <n v="5"/>
    <n v="991.13"/>
    <n v="497.4"/>
    <n v="1.23"/>
    <n v="1.88"/>
    <n v="198.23"/>
    <n v="0.5"/>
    <n v="-493.73"/>
  </r>
  <r>
    <x v="2"/>
    <s v="YouTube Ads"/>
    <s v="Product Launch"/>
    <s v="Premium Plan"/>
    <n v="16653"/>
    <n v="385"/>
    <n v="22"/>
    <n v="1110.6199999999999"/>
    <n v="2180.96"/>
    <n v="2.31"/>
    <n v="5.71"/>
    <n v="50.48"/>
    <n v="1.96"/>
    <n v="1070.3399999999999"/>
  </r>
  <r>
    <x v="2"/>
    <s v="Twitter Ads"/>
    <s v="Lead Generation"/>
    <s v="Premium Plan"/>
    <n v="9344"/>
    <n v="187"/>
    <n v="6"/>
    <n v="428.64"/>
    <n v="428.83"/>
    <n v="2"/>
    <n v="3.21"/>
    <n v="71.44"/>
    <n v="1"/>
    <n v="0.19"/>
  </r>
  <r>
    <x v="2"/>
    <s v="TikTok Ads"/>
    <s v="Retargeting"/>
    <s v="Enterprise Plan"/>
    <n v="20337"/>
    <n v="742"/>
    <n v="47"/>
    <n v="694.37"/>
    <n v="3759.85"/>
    <n v="3.65"/>
    <n v="6.33"/>
    <n v="14.77"/>
    <n v="5.41"/>
    <n v="3065.48"/>
  </r>
  <r>
    <x v="2"/>
    <s v="Affiliate Marketing"/>
    <s v="Retargeting"/>
    <s v="Enterprise Plan"/>
    <n v="5212"/>
    <n v="324"/>
    <n v="41"/>
    <n v="326.35000000000002"/>
    <n v="5314.99"/>
    <n v="6.22"/>
    <n v="12.65"/>
    <n v="7.96"/>
    <n v="16.29"/>
    <n v="4988.6400000000003"/>
  </r>
  <r>
    <x v="2"/>
    <s v="Referral"/>
    <s v="Lead Generation"/>
    <s v="Enterprise Plan"/>
    <n v="3316"/>
    <n v="206"/>
    <n v="35"/>
    <n v="74.319999999999993"/>
    <n v="5018.62"/>
    <n v="6.21"/>
    <n v="16.989999999999998"/>
    <n v="2.12"/>
    <n v="67.53"/>
    <n v="4944.3"/>
  </r>
  <r>
    <x v="3"/>
    <s v="Google Ads"/>
    <s v="Product Launch"/>
    <s v="Basic Plan"/>
    <n v="8194"/>
    <n v="384"/>
    <n v="34"/>
    <n v="773.05"/>
    <n v="5834.86"/>
    <n v="4.6900000000000004"/>
    <n v="8.85"/>
    <n v="22.74"/>
    <n v="7.55"/>
    <n v="5061.8100000000004"/>
  </r>
  <r>
    <x v="3"/>
    <s v="Facebook Ads"/>
    <s v="Flash Sale"/>
    <s v="Enterprise Plan"/>
    <n v="11967"/>
    <n v="300"/>
    <n v="17"/>
    <n v="678.41"/>
    <n v="2376.5500000000002"/>
    <n v="2.5099999999999998"/>
    <n v="5.67"/>
    <n v="39.909999999999997"/>
    <n v="3.5"/>
    <n v="1698.14"/>
  </r>
  <r>
    <x v="3"/>
    <s v="Instagram Ads"/>
    <s v="Flash Sale"/>
    <s v="Premium Plan"/>
    <n v="9284"/>
    <n v="395"/>
    <n v="22"/>
    <n v="493.95"/>
    <n v="1897.1"/>
    <n v="4.25"/>
    <n v="5.57"/>
    <n v="22.45"/>
    <n v="3.84"/>
    <n v="1403.15"/>
  </r>
  <r>
    <x v="3"/>
    <s v="LinkedIn Ads"/>
    <s v="Seasonal Promotion"/>
    <s v="Basic Plan"/>
    <n v="2883"/>
    <n v="76"/>
    <n v="9"/>
    <n v="964.12"/>
    <n v="2902.05"/>
    <n v="2.64"/>
    <n v="11.84"/>
    <n v="107.12"/>
    <n v="3.01"/>
    <n v="1937.93"/>
  </r>
  <r>
    <x v="3"/>
    <s v="Email Marketing"/>
    <s v="Seasonal Promotion"/>
    <s v="Basic Plan"/>
    <n v="19423"/>
    <n v="3136"/>
    <n v="267"/>
    <n v="239.64"/>
    <n v="41916.120000000003"/>
    <n v="16.149999999999999"/>
    <n v="8.51"/>
    <n v="0.9"/>
    <n v="174.91"/>
    <n v="41676.480000000003"/>
  </r>
  <r>
    <x v="3"/>
    <s v="Organic Search"/>
    <s v="Lead Generation"/>
    <s v="Starter Kit"/>
    <n v="17154"/>
    <n v="1286"/>
    <n v="166"/>
    <n v="0"/>
    <n v="24410.22"/>
    <n v="7.5"/>
    <n v="12.91"/>
    <n v="0"/>
    <n v="0"/>
    <n v="24410.22"/>
  </r>
  <r>
    <x v="3"/>
    <s v="Display Ads"/>
    <s v="Retargeting"/>
    <s v="Enterprise Plan"/>
    <n v="32936"/>
    <n v="609"/>
    <n v="19"/>
    <n v="634.58000000000004"/>
    <n v="1900.8"/>
    <n v="1.85"/>
    <n v="3.12"/>
    <n v="33.4"/>
    <n v="3"/>
    <n v="1266.22"/>
  </r>
  <r>
    <x v="3"/>
    <s v="YouTube Ads"/>
    <s v="Flash Sale"/>
    <s v="Add-on Service"/>
    <n v="20389"/>
    <n v="393"/>
    <n v="30"/>
    <n v="878.64"/>
    <n v="3188.65"/>
    <n v="1.93"/>
    <n v="7.63"/>
    <n v="29.29"/>
    <n v="3.63"/>
    <n v="2310.0100000000002"/>
  </r>
  <r>
    <x v="3"/>
    <s v="Twitter Ads"/>
    <s v="Lead Generation"/>
    <s v="Enterprise Plan"/>
    <n v="10879"/>
    <n v="297"/>
    <n v="13"/>
    <n v="634.29999999999995"/>
    <n v="1488.08"/>
    <n v="2.73"/>
    <n v="4.38"/>
    <n v="48.79"/>
    <n v="2.35"/>
    <n v="853.78"/>
  </r>
  <r>
    <x v="3"/>
    <s v="TikTok Ads"/>
    <s v="Brand Awareness"/>
    <s v="Basic Plan"/>
    <n v="22566"/>
    <n v="698"/>
    <n v="22"/>
    <n v="722.77"/>
    <n v="2159.23"/>
    <n v="3.09"/>
    <n v="3.15"/>
    <n v="32.85"/>
    <n v="2.99"/>
    <n v="1436.46"/>
  </r>
  <r>
    <x v="3"/>
    <s v="Affiliate Marketing"/>
    <s v="Brand Awareness"/>
    <s v="Enterprise Plan"/>
    <n v="8094"/>
    <n v="462"/>
    <n v="57"/>
    <n v="575.61"/>
    <n v="6895.25"/>
    <n v="5.71"/>
    <n v="12.34"/>
    <n v="10.1"/>
    <n v="11.98"/>
    <n v="6319.64"/>
  </r>
  <r>
    <x v="3"/>
    <s v="Referral"/>
    <s v="Retargeting"/>
    <s v="Enterprise Plan"/>
    <n v="4331"/>
    <n v="240"/>
    <n v="35"/>
    <n v="76.62"/>
    <n v="5376.56"/>
    <n v="5.54"/>
    <n v="14.58"/>
    <n v="2.19"/>
    <n v="70.17"/>
    <n v="5299.94"/>
  </r>
  <r>
    <x v="4"/>
    <s v="Google Ads"/>
    <s v="Brand Awareness"/>
    <s v="Basic Plan"/>
    <n v="9985"/>
    <n v="481"/>
    <n v="54"/>
    <n v="1102.08"/>
    <n v="9639.26"/>
    <n v="4.82"/>
    <n v="11.23"/>
    <n v="20.41"/>
    <n v="8.75"/>
    <n v="8537.18"/>
  </r>
  <r>
    <x v="4"/>
    <s v="Facebook Ads"/>
    <s v="Seasonal Promotion"/>
    <s v="Enterprise Plan"/>
    <n v="12247"/>
    <n v="464"/>
    <n v="38"/>
    <n v="670.72"/>
    <n v="3755.14"/>
    <n v="3.79"/>
    <n v="8.19"/>
    <n v="17.649999999999999"/>
    <n v="5.6"/>
    <n v="3084.42"/>
  </r>
  <r>
    <x v="4"/>
    <s v="Instagram Ads"/>
    <s v="Lead Generation"/>
    <s v="Starter Kit"/>
    <n v="12506"/>
    <n v="411"/>
    <n v="31"/>
    <n v="836"/>
    <n v="2819.31"/>
    <n v="3.29"/>
    <n v="7.54"/>
    <n v="26.97"/>
    <n v="3.37"/>
    <n v="1983.31"/>
  </r>
  <r>
    <x v="4"/>
    <s v="LinkedIn Ads"/>
    <s v="Retargeting"/>
    <s v="Starter Kit"/>
    <n v="4216"/>
    <n v="123"/>
    <n v="15"/>
    <n v="1099.01"/>
    <n v="3874.69"/>
    <n v="2.92"/>
    <n v="12.2"/>
    <n v="73.27"/>
    <n v="3.53"/>
    <n v="2775.68"/>
  </r>
  <r>
    <x v="4"/>
    <s v="Email Marketing"/>
    <s v="Lead Generation"/>
    <s v="Enterprise Plan"/>
    <n v="20677"/>
    <n v="4790"/>
    <n v="435"/>
    <n v="148.06"/>
    <n v="72196.27"/>
    <n v="23.17"/>
    <n v="9.08"/>
    <n v="0.34"/>
    <n v="487.61"/>
    <n v="72048.210000000006"/>
  </r>
  <r>
    <x v="4"/>
    <s v="Organic Search"/>
    <s v="Lead Generation"/>
    <s v="Basic Plan"/>
    <n v="29079"/>
    <n v="1813"/>
    <n v="235"/>
    <n v="0"/>
    <n v="31102.560000000001"/>
    <n v="6.23"/>
    <n v="12.96"/>
    <n v="0"/>
    <n v="0"/>
    <n v="31102.560000000001"/>
  </r>
  <r>
    <x v="4"/>
    <s v="Display Ads"/>
    <s v="Flash Sale"/>
    <s v="Add-on Service"/>
    <n v="26089"/>
    <n v="396"/>
    <n v="9"/>
    <n v="1090.05"/>
    <n v="732.25"/>
    <n v="1.52"/>
    <n v="2.27"/>
    <n v="121.12"/>
    <n v="0.67"/>
    <n v="-357.8"/>
  </r>
  <r>
    <x v="4"/>
    <s v="YouTube Ads"/>
    <s v="Seasonal Promotion"/>
    <s v="Enterprise Plan"/>
    <n v="13063"/>
    <n v="340"/>
    <n v="17"/>
    <n v="1133.93"/>
    <n v="1544.01"/>
    <n v="2.6"/>
    <n v="5"/>
    <n v="66.7"/>
    <n v="1.36"/>
    <n v="410.08"/>
  </r>
  <r>
    <x v="4"/>
    <s v="Twitter Ads"/>
    <s v="Flash Sale"/>
    <s v="Add-on Service"/>
    <n v="7954"/>
    <n v="166"/>
    <n v="8"/>
    <n v="439.41"/>
    <n v="784.58"/>
    <n v="2.09"/>
    <n v="4.82"/>
    <n v="54.93"/>
    <n v="1.79"/>
    <n v="345.17"/>
  </r>
  <r>
    <x v="4"/>
    <s v="TikTok Ads"/>
    <s v="Retargeting"/>
    <s v="Add-on Service"/>
    <n v="19689"/>
    <n v="556"/>
    <n v="16"/>
    <n v="815.46"/>
    <n v="1500.52"/>
    <n v="2.82"/>
    <n v="2.88"/>
    <n v="50.97"/>
    <n v="1.84"/>
    <n v="685.06"/>
  </r>
  <r>
    <x v="4"/>
    <s v="Affiliate Marketing"/>
    <s v="Retargeting"/>
    <s v="Enterprise Plan"/>
    <n v="4678"/>
    <n v="309"/>
    <n v="27"/>
    <n v="298.31"/>
    <n v="3064.65"/>
    <n v="6.61"/>
    <n v="8.74"/>
    <n v="11.05"/>
    <n v="10.27"/>
    <n v="2766.34"/>
  </r>
  <r>
    <x v="4"/>
    <s v="Referral"/>
    <s v="Lead Generation"/>
    <s v="Basic Plan"/>
    <n v="5536"/>
    <n v="527"/>
    <n v="86"/>
    <n v="118.64"/>
    <n v="14761.17"/>
    <n v="9.52"/>
    <n v="16.32"/>
    <n v="1.38"/>
    <n v="124.42"/>
    <n v="14642.53"/>
  </r>
  <r>
    <x v="5"/>
    <s v="Google Ads"/>
    <s v="Seasonal Promotion"/>
    <s v="Starter Kit"/>
    <n v="6875"/>
    <n v="280"/>
    <n v="30"/>
    <n v="603.83000000000004"/>
    <n v="4629.8599999999997"/>
    <n v="4.07"/>
    <n v="10.71"/>
    <n v="20.13"/>
    <n v="7.67"/>
    <n v="4026.03"/>
  </r>
  <r>
    <x v="5"/>
    <s v="Facebook Ads"/>
    <s v="Brand Awareness"/>
    <s v="Premium Plan"/>
    <n v="8136"/>
    <n v="215"/>
    <n v="16"/>
    <n v="644.98"/>
    <n v="2182.4"/>
    <n v="2.64"/>
    <n v="7.44"/>
    <n v="40.31"/>
    <n v="3.38"/>
    <n v="1537.42"/>
  </r>
  <r>
    <x v="5"/>
    <s v="Instagram Ads"/>
    <s v="Brand Awareness"/>
    <s v="Basic Plan"/>
    <n v="8628"/>
    <n v="293"/>
    <n v="19"/>
    <n v="546.62"/>
    <n v="1627.69"/>
    <n v="3.4"/>
    <n v="6.48"/>
    <n v="28.77"/>
    <n v="2.98"/>
    <n v="1081.07"/>
  </r>
  <r>
    <x v="5"/>
    <s v="LinkedIn Ads"/>
    <s v="Flash Sale"/>
    <s v="Basic Plan"/>
    <n v="2998"/>
    <n v="88"/>
    <n v="10"/>
    <n v="684.57"/>
    <n v="3304.37"/>
    <n v="2.94"/>
    <n v="11.36"/>
    <n v="68.459999999999994"/>
    <n v="4.83"/>
    <n v="2619.8000000000002"/>
  </r>
  <r>
    <x v="5"/>
    <s v="Email Marketing"/>
    <s v="Flash Sale"/>
    <s v="Starter Kit"/>
    <n v="9035"/>
    <n v="2043"/>
    <n v="178"/>
    <n v="82.87"/>
    <n v="28160.47"/>
    <n v="22.61"/>
    <n v="8.7100000000000009"/>
    <n v="0.47"/>
    <n v="339.82"/>
    <n v="28077.599999999999"/>
  </r>
  <r>
    <x v="5"/>
    <s v="Organic Search"/>
    <s v="Seasonal Promotion"/>
    <s v="Premium Plan"/>
    <n v="18602"/>
    <n v="1309"/>
    <n v="170"/>
    <n v="0"/>
    <n v="21604.9"/>
    <n v="7.04"/>
    <n v="12.99"/>
    <n v="0"/>
    <n v="0"/>
    <n v="21604.9"/>
  </r>
  <r>
    <x v="5"/>
    <s v="Display Ads"/>
    <s v="Retargeting"/>
    <s v="Starter Kit"/>
    <n v="22008"/>
    <n v="280"/>
    <n v="7"/>
    <n v="760.42"/>
    <n v="539.02"/>
    <n v="1.27"/>
    <n v="2.5"/>
    <n v="108.63"/>
    <n v="0.71"/>
    <n v="-221.4"/>
  </r>
  <r>
    <x v="5"/>
    <s v="YouTube Ads"/>
    <s v="Seasonal Promotion"/>
    <s v="Starter Kit"/>
    <n v="9504"/>
    <n v="204"/>
    <n v="8"/>
    <n v="517.62"/>
    <n v="995.33"/>
    <n v="2.15"/>
    <n v="3.92"/>
    <n v="64.7"/>
    <n v="1.92"/>
    <n v="477.71"/>
  </r>
  <r>
    <x v="5"/>
    <s v="Twitter Ads"/>
    <s v="Seasonal Promotion"/>
    <s v="Enterprise Plan"/>
    <n v="7701"/>
    <n v="195"/>
    <n v="10"/>
    <n v="372.63"/>
    <n v="767.3"/>
    <n v="2.5299999999999998"/>
    <n v="5.13"/>
    <n v="37.26"/>
    <n v="2.06"/>
    <n v="394.67"/>
  </r>
  <r>
    <x v="5"/>
    <s v="TikTok Ads"/>
    <s v="Seasonal Promotion"/>
    <s v="Premium Plan"/>
    <n v="12837"/>
    <n v="439"/>
    <n v="19"/>
    <n v="451.18"/>
    <n v="1684.26"/>
    <n v="3.42"/>
    <n v="4.33"/>
    <n v="23.75"/>
    <n v="3.73"/>
    <n v="1233.08"/>
  </r>
  <r>
    <x v="5"/>
    <s v="Affiliate Marketing"/>
    <s v="Flash Sale"/>
    <s v="Premium Plan"/>
    <n v="5013"/>
    <n v="290"/>
    <n v="25"/>
    <n v="234.15"/>
    <n v="2417.1799999999998"/>
    <n v="5.78"/>
    <n v="8.6199999999999992"/>
    <n v="9.3699999999999992"/>
    <n v="10.32"/>
    <n v="2183.0300000000002"/>
  </r>
  <r>
    <x v="5"/>
    <s v="Referral"/>
    <s v="Flash Sale"/>
    <s v="Add-on Service"/>
    <n v="2250"/>
    <n v="131"/>
    <n v="22"/>
    <n v="81.95"/>
    <n v="3272.43"/>
    <n v="5.82"/>
    <n v="16.79"/>
    <n v="3.72"/>
    <n v="39.93"/>
    <n v="3190.48"/>
  </r>
  <r>
    <x v="6"/>
    <s v="Google Ads"/>
    <s v="Product Launch"/>
    <s v="Enterprise Plan"/>
    <n v="6841"/>
    <n v="292"/>
    <n v="26"/>
    <n v="845.05"/>
    <n v="4674.33"/>
    <n v="4.2699999999999996"/>
    <n v="8.9"/>
    <n v="32.5"/>
    <n v="5.53"/>
    <n v="3829.28"/>
  </r>
  <r>
    <x v="6"/>
    <s v="Facebook Ads"/>
    <s v="Brand Awareness"/>
    <s v="Enterprise Plan"/>
    <n v="11890"/>
    <n v="399"/>
    <n v="29"/>
    <n v="510.18"/>
    <n v="3073.59"/>
    <n v="3.36"/>
    <n v="7.27"/>
    <n v="17.59"/>
    <n v="6.02"/>
    <n v="2563.41"/>
  </r>
  <r>
    <x v="6"/>
    <s v="Instagram Ads"/>
    <s v="Retargeting"/>
    <s v="Basic Plan"/>
    <n v="9445"/>
    <n v="348"/>
    <n v="13"/>
    <n v="514.30999999999995"/>
    <n v="1205.5899999999999"/>
    <n v="3.68"/>
    <n v="3.74"/>
    <n v="39.56"/>
    <n v="2.34"/>
    <n v="691.28"/>
  </r>
  <r>
    <x v="6"/>
    <s v="LinkedIn Ads"/>
    <s v="Retargeting"/>
    <s v="Premium Plan"/>
    <n v="2172"/>
    <n v="54"/>
    <n v="7"/>
    <n v="700.18"/>
    <n v="2044.38"/>
    <n v="2.4900000000000002"/>
    <n v="12.96"/>
    <n v="100.03"/>
    <n v="2.92"/>
    <n v="1344.2"/>
  </r>
  <r>
    <x v="6"/>
    <s v="Email Marketing"/>
    <s v="Flash Sale"/>
    <s v="Enterprise Plan"/>
    <n v="9979"/>
    <n v="1850"/>
    <n v="192"/>
    <n v="73.2"/>
    <n v="28393.7"/>
    <n v="18.54"/>
    <n v="10.38"/>
    <n v="0.38"/>
    <n v="387.89"/>
    <n v="28320.5"/>
  </r>
  <r>
    <x v="6"/>
    <s v="Organic Search"/>
    <s v="Seasonal Promotion"/>
    <s v="Basic Plan"/>
    <n v="17443"/>
    <n v="992"/>
    <n v="158"/>
    <n v="0"/>
    <n v="15610.16"/>
    <n v="5.69"/>
    <n v="15.93"/>
    <n v="0"/>
    <n v="0"/>
    <n v="15610.16"/>
  </r>
  <r>
    <x v="6"/>
    <s v="Display Ads"/>
    <s v="Seasonal Promotion"/>
    <s v="Premium Plan"/>
    <n v="20769"/>
    <n v="220"/>
    <n v="4"/>
    <n v="621.37"/>
    <n v="431.47"/>
    <n v="1.06"/>
    <n v="1.82"/>
    <n v="155.34"/>
    <n v="0.69"/>
    <n v="-189.9"/>
  </r>
  <r>
    <x v="6"/>
    <s v="YouTube Ads"/>
    <s v="Flash Sale"/>
    <s v="Enterprise Plan"/>
    <n v="14662"/>
    <n v="327"/>
    <n v="20"/>
    <n v="740.07"/>
    <n v="2266.61"/>
    <n v="2.23"/>
    <n v="6.12"/>
    <n v="37"/>
    <n v="3.06"/>
    <n v="1526.54"/>
  </r>
  <r>
    <x v="6"/>
    <s v="Twitter Ads"/>
    <s v="Flash Sale"/>
    <s v="Add-on Service"/>
    <n v="4936"/>
    <n v="135"/>
    <n v="4"/>
    <n v="412.84"/>
    <n v="327.57"/>
    <n v="2.74"/>
    <n v="2.96"/>
    <n v="103.21"/>
    <n v="0.79"/>
    <n v="-85.27"/>
  </r>
  <r>
    <x v="6"/>
    <s v="TikTok Ads"/>
    <s v="Seasonal Promotion"/>
    <s v="Basic Plan"/>
    <n v="15192"/>
    <n v="396"/>
    <n v="13"/>
    <n v="357.28"/>
    <n v="1463.49"/>
    <n v="2.61"/>
    <n v="3.28"/>
    <n v="27.48"/>
    <n v="4.0999999999999996"/>
    <n v="1106.21"/>
  </r>
  <r>
    <x v="6"/>
    <s v="Affiliate Marketing"/>
    <s v="Lead Generation"/>
    <s v="Enterprise Plan"/>
    <n v="3844"/>
    <n v="211"/>
    <n v="23"/>
    <n v="300.02"/>
    <n v="2235.23"/>
    <n v="5.49"/>
    <n v="10.9"/>
    <n v="13.04"/>
    <n v="7.45"/>
    <n v="1935.21"/>
  </r>
  <r>
    <x v="6"/>
    <s v="Referral"/>
    <s v="Lead Generation"/>
    <s v="Add-on Service"/>
    <n v="1993"/>
    <n v="157"/>
    <n v="27"/>
    <n v="111.1"/>
    <n v="3279.4"/>
    <n v="7.88"/>
    <n v="17.2"/>
    <n v="4.1100000000000003"/>
    <n v="29.52"/>
    <n v="3168.3"/>
  </r>
  <r>
    <x v="7"/>
    <s v="Google Ads"/>
    <s v="Seasonal Promotion"/>
    <s v="Premium Plan"/>
    <n v="10347"/>
    <n v="384"/>
    <n v="35"/>
    <n v="989.72"/>
    <n v="4652.79"/>
    <n v="3.71"/>
    <n v="9.11"/>
    <n v="28.28"/>
    <n v="4.7"/>
    <n v="3663.07"/>
  </r>
  <r>
    <x v="7"/>
    <s v="Facebook Ads"/>
    <s v="Seasonal Promotion"/>
    <s v="Enterprise Plan"/>
    <n v="13841"/>
    <n v="417"/>
    <n v="34"/>
    <n v="951.68"/>
    <n v="3328.8"/>
    <n v="3.01"/>
    <n v="8.15"/>
    <n v="27.99"/>
    <n v="3.5"/>
    <n v="2377.12"/>
  </r>
  <r>
    <x v="7"/>
    <s v="Instagram Ads"/>
    <s v="Retargeting"/>
    <s v="Premium Plan"/>
    <n v="13429"/>
    <n v="392"/>
    <n v="17"/>
    <n v="780.48"/>
    <n v="1785.3"/>
    <n v="2.92"/>
    <n v="4.34"/>
    <n v="45.91"/>
    <n v="2.29"/>
    <n v="1004.82"/>
  </r>
  <r>
    <x v="7"/>
    <s v="LinkedIn Ads"/>
    <s v="Brand Awareness"/>
    <s v="Enterprise Plan"/>
    <n v="3999"/>
    <n v="93"/>
    <n v="13"/>
    <n v="1213.68"/>
    <n v="3697.92"/>
    <n v="2.33"/>
    <n v="13.98"/>
    <n v="93.36"/>
    <n v="3.05"/>
    <n v="2484.2399999999998"/>
  </r>
  <r>
    <x v="7"/>
    <s v="Email Marketing"/>
    <s v="Product Launch"/>
    <s v="Basic Plan"/>
    <n v="13418"/>
    <n v="2776"/>
    <n v="348"/>
    <n v="223.01"/>
    <n v="44449.75"/>
    <n v="20.69"/>
    <n v="12.54"/>
    <n v="0.64"/>
    <n v="199.32"/>
    <n v="44226.74"/>
  </r>
  <r>
    <x v="7"/>
    <s v="Organic Search"/>
    <s v="Brand Awareness"/>
    <s v="Basic Plan"/>
    <n v="26876"/>
    <n v="1202"/>
    <n v="143"/>
    <n v="0"/>
    <n v="20262.330000000002"/>
    <n v="4.47"/>
    <n v="11.9"/>
    <n v="0"/>
    <n v="0"/>
    <n v="20262.330000000002"/>
  </r>
  <r>
    <x v="7"/>
    <s v="Display Ads"/>
    <s v="Seasonal Promotion"/>
    <s v="Premium Plan"/>
    <n v="28955"/>
    <n v="415"/>
    <n v="16"/>
    <n v="818.24"/>
    <n v="1436.44"/>
    <n v="1.43"/>
    <n v="3.86"/>
    <n v="51.14"/>
    <n v="1.76"/>
    <n v="618.20000000000005"/>
  </r>
  <r>
    <x v="7"/>
    <s v="YouTube Ads"/>
    <s v="Brand Awareness"/>
    <s v="Starter Kit"/>
    <n v="16677"/>
    <n v="425"/>
    <n v="21"/>
    <n v="1001.69"/>
    <n v="2569.86"/>
    <n v="2.5499999999999998"/>
    <n v="4.9400000000000004"/>
    <n v="47.7"/>
    <n v="2.57"/>
    <n v="1568.17"/>
  </r>
  <r>
    <x v="7"/>
    <s v="Twitter Ads"/>
    <s v="Brand Awareness"/>
    <s v="Add-on Service"/>
    <n v="11023"/>
    <n v="226"/>
    <n v="9"/>
    <n v="617.66"/>
    <n v="937.08"/>
    <n v="2.0499999999999998"/>
    <n v="3.98"/>
    <n v="68.63"/>
    <n v="1.52"/>
    <n v="319.42"/>
  </r>
  <r>
    <x v="7"/>
    <s v="TikTok Ads"/>
    <s v="Lead Generation"/>
    <s v="Basic Plan"/>
    <n v="16009"/>
    <n v="561"/>
    <n v="16"/>
    <n v="803.98"/>
    <n v="1525.84"/>
    <n v="3.5"/>
    <n v="2.85"/>
    <n v="50.25"/>
    <n v="1.9"/>
    <n v="721.86"/>
  </r>
  <r>
    <x v="7"/>
    <s v="Affiliate Marketing"/>
    <s v="Flash Sale"/>
    <s v="Starter Kit"/>
    <n v="7789"/>
    <n v="315"/>
    <n v="28"/>
    <n v="395.9"/>
    <n v="4433.47"/>
    <n v="4.04"/>
    <n v="8.89"/>
    <n v="14.14"/>
    <n v="11.2"/>
    <n v="4037.57"/>
  </r>
  <r>
    <x v="7"/>
    <s v="Referral"/>
    <s v="Seasonal Promotion"/>
    <s v="Basic Plan"/>
    <n v="3887"/>
    <n v="272"/>
    <n v="34"/>
    <n v="167.13"/>
    <n v="5818.83"/>
    <n v="7"/>
    <n v="12.5"/>
    <n v="4.92"/>
    <n v="34.82"/>
    <n v="5651.7"/>
  </r>
  <r>
    <x v="8"/>
    <s v="Google Ads"/>
    <s v="Product Launch"/>
    <s v="Add-on Service"/>
    <n v="9158"/>
    <n v="284"/>
    <n v="25"/>
    <n v="741.74"/>
    <n v="3132.77"/>
    <n v="3.1"/>
    <n v="8.8000000000000007"/>
    <n v="29.67"/>
    <n v="4.22"/>
    <n v="2391.0300000000002"/>
  </r>
  <r>
    <x v="8"/>
    <s v="Facebook Ads"/>
    <s v="Seasonal Promotion"/>
    <s v="Starter Kit"/>
    <n v="15078"/>
    <n v="358"/>
    <n v="22"/>
    <n v="1007.2"/>
    <n v="2502.5100000000002"/>
    <n v="2.37"/>
    <n v="6.15"/>
    <n v="45.78"/>
    <n v="2.48"/>
    <n v="1495.31"/>
  </r>
  <r>
    <x v="8"/>
    <s v="Instagram Ads"/>
    <s v="Lead Generation"/>
    <s v="Add-on Service"/>
    <n v="9460"/>
    <n v="389"/>
    <n v="19"/>
    <n v="614.69000000000005"/>
    <n v="1879.53"/>
    <n v="4.1100000000000003"/>
    <n v="4.88"/>
    <n v="32.35"/>
    <n v="3.06"/>
    <n v="1264.8399999999999"/>
  </r>
  <r>
    <x v="8"/>
    <s v="LinkedIn Ads"/>
    <s v="Flash Sale"/>
    <s v="Basic Plan"/>
    <n v="4122"/>
    <n v="118"/>
    <n v="13"/>
    <n v="863.75"/>
    <n v="3936.01"/>
    <n v="2.86"/>
    <n v="11.02"/>
    <n v="66.44"/>
    <n v="4.5599999999999996"/>
    <n v="3072.26"/>
  </r>
  <r>
    <x v="8"/>
    <s v="Email Marketing"/>
    <s v="Flash Sale"/>
    <s v="Enterprise Plan"/>
    <n v="21079"/>
    <n v="3884"/>
    <n v="465"/>
    <n v="102.43"/>
    <n v="50363.48"/>
    <n v="18.43"/>
    <n v="11.97"/>
    <n v="0.22"/>
    <n v="491.69"/>
    <n v="50261.05"/>
  </r>
  <r>
    <x v="8"/>
    <s v="Organic Search"/>
    <s v="Retargeting"/>
    <s v="Enterprise Plan"/>
    <n v="17056"/>
    <n v="1093"/>
    <n v="130"/>
    <n v="0"/>
    <n v="18388.009999999998"/>
    <n v="6.41"/>
    <n v="11.89"/>
    <n v="0"/>
    <n v="0"/>
    <n v="18388.009999999998"/>
  </r>
  <r>
    <x v="8"/>
    <s v="Display Ads"/>
    <s v="Retargeting"/>
    <s v="Add-on Service"/>
    <n v="22610"/>
    <n v="249"/>
    <n v="7"/>
    <n v="825.71"/>
    <n v="885.1"/>
    <n v="1.1000000000000001"/>
    <n v="2.81"/>
    <n v="117.96"/>
    <n v="1.07"/>
    <n v="59.39"/>
  </r>
  <r>
    <x v="8"/>
    <s v="YouTube Ads"/>
    <s v="Retargeting"/>
    <s v="Premium Plan"/>
    <n v="21034"/>
    <n v="573"/>
    <n v="45"/>
    <n v="787.83"/>
    <n v="5075.2299999999996"/>
    <n v="2.72"/>
    <n v="7.85"/>
    <n v="17.510000000000002"/>
    <n v="6.44"/>
    <n v="4287.3999999999996"/>
  </r>
  <r>
    <x v="8"/>
    <s v="Twitter Ads"/>
    <s v="Lead Generation"/>
    <s v="Basic Plan"/>
    <n v="7216"/>
    <n v="223"/>
    <n v="8"/>
    <n v="512.05999999999995"/>
    <n v="605.78"/>
    <n v="3.09"/>
    <n v="3.59"/>
    <n v="64.010000000000005"/>
    <n v="1.18"/>
    <n v="93.72"/>
  </r>
  <r>
    <x v="8"/>
    <s v="TikTok Ads"/>
    <s v="Brand Awareness"/>
    <s v="Enterprise Plan"/>
    <n v="24558"/>
    <n v="838"/>
    <n v="30"/>
    <n v="638.52"/>
    <n v="2217.63"/>
    <n v="3.41"/>
    <n v="3.58"/>
    <n v="21.28"/>
    <n v="3.47"/>
    <n v="1579.11"/>
  </r>
  <r>
    <x v="8"/>
    <s v="Affiliate Marketing"/>
    <s v="Brand Awareness"/>
    <s v="Add-on Service"/>
    <n v="5578"/>
    <n v="373"/>
    <n v="46"/>
    <n v="284.72000000000003"/>
    <n v="6278.26"/>
    <n v="6.69"/>
    <n v="12.33"/>
    <n v="6.19"/>
    <n v="22.05"/>
    <n v="5993.54"/>
  </r>
  <r>
    <x v="8"/>
    <s v="Referral"/>
    <s v="Seasonal Promotion"/>
    <s v="Basic Plan"/>
    <n v="5811"/>
    <n v="366"/>
    <n v="62"/>
    <n v="58.94"/>
    <n v="9311.2800000000007"/>
    <n v="6.3"/>
    <n v="16.940000000000001"/>
    <n v="0.95"/>
    <n v="157.97999999999999"/>
    <n v="9252.34"/>
  </r>
  <r>
    <x v="9"/>
    <s v="Google Ads"/>
    <s v="Seasonal Promotion"/>
    <s v="Basic Plan"/>
    <n v="11651"/>
    <n v="572"/>
    <n v="66"/>
    <n v="1094.57"/>
    <n v="7901.22"/>
    <n v="4.91"/>
    <n v="11.54"/>
    <n v="16.579999999999998"/>
    <n v="7.22"/>
    <n v="6806.65"/>
  </r>
  <r>
    <x v="9"/>
    <s v="Facebook Ads"/>
    <s v="Brand Awareness"/>
    <s v="Premium Plan"/>
    <n v="14052"/>
    <n v="286"/>
    <n v="18"/>
    <n v="905.69"/>
    <n v="2059.39"/>
    <n v="2.04"/>
    <n v="6.29"/>
    <n v="50.32"/>
    <n v="2.27"/>
    <n v="1153.7"/>
  </r>
  <r>
    <x v="9"/>
    <s v="Instagram Ads"/>
    <s v="Flash Sale"/>
    <s v="Premium Plan"/>
    <n v="9268"/>
    <n v="406"/>
    <n v="25"/>
    <n v="654.59"/>
    <n v="1846.19"/>
    <n v="4.38"/>
    <n v="6.16"/>
    <n v="26.18"/>
    <n v="2.82"/>
    <n v="1191.5999999999999"/>
  </r>
  <r>
    <x v="9"/>
    <s v="LinkedIn Ads"/>
    <s v="Lead Generation"/>
    <s v="Premium Plan"/>
    <n v="4686"/>
    <n v="124"/>
    <n v="16"/>
    <n v="1444.9"/>
    <n v="4464.7299999999996"/>
    <n v="2.65"/>
    <n v="12.9"/>
    <n v="90.31"/>
    <n v="3.09"/>
    <n v="3019.83"/>
  </r>
  <r>
    <x v="9"/>
    <s v="Email Marketing"/>
    <s v="Brand Awareness"/>
    <s v="Enterprise Plan"/>
    <n v="18620"/>
    <n v="3356"/>
    <n v="396"/>
    <n v="144.5"/>
    <n v="57774.54"/>
    <n v="18.02"/>
    <n v="11.8"/>
    <n v="0.36"/>
    <n v="399.82"/>
    <n v="57630.04"/>
  </r>
  <r>
    <x v="9"/>
    <s v="Organic Search"/>
    <s v="Brand Awareness"/>
    <s v="Add-on Service"/>
    <n v="18905"/>
    <n v="1271"/>
    <n v="192"/>
    <n v="0"/>
    <n v="19610.68"/>
    <n v="6.72"/>
    <n v="15.11"/>
    <n v="0"/>
    <n v="0"/>
    <n v="19610.68"/>
  </r>
  <r>
    <x v="9"/>
    <s v="Display Ads"/>
    <s v="Lead Generation"/>
    <s v="Enterprise Plan"/>
    <n v="29175"/>
    <n v="368"/>
    <n v="16"/>
    <n v="812.66"/>
    <n v="1758.03"/>
    <n v="1.26"/>
    <n v="4.3499999999999996"/>
    <n v="50.79"/>
    <n v="2.16"/>
    <n v="945.37"/>
  </r>
  <r>
    <x v="9"/>
    <s v="YouTube Ads"/>
    <s v="Flash Sale"/>
    <s v="Starter Kit"/>
    <n v="14372"/>
    <n v="319"/>
    <n v="12"/>
    <n v="961.36"/>
    <n v="1732.27"/>
    <n v="2.2200000000000002"/>
    <n v="3.76"/>
    <n v="80.11"/>
    <n v="1.8"/>
    <n v="770.91"/>
  </r>
  <r>
    <x v="9"/>
    <s v="Twitter Ads"/>
    <s v="Lead Generation"/>
    <s v="Add-on Service"/>
    <n v="10660"/>
    <n v="258"/>
    <n v="11"/>
    <n v="434.98"/>
    <n v="917.23"/>
    <n v="2.42"/>
    <n v="4.26"/>
    <n v="39.54"/>
    <n v="2.11"/>
    <n v="482.25"/>
  </r>
  <r>
    <x v="9"/>
    <s v="TikTok Ads"/>
    <s v="Lead Generation"/>
    <s v="Add-on Service"/>
    <n v="16744"/>
    <n v="692"/>
    <n v="23"/>
    <n v="788.8"/>
    <n v="2087.61"/>
    <n v="4.13"/>
    <n v="3.32"/>
    <n v="34.299999999999997"/>
    <n v="2.65"/>
    <n v="1298.81"/>
  </r>
  <r>
    <x v="9"/>
    <s v="Affiliate Marketing"/>
    <s v="Seasonal Promotion"/>
    <s v="Starter Kit"/>
    <n v="5930"/>
    <n v="380"/>
    <n v="43"/>
    <n v="444"/>
    <n v="5304.03"/>
    <n v="6.41"/>
    <n v="11.32"/>
    <n v="10.33"/>
    <n v="11.95"/>
    <n v="4860.03"/>
  </r>
  <r>
    <x v="9"/>
    <s v="Referral"/>
    <s v="Lead Generation"/>
    <s v="Starter Kit"/>
    <n v="3900"/>
    <n v="266"/>
    <n v="37"/>
    <n v="111.79"/>
    <n v="4868.4799999999996"/>
    <n v="6.82"/>
    <n v="13.91"/>
    <n v="3.02"/>
    <n v="43.55"/>
    <n v="4756.6899999999996"/>
  </r>
  <r>
    <x v="10"/>
    <s v="Google Ads"/>
    <s v="Retargeting"/>
    <s v="Basic Plan"/>
    <n v="10889"/>
    <n v="473"/>
    <n v="52"/>
    <n v="1014.32"/>
    <n v="9406.2900000000009"/>
    <n v="4.34"/>
    <n v="10.99"/>
    <n v="19.510000000000002"/>
    <n v="9.27"/>
    <n v="8391.9699999999993"/>
  </r>
  <r>
    <x v="10"/>
    <s v="Facebook Ads"/>
    <s v="Brand Awareness"/>
    <s v="Premium Plan"/>
    <n v="16202"/>
    <n v="635"/>
    <n v="35"/>
    <n v="600.54999999999995"/>
    <n v="5025.6099999999997"/>
    <n v="3.92"/>
    <n v="5.51"/>
    <n v="17.16"/>
    <n v="8.3699999999999992"/>
    <n v="4425.0600000000004"/>
  </r>
  <r>
    <x v="10"/>
    <s v="Instagram Ads"/>
    <s v="Flash Sale"/>
    <s v="Starter Kit"/>
    <n v="14702"/>
    <n v="405"/>
    <n v="19"/>
    <n v="821.31"/>
    <n v="1987.15"/>
    <n v="2.75"/>
    <n v="4.6900000000000004"/>
    <n v="43.23"/>
    <n v="2.42"/>
    <n v="1165.8399999999999"/>
  </r>
  <r>
    <x v="10"/>
    <s v="LinkedIn Ads"/>
    <s v="Product Launch"/>
    <s v="Starter Kit"/>
    <n v="3252"/>
    <n v="69"/>
    <n v="6"/>
    <n v="911.2"/>
    <n v="2047.34"/>
    <n v="2.12"/>
    <n v="8.6999999999999993"/>
    <n v="151.87"/>
    <n v="2.25"/>
    <n v="1136.1400000000001"/>
  </r>
  <r>
    <x v="10"/>
    <s v="Email Marketing"/>
    <s v="Retargeting"/>
    <s v="Starter Kit"/>
    <n v="20958"/>
    <n v="4336"/>
    <n v="446"/>
    <n v="213.72"/>
    <n v="57012.33"/>
    <n v="20.69"/>
    <n v="10.29"/>
    <n v="0.48"/>
    <n v="266.76"/>
    <n v="56798.61"/>
  </r>
  <r>
    <x v="10"/>
    <s v="Organic Search"/>
    <s v="Flash Sale"/>
    <s v="Premium Plan"/>
    <n v="29605"/>
    <n v="1973"/>
    <n v="305"/>
    <n v="0"/>
    <n v="37435.480000000003"/>
    <n v="6.66"/>
    <n v="15.46"/>
    <n v="0"/>
    <n v="0"/>
    <n v="37435.480000000003"/>
  </r>
  <r>
    <x v="10"/>
    <s v="Display Ads"/>
    <s v="Flash Sale"/>
    <s v="Premium Plan"/>
    <n v="25173"/>
    <n v="374"/>
    <n v="8"/>
    <n v="1004.35"/>
    <n v="754.58"/>
    <n v="1.49"/>
    <n v="2.14"/>
    <n v="125.54"/>
    <n v="0.75"/>
    <n v="-249.77"/>
  </r>
  <r>
    <x v="10"/>
    <s v="YouTube Ads"/>
    <s v="Brand Awareness"/>
    <s v="Starter Kit"/>
    <n v="15753"/>
    <n v="273"/>
    <n v="19"/>
    <n v="838.63"/>
    <n v="2292.31"/>
    <n v="1.73"/>
    <n v="6.96"/>
    <n v="44.14"/>
    <n v="2.73"/>
    <n v="1453.68"/>
  </r>
  <r>
    <x v="10"/>
    <s v="Twitter Ads"/>
    <s v="Flash Sale"/>
    <s v="Enterprise Plan"/>
    <n v="8643"/>
    <n v="185"/>
    <n v="7"/>
    <n v="677.17"/>
    <n v="692.78"/>
    <n v="2.14"/>
    <n v="3.78"/>
    <n v="96.74"/>
    <n v="1.02"/>
    <n v="15.61"/>
  </r>
  <r>
    <x v="10"/>
    <s v="TikTok Ads"/>
    <s v="Brand Awareness"/>
    <s v="Basic Plan"/>
    <n v="18069"/>
    <n v="573"/>
    <n v="28"/>
    <n v="770.6"/>
    <n v="3145.86"/>
    <n v="3.17"/>
    <n v="4.8899999999999997"/>
    <n v="27.52"/>
    <n v="4.08"/>
    <n v="2375.2600000000002"/>
  </r>
  <r>
    <x v="10"/>
    <s v="Affiliate Marketing"/>
    <s v="Lead Generation"/>
    <s v="Basic Plan"/>
    <n v="4820"/>
    <n v="277"/>
    <n v="34"/>
    <n v="477.08"/>
    <n v="4303.08"/>
    <n v="5.75"/>
    <n v="12.27"/>
    <n v="14.03"/>
    <n v="9.02"/>
    <n v="3826"/>
  </r>
  <r>
    <x v="10"/>
    <s v="Referral"/>
    <s v="Seasonal Promotion"/>
    <s v="Starter Kit"/>
    <n v="5916"/>
    <n v="520"/>
    <n v="92"/>
    <n v="163.09"/>
    <n v="13038.51"/>
    <n v="8.7899999999999991"/>
    <n v="17.690000000000001"/>
    <n v="1.77"/>
    <n v="79.95"/>
    <n v="12875.42"/>
  </r>
  <r>
    <x v="11"/>
    <s v="Google Ads"/>
    <s v="Lead Generation"/>
    <s v="Starter Kit"/>
    <n v="10709"/>
    <n v="378"/>
    <n v="39"/>
    <n v="912.1"/>
    <n v="5179.82"/>
    <n v="3.53"/>
    <n v="10.32"/>
    <n v="23.39"/>
    <n v="5.68"/>
    <n v="4267.72"/>
  </r>
  <r>
    <x v="11"/>
    <s v="Facebook Ads"/>
    <s v="Lead Generation"/>
    <s v="Enterprise Plan"/>
    <n v="12768"/>
    <n v="430"/>
    <n v="28"/>
    <n v="722.05"/>
    <n v="3044.32"/>
    <n v="3.37"/>
    <n v="6.51"/>
    <n v="25.79"/>
    <n v="4.22"/>
    <n v="2322.27"/>
  </r>
  <r>
    <x v="11"/>
    <s v="Instagram Ads"/>
    <s v="Retargeting"/>
    <s v="Basic Plan"/>
    <n v="11704"/>
    <n v="372"/>
    <n v="16"/>
    <n v="611.77"/>
    <n v="1690.11"/>
    <n v="3.18"/>
    <n v="4.3"/>
    <n v="38.24"/>
    <n v="2.76"/>
    <n v="1078.3399999999999"/>
  </r>
  <r>
    <x v="11"/>
    <s v="LinkedIn Ads"/>
    <s v="Brand Awareness"/>
    <s v="Starter Kit"/>
    <n v="3862"/>
    <n v="74"/>
    <n v="10"/>
    <n v="1355.41"/>
    <n v="2717.11"/>
    <n v="1.92"/>
    <n v="13.51"/>
    <n v="135.54"/>
    <n v="2"/>
    <n v="1361.7"/>
  </r>
  <r>
    <x v="11"/>
    <s v="Email Marketing"/>
    <s v="Seasonal Promotion"/>
    <s v="Premium Plan"/>
    <n v="21173"/>
    <n v="4590"/>
    <n v="415"/>
    <n v="183.64"/>
    <n v="69845.45"/>
    <n v="21.68"/>
    <n v="9.0399999999999991"/>
    <n v="0.44"/>
    <n v="380.34"/>
    <n v="69661.81"/>
  </r>
  <r>
    <x v="11"/>
    <s v="Organic Search"/>
    <s v="Brand Awareness"/>
    <s v="Add-on Service"/>
    <n v="20010"/>
    <n v="1297"/>
    <n v="189"/>
    <n v="0"/>
    <n v="24067.8"/>
    <n v="6.48"/>
    <n v="14.57"/>
    <n v="0"/>
    <n v="0"/>
    <n v="24067.8"/>
  </r>
  <r>
    <x v="11"/>
    <s v="Display Ads"/>
    <s v="Brand Awareness"/>
    <s v="Premium Plan"/>
    <n v="22379"/>
    <n v="314"/>
    <n v="7"/>
    <n v="650.91"/>
    <n v="838.82"/>
    <n v="1.4"/>
    <n v="2.23"/>
    <n v="92.99"/>
    <n v="1.29"/>
    <n v="187.91"/>
  </r>
  <r>
    <x v="11"/>
    <s v="YouTube Ads"/>
    <s v="Lead Generation"/>
    <s v="Basic Plan"/>
    <n v="19555"/>
    <n v="377"/>
    <n v="24"/>
    <n v="826.28"/>
    <n v="2890.71"/>
    <n v="1.93"/>
    <n v="6.37"/>
    <n v="34.43"/>
    <n v="3.5"/>
    <n v="2064.4299999999998"/>
  </r>
  <r>
    <x v="11"/>
    <s v="Twitter Ads"/>
    <s v="Retargeting"/>
    <s v="Starter Kit"/>
    <n v="11622"/>
    <n v="312"/>
    <n v="17"/>
    <n v="548.94000000000005"/>
    <n v="1763.51"/>
    <n v="2.68"/>
    <n v="5.45"/>
    <n v="32.29"/>
    <n v="3.21"/>
    <n v="1214.57"/>
  </r>
  <r>
    <x v="11"/>
    <s v="TikTok Ads"/>
    <s v="Retargeting"/>
    <s v="Basic Plan"/>
    <n v="17086"/>
    <n v="685"/>
    <n v="33"/>
    <n v="528.98"/>
    <n v="2816.81"/>
    <n v="4.01"/>
    <n v="4.82"/>
    <n v="16.03"/>
    <n v="5.32"/>
    <n v="2287.83"/>
  </r>
  <r>
    <x v="11"/>
    <s v="Affiliate Marketing"/>
    <s v="Retargeting"/>
    <s v="Premium Plan"/>
    <n v="4891"/>
    <n v="339"/>
    <n v="41"/>
    <n v="298.7"/>
    <n v="4267.47"/>
    <n v="6.93"/>
    <n v="12.09"/>
    <n v="7.29"/>
    <n v="14.29"/>
    <n v="3968.77"/>
  </r>
  <r>
    <x v="11"/>
    <s v="Referral"/>
    <s v="Lead Generation"/>
    <s v="Starter Kit"/>
    <n v="3966"/>
    <n v="264"/>
    <n v="40"/>
    <n v="100.44"/>
    <n v="6210.92"/>
    <n v="6.66"/>
    <n v="15.15"/>
    <n v="2.5099999999999998"/>
    <n v="61.84"/>
    <n v="6110.48"/>
  </r>
  <r>
    <x v="12"/>
    <s v="Google Ads"/>
    <s v="Brand Awareness"/>
    <s v="Starter Kit"/>
    <n v="6484"/>
    <n v="223"/>
    <n v="22"/>
    <n v="811.74"/>
    <n v="3254.96"/>
    <n v="3.44"/>
    <n v="9.8699999999999992"/>
    <n v="36.9"/>
    <n v="4.01"/>
    <n v="2443.2199999999998"/>
  </r>
  <r>
    <x v="12"/>
    <s v="Facebook Ads"/>
    <s v="Product Launch"/>
    <s v="Starter Kit"/>
    <n v="7183"/>
    <n v="176"/>
    <n v="10"/>
    <n v="490.02"/>
    <n v="1023.09"/>
    <n v="2.4500000000000002"/>
    <n v="5.68"/>
    <n v="49"/>
    <n v="2.09"/>
    <n v="533.07000000000005"/>
  </r>
  <r>
    <x v="12"/>
    <s v="Instagram Ads"/>
    <s v="Product Launch"/>
    <s v="Starter Kit"/>
    <n v="8880"/>
    <n v="286"/>
    <n v="13"/>
    <n v="497.48"/>
    <n v="1080.8"/>
    <n v="3.22"/>
    <n v="4.55"/>
    <n v="38.270000000000003"/>
    <n v="2.17"/>
    <n v="583.32000000000005"/>
  </r>
  <r>
    <x v="12"/>
    <s v="LinkedIn Ads"/>
    <s v="Flash Sale"/>
    <s v="Add-on Service"/>
    <n v="2413"/>
    <n v="67"/>
    <n v="9"/>
    <n v="1060.82"/>
    <n v="2984.18"/>
    <n v="2.78"/>
    <n v="13.43"/>
    <n v="117.87"/>
    <n v="2.81"/>
    <n v="1923.36"/>
  </r>
  <r>
    <x v="12"/>
    <s v="Email Marketing"/>
    <s v="Flash Sale"/>
    <s v="Starter Kit"/>
    <n v="13383"/>
    <n v="2091"/>
    <n v="269"/>
    <n v="118.38"/>
    <n v="29371.57"/>
    <n v="15.62"/>
    <n v="12.86"/>
    <n v="0.44"/>
    <n v="248.11"/>
    <n v="29253.19"/>
  </r>
  <r>
    <x v="12"/>
    <s v="Organic Search"/>
    <s v="Lead Generation"/>
    <s v="Basic Plan"/>
    <n v="15096"/>
    <n v="977"/>
    <n v="144"/>
    <n v="0"/>
    <n v="17568.95"/>
    <n v="6.47"/>
    <n v="14.74"/>
    <n v="0"/>
    <n v="0"/>
    <n v="17568.95"/>
  </r>
  <r>
    <x v="12"/>
    <s v="Display Ads"/>
    <s v="Product Launch"/>
    <s v="Basic Plan"/>
    <n v="22806"/>
    <n v="398"/>
    <n v="9"/>
    <n v="439.54"/>
    <n v="929"/>
    <n v="1.75"/>
    <n v="2.2599999999999998"/>
    <n v="48.84"/>
    <n v="2.11"/>
    <n v="489.46"/>
  </r>
  <r>
    <x v="12"/>
    <s v="YouTube Ads"/>
    <s v="Brand Awareness"/>
    <s v="Add-on Service"/>
    <n v="9761"/>
    <n v="252"/>
    <n v="19"/>
    <n v="801.54"/>
    <n v="2609.7399999999998"/>
    <n v="2.58"/>
    <n v="7.54"/>
    <n v="42.19"/>
    <n v="3.26"/>
    <n v="1808.2"/>
  </r>
  <r>
    <x v="12"/>
    <s v="Twitter Ads"/>
    <s v="Flash Sale"/>
    <s v="Add-on Service"/>
    <n v="6544"/>
    <n v="214"/>
    <n v="6"/>
    <n v="273.35000000000002"/>
    <n v="594.35"/>
    <n v="3.27"/>
    <n v="2.8"/>
    <n v="45.56"/>
    <n v="2.17"/>
    <n v="321"/>
  </r>
  <r>
    <x v="12"/>
    <s v="TikTok Ads"/>
    <s v="Brand Awareness"/>
    <s v="Enterprise Plan"/>
    <n v="14900"/>
    <n v="431"/>
    <n v="17"/>
    <n v="654.29999999999995"/>
    <n v="1474.78"/>
    <n v="2.89"/>
    <n v="3.94"/>
    <n v="38.49"/>
    <n v="2.25"/>
    <n v="820.48"/>
  </r>
  <r>
    <x v="12"/>
    <s v="Affiliate Marketing"/>
    <s v="Brand Awareness"/>
    <s v="Premium Plan"/>
    <n v="5400"/>
    <n v="346"/>
    <n v="36"/>
    <n v="403.9"/>
    <n v="4296.8900000000003"/>
    <n v="6.41"/>
    <n v="10.4"/>
    <n v="11.22"/>
    <n v="10.64"/>
    <n v="3892.99"/>
  </r>
  <r>
    <x v="12"/>
    <s v="Referral"/>
    <s v="Seasonal Promotion"/>
    <s v="Starter Kit"/>
    <n v="3426"/>
    <n v="251"/>
    <n v="38"/>
    <n v="112.57"/>
    <n v="6220.39"/>
    <n v="7.33"/>
    <n v="15.14"/>
    <n v="2.96"/>
    <n v="55.26"/>
    <n v="6107.82"/>
  </r>
  <r>
    <x v="13"/>
    <s v="Google Ads"/>
    <s v="Seasonal Promotion"/>
    <s v="Add-on Service"/>
    <n v="7763"/>
    <n v="333"/>
    <n v="36"/>
    <n v="853.34"/>
    <n v="6043.06"/>
    <n v="4.29"/>
    <n v="10.81"/>
    <n v="23.7"/>
    <n v="7.08"/>
    <n v="5189.72"/>
  </r>
  <r>
    <x v="13"/>
    <s v="Facebook Ads"/>
    <s v="Lead Generation"/>
    <s v="Premium Plan"/>
    <n v="9783"/>
    <n v="245"/>
    <n v="14"/>
    <n v="567.77"/>
    <n v="1283.4100000000001"/>
    <n v="2.5"/>
    <n v="5.71"/>
    <n v="40.56"/>
    <n v="2.2599999999999998"/>
    <n v="715.64"/>
  </r>
  <r>
    <x v="13"/>
    <s v="Instagram Ads"/>
    <s v="Seasonal Promotion"/>
    <s v="Premium Plan"/>
    <n v="9646"/>
    <n v="265"/>
    <n v="11"/>
    <n v="558.86"/>
    <n v="1051.67"/>
    <n v="2.75"/>
    <n v="4.1500000000000004"/>
    <n v="50.81"/>
    <n v="1.88"/>
    <n v="492.81"/>
  </r>
  <r>
    <x v="13"/>
    <s v="LinkedIn Ads"/>
    <s v="Lead Generation"/>
    <s v="Premium Plan"/>
    <n v="2963"/>
    <n v="68"/>
    <n v="7"/>
    <n v="539.39"/>
    <n v="1508.75"/>
    <n v="2.29"/>
    <n v="10.29"/>
    <n v="77.06"/>
    <n v="2.8"/>
    <n v="969.36"/>
  </r>
  <r>
    <x v="13"/>
    <s v="Email Marketing"/>
    <s v="Seasonal Promotion"/>
    <s v="Premium Plan"/>
    <n v="14086"/>
    <n v="2555"/>
    <n v="328"/>
    <n v="91.17"/>
    <n v="37725.870000000003"/>
    <n v="18.14"/>
    <n v="12.84"/>
    <n v="0.28000000000000003"/>
    <n v="413.8"/>
    <n v="37634.699999999997"/>
  </r>
  <r>
    <x v="13"/>
    <s v="Organic Search"/>
    <s v="Flash Sale"/>
    <s v="Basic Plan"/>
    <n v="15982"/>
    <n v="1041"/>
    <n v="124"/>
    <n v="0"/>
    <n v="14893.68"/>
    <n v="6.51"/>
    <n v="11.91"/>
    <n v="0"/>
    <n v="0"/>
    <n v="14893.68"/>
  </r>
  <r>
    <x v="13"/>
    <s v="Display Ads"/>
    <s v="Retargeting"/>
    <s v="Premium Plan"/>
    <n v="16376"/>
    <n v="284"/>
    <n v="7"/>
    <n v="710.91"/>
    <n v="618.51"/>
    <n v="1.73"/>
    <n v="2.46"/>
    <n v="101.56"/>
    <n v="0.87"/>
    <n v="-92.4"/>
  </r>
  <r>
    <x v="13"/>
    <s v="YouTube Ads"/>
    <s v="Seasonal Promotion"/>
    <s v="Basic Plan"/>
    <n v="12530"/>
    <n v="368"/>
    <n v="27"/>
    <n v="732.75"/>
    <n v="3300.98"/>
    <n v="2.94"/>
    <n v="7.34"/>
    <n v="27.14"/>
    <n v="4.5"/>
    <n v="2568.23"/>
  </r>
  <r>
    <x v="13"/>
    <s v="Twitter Ads"/>
    <s v="Seasonal Promotion"/>
    <s v="Add-on Service"/>
    <n v="5278"/>
    <n v="114"/>
    <n v="5"/>
    <n v="405.1"/>
    <n v="510.17"/>
    <n v="2.16"/>
    <n v="4.3899999999999997"/>
    <n v="81.02"/>
    <n v="1.26"/>
    <n v="105.07"/>
  </r>
  <r>
    <x v="13"/>
    <s v="TikTok Ads"/>
    <s v="Brand Awareness"/>
    <s v="Add-on Service"/>
    <n v="11234"/>
    <n v="436"/>
    <n v="24"/>
    <n v="566.41999999999996"/>
    <n v="2285.09"/>
    <n v="3.88"/>
    <n v="5.5"/>
    <n v="23.6"/>
    <n v="4.03"/>
    <n v="1718.67"/>
  </r>
  <r>
    <x v="13"/>
    <s v="Affiliate Marketing"/>
    <s v="Brand Awareness"/>
    <s v="Starter Kit"/>
    <n v="4780"/>
    <n v="263"/>
    <n v="30"/>
    <n v="211.57"/>
    <n v="3522.4"/>
    <n v="5.5"/>
    <n v="11.41"/>
    <n v="7.05"/>
    <n v="16.649999999999999"/>
    <n v="3310.83"/>
  </r>
  <r>
    <x v="13"/>
    <s v="Referral"/>
    <s v="Flash Sale"/>
    <s v="Add-on Service"/>
    <n v="4119"/>
    <n v="245"/>
    <n v="33"/>
    <n v="74.84"/>
    <n v="5318.35"/>
    <n v="5.95"/>
    <n v="13.47"/>
    <n v="2.27"/>
    <n v="71.06"/>
    <n v="5243.51"/>
  </r>
  <r>
    <x v="14"/>
    <s v="Google Ads"/>
    <s v="Seasonal Promotion"/>
    <s v="Add-on Service"/>
    <n v="11939"/>
    <n v="504"/>
    <n v="49"/>
    <n v="1056.45"/>
    <n v="8556.58"/>
    <n v="4.22"/>
    <n v="9.7200000000000006"/>
    <n v="21.56"/>
    <n v="8.1"/>
    <n v="7500.13"/>
  </r>
  <r>
    <x v="14"/>
    <s v="Facebook Ads"/>
    <s v="Product Launch"/>
    <s v="Enterprise Plan"/>
    <n v="11771"/>
    <n v="249"/>
    <n v="14"/>
    <n v="981.58"/>
    <n v="1469.86"/>
    <n v="2.12"/>
    <n v="5.62"/>
    <n v="70.11"/>
    <n v="1.5"/>
    <n v="488.28"/>
  </r>
  <r>
    <x v="14"/>
    <s v="Instagram Ads"/>
    <s v="Lead Generation"/>
    <s v="Enterprise Plan"/>
    <n v="10067"/>
    <n v="324"/>
    <n v="18"/>
    <n v="443.44"/>
    <n v="1670.9"/>
    <n v="3.22"/>
    <n v="5.56"/>
    <n v="24.64"/>
    <n v="3.77"/>
    <n v="1227.46"/>
  </r>
  <r>
    <x v="14"/>
    <s v="LinkedIn Ads"/>
    <s v="Lead Generation"/>
    <s v="Enterprise Plan"/>
    <n v="3000"/>
    <n v="50"/>
    <n v="6"/>
    <n v="1326.02"/>
    <n v="1777.37"/>
    <n v="1.67"/>
    <n v="12"/>
    <n v="221"/>
    <n v="1.34"/>
    <n v="451.35"/>
  </r>
  <r>
    <x v="14"/>
    <s v="Email Marketing"/>
    <s v="Retargeting"/>
    <s v="Basic Plan"/>
    <n v="16237"/>
    <n v="3571"/>
    <n v="338"/>
    <n v="238.58"/>
    <n v="40285.599999999999"/>
    <n v="21.99"/>
    <n v="9.4700000000000006"/>
    <n v="0.71"/>
    <n v="168.86"/>
    <n v="40047.019999999997"/>
  </r>
  <r>
    <x v="14"/>
    <s v="Organic Search"/>
    <s v="Flash Sale"/>
    <s v="Enterprise Plan"/>
    <n v="26973"/>
    <n v="1922"/>
    <n v="243"/>
    <n v="0"/>
    <n v="30859.03"/>
    <n v="7.13"/>
    <n v="12.64"/>
    <n v="0"/>
    <n v="0"/>
    <n v="30859.03"/>
  </r>
  <r>
    <x v="14"/>
    <s v="Display Ads"/>
    <s v="Retargeting"/>
    <s v="Enterprise Plan"/>
    <n v="22099"/>
    <n v="266"/>
    <n v="6"/>
    <n v="659.09"/>
    <n v="555.6"/>
    <n v="1.2"/>
    <n v="2.2599999999999998"/>
    <n v="109.85"/>
    <n v="0.84"/>
    <n v="-103.49"/>
  </r>
  <r>
    <x v="14"/>
    <s v="YouTube Ads"/>
    <s v="Brand Awareness"/>
    <s v="Premium Plan"/>
    <n v="18750"/>
    <n v="465"/>
    <n v="30"/>
    <n v="696.86"/>
    <n v="2905.17"/>
    <n v="2.48"/>
    <n v="6.45"/>
    <n v="23.23"/>
    <n v="4.17"/>
    <n v="2208.31"/>
  </r>
  <r>
    <x v="14"/>
    <s v="Twitter Ads"/>
    <s v="Retargeting"/>
    <s v="Add-on Service"/>
    <n v="8808"/>
    <n v="229"/>
    <n v="11"/>
    <n v="465"/>
    <n v="1121"/>
    <n v="2.6"/>
    <n v="4.8"/>
    <n v="42.27"/>
    <n v="2.41"/>
    <n v="656"/>
  </r>
  <r>
    <x v="14"/>
    <s v="TikTok Ads"/>
    <s v="Seasonal Promotion"/>
    <s v="Premium Plan"/>
    <n v="17248"/>
    <n v="751"/>
    <n v="32"/>
    <n v="919.48"/>
    <n v="3209.03"/>
    <n v="4.3499999999999996"/>
    <n v="4.26"/>
    <n v="28.73"/>
    <n v="3.49"/>
    <n v="2289.5500000000002"/>
  </r>
  <r>
    <x v="14"/>
    <s v="Affiliate Marketing"/>
    <s v="Brand Awareness"/>
    <s v="Add-on Service"/>
    <n v="4922"/>
    <n v="269"/>
    <n v="28"/>
    <n v="498.27"/>
    <n v="3208.95"/>
    <n v="5.47"/>
    <n v="10.41"/>
    <n v="17.8"/>
    <n v="6.44"/>
    <n v="2710.68"/>
  </r>
  <r>
    <x v="14"/>
    <s v="Referral"/>
    <s v="Lead Generation"/>
    <s v="Add-on Service"/>
    <n v="2795"/>
    <n v="144"/>
    <n v="22"/>
    <n v="78.08"/>
    <n v="3202.05"/>
    <n v="5.15"/>
    <n v="15.28"/>
    <n v="3.55"/>
    <n v="41.01"/>
    <n v="3123.97"/>
  </r>
  <r>
    <x v="15"/>
    <s v="Google Ads"/>
    <s v="Product Launch"/>
    <s v="Basic Plan"/>
    <n v="8512"/>
    <n v="255"/>
    <n v="29"/>
    <n v="1202.31"/>
    <n v="5306.41"/>
    <n v="3"/>
    <n v="11.37"/>
    <n v="41.46"/>
    <n v="4.41"/>
    <n v="4104.1000000000004"/>
  </r>
  <r>
    <x v="15"/>
    <s v="Facebook Ads"/>
    <s v="Product Launch"/>
    <s v="Premium Plan"/>
    <n v="14727"/>
    <n v="359"/>
    <n v="19"/>
    <n v="699.72"/>
    <n v="2499.2199999999998"/>
    <n v="2.44"/>
    <n v="5.29"/>
    <n v="36.83"/>
    <n v="3.57"/>
    <n v="1799.5"/>
  </r>
  <r>
    <x v="15"/>
    <s v="Instagram Ads"/>
    <s v="Lead Generation"/>
    <s v="Enterprise Plan"/>
    <n v="10035"/>
    <n v="345"/>
    <n v="20"/>
    <n v="633.22"/>
    <n v="1927.37"/>
    <n v="3.44"/>
    <n v="5.8"/>
    <n v="31.66"/>
    <n v="3.04"/>
    <n v="1294.1500000000001"/>
  </r>
  <r>
    <x v="15"/>
    <s v="LinkedIn Ads"/>
    <s v="Product Launch"/>
    <s v="Basic Plan"/>
    <n v="4128"/>
    <n v="116"/>
    <n v="17"/>
    <n v="1300.6600000000001"/>
    <n v="5076.34"/>
    <n v="2.81"/>
    <n v="14.66"/>
    <n v="76.510000000000005"/>
    <n v="3.9"/>
    <n v="3775.68"/>
  </r>
  <r>
    <x v="15"/>
    <s v="Email Marketing"/>
    <s v="Retargeting"/>
    <s v="Add-on Service"/>
    <n v="21131"/>
    <n v="4218"/>
    <n v="347"/>
    <n v="184.33"/>
    <n v="40146.49"/>
    <n v="19.96"/>
    <n v="8.23"/>
    <n v="0.53"/>
    <n v="217.8"/>
    <n v="39962.160000000003"/>
  </r>
  <r>
    <x v="15"/>
    <s v="Organic Search"/>
    <s v="Flash Sale"/>
    <s v="Enterprise Plan"/>
    <n v="18983"/>
    <n v="1286"/>
    <n v="141"/>
    <n v="0"/>
    <n v="21088.52"/>
    <n v="6.77"/>
    <n v="10.96"/>
    <n v="0"/>
    <n v="0"/>
    <n v="21088.52"/>
  </r>
  <r>
    <x v="15"/>
    <s v="Display Ads"/>
    <s v="Seasonal Promotion"/>
    <s v="Add-on Service"/>
    <n v="26353"/>
    <n v="433"/>
    <n v="15"/>
    <n v="621.12"/>
    <n v="1667.04"/>
    <n v="1.64"/>
    <n v="3.46"/>
    <n v="41.41"/>
    <n v="2.68"/>
    <n v="1045.92"/>
  </r>
  <r>
    <x v="15"/>
    <s v="YouTube Ads"/>
    <s v="Brand Awareness"/>
    <s v="Add-on Service"/>
    <n v="19201"/>
    <n v="547"/>
    <n v="39"/>
    <n v="914.17"/>
    <n v="4540.3500000000004"/>
    <n v="2.85"/>
    <n v="7.13"/>
    <n v="23.44"/>
    <n v="4.97"/>
    <n v="3626.18"/>
  </r>
  <r>
    <x v="15"/>
    <s v="Twitter Ads"/>
    <s v="Product Launch"/>
    <s v="Premium Plan"/>
    <n v="11000"/>
    <n v="326"/>
    <n v="14"/>
    <n v="550.89"/>
    <n v="1450.53"/>
    <n v="2.96"/>
    <n v="4.29"/>
    <n v="39.35"/>
    <n v="2.63"/>
    <n v="899.64"/>
  </r>
  <r>
    <x v="15"/>
    <s v="TikTok Ads"/>
    <s v="Lead Generation"/>
    <s v="Enterprise Plan"/>
    <n v="24118"/>
    <n v="710"/>
    <n v="28"/>
    <n v="700.94"/>
    <n v="2594.8200000000002"/>
    <n v="2.94"/>
    <n v="3.94"/>
    <n v="25.03"/>
    <n v="3.7"/>
    <n v="1893.88"/>
  </r>
  <r>
    <x v="15"/>
    <s v="Affiliate Marketing"/>
    <s v="Brand Awareness"/>
    <s v="Premium Plan"/>
    <n v="6383"/>
    <n v="296"/>
    <n v="28"/>
    <n v="378.77"/>
    <n v="4076.54"/>
    <n v="4.6399999999999997"/>
    <n v="9.4600000000000009"/>
    <n v="13.53"/>
    <n v="10.76"/>
    <n v="3697.77"/>
  </r>
  <r>
    <x v="15"/>
    <s v="Referral"/>
    <s v="Flash Sale"/>
    <s v="Add-on Service"/>
    <n v="4162"/>
    <n v="234"/>
    <n v="30"/>
    <n v="145.91999999999999"/>
    <n v="4737.24"/>
    <n v="5.62"/>
    <n v="12.82"/>
    <n v="4.8600000000000003"/>
    <n v="32.46"/>
    <n v="4591.32"/>
  </r>
  <r>
    <x v="16"/>
    <s v="Google Ads"/>
    <s v="Lead Generation"/>
    <s v="Enterprise Plan"/>
    <n v="10035"/>
    <n v="396"/>
    <n v="42"/>
    <n v="900.57"/>
    <n v="5621.52"/>
    <n v="3.95"/>
    <n v="10.61"/>
    <n v="21.44"/>
    <n v="6.24"/>
    <n v="4720.95"/>
  </r>
  <r>
    <x v="16"/>
    <s v="Facebook Ads"/>
    <s v="Product Launch"/>
    <s v="Add-on Service"/>
    <n v="15310"/>
    <n v="535"/>
    <n v="34"/>
    <n v="872.05"/>
    <n v="3315.02"/>
    <n v="3.49"/>
    <n v="6.36"/>
    <n v="25.65"/>
    <n v="3.8"/>
    <n v="2442.9699999999998"/>
  </r>
  <r>
    <x v="16"/>
    <s v="Instagram Ads"/>
    <s v="Lead Generation"/>
    <s v="Enterprise Plan"/>
    <n v="14544"/>
    <n v="572"/>
    <n v="37"/>
    <n v="482.26"/>
    <n v="3284.53"/>
    <n v="3.93"/>
    <n v="6.47"/>
    <n v="13.03"/>
    <n v="6.81"/>
    <n v="2802.27"/>
  </r>
  <r>
    <x v="16"/>
    <s v="LinkedIn Ads"/>
    <s v="Lead Generation"/>
    <s v="Enterprise Plan"/>
    <n v="3456"/>
    <n v="72"/>
    <n v="10"/>
    <n v="827.29"/>
    <n v="2651.2"/>
    <n v="2.08"/>
    <n v="13.89"/>
    <n v="82.73"/>
    <n v="3.2"/>
    <n v="1823.91"/>
  </r>
  <r>
    <x v="16"/>
    <s v="Email Marketing"/>
    <s v="Seasonal Promotion"/>
    <s v="Starter Kit"/>
    <n v="15450"/>
    <n v="3060"/>
    <n v="244"/>
    <n v="126.28"/>
    <n v="33392.85"/>
    <n v="19.809999999999999"/>
    <n v="7.97"/>
    <n v="0.52"/>
    <n v="264.43"/>
    <n v="33266.57"/>
  </r>
  <r>
    <x v="16"/>
    <s v="Organic Search"/>
    <s v="Product Launch"/>
    <s v="Premium Plan"/>
    <n v="17574"/>
    <n v="883"/>
    <n v="118"/>
    <n v="0"/>
    <n v="15563.06"/>
    <n v="5.0199999999999996"/>
    <n v="13.36"/>
    <n v="0"/>
    <n v="0"/>
    <n v="15563.06"/>
  </r>
  <r>
    <x v="16"/>
    <s v="Display Ads"/>
    <s v="Brand Awareness"/>
    <s v="Starter Kit"/>
    <n v="30527"/>
    <n v="433"/>
    <n v="11"/>
    <n v="784.86"/>
    <n v="1031.72"/>
    <n v="1.42"/>
    <n v="2.54"/>
    <n v="71.349999999999994"/>
    <n v="1.31"/>
    <n v="246.86"/>
  </r>
  <r>
    <x v="16"/>
    <s v="YouTube Ads"/>
    <s v="Product Launch"/>
    <s v="Premium Plan"/>
    <n v="16932"/>
    <n v="387"/>
    <n v="26"/>
    <n v="904.04"/>
    <n v="3623.61"/>
    <n v="2.29"/>
    <n v="6.72"/>
    <n v="34.770000000000003"/>
    <n v="4.01"/>
    <n v="2719.57"/>
  </r>
  <r>
    <x v="16"/>
    <s v="Twitter Ads"/>
    <s v="Brand Awareness"/>
    <s v="Enterprise Plan"/>
    <n v="11039"/>
    <n v="249"/>
    <n v="9"/>
    <n v="407.81"/>
    <n v="946.44"/>
    <n v="2.2599999999999998"/>
    <n v="3.61"/>
    <n v="45.31"/>
    <n v="2.3199999999999998"/>
    <n v="538.63"/>
  </r>
  <r>
    <x v="16"/>
    <s v="TikTok Ads"/>
    <s v="Lead Generation"/>
    <s v="Enterprise Plan"/>
    <n v="16674"/>
    <n v="640"/>
    <n v="19"/>
    <n v="723.36"/>
    <n v="1948.81"/>
    <n v="3.84"/>
    <n v="2.97"/>
    <n v="38.07"/>
    <n v="2.69"/>
    <n v="1225.45"/>
  </r>
  <r>
    <x v="16"/>
    <s v="Affiliate Marketing"/>
    <s v="Lead Generation"/>
    <s v="Starter Kit"/>
    <n v="6738"/>
    <n v="331"/>
    <n v="33"/>
    <n v="373.21"/>
    <n v="3809.32"/>
    <n v="4.91"/>
    <n v="9.9700000000000006"/>
    <n v="11.31"/>
    <n v="10.210000000000001"/>
    <n v="3436.11"/>
  </r>
  <r>
    <x v="16"/>
    <s v="Referral"/>
    <s v="Seasonal Promotion"/>
    <s v="Starter Kit"/>
    <n v="3337"/>
    <n v="328"/>
    <n v="45"/>
    <n v="47.24"/>
    <n v="5759.18"/>
    <n v="9.83"/>
    <n v="13.72"/>
    <n v="1.05"/>
    <n v="121.91"/>
    <n v="5711.94"/>
  </r>
  <r>
    <x v="17"/>
    <s v="Google Ads"/>
    <s v="Seasonal Promotion"/>
    <s v="Premium Plan"/>
    <n v="12693"/>
    <n v="571"/>
    <n v="66"/>
    <n v="732.03"/>
    <n v="10320.83"/>
    <n v="4.5"/>
    <n v="11.56"/>
    <n v="11.09"/>
    <n v="14.1"/>
    <n v="9588.7999999999993"/>
  </r>
  <r>
    <x v="17"/>
    <s v="Facebook Ads"/>
    <s v="Brand Awareness"/>
    <s v="Premium Plan"/>
    <n v="10460"/>
    <n v="354"/>
    <n v="18"/>
    <n v="813.22"/>
    <n v="2364.86"/>
    <n v="3.38"/>
    <n v="5.08"/>
    <n v="45.18"/>
    <n v="2.91"/>
    <n v="1551.64"/>
  </r>
  <r>
    <x v="17"/>
    <s v="Instagram Ads"/>
    <s v="Flash Sale"/>
    <s v="Basic Plan"/>
    <n v="10007"/>
    <n v="264"/>
    <n v="16"/>
    <n v="802.9"/>
    <n v="1738.59"/>
    <n v="2.64"/>
    <n v="6.06"/>
    <n v="50.18"/>
    <n v="2.17"/>
    <n v="935.69"/>
  </r>
  <r>
    <x v="17"/>
    <s v="LinkedIn Ads"/>
    <s v="Seasonal Promotion"/>
    <s v="Premium Plan"/>
    <n v="3373"/>
    <n v="53"/>
    <n v="5"/>
    <n v="995.72"/>
    <n v="1417.41"/>
    <n v="1.57"/>
    <n v="9.43"/>
    <n v="199.14"/>
    <n v="1.42"/>
    <n v="421.69"/>
  </r>
  <r>
    <x v="17"/>
    <s v="Email Marketing"/>
    <s v="Product Launch"/>
    <s v="Add-on Service"/>
    <n v="18577"/>
    <n v="4550"/>
    <n v="583"/>
    <n v="149.18"/>
    <n v="91791.360000000001"/>
    <n v="24.49"/>
    <n v="12.81"/>
    <n v="0.26"/>
    <n v="615.30999999999995"/>
    <n v="91642.18"/>
  </r>
  <r>
    <x v="17"/>
    <s v="Organic Search"/>
    <s v="Seasonal Promotion"/>
    <s v="Basic Plan"/>
    <n v="21184"/>
    <n v="1380"/>
    <n v="203"/>
    <n v="0"/>
    <n v="30294.54"/>
    <n v="6.51"/>
    <n v="14.71"/>
    <n v="0"/>
    <n v="0"/>
    <n v="30294.54"/>
  </r>
  <r>
    <x v="17"/>
    <s v="Display Ads"/>
    <s v="Retargeting"/>
    <s v="Basic Plan"/>
    <n v="31432"/>
    <n v="351"/>
    <n v="16"/>
    <n v="846.66"/>
    <n v="1911.06"/>
    <n v="1.1200000000000001"/>
    <n v="4.5599999999999996"/>
    <n v="52.92"/>
    <n v="2.2599999999999998"/>
    <n v="1064.4000000000001"/>
  </r>
  <r>
    <x v="17"/>
    <s v="YouTube Ads"/>
    <s v="Brand Awareness"/>
    <s v="Enterprise Plan"/>
    <n v="18588"/>
    <n v="467"/>
    <n v="23"/>
    <n v="966.42"/>
    <n v="2925.07"/>
    <n v="2.5099999999999998"/>
    <n v="4.93"/>
    <n v="42.02"/>
    <n v="3.03"/>
    <n v="1958.65"/>
  </r>
  <r>
    <x v="17"/>
    <s v="Twitter Ads"/>
    <s v="Product Launch"/>
    <s v="Premium Plan"/>
    <n v="11488"/>
    <n v="259"/>
    <n v="7"/>
    <n v="541.84"/>
    <n v="783.24"/>
    <n v="2.25"/>
    <n v="2.7"/>
    <n v="77.41"/>
    <n v="1.45"/>
    <n v="241.4"/>
  </r>
  <r>
    <x v="17"/>
    <s v="TikTok Ads"/>
    <s v="Product Launch"/>
    <s v="Basic Plan"/>
    <n v="20960"/>
    <n v="759"/>
    <n v="47"/>
    <n v="804.05"/>
    <n v="4860.08"/>
    <n v="3.62"/>
    <n v="6.19"/>
    <n v="17.11"/>
    <n v="6.04"/>
    <n v="4056.03"/>
  </r>
  <r>
    <x v="17"/>
    <s v="Affiliate Marketing"/>
    <s v="Flash Sale"/>
    <s v="Basic Plan"/>
    <n v="7069"/>
    <n v="425"/>
    <n v="53"/>
    <n v="428.74"/>
    <n v="8174.21"/>
    <n v="6.01"/>
    <n v="12.47"/>
    <n v="8.09"/>
    <n v="19.07"/>
    <n v="7745.47"/>
  </r>
  <r>
    <x v="17"/>
    <s v="Referral"/>
    <s v="Flash Sale"/>
    <s v="Premium Plan"/>
    <n v="4188"/>
    <n v="224"/>
    <n v="37"/>
    <n v="64.75"/>
    <n v="4505.47"/>
    <n v="5.35"/>
    <n v="16.52"/>
    <n v="1.75"/>
    <n v="69.58"/>
    <n v="4440.72"/>
  </r>
  <r>
    <x v="18"/>
    <s v="Google Ads"/>
    <s v="Product Launch"/>
    <s v="Add-on Service"/>
    <n v="9262"/>
    <n v="402"/>
    <n v="45"/>
    <n v="856.42"/>
    <n v="7347.31"/>
    <n v="4.34"/>
    <n v="11.19"/>
    <n v="19.03"/>
    <n v="8.58"/>
    <n v="6490.89"/>
  </r>
  <r>
    <x v="18"/>
    <s v="Facebook Ads"/>
    <s v="Retargeting"/>
    <s v="Add-on Service"/>
    <n v="11486"/>
    <n v="363"/>
    <n v="25"/>
    <n v="686.79"/>
    <n v="2355.23"/>
    <n v="3.16"/>
    <n v="6.89"/>
    <n v="27.47"/>
    <n v="3.43"/>
    <n v="1668.44"/>
  </r>
  <r>
    <x v="18"/>
    <s v="Instagram Ads"/>
    <s v="Flash Sale"/>
    <s v="Basic Plan"/>
    <n v="13696"/>
    <n v="575"/>
    <n v="36"/>
    <n v="833.36"/>
    <n v="3796.91"/>
    <n v="4.2"/>
    <n v="6.26"/>
    <n v="23.15"/>
    <n v="4.5599999999999996"/>
    <n v="2963.55"/>
  </r>
  <r>
    <x v="18"/>
    <s v="LinkedIn Ads"/>
    <s v="Lead Generation"/>
    <s v="Basic Plan"/>
    <n v="3963"/>
    <n v="113"/>
    <n v="16"/>
    <n v="1149.46"/>
    <n v="3937.27"/>
    <n v="2.85"/>
    <n v="14.16"/>
    <n v="71.84"/>
    <n v="3.43"/>
    <n v="2787.81"/>
  </r>
  <r>
    <x v="18"/>
    <s v="Email Marketing"/>
    <s v="Lead Generation"/>
    <s v="Starter Kit"/>
    <n v="17527"/>
    <n v="3053"/>
    <n v="323"/>
    <n v="210.88"/>
    <n v="42150.12"/>
    <n v="17.420000000000002"/>
    <n v="10.58"/>
    <n v="0.65"/>
    <n v="199.88"/>
    <n v="41939.24"/>
  </r>
  <r>
    <x v="18"/>
    <s v="Organic Search"/>
    <s v="Brand Awareness"/>
    <s v="Basic Plan"/>
    <n v="27680"/>
    <n v="1756"/>
    <n v="196"/>
    <n v="0"/>
    <n v="26397.72"/>
    <n v="6.34"/>
    <n v="11.16"/>
    <n v="0"/>
    <n v="0"/>
    <n v="26397.72"/>
  </r>
  <r>
    <x v="18"/>
    <s v="Display Ads"/>
    <s v="Flash Sale"/>
    <s v="Enterprise Plan"/>
    <n v="33572"/>
    <n v="527"/>
    <n v="17"/>
    <n v="844.68"/>
    <n v="1860.47"/>
    <n v="1.57"/>
    <n v="3.23"/>
    <n v="49.69"/>
    <n v="2.2000000000000002"/>
    <n v="1015.79"/>
  </r>
  <r>
    <x v="18"/>
    <s v="YouTube Ads"/>
    <s v="Retargeting"/>
    <s v="Basic Plan"/>
    <n v="18027"/>
    <n v="305"/>
    <n v="17"/>
    <n v="758.37"/>
    <n v="2257.6799999999998"/>
    <n v="1.69"/>
    <n v="5.57"/>
    <n v="44.61"/>
    <n v="2.98"/>
    <n v="1499.31"/>
  </r>
  <r>
    <x v="18"/>
    <s v="Twitter Ads"/>
    <s v="Product Launch"/>
    <s v="Basic Plan"/>
    <n v="9393"/>
    <n v="289"/>
    <n v="11"/>
    <n v="444.06"/>
    <n v="1202.06"/>
    <n v="3.08"/>
    <n v="3.81"/>
    <n v="40.369999999999997"/>
    <n v="2.71"/>
    <n v="758"/>
  </r>
  <r>
    <x v="18"/>
    <s v="TikTok Ads"/>
    <s v="Flash Sale"/>
    <s v="Premium Plan"/>
    <n v="23590"/>
    <n v="866"/>
    <n v="52"/>
    <n v="615.70000000000005"/>
    <n v="4656.3900000000003"/>
    <n v="3.67"/>
    <n v="6"/>
    <n v="11.84"/>
    <n v="7.56"/>
    <n v="4040.69"/>
  </r>
  <r>
    <x v="18"/>
    <s v="Affiliate Marketing"/>
    <s v="Retargeting"/>
    <s v="Premium Plan"/>
    <n v="7748"/>
    <n v="345"/>
    <n v="38"/>
    <n v="505.04"/>
    <n v="5410.53"/>
    <n v="4.45"/>
    <n v="11.01"/>
    <n v="13.29"/>
    <n v="10.71"/>
    <n v="4905.49"/>
  </r>
  <r>
    <x v="18"/>
    <s v="Referral"/>
    <s v="Retargeting"/>
    <s v="Basic Plan"/>
    <n v="3195"/>
    <n v="281"/>
    <n v="45"/>
    <n v="73.84"/>
    <n v="7732.93"/>
    <n v="8.7899999999999991"/>
    <n v="16.010000000000002"/>
    <n v="1.64"/>
    <n v="104.73"/>
    <n v="7659.09"/>
  </r>
  <r>
    <x v="19"/>
    <s v="Google Ads"/>
    <s v="Lead Generation"/>
    <s v="Starter Kit"/>
    <n v="6324"/>
    <n v="301"/>
    <n v="26"/>
    <n v="631.66999999999996"/>
    <n v="4840.2299999999996"/>
    <n v="4.76"/>
    <n v="8.64"/>
    <n v="24.3"/>
    <n v="7.66"/>
    <n v="4208.5600000000004"/>
  </r>
  <r>
    <x v="19"/>
    <s v="Facebook Ads"/>
    <s v="Product Launch"/>
    <s v="Enterprise Plan"/>
    <n v="8087"/>
    <n v="220"/>
    <n v="15"/>
    <n v="541.34"/>
    <n v="1396.53"/>
    <n v="2.72"/>
    <n v="6.82"/>
    <n v="36.090000000000003"/>
    <n v="2.58"/>
    <n v="855.19"/>
  </r>
  <r>
    <x v="19"/>
    <s v="Instagram Ads"/>
    <s v="Lead Generation"/>
    <s v="Basic Plan"/>
    <n v="10019"/>
    <n v="282"/>
    <n v="17"/>
    <n v="564.12"/>
    <n v="1438.75"/>
    <n v="2.81"/>
    <n v="6.03"/>
    <n v="33.18"/>
    <n v="2.5499999999999998"/>
    <n v="874.63"/>
  </r>
  <r>
    <x v="19"/>
    <s v="LinkedIn Ads"/>
    <s v="Brand Awareness"/>
    <s v="Basic Plan"/>
    <n v="3285"/>
    <n v="74"/>
    <n v="10"/>
    <n v="717.63"/>
    <n v="2399.98"/>
    <n v="2.25"/>
    <n v="13.51"/>
    <n v="71.760000000000005"/>
    <n v="3.34"/>
    <n v="1682.35"/>
  </r>
  <r>
    <x v="19"/>
    <s v="Email Marketing"/>
    <s v="Retargeting"/>
    <s v="Enterprise Plan"/>
    <n v="9316"/>
    <n v="1408"/>
    <n v="123"/>
    <n v="98.17"/>
    <n v="15982.64"/>
    <n v="15.11"/>
    <n v="8.74"/>
    <n v="0.8"/>
    <n v="162.81"/>
    <n v="15884.47"/>
  </r>
  <r>
    <x v="19"/>
    <s v="Organic Search"/>
    <s v="Product Launch"/>
    <s v="Premium Plan"/>
    <n v="17645"/>
    <n v="788"/>
    <n v="93"/>
    <n v="0"/>
    <n v="12264.67"/>
    <n v="4.47"/>
    <n v="11.8"/>
    <n v="0"/>
    <n v="0"/>
    <n v="12264.67"/>
  </r>
  <r>
    <x v="19"/>
    <s v="Display Ads"/>
    <s v="Product Launch"/>
    <s v="Enterprise Plan"/>
    <n v="20025"/>
    <n v="230"/>
    <n v="8"/>
    <n v="470.24"/>
    <n v="1103.53"/>
    <n v="1.1499999999999999"/>
    <n v="3.48"/>
    <n v="58.78"/>
    <n v="2.35"/>
    <n v="633.29"/>
  </r>
  <r>
    <x v="19"/>
    <s v="YouTube Ads"/>
    <s v="Flash Sale"/>
    <s v="Add-on Service"/>
    <n v="11438"/>
    <n v="237"/>
    <n v="17"/>
    <n v="822.12"/>
    <n v="1912.37"/>
    <n v="2.0699999999999998"/>
    <n v="7.17"/>
    <n v="48.36"/>
    <n v="2.33"/>
    <n v="1090.25"/>
  </r>
  <r>
    <x v="19"/>
    <s v="Twitter Ads"/>
    <s v="Retargeting"/>
    <s v="Add-on Service"/>
    <n v="6804"/>
    <n v="190"/>
    <n v="10"/>
    <n v="251.92"/>
    <n v="1069.94"/>
    <n v="2.79"/>
    <n v="5.26"/>
    <n v="25.19"/>
    <n v="4.25"/>
    <n v="818.02"/>
  </r>
  <r>
    <x v="19"/>
    <s v="TikTok Ads"/>
    <s v="Product Launch"/>
    <s v="Premium Plan"/>
    <n v="13476"/>
    <n v="365"/>
    <n v="14"/>
    <n v="370.87"/>
    <n v="1102.3399999999999"/>
    <n v="2.71"/>
    <n v="3.84"/>
    <n v="26.49"/>
    <n v="2.97"/>
    <n v="731.47"/>
  </r>
  <r>
    <x v="19"/>
    <s v="Affiliate Marketing"/>
    <s v="Brand Awareness"/>
    <s v="Enterprise Plan"/>
    <n v="3558"/>
    <n v="189"/>
    <n v="23"/>
    <n v="374.57"/>
    <n v="2942.65"/>
    <n v="5.31"/>
    <n v="12.17"/>
    <n v="16.29"/>
    <n v="7.86"/>
    <n v="2568.08"/>
  </r>
  <r>
    <x v="19"/>
    <s v="Referral"/>
    <s v="Lead Generation"/>
    <s v="Add-on Service"/>
    <n v="2060"/>
    <n v="140"/>
    <n v="22"/>
    <n v="69.650000000000006"/>
    <n v="4147.34"/>
    <n v="6.8"/>
    <n v="15.71"/>
    <n v="3.17"/>
    <n v="59.55"/>
    <n v="4077.69"/>
  </r>
  <r>
    <x v="20"/>
    <s v="Google Ads"/>
    <s v="Product Launch"/>
    <s v="Premium Plan"/>
    <n v="6787"/>
    <n v="205"/>
    <n v="22"/>
    <n v="490.81"/>
    <n v="3706.59"/>
    <n v="3.02"/>
    <n v="10.73"/>
    <n v="22.31"/>
    <n v="7.55"/>
    <n v="3215.78"/>
  </r>
  <r>
    <x v="20"/>
    <s v="Facebook Ads"/>
    <s v="Brand Awareness"/>
    <s v="Add-on Service"/>
    <n v="10978"/>
    <n v="420"/>
    <n v="28"/>
    <n v="384.73"/>
    <n v="4044.33"/>
    <n v="3.83"/>
    <n v="6.67"/>
    <n v="13.74"/>
    <n v="10.51"/>
    <n v="3659.6"/>
  </r>
  <r>
    <x v="20"/>
    <s v="Instagram Ads"/>
    <s v="Retargeting"/>
    <s v="Enterprise Plan"/>
    <n v="9086"/>
    <n v="287"/>
    <n v="16"/>
    <n v="305.45999999999998"/>
    <n v="1463.69"/>
    <n v="3.16"/>
    <n v="5.57"/>
    <n v="19.09"/>
    <n v="4.79"/>
    <n v="1158.23"/>
  </r>
  <r>
    <x v="20"/>
    <s v="LinkedIn Ads"/>
    <s v="Flash Sale"/>
    <s v="Enterprise Plan"/>
    <n v="2753"/>
    <n v="80"/>
    <n v="11"/>
    <n v="635.66"/>
    <n v="3708.36"/>
    <n v="2.91"/>
    <n v="13.75"/>
    <n v="57.79"/>
    <n v="5.83"/>
    <n v="3072.7"/>
  </r>
  <r>
    <x v="20"/>
    <s v="Email Marketing"/>
    <s v="Retargeting"/>
    <s v="Add-on Service"/>
    <n v="11858"/>
    <n v="2278"/>
    <n v="307"/>
    <n v="164.12"/>
    <n v="41674.949999999997"/>
    <n v="19.21"/>
    <n v="13.48"/>
    <n v="0.53"/>
    <n v="253.93"/>
    <n v="41510.83"/>
  </r>
  <r>
    <x v="20"/>
    <s v="Organic Search"/>
    <s v="Seasonal Promotion"/>
    <s v="Premium Plan"/>
    <n v="11916"/>
    <n v="545"/>
    <n v="82"/>
    <n v="0"/>
    <n v="10019.790000000001"/>
    <n v="4.57"/>
    <n v="15.05"/>
    <n v="0"/>
    <n v="0"/>
    <n v="10019.790000000001"/>
  </r>
  <r>
    <x v="20"/>
    <s v="Display Ads"/>
    <s v="Retargeting"/>
    <s v="Add-on Service"/>
    <n v="15435"/>
    <n v="277"/>
    <n v="8"/>
    <n v="470.53"/>
    <n v="946.51"/>
    <n v="1.79"/>
    <n v="2.89"/>
    <n v="58.82"/>
    <n v="2.0099999999999998"/>
    <n v="475.98"/>
  </r>
  <r>
    <x v="20"/>
    <s v="YouTube Ads"/>
    <s v="Lead Generation"/>
    <s v="Enterprise Plan"/>
    <n v="13801"/>
    <n v="391"/>
    <n v="19"/>
    <n v="561.77"/>
    <n v="2101.59"/>
    <n v="2.83"/>
    <n v="4.8600000000000003"/>
    <n v="29.57"/>
    <n v="3.74"/>
    <n v="1539.82"/>
  </r>
  <r>
    <x v="20"/>
    <s v="Twitter Ads"/>
    <s v="Brand Awareness"/>
    <s v="Starter Kit"/>
    <n v="5632"/>
    <n v="159"/>
    <n v="7"/>
    <n v="340.68"/>
    <n v="589.78"/>
    <n v="2.82"/>
    <n v="4.4000000000000004"/>
    <n v="48.67"/>
    <n v="1.73"/>
    <n v="249.1"/>
  </r>
  <r>
    <x v="20"/>
    <s v="TikTok Ads"/>
    <s v="Brand Awareness"/>
    <s v="Add-on Service"/>
    <n v="12147"/>
    <n v="469"/>
    <n v="27"/>
    <n v="623.38"/>
    <n v="2644.83"/>
    <n v="3.86"/>
    <n v="5.76"/>
    <n v="23.09"/>
    <n v="4.24"/>
    <n v="2021.45"/>
  </r>
  <r>
    <x v="20"/>
    <s v="Affiliate Marketing"/>
    <s v="Seasonal Promotion"/>
    <s v="Basic Plan"/>
    <n v="5199"/>
    <n v="359"/>
    <n v="42"/>
    <n v="407.74"/>
    <n v="5527.18"/>
    <n v="6.91"/>
    <n v="11.7"/>
    <n v="9.7100000000000009"/>
    <n v="13.56"/>
    <n v="5119.4399999999996"/>
  </r>
  <r>
    <x v="20"/>
    <s v="Referral"/>
    <s v="Product Launch"/>
    <s v="Starter Kit"/>
    <n v="2991"/>
    <n v="285"/>
    <n v="38"/>
    <n v="98.7"/>
    <n v="4864.3900000000003"/>
    <n v="9.5299999999999994"/>
    <n v="13.33"/>
    <n v="2.6"/>
    <n v="49.28"/>
    <n v="4765.6899999999996"/>
  </r>
  <r>
    <x v="21"/>
    <s v="Google Ads"/>
    <s v="Brand Awareness"/>
    <s v="Enterprise Plan"/>
    <n v="9694"/>
    <n v="402"/>
    <n v="46"/>
    <n v="943.33"/>
    <n v="6951.1"/>
    <n v="4.1500000000000004"/>
    <n v="11.44"/>
    <n v="20.51"/>
    <n v="7.37"/>
    <n v="6007.77"/>
  </r>
  <r>
    <x v="21"/>
    <s v="Facebook Ads"/>
    <s v="Seasonal Promotion"/>
    <s v="Enterprise Plan"/>
    <n v="11621"/>
    <n v="260"/>
    <n v="16"/>
    <n v="797.12"/>
    <n v="1512.72"/>
    <n v="2.2400000000000002"/>
    <n v="6.15"/>
    <n v="49.82"/>
    <n v="1.9"/>
    <n v="715.6"/>
  </r>
  <r>
    <x v="21"/>
    <s v="Instagram Ads"/>
    <s v="Flash Sale"/>
    <s v="Premium Plan"/>
    <n v="14007"/>
    <n v="391"/>
    <n v="19"/>
    <n v="489.89"/>
    <n v="2164.7199999999998"/>
    <n v="2.79"/>
    <n v="4.8600000000000003"/>
    <n v="25.78"/>
    <n v="4.42"/>
    <n v="1674.83"/>
  </r>
  <r>
    <x v="21"/>
    <s v="LinkedIn Ads"/>
    <s v="Flash Sale"/>
    <s v="Enterprise Plan"/>
    <n v="3059"/>
    <n v="67"/>
    <n v="9"/>
    <n v="1351.52"/>
    <n v="2876.51"/>
    <n v="2.19"/>
    <n v="13.43"/>
    <n v="150.16999999999999"/>
    <n v="2.13"/>
    <n v="1524.99"/>
  </r>
  <r>
    <x v="21"/>
    <s v="Email Marketing"/>
    <s v="Seasonal Promotion"/>
    <s v="Enterprise Plan"/>
    <n v="13967"/>
    <n v="2697"/>
    <n v="349"/>
    <n v="165.48"/>
    <n v="53216.66"/>
    <n v="19.309999999999999"/>
    <n v="12.94"/>
    <n v="0.47"/>
    <n v="321.58999999999997"/>
    <n v="53051.18"/>
  </r>
  <r>
    <x v="21"/>
    <s v="Organic Search"/>
    <s v="Flash Sale"/>
    <s v="Starter Kit"/>
    <n v="29283"/>
    <n v="1196"/>
    <n v="164"/>
    <n v="0"/>
    <n v="19447.82"/>
    <n v="4.08"/>
    <n v="13.71"/>
    <n v="0"/>
    <n v="0"/>
    <n v="19447.82"/>
  </r>
  <r>
    <x v="21"/>
    <s v="Display Ads"/>
    <s v="Product Launch"/>
    <s v="Starter Kit"/>
    <n v="29822"/>
    <n v="577"/>
    <n v="21"/>
    <n v="747.05"/>
    <n v="1780.35"/>
    <n v="1.93"/>
    <n v="3.64"/>
    <n v="35.57"/>
    <n v="2.38"/>
    <n v="1033.3"/>
  </r>
  <r>
    <x v="21"/>
    <s v="YouTube Ads"/>
    <s v="Flash Sale"/>
    <s v="Enterprise Plan"/>
    <n v="15055"/>
    <n v="407"/>
    <n v="30"/>
    <n v="806.82"/>
    <n v="4393.8100000000004"/>
    <n v="2.7"/>
    <n v="7.37"/>
    <n v="26.89"/>
    <n v="5.45"/>
    <n v="3586.99"/>
  </r>
  <r>
    <x v="21"/>
    <s v="Twitter Ads"/>
    <s v="Seasonal Promotion"/>
    <s v="Basic Plan"/>
    <n v="10933"/>
    <n v="340"/>
    <n v="18"/>
    <n v="356.92"/>
    <n v="1884.99"/>
    <n v="3.11"/>
    <n v="5.29"/>
    <n v="19.829999999999998"/>
    <n v="5.28"/>
    <n v="1528.07"/>
  </r>
  <r>
    <x v="21"/>
    <s v="TikTok Ads"/>
    <s v="Lead Generation"/>
    <s v="Starter Kit"/>
    <n v="21140"/>
    <n v="545"/>
    <n v="31"/>
    <n v="536.34"/>
    <n v="2768.48"/>
    <n v="2.58"/>
    <n v="5.69"/>
    <n v="17.3"/>
    <n v="5.16"/>
    <n v="2232.14"/>
  </r>
  <r>
    <x v="21"/>
    <s v="Affiliate Marketing"/>
    <s v="Flash Sale"/>
    <s v="Starter Kit"/>
    <n v="8125"/>
    <n v="444"/>
    <n v="55"/>
    <n v="372.78"/>
    <n v="5922.95"/>
    <n v="5.46"/>
    <n v="12.39"/>
    <n v="6.78"/>
    <n v="15.89"/>
    <n v="5550.17"/>
  </r>
  <r>
    <x v="21"/>
    <s v="Referral"/>
    <s v="Flash Sale"/>
    <s v="Basic Plan"/>
    <n v="5313"/>
    <n v="373"/>
    <n v="63"/>
    <n v="109.4"/>
    <n v="7975.42"/>
    <n v="7.02"/>
    <n v="16.89"/>
    <n v="1.74"/>
    <n v="72.900000000000006"/>
    <n v="7866.02"/>
  </r>
  <r>
    <x v="22"/>
    <s v="Google Ads"/>
    <s v="Seasonal Promotion"/>
    <s v="Add-on Service"/>
    <n v="12313"/>
    <n v="506"/>
    <n v="58"/>
    <n v="861.99"/>
    <n v="6684.57"/>
    <n v="4.1100000000000003"/>
    <n v="11.46"/>
    <n v="14.86"/>
    <n v="7.75"/>
    <n v="5822.58"/>
  </r>
  <r>
    <x v="22"/>
    <s v="Facebook Ads"/>
    <s v="Product Launch"/>
    <s v="Starter Kit"/>
    <n v="10311"/>
    <n v="229"/>
    <n v="15"/>
    <n v="743.22"/>
    <n v="1728.8"/>
    <n v="2.2200000000000002"/>
    <n v="6.55"/>
    <n v="49.55"/>
    <n v="2.33"/>
    <n v="985.58"/>
  </r>
  <r>
    <x v="22"/>
    <s v="Instagram Ads"/>
    <s v="Seasonal Promotion"/>
    <s v="Premium Plan"/>
    <n v="9202"/>
    <n v="255"/>
    <n v="10"/>
    <n v="662.02"/>
    <n v="933.32"/>
    <n v="2.77"/>
    <n v="3.92"/>
    <n v="66.2"/>
    <n v="1.41"/>
    <n v="271.3"/>
  </r>
  <r>
    <x v="22"/>
    <s v="LinkedIn Ads"/>
    <s v="Product Launch"/>
    <s v="Enterprise Plan"/>
    <n v="4335"/>
    <n v="109"/>
    <n v="14"/>
    <n v="797.77"/>
    <n v="3970.31"/>
    <n v="2.5099999999999998"/>
    <n v="12.84"/>
    <n v="56.98"/>
    <n v="4.9800000000000004"/>
    <n v="3172.54"/>
  </r>
  <r>
    <x v="22"/>
    <s v="Email Marketing"/>
    <s v="Lead Generation"/>
    <s v="Starter Kit"/>
    <n v="17785"/>
    <n v="2784"/>
    <n v="264"/>
    <n v="182.21"/>
    <n v="29300.55"/>
    <n v="15.65"/>
    <n v="9.48"/>
    <n v="0.69"/>
    <n v="160.81"/>
    <n v="29118.34"/>
  </r>
  <r>
    <x v="22"/>
    <s v="Organic Search"/>
    <s v="Seasonal Promotion"/>
    <s v="Add-on Service"/>
    <n v="25241"/>
    <n v="1858"/>
    <n v="204"/>
    <n v="0"/>
    <n v="21413.16"/>
    <n v="7.36"/>
    <n v="10.98"/>
    <n v="0"/>
    <n v="0"/>
    <n v="21413.16"/>
  </r>
  <r>
    <x v="22"/>
    <s v="Display Ads"/>
    <s v="Flash Sale"/>
    <s v="Enterprise Plan"/>
    <n v="28405"/>
    <n v="328"/>
    <n v="12"/>
    <n v="960.66"/>
    <n v="1335.42"/>
    <n v="1.1499999999999999"/>
    <n v="3.66"/>
    <n v="80.05"/>
    <n v="1.39"/>
    <n v="374.76"/>
  </r>
  <r>
    <x v="22"/>
    <s v="YouTube Ads"/>
    <s v="Retargeting"/>
    <s v="Starter Kit"/>
    <n v="12771"/>
    <n v="346"/>
    <n v="17"/>
    <n v="948.35"/>
    <n v="1772.83"/>
    <n v="2.71"/>
    <n v="4.91"/>
    <n v="55.79"/>
    <n v="1.87"/>
    <n v="824.48"/>
  </r>
  <r>
    <x v="22"/>
    <s v="Twitter Ads"/>
    <s v="Retargeting"/>
    <s v="Basic Plan"/>
    <n v="11888"/>
    <n v="266"/>
    <n v="7"/>
    <n v="406.63"/>
    <n v="690.88"/>
    <n v="2.2400000000000002"/>
    <n v="2.63"/>
    <n v="58.09"/>
    <n v="1.7"/>
    <n v="284.25"/>
  </r>
  <r>
    <x v="22"/>
    <s v="TikTok Ads"/>
    <s v="Seasonal Promotion"/>
    <s v="Starter Kit"/>
    <n v="22763"/>
    <n v="727"/>
    <n v="45"/>
    <n v="889.38"/>
    <n v="3830.75"/>
    <n v="3.19"/>
    <n v="6.19"/>
    <n v="19.760000000000002"/>
    <n v="4.3099999999999996"/>
    <n v="2941.37"/>
  </r>
  <r>
    <x v="22"/>
    <s v="Affiliate Marketing"/>
    <s v="Flash Sale"/>
    <s v="Basic Plan"/>
    <n v="8109"/>
    <n v="493"/>
    <n v="61"/>
    <n v="498.55"/>
    <n v="8671.0499999999993"/>
    <n v="6.08"/>
    <n v="12.37"/>
    <n v="8.17"/>
    <n v="17.39"/>
    <n v="8172.5"/>
  </r>
  <r>
    <x v="22"/>
    <s v="Referral"/>
    <s v="Flash Sale"/>
    <s v="Premium Plan"/>
    <n v="4023"/>
    <n v="314"/>
    <n v="41"/>
    <n v="121.83"/>
    <n v="4938.62"/>
    <n v="7.81"/>
    <n v="13.06"/>
    <n v="2.97"/>
    <n v="40.54"/>
    <n v="4816.79"/>
  </r>
  <r>
    <x v="23"/>
    <s v="Google Ads"/>
    <s v="Product Launch"/>
    <s v="Add-on Service"/>
    <n v="8224"/>
    <n v="268"/>
    <n v="28"/>
    <n v="1262.6099999999999"/>
    <n v="4199.87"/>
    <n v="3.26"/>
    <n v="10.45"/>
    <n v="45.09"/>
    <n v="3.33"/>
    <n v="2937.26"/>
  </r>
  <r>
    <x v="23"/>
    <s v="Facebook Ads"/>
    <s v="Flash Sale"/>
    <s v="Add-on Service"/>
    <n v="13572"/>
    <n v="284"/>
    <n v="20"/>
    <n v="520.58000000000004"/>
    <n v="2005.7"/>
    <n v="2.09"/>
    <n v="7.04"/>
    <n v="26.03"/>
    <n v="3.85"/>
    <n v="1485.12"/>
  </r>
  <r>
    <x v="23"/>
    <s v="Instagram Ads"/>
    <s v="Product Launch"/>
    <s v="Premium Plan"/>
    <n v="14256"/>
    <n v="577"/>
    <n v="36"/>
    <n v="454.54"/>
    <n v="3292.26"/>
    <n v="4.05"/>
    <n v="6.24"/>
    <n v="12.63"/>
    <n v="7.24"/>
    <n v="2837.72"/>
  </r>
  <r>
    <x v="23"/>
    <s v="LinkedIn Ads"/>
    <s v="Lead Generation"/>
    <s v="Enterprise Plan"/>
    <n v="4164"/>
    <n v="111"/>
    <n v="13"/>
    <n v="922.16"/>
    <n v="2822.93"/>
    <n v="2.67"/>
    <n v="11.71"/>
    <n v="70.94"/>
    <n v="3.06"/>
    <n v="1900.77"/>
  </r>
  <r>
    <x v="23"/>
    <s v="Email Marketing"/>
    <s v="Lead Generation"/>
    <s v="Basic Plan"/>
    <n v="18392"/>
    <n v="3972"/>
    <n v="344"/>
    <n v="134.47999999999999"/>
    <n v="43143.29"/>
    <n v="21.6"/>
    <n v="8.66"/>
    <n v="0.39"/>
    <n v="320.82"/>
    <n v="43008.81"/>
  </r>
  <r>
    <x v="23"/>
    <s v="Organic Search"/>
    <s v="Lead Generation"/>
    <s v="Premium Plan"/>
    <n v="17380"/>
    <n v="1233"/>
    <n v="140"/>
    <n v="0"/>
    <n v="20959.86"/>
    <n v="7.09"/>
    <n v="11.35"/>
    <n v="0"/>
    <n v="0"/>
    <n v="20959.86"/>
  </r>
  <r>
    <x v="23"/>
    <s v="Display Ads"/>
    <s v="Brand Awareness"/>
    <s v="Basic Plan"/>
    <n v="30645"/>
    <n v="336"/>
    <n v="15"/>
    <n v="595.16"/>
    <n v="2038.58"/>
    <n v="1.1000000000000001"/>
    <n v="4.46"/>
    <n v="39.68"/>
    <n v="3.43"/>
    <n v="1443.42"/>
  </r>
  <r>
    <x v="23"/>
    <s v="YouTube Ads"/>
    <s v="Retargeting"/>
    <s v="Add-on Service"/>
    <n v="17041"/>
    <n v="279"/>
    <n v="13"/>
    <n v="1137.83"/>
    <n v="1743.46"/>
    <n v="1.64"/>
    <n v="4.66"/>
    <n v="87.53"/>
    <n v="1.53"/>
    <n v="605.63"/>
  </r>
  <r>
    <x v="23"/>
    <s v="Twitter Ads"/>
    <s v="Brand Awareness"/>
    <s v="Starter Kit"/>
    <n v="11698"/>
    <n v="286"/>
    <n v="11"/>
    <n v="383.41"/>
    <n v="1101.98"/>
    <n v="2.44"/>
    <n v="3.85"/>
    <n v="34.86"/>
    <n v="2.87"/>
    <n v="718.57"/>
  </r>
  <r>
    <x v="23"/>
    <s v="TikTok Ads"/>
    <s v="Retargeting"/>
    <s v="Add-on Service"/>
    <n v="18983"/>
    <n v="697"/>
    <n v="28"/>
    <n v="679.01"/>
    <n v="2790.36"/>
    <n v="3.67"/>
    <n v="4.0199999999999996"/>
    <n v="24.25"/>
    <n v="4.1100000000000003"/>
    <n v="2111.35"/>
  </r>
  <r>
    <x v="23"/>
    <s v="Affiliate Marketing"/>
    <s v="Lead Generation"/>
    <s v="Starter Kit"/>
    <n v="7196"/>
    <n v="359"/>
    <n v="34"/>
    <n v="306.39999999999998"/>
    <n v="4984.51"/>
    <n v="4.99"/>
    <n v="9.4700000000000006"/>
    <n v="9.01"/>
    <n v="16.27"/>
    <n v="4678.1099999999997"/>
  </r>
  <r>
    <x v="23"/>
    <s v="Referral"/>
    <s v="Retargeting"/>
    <s v="Starter Kit"/>
    <n v="3458"/>
    <n v="289"/>
    <n v="39"/>
    <n v="100.81"/>
    <n v="5346.42"/>
    <n v="8.36"/>
    <n v="13.49"/>
    <n v="2.58"/>
    <n v="53.03"/>
    <n v="5245.61"/>
  </r>
  <r>
    <x v="24"/>
    <s v="Google Ads"/>
    <s v="Lead Generation"/>
    <s v="Basic Plan"/>
    <n v="7758"/>
    <n v="355"/>
    <n v="42"/>
    <n v="1256.1400000000001"/>
    <n v="5982.23"/>
    <n v="4.58"/>
    <n v="11.83"/>
    <n v="29.91"/>
    <n v="4.76"/>
    <n v="4726.09"/>
  </r>
  <r>
    <x v="24"/>
    <s v="Facebook Ads"/>
    <s v="Flash Sale"/>
    <s v="Premium Plan"/>
    <n v="13571"/>
    <n v="342"/>
    <n v="17"/>
    <n v="907.02"/>
    <n v="1598.29"/>
    <n v="2.52"/>
    <n v="4.97"/>
    <n v="53.35"/>
    <n v="1.76"/>
    <n v="691.27"/>
  </r>
  <r>
    <x v="24"/>
    <s v="Instagram Ads"/>
    <s v="Brand Awareness"/>
    <s v="Starter Kit"/>
    <n v="14019"/>
    <n v="542"/>
    <n v="28"/>
    <n v="488.15"/>
    <n v="2461.2399999999998"/>
    <n v="3.87"/>
    <n v="5.17"/>
    <n v="17.43"/>
    <n v="5.04"/>
    <n v="1973.09"/>
  </r>
  <r>
    <x v="24"/>
    <s v="LinkedIn Ads"/>
    <s v="Lead Generation"/>
    <s v="Basic Plan"/>
    <n v="3383"/>
    <n v="77"/>
    <n v="7"/>
    <n v="1031.71"/>
    <n v="1877.97"/>
    <n v="2.2799999999999998"/>
    <n v="9.09"/>
    <n v="147.38999999999999"/>
    <n v="1.82"/>
    <n v="846.26"/>
  </r>
  <r>
    <x v="24"/>
    <s v="Email Marketing"/>
    <s v="Flash Sale"/>
    <s v="Add-on Service"/>
    <n v="19443"/>
    <n v="4853"/>
    <n v="602"/>
    <n v="99.87"/>
    <n v="62763.38"/>
    <n v="24.96"/>
    <n v="12.4"/>
    <n v="0.17"/>
    <n v="628.45000000000005"/>
    <n v="62663.51"/>
  </r>
  <r>
    <x v="24"/>
    <s v="Organic Search"/>
    <s v="Retargeting"/>
    <s v="Premium Plan"/>
    <n v="23817"/>
    <n v="991"/>
    <n v="128"/>
    <n v="0"/>
    <n v="13525.73"/>
    <n v="4.16"/>
    <n v="12.92"/>
    <n v="0"/>
    <n v="0"/>
    <n v="13525.73"/>
  </r>
  <r>
    <x v="24"/>
    <s v="Display Ads"/>
    <s v="Seasonal Promotion"/>
    <s v="Basic Plan"/>
    <n v="28026"/>
    <n v="336"/>
    <n v="7"/>
    <n v="840.66"/>
    <n v="737.05"/>
    <n v="1.2"/>
    <n v="2.08"/>
    <n v="120.09"/>
    <n v="0.88"/>
    <n v="-103.61"/>
  </r>
  <r>
    <x v="24"/>
    <s v="YouTube Ads"/>
    <s v="Brand Awareness"/>
    <s v="Starter Kit"/>
    <n v="20536"/>
    <n v="521"/>
    <n v="34"/>
    <n v="1028.18"/>
    <n v="3604.08"/>
    <n v="2.54"/>
    <n v="6.53"/>
    <n v="30.24"/>
    <n v="3.51"/>
    <n v="2575.9"/>
  </r>
  <r>
    <x v="24"/>
    <s v="Twitter Ads"/>
    <s v="Lead Generation"/>
    <s v="Starter Kit"/>
    <n v="7295"/>
    <n v="177"/>
    <n v="9"/>
    <n v="442.7"/>
    <n v="887.21"/>
    <n v="2.4300000000000002"/>
    <n v="5.08"/>
    <n v="49.19"/>
    <n v="2"/>
    <n v="444.51"/>
  </r>
  <r>
    <x v="24"/>
    <s v="TikTok Ads"/>
    <s v="Flash Sale"/>
    <s v="Add-on Service"/>
    <n v="18516"/>
    <n v="463"/>
    <n v="22"/>
    <n v="592.11"/>
    <n v="2157.79"/>
    <n v="2.5"/>
    <n v="4.75"/>
    <n v="26.91"/>
    <n v="3.64"/>
    <n v="1565.68"/>
  </r>
  <r>
    <x v="24"/>
    <s v="Affiliate Marketing"/>
    <s v="Seasonal Promotion"/>
    <s v="Add-on Service"/>
    <n v="5020"/>
    <n v="343"/>
    <n v="37"/>
    <n v="532.02"/>
    <n v="4808.28"/>
    <n v="6.83"/>
    <n v="10.79"/>
    <n v="14.38"/>
    <n v="9.0399999999999991"/>
    <n v="4276.26"/>
  </r>
  <r>
    <x v="24"/>
    <s v="Referral"/>
    <s v="Product Launch"/>
    <s v="Starter Kit"/>
    <n v="4412"/>
    <n v="226"/>
    <n v="32"/>
    <n v="161.13999999999999"/>
    <n v="4622.92"/>
    <n v="5.12"/>
    <n v="14.16"/>
    <n v="5.04"/>
    <n v="28.69"/>
    <n v="4461.78"/>
  </r>
  <r>
    <x v="25"/>
    <s v="Google Ads"/>
    <s v="Seasonal Promotion"/>
    <s v="Add-on Service"/>
    <n v="10513"/>
    <n v="332"/>
    <n v="31"/>
    <n v="987.78"/>
    <n v="5590.34"/>
    <n v="3.16"/>
    <n v="9.34"/>
    <n v="31.86"/>
    <n v="5.66"/>
    <n v="4602.5600000000004"/>
  </r>
  <r>
    <x v="25"/>
    <s v="Facebook Ads"/>
    <s v="Retargeting"/>
    <s v="Add-on Service"/>
    <n v="12367"/>
    <n v="453"/>
    <n v="30"/>
    <n v="511.59"/>
    <n v="3880.53"/>
    <n v="3.66"/>
    <n v="6.62"/>
    <n v="17.05"/>
    <n v="7.59"/>
    <n v="3368.94"/>
  </r>
  <r>
    <x v="25"/>
    <s v="Instagram Ads"/>
    <s v="Retargeting"/>
    <s v="Basic Plan"/>
    <n v="12249"/>
    <n v="437"/>
    <n v="31"/>
    <n v="570.45000000000005"/>
    <n v="2435.4699999999998"/>
    <n v="3.57"/>
    <n v="7.09"/>
    <n v="18.399999999999999"/>
    <n v="4.2699999999999996"/>
    <n v="1865.02"/>
  </r>
  <r>
    <x v="25"/>
    <s v="LinkedIn Ads"/>
    <s v="Flash Sale"/>
    <s v="Starter Kit"/>
    <n v="3902"/>
    <n v="105"/>
    <n v="11"/>
    <n v="928.5"/>
    <n v="3209.95"/>
    <n v="2.69"/>
    <n v="10.48"/>
    <n v="84.41"/>
    <n v="3.46"/>
    <n v="2281.4499999999998"/>
  </r>
  <r>
    <x v="25"/>
    <s v="Email Marketing"/>
    <s v="Retargeting"/>
    <s v="Enterprise Plan"/>
    <n v="16226"/>
    <n v="4022"/>
    <n v="378"/>
    <n v="113.65"/>
    <n v="48851.99"/>
    <n v="24.79"/>
    <n v="9.4"/>
    <n v="0.3"/>
    <n v="429.85"/>
    <n v="48738.34"/>
  </r>
  <r>
    <x v="25"/>
    <s v="Organic Search"/>
    <s v="Lead Generation"/>
    <s v="Enterprise Plan"/>
    <n v="18102"/>
    <n v="938"/>
    <n v="109"/>
    <n v="0"/>
    <n v="16404.11"/>
    <n v="5.18"/>
    <n v="11.62"/>
    <n v="0"/>
    <n v="0"/>
    <n v="16404.11"/>
  </r>
  <r>
    <x v="25"/>
    <s v="Display Ads"/>
    <s v="Seasonal Promotion"/>
    <s v="Starter Kit"/>
    <n v="28740"/>
    <n v="451"/>
    <n v="21"/>
    <n v="863.35"/>
    <n v="1846.21"/>
    <n v="1.57"/>
    <n v="4.66"/>
    <n v="41.11"/>
    <n v="2.14"/>
    <n v="982.86"/>
  </r>
  <r>
    <x v="25"/>
    <s v="YouTube Ads"/>
    <s v="Flash Sale"/>
    <s v="Basic Plan"/>
    <n v="20198"/>
    <n v="440"/>
    <n v="17"/>
    <n v="697.78"/>
    <n v="1634.72"/>
    <n v="2.1800000000000002"/>
    <n v="3.86"/>
    <n v="41.05"/>
    <n v="2.34"/>
    <n v="936.94"/>
  </r>
  <r>
    <x v="25"/>
    <s v="Twitter Ads"/>
    <s v="Product Launch"/>
    <s v="Starter Kit"/>
    <n v="7526"/>
    <n v="260"/>
    <n v="12"/>
    <n v="670.45"/>
    <n v="1227.19"/>
    <n v="3.45"/>
    <n v="4.62"/>
    <n v="55.87"/>
    <n v="1.83"/>
    <n v="556.74"/>
  </r>
  <r>
    <x v="25"/>
    <s v="TikTok Ads"/>
    <s v="Brand Awareness"/>
    <s v="Enterprise Plan"/>
    <n v="21072"/>
    <n v="935"/>
    <n v="33"/>
    <n v="751.53"/>
    <n v="3514.98"/>
    <n v="4.4400000000000004"/>
    <n v="3.53"/>
    <n v="22.77"/>
    <n v="4.68"/>
    <n v="2763.45"/>
  </r>
  <r>
    <x v="25"/>
    <s v="Affiliate Marketing"/>
    <s v="Lead Generation"/>
    <s v="Enterprise Plan"/>
    <n v="8237"/>
    <n v="453"/>
    <n v="50"/>
    <n v="333.94"/>
    <n v="6389"/>
    <n v="5.5"/>
    <n v="11.04"/>
    <n v="6.68"/>
    <n v="19.13"/>
    <n v="6055.06"/>
  </r>
  <r>
    <x v="25"/>
    <s v="Referral"/>
    <s v="Product Launch"/>
    <s v="Enterprise Plan"/>
    <n v="3212"/>
    <n v="255"/>
    <n v="35"/>
    <n v="98.32"/>
    <n v="5385.4"/>
    <n v="7.94"/>
    <n v="13.73"/>
    <n v="2.81"/>
    <n v="54.77"/>
    <n v="5287.08"/>
  </r>
  <r>
    <x v="26"/>
    <s v="Google Ads"/>
    <s v="Seasonal Promotion"/>
    <s v="Premium Plan"/>
    <n v="8421"/>
    <n v="383"/>
    <n v="41"/>
    <n v="749.16"/>
    <n v="5290.6"/>
    <n v="4.55"/>
    <n v="10.7"/>
    <n v="18.27"/>
    <n v="7.06"/>
    <n v="4541.4399999999996"/>
  </r>
  <r>
    <x v="26"/>
    <s v="Facebook Ads"/>
    <s v="Lead Generation"/>
    <s v="Basic Plan"/>
    <n v="9863"/>
    <n v="242"/>
    <n v="12"/>
    <n v="685.4"/>
    <n v="1388.38"/>
    <n v="2.4500000000000002"/>
    <n v="4.96"/>
    <n v="57.12"/>
    <n v="2.0299999999999998"/>
    <n v="702.98"/>
  </r>
  <r>
    <x v="26"/>
    <s v="Instagram Ads"/>
    <s v="Lead Generation"/>
    <s v="Starter Kit"/>
    <n v="6973"/>
    <n v="192"/>
    <n v="8"/>
    <n v="390.1"/>
    <n v="861.96"/>
    <n v="2.75"/>
    <n v="4.17"/>
    <n v="48.76"/>
    <n v="2.21"/>
    <n v="471.86"/>
  </r>
  <r>
    <x v="26"/>
    <s v="LinkedIn Ads"/>
    <s v="Flash Sale"/>
    <s v="Basic Plan"/>
    <n v="3474"/>
    <n v="77"/>
    <n v="10"/>
    <n v="1045.3499999999999"/>
    <n v="2246.35"/>
    <n v="2.2200000000000002"/>
    <n v="12.99"/>
    <n v="104.54"/>
    <n v="2.15"/>
    <n v="1201"/>
  </r>
  <r>
    <x v="26"/>
    <s v="Email Marketing"/>
    <s v="Flash Sale"/>
    <s v="Basic Plan"/>
    <n v="11097"/>
    <n v="1793"/>
    <n v="233"/>
    <n v="151.91999999999999"/>
    <n v="30264.59"/>
    <n v="16.16"/>
    <n v="12.99"/>
    <n v="0.65"/>
    <n v="199.21"/>
    <n v="30112.67"/>
  </r>
  <r>
    <x v="26"/>
    <s v="Organic Search"/>
    <s v="Brand Awareness"/>
    <s v="Starter Kit"/>
    <n v="12150"/>
    <n v="932"/>
    <n v="97"/>
    <n v="0"/>
    <n v="13237.05"/>
    <n v="7.67"/>
    <n v="10.41"/>
    <n v="0"/>
    <n v="0"/>
    <n v="13237.05"/>
  </r>
  <r>
    <x v="26"/>
    <s v="Display Ads"/>
    <s v="Retargeting"/>
    <s v="Enterprise Plan"/>
    <n v="20988"/>
    <n v="281"/>
    <n v="8"/>
    <n v="503.22"/>
    <n v="817.55"/>
    <n v="1.34"/>
    <n v="2.85"/>
    <n v="62.9"/>
    <n v="1.62"/>
    <n v="314.33"/>
  </r>
  <r>
    <x v="26"/>
    <s v="YouTube Ads"/>
    <s v="Seasonal Promotion"/>
    <s v="Starter Kit"/>
    <n v="11669"/>
    <n v="177"/>
    <n v="9"/>
    <n v="741.19"/>
    <n v="974.02"/>
    <n v="1.52"/>
    <n v="5.08"/>
    <n v="82.35"/>
    <n v="1.31"/>
    <n v="232.83"/>
  </r>
  <r>
    <x v="26"/>
    <s v="Twitter Ads"/>
    <s v="Retargeting"/>
    <s v="Premium Plan"/>
    <n v="7110"/>
    <n v="163"/>
    <n v="7"/>
    <n v="331.07"/>
    <n v="638.67999999999995"/>
    <n v="2.29"/>
    <n v="4.29"/>
    <n v="47.3"/>
    <n v="1.93"/>
    <n v="307.61"/>
  </r>
  <r>
    <x v="26"/>
    <s v="TikTok Ads"/>
    <s v="Lead Generation"/>
    <s v="Starter Kit"/>
    <n v="14090"/>
    <n v="368"/>
    <n v="16"/>
    <n v="625.70000000000005"/>
    <n v="1228.82"/>
    <n v="2.61"/>
    <n v="4.3499999999999996"/>
    <n v="39.11"/>
    <n v="1.96"/>
    <n v="603.12"/>
  </r>
  <r>
    <x v="26"/>
    <s v="Affiliate Marketing"/>
    <s v="Retargeting"/>
    <s v="Add-on Service"/>
    <n v="5020"/>
    <n v="201"/>
    <n v="20"/>
    <n v="263.93"/>
    <n v="2440.0700000000002"/>
    <n v="4"/>
    <n v="9.9499999999999993"/>
    <n v="13.2"/>
    <n v="9.25"/>
    <n v="2176.14"/>
  </r>
  <r>
    <x v="26"/>
    <s v="Referral"/>
    <s v="Flash Sale"/>
    <s v="Premium Plan"/>
    <n v="2356"/>
    <n v="146"/>
    <n v="19"/>
    <n v="117.06"/>
    <n v="3311.9"/>
    <n v="6.2"/>
    <n v="13.01"/>
    <n v="6.16"/>
    <n v="28.29"/>
    <n v="3194.84"/>
  </r>
  <r>
    <x v="27"/>
    <s v="Google Ads"/>
    <s v="Seasonal Promotion"/>
    <s v="Starter Kit"/>
    <n v="5952"/>
    <n v="278"/>
    <n v="29"/>
    <n v="687.49"/>
    <n v="4945.29"/>
    <n v="4.67"/>
    <n v="10.43"/>
    <n v="23.71"/>
    <n v="7.19"/>
    <n v="4257.8"/>
  </r>
  <r>
    <x v="27"/>
    <s v="Facebook Ads"/>
    <s v="Retargeting"/>
    <s v="Premium Plan"/>
    <n v="8294"/>
    <n v="183"/>
    <n v="16"/>
    <n v="561.89"/>
    <n v="1664.36"/>
    <n v="2.21"/>
    <n v="8.74"/>
    <n v="35.119999999999997"/>
    <n v="2.96"/>
    <n v="1102.47"/>
  </r>
  <r>
    <x v="27"/>
    <s v="Instagram Ads"/>
    <s v="Product Launch"/>
    <s v="Enterprise Plan"/>
    <n v="9387"/>
    <n v="237"/>
    <n v="13"/>
    <n v="567.58000000000004"/>
    <n v="1191.44"/>
    <n v="2.52"/>
    <n v="5.49"/>
    <n v="43.66"/>
    <n v="2.1"/>
    <n v="623.86"/>
  </r>
  <r>
    <x v="27"/>
    <s v="LinkedIn Ads"/>
    <s v="Retargeting"/>
    <s v="Starter Kit"/>
    <n v="2996"/>
    <n v="54"/>
    <n v="6"/>
    <n v="893.37"/>
    <n v="1899.18"/>
    <n v="1.8"/>
    <n v="11.11"/>
    <n v="148.9"/>
    <n v="2.13"/>
    <n v="1005.81"/>
  </r>
  <r>
    <x v="27"/>
    <s v="Email Marketing"/>
    <s v="Seasonal Promotion"/>
    <s v="Add-on Service"/>
    <n v="14142"/>
    <n v="2340"/>
    <n v="245"/>
    <n v="134.36000000000001"/>
    <n v="38193.449999999997"/>
    <n v="16.55"/>
    <n v="10.47"/>
    <n v="0.55000000000000004"/>
    <n v="284.26"/>
    <n v="38059.089999999997"/>
  </r>
  <r>
    <x v="27"/>
    <s v="Organic Search"/>
    <s v="Seasonal Promotion"/>
    <s v="Basic Plan"/>
    <n v="18113"/>
    <n v="1122"/>
    <n v="161"/>
    <n v="0"/>
    <n v="19370.62"/>
    <n v="6.19"/>
    <n v="14.35"/>
    <n v="0"/>
    <n v="0"/>
    <n v="19370.62"/>
  </r>
  <r>
    <x v="27"/>
    <s v="Display Ads"/>
    <s v="Retargeting"/>
    <s v="Basic Plan"/>
    <n v="16316"/>
    <n v="282"/>
    <n v="6"/>
    <n v="758.03"/>
    <n v="538.20000000000005"/>
    <n v="1.73"/>
    <n v="2.13"/>
    <n v="126.34"/>
    <n v="0.71"/>
    <n v="-219.83"/>
  </r>
  <r>
    <x v="27"/>
    <s v="YouTube Ads"/>
    <s v="Product Launch"/>
    <s v="Starter Kit"/>
    <n v="13468"/>
    <n v="382"/>
    <n v="15"/>
    <n v="486"/>
    <n v="2003.62"/>
    <n v="2.84"/>
    <n v="3.93"/>
    <n v="32.4"/>
    <n v="4.12"/>
    <n v="1517.62"/>
  </r>
  <r>
    <x v="27"/>
    <s v="Twitter Ads"/>
    <s v="Retargeting"/>
    <s v="Premium Plan"/>
    <n v="5728"/>
    <n v="171"/>
    <n v="5"/>
    <n v="357.04"/>
    <n v="502.03"/>
    <n v="2.99"/>
    <n v="2.92"/>
    <n v="71.41"/>
    <n v="1.41"/>
    <n v="144.99"/>
  </r>
  <r>
    <x v="27"/>
    <s v="TikTok Ads"/>
    <s v="Retargeting"/>
    <s v="Enterprise Plan"/>
    <n v="11989"/>
    <n v="512"/>
    <n v="25"/>
    <n v="614.91999999999996"/>
    <n v="2279.5500000000002"/>
    <n v="4.2699999999999996"/>
    <n v="4.88"/>
    <n v="24.6"/>
    <n v="3.71"/>
    <n v="1664.63"/>
  </r>
  <r>
    <x v="27"/>
    <s v="Affiliate Marketing"/>
    <s v="Flash Sale"/>
    <s v="Starter Kit"/>
    <n v="4363"/>
    <n v="269"/>
    <n v="33"/>
    <n v="250.82"/>
    <n v="4540.18"/>
    <n v="6.17"/>
    <n v="12.27"/>
    <n v="7.6"/>
    <n v="18.100000000000001"/>
    <n v="4289.3599999999997"/>
  </r>
  <r>
    <x v="27"/>
    <s v="Referral"/>
    <s v="Flash Sale"/>
    <s v="Basic Plan"/>
    <n v="3292"/>
    <n v="241"/>
    <n v="33"/>
    <n v="78.88"/>
    <n v="5556.8"/>
    <n v="7.32"/>
    <n v="13.69"/>
    <n v="2.39"/>
    <n v="70.45"/>
    <n v="5477.92"/>
  </r>
  <r>
    <x v="28"/>
    <s v="Google Ads"/>
    <s v="Retargeting"/>
    <s v="Basic Plan"/>
    <n v="11169"/>
    <n v="438"/>
    <n v="41"/>
    <n v="1192.8399999999999"/>
    <n v="5578.19"/>
    <n v="3.92"/>
    <n v="9.36"/>
    <n v="29.09"/>
    <n v="4.68"/>
    <n v="4385.3500000000004"/>
  </r>
  <r>
    <x v="28"/>
    <s v="Facebook Ads"/>
    <s v="Seasonal Promotion"/>
    <s v="Add-on Service"/>
    <n v="12312"/>
    <n v="278"/>
    <n v="22"/>
    <n v="620.88"/>
    <n v="2027.92"/>
    <n v="2.2599999999999998"/>
    <n v="7.91"/>
    <n v="28.22"/>
    <n v="3.27"/>
    <n v="1407.04"/>
  </r>
  <r>
    <x v="28"/>
    <s v="Instagram Ads"/>
    <s v="Brand Awareness"/>
    <s v="Starter Kit"/>
    <n v="12801"/>
    <n v="384"/>
    <n v="16"/>
    <n v="634.29"/>
    <n v="1268.52"/>
    <n v="3"/>
    <n v="4.17"/>
    <n v="39.64"/>
    <n v="2"/>
    <n v="634.23"/>
  </r>
  <r>
    <x v="28"/>
    <s v="LinkedIn Ads"/>
    <s v="Seasonal Promotion"/>
    <s v="Add-on Service"/>
    <n v="2958"/>
    <n v="78"/>
    <n v="9"/>
    <n v="1002.13"/>
    <n v="2114.0300000000002"/>
    <n v="2.64"/>
    <n v="11.54"/>
    <n v="111.35"/>
    <n v="2.11"/>
    <n v="1111.9000000000001"/>
  </r>
  <r>
    <x v="28"/>
    <s v="Email Marketing"/>
    <s v="Flash Sale"/>
    <s v="Premium Plan"/>
    <n v="16407"/>
    <n v="3110"/>
    <n v="303"/>
    <n v="216.11"/>
    <n v="46784.25"/>
    <n v="18.96"/>
    <n v="9.74"/>
    <n v="0.71"/>
    <n v="216.48"/>
    <n v="46568.14"/>
  </r>
  <r>
    <x v="28"/>
    <s v="Organic Search"/>
    <s v="Brand Awareness"/>
    <s v="Starter Kit"/>
    <n v="22848"/>
    <n v="1654"/>
    <n v="233"/>
    <n v="0"/>
    <n v="36625.760000000002"/>
    <n v="7.24"/>
    <n v="14.09"/>
    <n v="0"/>
    <n v="0"/>
    <n v="36625.760000000002"/>
  </r>
  <r>
    <x v="28"/>
    <s v="Display Ads"/>
    <s v="Lead Generation"/>
    <s v="Starter Kit"/>
    <n v="21437"/>
    <n v="421"/>
    <n v="19"/>
    <n v="841.66"/>
    <n v="2639.76"/>
    <n v="1.96"/>
    <n v="4.51"/>
    <n v="44.3"/>
    <n v="3.14"/>
    <n v="1798.1"/>
  </r>
  <r>
    <x v="28"/>
    <s v="YouTube Ads"/>
    <s v="Lead Generation"/>
    <s v="Premium Plan"/>
    <n v="15437"/>
    <n v="318"/>
    <n v="17"/>
    <n v="916.61"/>
    <n v="1893.21"/>
    <n v="2.06"/>
    <n v="5.35"/>
    <n v="53.92"/>
    <n v="2.0699999999999998"/>
    <n v="976.6"/>
  </r>
  <r>
    <x v="28"/>
    <s v="Twitter Ads"/>
    <s v="Product Launch"/>
    <s v="Starter Kit"/>
    <n v="6948"/>
    <n v="186"/>
    <n v="9"/>
    <n v="491.16"/>
    <n v="819.08"/>
    <n v="2.68"/>
    <n v="4.84"/>
    <n v="54.57"/>
    <n v="1.67"/>
    <n v="327.92"/>
  </r>
  <r>
    <x v="28"/>
    <s v="TikTok Ads"/>
    <s v="Product Launch"/>
    <s v="Basic Plan"/>
    <n v="22037"/>
    <n v="782"/>
    <n v="27"/>
    <n v="898.74"/>
    <n v="2958.21"/>
    <n v="3.55"/>
    <n v="3.45"/>
    <n v="33.29"/>
    <n v="3.29"/>
    <n v="2059.4699999999998"/>
  </r>
  <r>
    <x v="28"/>
    <s v="Affiliate Marketing"/>
    <s v="Retargeting"/>
    <s v="Enterprise Plan"/>
    <n v="7668"/>
    <n v="452"/>
    <n v="55"/>
    <n v="344.01"/>
    <n v="7482.23"/>
    <n v="5.89"/>
    <n v="12.17"/>
    <n v="6.25"/>
    <n v="21.75"/>
    <n v="7138.22"/>
  </r>
  <r>
    <x v="28"/>
    <s v="Referral"/>
    <s v="Product Launch"/>
    <s v="Starter Kit"/>
    <n v="3668"/>
    <n v="242"/>
    <n v="29"/>
    <n v="49.91"/>
    <n v="5191.43"/>
    <n v="6.6"/>
    <n v="11.98"/>
    <n v="1.72"/>
    <n v="104.02"/>
    <n v="5141.5200000000004"/>
  </r>
  <r>
    <x v="29"/>
    <s v="Google Ads"/>
    <s v="Product Launch"/>
    <s v="Starter Kit"/>
    <n v="11139"/>
    <n v="360"/>
    <n v="34"/>
    <n v="841.69"/>
    <n v="3933.07"/>
    <n v="3.23"/>
    <n v="9.44"/>
    <n v="24.76"/>
    <n v="4.67"/>
    <n v="3091.38"/>
  </r>
  <r>
    <x v="29"/>
    <s v="Facebook Ads"/>
    <s v="Product Launch"/>
    <s v="Premium Plan"/>
    <n v="13358"/>
    <n v="303"/>
    <n v="23"/>
    <n v="946.42"/>
    <n v="2694.38"/>
    <n v="2.27"/>
    <n v="7.59"/>
    <n v="41.15"/>
    <n v="2.85"/>
    <n v="1747.96"/>
  </r>
  <r>
    <x v="29"/>
    <s v="Instagram Ads"/>
    <s v="Retargeting"/>
    <s v="Premium Plan"/>
    <n v="9740"/>
    <n v="436"/>
    <n v="21"/>
    <n v="543.82000000000005"/>
    <n v="2626.79"/>
    <n v="4.4800000000000004"/>
    <n v="4.82"/>
    <n v="25.9"/>
    <n v="4.83"/>
    <n v="2082.9699999999998"/>
  </r>
  <r>
    <x v="29"/>
    <s v="LinkedIn Ads"/>
    <s v="Flash Sale"/>
    <s v="Add-on Service"/>
    <n v="3054"/>
    <n v="54"/>
    <n v="7"/>
    <n v="914.64"/>
    <n v="1934.4"/>
    <n v="1.77"/>
    <n v="12.96"/>
    <n v="130.66"/>
    <n v="2.11"/>
    <n v="1019.76"/>
  </r>
  <r>
    <x v="29"/>
    <s v="Email Marketing"/>
    <s v="Brand Awareness"/>
    <s v="Enterprise Plan"/>
    <n v="18227"/>
    <n v="3943"/>
    <n v="434"/>
    <n v="127.62"/>
    <n v="68333.850000000006"/>
    <n v="21.63"/>
    <n v="11.01"/>
    <n v="0.28999999999999998"/>
    <n v="535.45000000000005"/>
    <n v="68206.23"/>
  </r>
  <r>
    <x v="29"/>
    <s v="Organic Search"/>
    <s v="Lead Generation"/>
    <s v="Premium Plan"/>
    <n v="25725"/>
    <n v="1420"/>
    <n v="192"/>
    <n v="0"/>
    <n v="24781.68"/>
    <n v="5.52"/>
    <n v="13.52"/>
    <n v="0"/>
    <n v="0"/>
    <n v="24781.68"/>
  </r>
  <r>
    <x v="29"/>
    <s v="Display Ads"/>
    <s v="Flash Sale"/>
    <s v="Premium Plan"/>
    <n v="32443"/>
    <n v="546"/>
    <n v="16"/>
    <n v="804.43"/>
    <n v="2168.83"/>
    <n v="1.68"/>
    <n v="2.93"/>
    <n v="50.28"/>
    <n v="2.7"/>
    <n v="1364.4"/>
  </r>
  <r>
    <x v="29"/>
    <s v="YouTube Ads"/>
    <s v="Brand Awareness"/>
    <s v="Basic Plan"/>
    <n v="15837"/>
    <n v="345"/>
    <n v="21"/>
    <n v="783.06"/>
    <n v="2639.28"/>
    <n v="2.1800000000000002"/>
    <n v="6.09"/>
    <n v="37.29"/>
    <n v="3.37"/>
    <n v="1856.22"/>
  </r>
  <r>
    <x v="29"/>
    <s v="Twitter Ads"/>
    <s v="Lead Generation"/>
    <s v="Premium Plan"/>
    <n v="7808"/>
    <n v="238"/>
    <n v="6"/>
    <n v="393.6"/>
    <n v="504.69"/>
    <n v="3.05"/>
    <n v="2.52"/>
    <n v="65.599999999999994"/>
    <n v="1.28"/>
    <n v="111.09"/>
  </r>
  <r>
    <x v="29"/>
    <s v="TikTok Ads"/>
    <s v="Seasonal Promotion"/>
    <s v="Basic Plan"/>
    <n v="21019"/>
    <n v="691"/>
    <n v="29"/>
    <n v="591.71"/>
    <n v="2093.79"/>
    <n v="3.29"/>
    <n v="4.2"/>
    <n v="20.399999999999999"/>
    <n v="3.54"/>
    <n v="1502.08"/>
  </r>
  <r>
    <x v="29"/>
    <s v="Affiliate Marketing"/>
    <s v="Lead Generation"/>
    <s v="Basic Plan"/>
    <n v="8392"/>
    <n v="357"/>
    <n v="41"/>
    <n v="347.89"/>
    <n v="5022.4399999999996"/>
    <n v="4.25"/>
    <n v="11.48"/>
    <n v="8.49"/>
    <n v="14.44"/>
    <n v="4674.55"/>
  </r>
  <r>
    <x v="29"/>
    <s v="Referral"/>
    <s v="Retargeting"/>
    <s v="Premium Plan"/>
    <n v="5891"/>
    <n v="301"/>
    <n v="38"/>
    <n v="72.260000000000005"/>
    <n v="6089.68"/>
    <n v="5.1100000000000003"/>
    <n v="12.62"/>
    <n v="1.9"/>
    <n v="84.27"/>
    <n v="6017.42"/>
  </r>
  <r>
    <x v="30"/>
    <s v="Google Ads"/>
    <s v="Seasonal Promotion"/>
    <s v="Basic Plan"/>
    <n v="7997"/>
    <n v="329"/>
    <n v="27"/>
    <n v="1129.6500000000001"/>
    <n v="4415.37"/>
    <n v="4.1100000000000003"/>
    <n v="8.2100000000000009"/>
    <n v="41.84"/>
    <n v="3.91"/>
    <n v="3285.72"/>
  </r>
  <r>
    <x v="30"/>
    <s v="Facebook Ads"/>
    <s v="Retargeting"/>
    <s v="Enterprise Plan"/>
    <n v="15866"/>
    <n v="553"/>
    <n v="43"/>
    <n v="718.87"/>
    <n v="5424.75"/>
    <n v="3.49"/>
    <n v="7.78"/>
    <n v="16.72"/>
    <n v="7.55"/>
    <n v="4705.88"/>
  </r>
  <r>
    <x v="30"/>
    <s v="Instagram Ads"/>
    <s v="Product Launch"/>
    <s v="Basic Plan"/>
    <n v="13404"/>
    <n v="404"/>
    <n v="18"/>
    <n v="619.99"/>
    <n v="1716.21"/>
    <n v="3.01"/>
    <n v="4.46"/>
    <n v="34.44"/>
    <n v="2.77"/>
    <n v="1096.22"/>
  </r>
  <r>
    <x v="30"/>
    <s v="LinkedIn Ads"/>
    <s v="Seasonal Promotion"/>
    <s v="Add-on Service"/>
    <n v="3637"/>
    <n v="73"/>
    <n v="9"/>
    <n v="1101.17"/>
    <n v="2925.62"/>
    <n v="2.0099999999999998"/>
    <n v="12.33"/>
    <n v="122.35"/>
    <n v="2.66"/>
    <n v="1824.45"/>
  </r>
  <r>
    <x v="30"/>
    <s v="Email Marketing"/>
    <s v="Flash Sale"/>
    <s v="Premium Plan"/>
    <n v="18382"/>
    <n v="3259"/>
    <n v="311"/>
    <n v="142.1"/>
    <n v="45722.97"/>
    <n v="17.73"/>
    <n v="9.5399999999999991"/>
    <n v="0.46"/>
    <n v="321.77"/>
    <n v="45580.87"/>
  </r>
  <r>
    <x v="30"/>
    <s v="Organic Search"/>
    <s v="Lead Generation"/>
    <s v="Enterprise Plan"/>
    <n v="22004"/>
    <n v="1179"/>
    <n v="175"/>
    <n v="0"/>
    <n v="19964.36"/>
    <n v="5.36"/>
    <n v="14.84"/>
    <n v="0"/>
    <n v="0"/>
    <n v="19964.36"/>
  </r>
  <r>
    <x v="30"/>
    <s v="Display Ads"/>
    <s v="Brand Awareness"/>
    <s v="Add-on Service"/>
    <n v="26876"/>
    <n v="385"/>
    <n v="8"/>
    <n v="807.59"/>
    <n v="921.72"/>
    <n v="1.43"/>
    <n v="2.08"/>
    <n v="100.95"/>
    <n v="1.1399999999999999"/>
    <n v="114.13"/>
  </r>
  <r>
    <x v="30"/>
    <s v="YouTube Ads"/>
    <s v="Brand Awareness"/>
    <s v="Enterprise Plan"/>
    <n v="13156"/>
    <n v="367"/>
    <n v="25"/>
    <n v="913.35"/>
    <n v="2657.71"/>
    <n v="2.79"/>
    <n v="6.81"/>
    <n v="36.53"/>
    <n v="2.91"/>
    <n v="1744.36"/>
  </r>
  <r>
    <x v="30"/>
    <s v="Twitter Ads"/>
    <s v="Seasonal Promotion"/>
    <s v="Starter Kit"/>
    <n v="8866"/>
    <n v="290"/>
    <n v="9"/>
    <n v="575.41999999999996"/>
    <n v="960.09"/>
    <n v="3.27"/>
    <n v="3.1"/>
    <n v="63.94"/>
    <n v="1.67"/>
    <n v="384.67"/>
  </r>
  <r>
    <x v="30"/>
    <s v="TikTok Ads"/>
    <s v="Retargeting"/>
    <s v="Basic Plan"/>
    <n v="23511"/>
    <n v="873"/>
    <n v="53"/>
    <n v="795.94"/>
    <n v="5107.96"/>
    <n v="3.71"/>
    <n v="6.07"/>
    <n v="15.02"/>
    <n v="6.42"/>
    <n v="4312.0200000000004"/>
  </r>
  <r>
    <x v="30"/>
    <s v="Affiliate Marketing"/>
    <s v="Brand Awareness"/>
    <s v="Add-on Service"/>
    <n v="6108"/>
    <n v="299"/>
    <n v="31"/>
    <n v="552.84"/>
    <n v="4684.42"/>
    <n v="4.9000000000000004"/>
    <n v="10.37"/>
    <n v="17.829999999999998"/>
    <n v="8.4700000000000006"/>
    <n v="4131.58"/>
  </r>
  <r>
    <x v="30"/>
    <s v="Referral"/>
    <s v="Flash Sale"/>
    <s v="Basic Plan"/>
    <n v="4655"/>
    <n v="297"/>
    <n v="46"/>
    <n v="167.55"/>
    <n v="7803.05"/>
    <n v="6.38"/>
    <n v="15.49"/>
    <n v="3.64"/>
    <n v="46.57"/>
    <n v="7635.5"/>
  </r>
  <r>
    <x v="31"/>
    <s v="Google Ads"/>
    <s v="Brand Awareness"/>
    <s v="Enterprise Plan"/>
    <n v="11101"/>
    <n v="533"/>
    <n v="58"/>
    <n v="1263.94"/>
    <n v="10450.68"/>
    <n v="4.8"/>
    <n v="10.88"/>
    <n v="21.79"/>
    <n v="8.27"/>
    <n v="9186.74"/>
  </r>
  <r>
    <x v="31"/>
    <s v="Facebook Ads"/>
    <s v="Flash Sale"/>
    <s v="Add-on Service"/>
    <n v="11769"/>
    <n v="324"/>
    <n v="17"/>
    <n v="1015.08"/>
    <n v="2316.63"/>
    <n v="2.75"/>
    <n v="5.25"/>
    <n v="59.71"/>
    <n v="2.2799999999999998"/>
    <n v="1301.55"/>
  </r>
  <r>
    <x v="31"/>
    <s v="Instagram Ads"/>
    <s v="Brand Awareness"/>
    <s v="Add-on Service"/>
    <n v="11943"/>
    <n v="517"/>
    <n v="36"/>
    <n v="547.02"/>
    <n v="4037.96"/>
    <n v="4.33"/>
    <n v="6.96"/>
    <n v="15.2"/>
    <n v="7.38"/>
    <n v="3490.94"/>
  </r>
  <r>
    <x v="31"/>
    <s v="LinkedIn Ads"/>
    <s v="Brand Awareness"/>
    <s v="Enterprise Plan"/>
    <n v="4787"/>
    <n v="135"/>
    <n v="15"/>
    <n v="909.98"/>
    <n v="2753.58"/>
    <n v="2.82"/>
    <n v="11.11"/>
    <n v="60.67"/>
    <n v="3.03"/>
    <n v="1843.6"/>
  </r>
  <r>
    <x v="31"/>
    <s v="Email Marketing"/>
    <s v="Seasonal Promotion"/>
    <s v="Starter Kit"/>
    <n v="18704"/>
    <n v="3147"/>
    <n v="291"/>
    <n v="134.12"/>
    <n v="48689.7"/>
    <n v="16.829999999999998"/>
    <n v="9.25"/>
    <n v="0.46"/>
    <n v="363.03"/>
    <n v="48555.58"/>
  </r>
  <r>
    <x v="31"/>
    <s v="Organic Search"/>
    <s v="Flash Sale"/>
    <s v="Enterprise Plan"/>
    <n v="21466"/>
    <n v="1147"/>
    <n v="156"/>
    <n v="0"/>
    <n v="24895.71"/>
    <n v="5.34"/>
    <n v="13.6"/>
    <n v="0"/>
    <n v="0"/>
    <n v="24895.71"/>
  </r>
  <r>
    <x v="31"/>
    <s v="Display Ads"/>
    <s v="Brand Awareness"/>
    <s v="Add-on Service"/>
    <n v="30953"/>
    <n v="488"/>
    <n v="18"/>
    <n v="774.43"/>
    <n v="1884.08"/>
    <n v="1.58"/>
    <n v="3.69"/>
    <n v="43.02"/>
    <n v="2.4300000000000002"/>
    <n v="1109.6500000000001"/>
  </r>
  <r>
    <x v="31"/>
    <s v="YouTube Ads"/>
    <s v="Flash Sale"/>
    <s v="Enterprise Plan"/>
    <n v="18620"/>
    <n v="338"/>
    <n v="22"/>
    <n v="1163.68"/>
    <n v="2190.6"/>
    <n v="1.82"/>
    <n v="6.51"/>
    <n v="52.89"/>
    <n v="1.88"/>
    <n v="1026.92"/>
  </r>
  <r>
    <x v="31"/>
    <s v="Twitter Ads"/>
    <s v="Brand Awareness"/>
    <s v="Starter Kit"/>
    <n v="11325"/>
    <n v="385"/>
    <n v="14"/>
    <n v="462.56"/>
    <n v="1292.3699999999999"/>
    <n v="3.4"/>
    <n v="3.64"/>
    <n v="33.04"/>
    <n v="2.79"/>
    <n v="829.81"/>
  </r>
  <r>
    <x v="31"/>
    <s v="TikTok Ads"/>
    <s v="Retargeting"/>
    <s v="Premium Plan"/>
    <n v="24239"/>
    <n v="884"/>
    <n v="46"/>
    <n v="728.87"/>
    <n v="3684.64"/>
    <n v="3.65"/>
    <n v="5.2"/>
    <n v="15.84"/>
    <n v="5.0599999999999996"/>
    <n v="2955.77"/>
  </r>
  <r>
    <x v="31"/>
    <s v="Affiliate Marketing"/>
    <s v="Retargeting"/>
    <s v="Enterprise Plan"/>
    <n v="4462"/>
    <n v="260"/>
    <n v="28"/>
    <n v="511.51"/>
    <n v="3419.05"/>
    <n v="5.83"/>
    <n v="10.77"/>
    <n v="18.27"/>
    <n v="6.68"/>
    <n v="2907.54"/>
  </r>
  <r>
    <x v="31"/>
    <s v="Referral"/>
    <s v="Flash Sale"/>
    <s v="Starter Kit"/>
    <n v="4360"/>
    <n v="339"/>
    <n v="53"/>
    <n v="69.459999999999994"/>
    <n v="8985.17"/>
    <n v="7.78"/>
    <n v="15.63"/>
    <n v="1.31"/>
    <n v="129.36000000000001"/>
    <n v="8915.7099999999991"/>
  </r>
  <r>
    <x v="32"/>
    <s v="Google Ads"/>
    <s v="Flash Sale"/>
    <s v="Basic Plan"/>
    <n v="10148"/>
    <n v="480"/>
    <n v="39"/>
    <n v="1140.54"/>
    <n v="5869.51"/>
    <n v="4.7300000000000004"/>
    <n v="8.1199999999999992"/>
    <n v="29.24"/>
    <n v="5.15"/>
    <n v="4728.97"/>
  </r>
  <r>
    <x v="32"/>
    <s v="Facebook Ads"/>
    <s v="Retargeting"/>
    <s v="Basic Plan"/>
    <n v="15244"/>
    <n v="362"/>
    <n v="24"/>
    <n v="545.21"/>
    <n v="3273.82"/>
    <n v="2.37"/>
    <n v="6.63"/>
    <n v="22.72"/>
    <n v="6"/>
    <n v="2728.61"/>
  </r>
  <r>
    <x v="32"/>
    <s v="Instagram Ads"/>
    <s v="Flash Sale"/>
    <s v="Add-on Service"/>
    <n v="10543"/>
    <n v="453"/>
    <n v="23"/>
    <n v="480.32"/>
    <n v="2756.71"/>
    <n v="4.3"/>
    <n v="5.08"/>
    <n v="20.88"/>
    <n v="5.74"/>
    <n v="2276.39"/>
  </r>
  <r>
    <x v="32"/>
    <s v="LinkedIn Ads"/>
    <s v="Flash Sale"/>
    <s v="Enterprise Plan"/>
    <n v="3078"/>
    <n v="56"/>
    <n v="5"/>
    <n v="1488.94"/>
    <n v="1205.57"/>
    <n v="1.82"/>
    <n v="8.93"/>
    <n v="297.79000000000002"/>
    <n v="0.81"/>
    <n v="-283.37"/>
  </r>
  <r>
    <x v="32"/>
    <s v="Email Marketing"/>
    <s v="Seasonal Promotion"/>
    <s v="Add-on Service"/>
    <n v="15739"/>
    <n v="3111"/>
    <n v="266"/>
    <n v="117.98"/>
    <n v="39502.980000000003"/>
    <n v="19.77"/>
    <n v="8.5500000000000007"/>
    <n v="0.44"/>
    <n v="334.83"/>
    <n v="39385"/>
  </r>
  <r>
    <x v="32"/>
    <s v="Organic Search"/>
    <s v="Retargeting"/>
    <s v="Starter Kit"/>
    <n v="20165"/>
    <n v="1021"/>
    <n v="134"/>
    <n v="0"/>
    <n v="18796.29"/>
    <n v="5.0599999999999996"/>
    <n v="13.12"/>
    <n v="0"/>
    <n v="0"/>
    <n v="18796.29"/>
  </r>
  <r>
    <x v="32"/>
    <s v="Display Ads"/>
    <s v="Retargeting"/>
    <s v="Add-on Service"/>
    <n v="29714"/>
    <n v="492"/>
    <n v="12"/>
    <n v="648.52"/>
    <n v="1133.6600000000001"/>
    <n v="1.66"/>
    <n v="2.44"/>
    <n v="54.04"/>
    <n v="1.75"/>
    <n v="485.14"/>
  </r>
  <r>
    <x v="32"/>
    <s v="YouTube Ads"/>
    <s v="Product Launch"/>
    <s v="Enterprise Plan"/>
    <n v="15267"/>
    <n v="365"/>
    <n v="20"/>
    <n v="917.32"/>
    <n v="2705.22"/>
    <n v="2.39"/>
    <n v="5.48"/>
    <n v="45.87"/>
    <n v="2.95"/>
    <n v="1787.9"/>
  </r>
  <r>
    <x v="32"/>
    <s v="Twitter Ads"/>
    <s v="Lead Generation"/>
    <s v="Premium Plan"/>
    <n v="10081"/>
    <n v="300"/>
    <n v="14"/>
    <n v="515.32000000000005"/>
    <n v="1644.25"/>
    <n v="2.98"/>
    <n v="4.67"/>
    <n v="36.81"/>
    <n v="3.19"/>
    <n v="1128.93"/>
  </r>
  <r>
    <x v="32"/>
    <s v="TikTok Ads"/>
    <s v="Product Launch"/>
    <s v="Starter Kit"/>
    <n v="16262"/>
    <n v="713"/>
    <n v="23"/>
    <n v="911.55"/>
    <n v="2206.21"/>
    <n v="4.38"/>
    <n v="3.23"/>
    <n v="39.630000000000003"/>
    <n v="2.42"/>
    <n v="1294.6600000000001"/>
  </r>
  <r>
    <x v="32"/>
    <s v="Affiliate Marketing"/>
    <s v="Lead Generation"/>
    <s v="Starter Kit"/>
    <n v="8477"/>
    <n v="445"/>
    <n v="48"/>
    <n v="460.3"/>
    <n v="5992.13"/>
    <n v="5.25"/>
    <n v="10.79"/>
    <n v="9.59"/>
    <n v="13.02"/>
    <n v="5531.83"/>
  </r>
  <r>
    <x v="32"/>
    <s v="Referral"/>
    <s v="Seasonal Promotion"/>
    <s v="Add-on Service"/>
    <n v="3000"/>
    <n v="256"/>
    <n v="37"/>
    <n v="135.27000000000001"/>
    <n v="4437.95"/>
    <n v="8.5299999999999994"/>
    <n v="14.45"/>
    <n v="3.66"/>
    <n v="32.81"/>
    <n v="4302.68"/>
  </r>
  <r>
    <x v="33"/>
    <s v="Google Ads"/>
    <s v="Flash Sale"/>
    <s v="Starter Kit"/>
    <n v="7431"/>
    <n v="355"/>
    <n v="29"/>
    <n v="809.83"/>
    <n v="3797.22"/>
    <n v="4.78"/>
    <n v="8.17"/>
    <n v="27.93"/>
    <n v="4.6900000000000004"/>
    <n v="2987.39"/>
  </r>
  <r>
    <x v="33"/>
    <s v="Facebook Ads"/>
    <s v="Product Launch"/>
    <s v="Premium Plan"/>
    <n v="11723"/>
    <n v="387"/>
    <n v="22"/>
    <n v="489.67"/>
    <n v="3281.92"/>
    <n v="3.3"/>
    <n v="5.68"/>
    <n v="22.26"/>
    <n v="6.7"/>
    <n v="2792.25"/>
  </r>
  <r>
    <x v="33"/>
    <s v="Instagram Ads"/>
    <s v="Retargeting"/>
    <s v="Enterprise Plan"/>
    <n v="8007"/>
    <n v="249"/>
    <n v="14"/>
    <n v="364.32"/>
    <n v="1134.02"/>
    <n v="3.11"/>
    <n v="5.62"/>
    <n v="26.02"/>
    <n v="3.11"/>
    <n v="769.7"/>
  </r>
  <r>
    <x v="33"/>
    <s v="LinkedIn Ads"/>
    <s v="Lead Generation"/>
    <s v="Starter Kit"/>
    <n v="2194"/>
    <n v="36"/>
    <n v="4"/>
    <n v="728.71"/>
    <n v="939.44"/>
    <n v="1.64"/>
    <n v="11.11"/>
    <n v="182.18"/>
    <n v="1.29"/>
    <n v="210.73"/>
  </r>
  <r>
    <x v="33"/>
    <s v="Email Marketing"/>
    <s v="Lead Generation"/>
    <s v="Enterprise Plan"/>
    <n v="10015"/>
    <n v="1889"/>
    <n v="163"/>
    <n v="159.75"/>
    <n v="20295.490000000002"/>
    <n v="18.86"/>
    <n v="8.6300000000000008"/>
    <n v="0.98"/>
    <n v="127.05"/>
    <n v="20135.740000000002"/>
  </r>
  <r>
    <x v="33"/>
    <s v="Organic Search"/>
    <s v="Product Launch"/>
    <s v="Enterprise Plan"/>
    <n v="13470"/>
    <n v="1006"/>
    <n v="105"/>
    <n v="0"/>
    <n v="15087.65"/>
    <n v="7.47"/>
    <n v="10.44"/>
    <n v="0"/>
    <n v="0"/>
    <n v="15087.65"/>
  </r>
  <r>
    <x v="33"/>
    <s v="Display Ads"/>
    <s v="Product Launch"/>
    <s v="Add-on Service"/>
    <n v="23690"/>
    <n v="255"/>
    <n v="11"/>
    <n v="622.96"/>
    <n v="1537.58"/>
    <n v="1.08"/>
    <n v="4.3099999999999996"/>
    <n v="56.63"/>
    <n v="2.4700000000000002"/>
    <n v="914.62"/>
  </r>
  <r>
    <x v="33"/>
    <s v="YouTube Ads"/>
    <s v="Flash Sale"/>
    <s v="Enterprise Plan"/>
    <n v="10675"/>
    <n v="249"/>
    <n v="17"/>
    <n v="785.23"/>
    <n v="2022.92"/>
    <n v="2.33"/>
    <n v="6.83"/>
    <n v="46.19"/>
    <n v="2.58"/>
    <n v="1237.69"/>
  </r>
  <r>
    <x v="33"/>
    <s v="Twitter Ads"/>
    <s v="Seasonal Promotion"/>
    <s v="Premium Plan"/>
    <n v="7479"/>
    <n v="215"/>
    <n v="12"/>
    <n v="383.37"/>
    <n v="1176.05"/>
    <n v="2.87"/>
    <n v="5.58"/>
    <n v="31.95"/>
    <n v="3.07"/>
    <n v="792.68"/>
  </r>
  <r>
    <x v="33"/>
    <s v="TikTok Ads"/>
    <s v="Seasonal Promotion"/>
    <s v="Basic Plan"/>
    <n v="12721"/>
    <n v="444"/>
    <n v="30"/>
    <n v="502.71"/>
    <n v="2495.92"/>
    <n v="3.49"/>
    <n v="6.76"/>
    <n v="16.760000000000002"/>
    <n v="4.96"/>
    <n v="1993.21"/>
  </r>
  <r>
    <x v="33"/>
    <s v="Affiliate Marketing"/>
    <s v="Brand Awareness"/>
    <s v="Basic Plan"/>
    <n v="3510"/>
    <n v="239"/>
    <n v="30"/>
    <n v="388.26"/>
    <n v="3123.21"/>
    <n v="6.81"/>
    <n v="12.55"/>
    <n v="12.94"/>
    <n v="8.0399999999999991"/>
    <n v="2734.95"/>
  </r>
  <r>
    <x v="33"/>
    <s v="Referral"/>
    <s v="Flash Sale"/>
    <s v="Starter Kit"/>
    <n v="4025"/>
    <n v="302"/>
    <n v="48"/>
    <n v="80.61"/>
    <n v="6219.27"/>
    <n v="7.5"/>
    <n v="15.89"/>
    <n v="1.68"/>
    <n v="77.150000000000006"/>
    <n v="6138.66"/>
  </r>
  <r>
    <x v="34"/>
    <s v="Google Ads"/>
    <s v="Retargeting"/>
    <s v="Add-on Service"/>
    <n v="6730"/>
    <n v="234"/>
    <n v="20"/>
    <n v="515.52"/>
    <n v="3130.87"/>
    <n v="3.48"/>
    <n v="8.5500000000000007"/>
    <n v="25.78"/>
    <n v="6.07"/>
    <n v="2615.35"/>
  </r>
  <r>
    <x v="34"/>
    <s v="Facebook Ads"/>
    <s v="Lead Generation"/>
    <s v="Starter Kit"/>
    <n v="8009"/>
    <n v="210"/>
    <n v="16"/>
    <n v="689.7"/>
    <n v="1820.07"/>
    <n v="2.62"/>
    <n v="7.62"/>
    <n v="43.11"/>
    <n v="2.64"/>
    <n v="1130.3699999999999"/>
  </r>
  <r>
    <x v="34"/>
    <s v="Instagram Ads"/>
    <s v="Flash Sale"/>
    <s v="Starter Kit"/>
    <n v="7370"/>
    <n v="292"/>
    <n v="11"/>
    <n v="354.2"/>
    <n v="1274.1099999999999"/>
    <n v="3.96"/>
    <n v="3.77"/>
    <n v="32.200000000000003"/>
    <n v="3.6"/>
    <n v="919.91"/>
  </r>
  <r>
    <x v="34"/>
    <s v="LinkedIn Ads"/>
    <s v="Retargeting"/>
    <s v="Premium Plan"/>
    <n v="2655"/>
    <n v="78"/>
    <n v="7"/>
    <n v="599.87"/>
    <n v="2005.67"/>
    <n v="2.94"/>
    <n v="8.9700000000000006"/>
    <n v="85.7"/>
    <n v="3.34"/>
    <n v="1405.8"/>
  </r>
  <r>
    <x v="34"/>
    <s v="Email Marketing"/>
    <s v="Brand Awareness"/>
    <s v="Enterprise Plan"/>
    <n v="10566"/>
    <n v="1895"/>
    <n v="205"/>
    <n v="85.07"/>
    <n v="22935.26"/>
    <n v="17.93"/>
    <n v="10.82"/>
    <n v="0.41"/>
    <n v="269.60000000000002"/>
    <n v="22850.19"/>
  </r>
  <r>
    <x v="34"/>
    <s v="Organic Search"/>
    <s v="Lead Generation"/>
    <s v="Starter Kit"/>
    <n v="17112"/>
    <n v="981"/>
    <n v="109"/>
    <n v="0"/>
    <n v="14484.09"/>
    <n v="5.73"/>
    <n v="11.11"/>
    <n v="0"/>
    <n v="0"/>
    <n v="14484.09"/>
  </r>
  <r>
    <x v="34"/>
    <s v="Display Ads"/>
    <s v="Flash Sale"/>
    <s v="Basic Plan"/>
    <n v="14878"/>
    <n v="277"/>
    <n v="10"/>
    <n v="748.05"/>
    <n v="1321.64"/>
    <n v="1.86"/>
    <n v="3.61"/>
    <n v="74.8"/>
    <n v="1.77"/>
    <n v="573.59"/>
  </r>
  <r>
    <x v="34"/>
    <s v="YouTube Ads"/>
    <s v="Product Launch"/>
    <s v="Add-on Service"/>
    <n v="9350"/>
    <n v="276"/>
    <n v="16"/>
    <n v="541.15"/>
    <n v="1991.59"/>
    <n v="2.95"/>
    <n v="5.8"/>
    <n v="33.82"/>
    <n v="3.68"/>
    <n v="1450.44"/>
  </r>
  <r>
    <x v="34"/>
    <s v="Twitter Ads"/>
    <s v="Product Launch"/>
    <s v="Starter Kit"/>
    <n v="5086"/>
    <n v="117"/>
    <n v="6"/>
    <n v="293.29000000000002"/>
    <n v="549.26"/>
    <n v="2.2999999999999998"/>
    <n v="5.13"/>
    <n v="48.88"/>
    <n v="1.87"/>
    <n v="255.97"/>
  </r>
  <r>
    <x v="34"/>
    <s v="TikTok Ads"/>
    <s v="Seasonal Promotion"/>
    <s v="Add-on Service"/>
    <n v="13879"/>
    <n v="470"/>
    <n v="15"/>
    <n v="618.66"/>
    <n v="1138.67"/>
    <n v="3.39"/>
    <n v="3.19"/>
    <n v="41.24"/>
    <n v="1.84"/>
    <n v="520.01"/>
  </r>
  <r>
    <x v="34"/>
    <s v="Affiliate Marketing"/>
    <s v="Product Launch"/>
    <s v="Starter Kit"/>
    <n v="4407"/>
    <n v="248"/>
    <n v="20"/>
    <n v="311.13"/>
    <n v="2145.15"/>
    <n v="5.63"/>
    <n v="8.06"/>
    <n v="15.56"/>
    <n v="6.89"/>
    <n v="1834.02"/>
  </r>
  <r>
    <x v="34"/>
    <s v="Referral"/>
    <s v="Flash Sale"/>
    <s v="Add-on Service"/>
    <n v="3974"/>
    <n v="300"/>
    <n v="51"/>
    <n v="118.03"/>
    <n v="6050.03"/>
    <n v="7.55"/>
    <n v="17"/>
    <n v="2.31"/>
    <n v="51.26"/>
    <n v="5932"/>
  </r>
  <r>
    <x v="35"/>
    <s v="Google Ads"/>
    <s v="Product Launch"/>
    <s v="Enterprise Plan"/>
    <n v="9518"/>
    <n v="446"/>
    <n v="45"/>
    <n v="1228.3499999999999"/>
    <n v="8149.31"/>
    <n v="4.6900000000000004"/>
    <n v="10.09"/>
    <n v="27.3"/>
    <n v="6.63"/>
    <n v="6920.96"/>
  </r>
  <r>
    <x v="35"/>
    <s v="Facebook Ads"/>
    <s v="Flash Sale"/>
    <s v="Starter Kit"/>
    <n v="16172"/>
    <n v="590"/>
    <n v="51"/>
    <n v="941.26"/>
    <n v="7121.37"/>
    <n v="3.65"/>
    <n v="8.64"/>
    <n v="18.46"/>
    <n v="7.57"/>
    <n v="6180.11"/>
  </r>
  <r>
    <x v="35"/>
    <s v="Instagram Ads"/>
    <s v="Product Launch"/>
    <s v="Enterprise Plan"/>
    <n v="12822"/>
    <n v="455"/>
    <n v="27"/>
    <n v="692.22"/>
    <n v="3079.31"/>
    <n v="3.55"/>
    <n v="5.93"/>
    <n v="25.64"/>
    <n v="4.45"/>
    <n v="2387.09"/>
  </r>
  <r>
    <x v="35"/>
    <s v="LinkedIn Ads"/>
    <s v="Product Launch"/>
    <s v="Basic Plan"/>
    <n v="4831"/>
    <n v="98"/>
    <n v="13"/>
    <n v="1377.73"/>
    <n v="4523.12"/>
    <n v="2.0299999999999998"/>
    <n v="13.27"/>
    <n v="105.98"/>
    <n v="3.28"/>
    <n v="3145.39"/>
  </r>
  <r>
    <x v="35"/>
    <s v="Email Marketing"/>
    <s v="Brand Awareness"/>
    <s v="Basic Plan"/>
    <n v="17201"/>
    <n v="3208"/>
    <n v="270"/>
    <n v="144.41"/>
    <n v="41148.26"/>
    <n v="18.649999999999999"/>
    <n v="8.42"/>
    <n v="0.53"/>
    <n v="284.94"/>
    <n v="41003.85"/>
  </r>
  <r>
    <x v="35"/>
    <s v="Organic Search"/>
    <s v="Product Launch"/>
    <s v="Premium Plan"/>
    <n v="21362"/>
    <n v="1365"/>
    <n v="163"/>
    <n v="0"/>
    <n v="18300.509999999998"/>
    <n v="6.39"/>
    <n v="11.94"/>
    <n v="0"/>
    <n v="0"/>
    <n v="18300.509999999998"/>
  </r>
  <r>
    <x v="35"/>
    <s v="Display Ads"/>
    <s v="Flash Sale"/>
    <s v="Add-on Service"/>
    <n v="21731"/>
    <n v="298"/>
    <n v="13"/>
    <n v="760.38"/>
    <n v="1291.51"/>
    <n v="1.37"/>
    <n v="4.3600000000000003"/>
    <n v="58.49"/>
    <n v="1.7"/>
    <n v="531.13"/>
  </r>
  <r>
    <x v="35"/>
    <s v="YouTube Ads"/>
    <s v="Flash Sale"/>
    <s v="Basic Plan"/>
    <n v="20091"/>
    <n v="338"/>
    <n v="23"/>
    <n v="755.83"/>
    <n v="2435.46"/>
    <n v="1.68"/>
    <n v="6.8"/>
    <n v="32.86"/>
    <n v="3.22"/>
    <n v="1679.63"/>
  </r>
  <r>
    <x v="35"/>
    <s v="Twitter Ads"/>
    <s v="Lead Generation"/>
    <s v="Basic Plan"/>
    <n v="11557"/>
    <n v="368"/>
    <n v="13"/>
    <n v="385.9"/>
    <n v="1140.98"/>
    <n v="3.18"/>
    <n v="3.53"/>
    <n v="29.68"/>
    <n v="2.96"/>
    <n v="755.08"/>
  </r>
  <r>
    <x v="35"/>
    <s v="TikTok Ads"/>
    <s v="Flash Sale"/>
    <s v="Starter Kit"/>
    <n v="15706"/>
    <n v="537"/>
    <n v="24"/>
    <n v="806.98"/>
    <n v="2323.4899999999998"/>
    <n v="3.42"/>
    <n v="4.47"/>
    <n v="33.619999999999997"/>
    <n v="2.88"/>
    <n v="1516.51"/>
  </r>
  <r>
    <x v="35"/>
    <s v="Affiliate Marketing"/>
    <s v="Product Launch"/>
    <s v="Add-on Service"/>
    <n v="8313"/>
    <n v="335"/>
    <n v="34"/>
    <n v="268.58"/>
    <n v="4166.08"/>
    <n v="4.03"/>
    <n v="10.15"/>
    <n v="7.9"/>
    <n v="15.51"/>
    <n v="3897.5"/>
  </r>
  <r>
    <x v="35"/>
    <s v="Referral"/>
    <s v="Seasonal Promotion"/>
    <s v="Add-on Service"/>
    <n v="5625"/>
    <n v="360"/>
    <n v="45"/>
    <n v="130.6"/>
    <n v="7750.39"/>
    <n v="6.4"/>
    <n v="12.5"/>
    <n v="2.9"/>
    <n v="59.34"/>
    <n v="7619.79"/>
  </r>
  <r>
    <x v="36"/>
    <s v="Google Ads"/>
    <s v="Product Launch"/>
    <s v="Premium Plan"/>
    <n v="11842"/>
    <n v="456"/>
    <n v="48"/>
    <n v="1166.6199999999999"/>
    <n v="7395.58"/>
    <n v="3.85"/>
    <n v="10.53"/>
    <n v="24.3"/>
    <n v="6.34"/>
    <n v="6228.96"/>
  </r>
  <r>
    <x v="36"/>
    <s v="Facebook Ads"/>
    <s v="Lead Generation"/>
    <s v="Enterprise Plan"/>
    <n v="15464"/>
    <n v="505"/>
    <n v="39"/>
    <n v="636.98"/>
    <n v="4800.43"/>
    <n v="3.27"/>
    <n v="7.72"/>
    <n v="16.329999999999998"/>
    <n v="7.54"/>
    <n v="4163.45"/>
  </r>
  <r>
    <x v="36"/>
    <s v="Instagram Ads"/>
    <s v="Lead Generation"/>
    <s v="Enterprise Plan"/>
    <n v="11225"/>
    <n v="323"/>
    <n v="22"/>
    <n v="612.54"/>
    <n v="2370.89"/>
    <n v="2.88"/>
    <n v="6.81"/>
    <n v="27.84"/>
    <n v="3.87"/>
    <n v="1758.35"/>
  </r>
  <r>
    <x v="36"/>
    <s v="LinkedIn Ads"/>
    <s v="Lead Generation"/>
    <s v="Enterprise Plan"/>
    <n v="4233"/>
    <n v="81"/>
    <n v="7"/>
    <n v="917.88"/>
    <n v="1706.94"/>
    <n v="1.91"/>
    <n v="8.64"/>
    <n v="131.13"/>
    <n v="1.86"/>
    <n v="789.06"/>
  </r>
  <r>
    <x v="36"/>
    <s v="Email Marketing"/>
    <s v="Brand Awareness"/>
    <s v="Add-on Service"/>
    <n v="15466"/>
    <n v="2952"/>
    <n v="335"/>
    <n v="148.47999999999999"/>
    <n v="53714.99"/>
    <n v="19.09"/>
    <n v="11.35"/>
    <n v="0.44"/>
    <n v="361.77"/>
    <n v="53566.51"/>
  </r>
  <r>
    <x v="36"/>
    <s v="Organic Search"/>
    <s v="Lead Generation"/>
    <s v="Enterprise Plan"/>
    <n v="27110"/>
    <n v="1156"/>
    <n v="170"/>
    <n v="0"/>
    <n v="19386.61"/>
    <n v="4.26"/>
    <n v="14.71"/>
    <n v="0"/>
    <n v="0"/>
    <n v="19386.61"/>
  </r>
  <r>
    <x v="36"/>
    <s v="Display Ads"/>
    <s v="Brand Awareness"/>
    <s v="Premium Plan"/>
    <n v="24906"/>
    <n v="311"/>
    <n v="12"/>
    <n v="747.63"/>
    <n v="1507.21"/>
    <n v="1.25"/>
    <n v="3.86"/>
    <n v="62.3"/>
    <n v="2.02"/>
    <n v="759.58"/>
  </r>
  <r>
    <x v="36"/>
    <s v="YouTube Ads"/>
    <s v="Seasonal Promotion"/>
    <s v="Enterprise Plan"/>
    <n v="14861"/>
    <n v="375"/>
    <n v="20"/>
    <n v="1126.6500000000001"/>
    <n v="2472.6"/>
    <n v="2.52"/>
    <n v="5.33"/>
    <n v="56.33"/>
    <n v="2.19"/>
    <n v="1345.95"/>
  </r>
  <r>
    <x v="36"/>
    <s v="Twitter Ads"/>
    <s v="Flash Sale"/>
    <s v="Basic Plan"/>
    <n v="11421"/>
    <n v="330"/>
    <n v="17"/>
    <n v="470.06"/>
    <n v="1922.55"/>
    <n v="2.89"/>
    <n v="5.15"/>
    <n v="27.65"/>
    <n v="4.09"/>
    <n v="1452.49"/>
  </r>
  <r>
    <x v="36"/>
    <s v="TikTok Ads"/>
    <s v="Flash Sale"/>
    <s v="Starter Kit"/>
    <n v="16648"/>
    <n v="427"/>
    <n v="24"/>
    <n v="860.3"/>
    <n v="2454.0300000000002"/>
    <n v="2.56"/>
    <n v="5.62"/>
    <n v="35.85"/>
    <n v="2.85"/>
    <n v="1593.73"/>
  </r>
  <r>
    <x v="36"/>
    <s v="Affiliate Marketing"/>
    <s v="Brand Awareness"/>
    <s v="Premium Plan"/>
    <n v="4258"/>
    <n v="296"/>
    <n v="35"/>
    <n v="301.77"/>
    <n v="3980.83"/>
    <n v="6.95"/>
    <n v="11.82"/>
    <n v="8.6199999999999992"/>
    <n v="13.19"/>
    <n v="3679.06"/>
  </r>
  <r>
    <x v="36"/>
    <s v="Referral"/>
    <s v="Seasonal Promotion"/>
    <s v="Enterprise Plan"/>
    <n v="3914"/>
    <n v="350"/>
    <n v="52"/>
    <n v="110.87"/>
    <n v="6507.17"/>
    <n v="8.94"/>
    <n v="14.86"/>
    <n v="2.13"/>
    <n v="58.69"/>
    <n v="6396.3"/>
  </r>
  <r>
    <x v="37"/>
    <s v="Google Ads"/>
    <s v="Retargeting"/>
    <s v="Starter Kit"/>
    <n v="9737"/>
    <n v="455"/>
    <n v="36"/>
    <n v="1197.29"/>
    <n v="4558.76"/>
    <n v="4.67"/>
    <n v="7.91"/>
    <n v="33.26"/>
    <n v="3.81"/>
    <n v="3361.47"/>
  </r>
  <r>
    <x v="37"/>
    <s v="Facebook Ads"/>
    <s v="Retargeting"/>
    <s v="Enterprise Plan"/>
    <n v="16420"/>
    <n v="615"/>
    <n v="51"/>
    <n v="614.65"/>
    <n v="6094.92"/>
    <n v="3.75"/>
    <n v="8.2899999999999991"/>
    <n v="12.05"/>
    <n v="9.92"/>
    <n v="5480.27"/>
  </r>
  <r>
    <x v="37"/>
    <s v="Instagram Ads"/>
    <s v="Lead Generation"/>
    <s v="Premium Plan"/>
    <n v="13684"/>
    <n v="533"/>
    <n v="23"/>
    <n v="704.54"/>
    <n v="2393.12"/>
    <n v="3.9"/>
    <n v="4.32"/>
    <n v="30.63"/>
    <n v="3.4"/>
    <n v="1688.58"/>
  </r>
  <r>
    <x v="37"/>
    <s v="LinkedIn Ads"/>
    <s v="Product Launch"/>
    <s v="Starter Kit"/>
    <n v="3376"/>
    <n v="80"/>
    <n v="8"/>
    <n v="1086.03"/>
    <n v="1934.27"/>
    <n v="2.37"/>
    <n v="10"/>
    <n v="135.75"/>
    <n v="1.78"/>
    <n v="848.24"/>
  </r>
  <r>
    <x v="37"/>
    <s v="Email Marketing"/>
    <s v="Brand Awareness"/>
    <s v="Premium Plan"/>
    <n v="14570"/>
    <n v="2900"/>
    <n v="297"/>
    <n v="198.48"/>
    <n v="47493.51"/>
    <n v="19.899999999999999"/>
    <n v="10.24"/>
    <n v="0.67"/>
    <n v="239.29"/>
    <n v="47295.03"/>
  </r>
  <r>
    <x v="37"/>
    <s v="Organic Search"/>
    <s v="Retargeting"/>
    <s v="Starter Kit"/>
    <n v="17639"/>
    <n v="802"/>
    <n v="123"/>
    <n v="0"/>
    <n v="14852.08"/>
    <n v="4.55"/>
    <n v="15.34"/>
    <n v="0"/>
    <n v="0"/>
    <n v="14852.08"/>
  </r>
  <r>
    <x v="37"/>
    <s v="Display Ads"/>
    <s v="Brand Awareness"/>
    <s v="Add-on Service"/>
    <n v="26679"/>
    <n v="320"/>
    <n v="13"/>
    <n v="783.17"/>
    <n v="1784.37"/>
    <n v="1.2"/>
    <n v="4.0599999999999996"/>
    <n v="60.24"/>
    <n v="2.2799999999999998"/>
    <n v="1001.2"/>
  </r>
  <r>
    <x v="37"/>
    <s v="YouTube Ads"/>
    <s v="Flash Sale"/>
    <s v="Premium Plan"/>
    <n v="18406"/>
    <n v="306"/>
    <n v="13"/>
    <n v="916.88"/>
    <n v="1937.04"/>
    <n v="1.66"/>
    <n v="4.25"/>
    <n v="70.53"/>
    <n v="2.11"/>
    <n v="1020.16"/>
  </r>
  <r>
    <x v="37"/>
    <s v="Twitter Ads"/>
    <s v="Lead Generation"/>
    <s v="Basic Plan"/>
    <n v="7239"/>
    <n v="247"/>
    <n v="9"/>
    <n v="677.77"/>
    <n v="689.35"/>
    <n v="3.41"/>
    <n v="3.64"/>
    <n v="75.31"/>
    <n v="1.02"/>
    <n v="11.58"/>
  </r>
  <r>
    <x v="37"/>
    <s v="TikTok Ads"/>
    <s v="Seasonal Promotion"/>
    <s v="Enterprise Plan"/>
    <n v="21280"/>
    <n v="824"/>
    <n v="33"/>
    <n v="904.38"/>
    <n v="2999.56"/>
    <n v="3.87"/>
    <n v="4"/>
    <n v="27.41"/>
    <n v="3.32"/>
    <n v="2095.1799999999998"/>
  </r>
  <r>
    <x v="37"/>
    <s v="Affiliate Marketing"/>
    <s v="Brand Awareness"/>
    <s v="Basic Plan"/>
    <n v="5598"/>
    <n v="347"/>
    <n v="40"/>
    <n v="314.99"/>
    <n v="5842.51"/>
    <n v="6.2"/>
    <n v="11.53"/>
    <n v="7.87"/>
    <n v="18.55"/>
    <n v="5527.52"/>
  </r>
  <r>
    <x v="37"/>
    <s v="Referral"/>
    <s v="Brand Awareness"/>
    <s v="Add-on Service"/>
    <n v="2697"/>
    <n v="141"/>
    <n v="24"/>
    <n v="144.5"/>
    <n v="4291.6099999999997"/>
    <n v="5.23"/>
    <n v="17.02"/>
    <n v="6.02"/>
    <n v="29.7"/>
    <n v="4147.1099999999997"/>
  </r>
  <r>
    <x v="38"/>
    <s v="Google Ads"/>
    <s v="Retargeting"/>
    <s v="Add-on Service"/>
    <n v="12359"/>
    <n v="543"/>
    <n v="44"/>
    <n v="912.36"/>
    <n v="7997.15"/>
    <n v="4.3899999999999997"/>
    <n v="8.1"/>
    <n v="20.74"/>
    <n v="8.77"/>
    <n v="7084.79"/>
  </r>
  <r>
    <x v="38"/>
    <s v="Facebook Ads"/>
    <s v="Seasonal Promotion"/>
    <s v="Add-on Service"/>
    <n v="14314"/>
    <n v="420"/>
    <n v="26"/>
    <n v="700.9"/>
    <n v="2786.98"/>
    <n v="2.93"/>
    <n v="6.19"/>
    <n v="26.96"/>
    <n v="3.98"/>
    <n v="2086.08"/>
  </r>
  <r>
    <x v="38"/>
    <s v="Instagram Ads"/>
    <s v="Lead Generation"/>
    <s v="Add-on Service"/>
    <n v="13512"/>
    <n v="513"/>
    <n v="28"/>
    <n v="833.81"/>
    <n v="2385.2800000000002"/>
    <n v="3.8"/>
    <n v="5.46"/>
    <n v="29.78"/>
    <n v="2.86"/>
    <n v="1551.47"/>
  </r>
  <r>
    <x v="38"/>
    <s v="LinkedIn Ads"/>
    <s v="Retargeting"/>
    <s v="Starter Kit"/>
    <n v="2674"/>
    <n v="64"/>
    <n v="8"/>
    <n v="821.86"/>
    <n v="1792.36"/>
    <n v="2.39"/>
    <n v="12.5"/>
    <n v="102.73"/>
    <n v="2.1800000000000002"/>
    <n v="970.5"/>
  </r>
  <r>
    <x v="38"/>
    <s v="Email Marketing"/>
    <s v="Retargeting"/>
    <s v="Enterprise Plan"/>
    <n v="20455"/>
    <n v="4562"/>
    <n v="592"/>
    <n v="177.87"/>
    <n v="77359.259999999995"/>
    <n v="22.3"/>
    <n v="12.98"/>
    <n v="0.3"/>
    <n v="434.92"/>
    <n v="77181.39"/>
  </r>
  <r>
    <x v="38"/>
    <s v="Organic Search"/>
    <s v="Seasonal Promotion"/>
    <s v="Starter Kit"/>
    <n v="26922"/>
    <n v="1240"/>
    <n v="158"/>
    <n v="0"/>
    <n v="23399.82"/>
    <n v="4.6100000000000003"/>
    <n v="12.74"/>
    <n v="0"/>
    <n v="0"/>
    <n v="23399.82"/>
  </r>
  <r>
    <x v="38"/>
    <s v="Display Ads"/>
    <s v="Product Launch"/>
    <s v="Add-on Service"/>
    <n v="30216"/>
    <n v="559"/>
    <n v="12"/>
    <n v="1052.71"/>
    <n v="1150.33"/>
    <n v="1.85"/>
    <n v="2.15"/>
    <n v="87.73"/>
    <n v="1.0900000000000001"/>
    <n v="97.62"/>
  </r>
  <r>
    <x v="38"/>
    <s v="YouTube Ads"/>
    <s v="Seasonal Promotion"/>
    <s v="Premium Plan"/>
    <n v="17187"/>
    <n v="465"/>
    <n v="33"/>
    <n v="933.77"/>
    <n v="4027.65"/>
    <n v="2.71"/>
    <n v="7.1"/>
    <n v="28.3"/>
    <n v="4.3099999999999996"/>
    <n v="3093.88"/>
  </r>
  <r>
    <x v="38"/>
    <s v="Twitter Ads"/>
    <s v="Seasonal Promotion"/>
    <s v="Premium Plan"/>
    <n v="10862"/>
    <n v="269"/>
    <n v="15"/>
    <n v="562.05999999999995"/>
    <n v="1805.42"/>
    <n v="2.48"/>
    <n v="5.58"/>
    <n v="37.47"/>
    <n v="3.21"/>
    <n v="1243.3599999999999"/>
  </r>
  <r>
    <x v="38"/>
    <s v="TikTok Ads"/>
    <s v="Lead Generation"/>
    <s v="Basic Plan"/>
    <n v="23754"/>
    <n v="719"/>
    <n v="34"/>
    <n v="540.88"/>
    <n v="3003.8"/>
    <n v="3.03"/>
    <n v="4.7300000000000004"/>
    <n v="15.91"/>
    <n v="5.55"/>
    <n v="2462.92"/>
  </r>
  <r>
    <x v="38"/>
    <s v="Affiliate Marketing"/>
    <s v="Product Launch"/>
    <s v="Premium Plan"/>
    <n v="5030"/>
    <n v="207"/>
    <n v="18"/>
    <n v="457.03"/>
    <n v="2011.07"/>
    <n v="4.12"/>
    <n v="8.6999999999999993"/>
    <n v="25.39"/>
    <n v="4.4000000000000004"/>
    <n v="1554.04"/>
  </r>
  <r>
    <x v="38"/>
    <s v="Referral"/>
    <s v="Lead Generation"/>
    <s v="Basic Plan"/>
    <n v="3388"/>
    <n v="334"/>
    <n v="40"/>
    <n v="68.010000000000005"/>
    <n v="6058.76"/>
    <n v="9.86"/>
    <n v="11.98"/>
    <n v="1.7"/>
    <n v="89.09"/>
    <n v="5990.75"/>
  </r>
  <r>
    <x v="39"/>
    <s v="Google Ads"/>
    <s v="Lead Generation"/>
    <s v="Add-on Service"/>
    <n v="10304"/>
    <n v="421"/>
    <n v="37"/>
    <n v="990.32"/>
    <n v="4595.51"/>
    <n v="4.09"/>
    <n v="8.7899999999999991"/>
    <n v="26.77"/>
    <n v="4.6399999999999997"/>
    <n v="3605.19"/>
  </r>
  <r>
    <x v="39"/>
    <s v="Facebook Ads"/>
    <s v="Brand Awareness"/>
    <s v="Basic Plan"/>
    <n v="15889"/>
    <n v="537"/>
    <n v="42"/>
    <n v="579.54"/>
    <n v="6384.69"/>
    <n v="3.38"/>
    <n v="7.82"/>
    <n v="13.8"/>
    <n v="11.02"/>
    <n v="5805.15"/>
  </r>
  <r>
    <x v="39"/>
    <s v="Instagram Ads"/>
    <s v="Brand Awareness"/>
    <s v="Starter Kit"/>
    <n v="13715"/>
    <n v="561"/>
    <n v="22"/>
    <n v="603.12"/>
    <n v="2565.62"/>
    <n v="4.09"/>
    <n v="3.92"/>
    <n v="27.41"/>
    <n v="4.25"/>
    <n v="1962.5"/>
  </r>
  <r>
    <x v="39"/>
    <s v="LinkedIn Ads"/>
    <s v="Retargeting"/>
    <s v="Add-on Service"/>
    <n v="3534"/>
    <n v="96"/>
    <n v="11"/>
    <n v="1413.63"/>
    <n v="3934.18"/>
    <n v="2.72"/>
    <n v="11.46"/>
    <n v="128.51"/>
    <n v="2.78"/>
    <n v="2520.5500000000002"/>
  </r>
  <r>
    <x v="39"/>
    <s v="Email Marketing"/>
    <s v="Retargeting"/>
    <s v="Enterprise Plan"/>
    <n v="19028"/>
    <n v="2856"/>
    <n v="263"/>
    <n v="154.93"/>
    <n v="30305.33"/>
    <n v="15.01"/>
    <n v="9.2100000000000009"/>
    <n v="0.59"/>
    <n v="195.61"/>
    <n v="30150.400000000001"/>
  </r>
  <r>
    <x v="39"/>
    <s v="Organic Search"/>
    <s v="Brand Awareness"/>
    <s v="Basic Plan"/>
    <n v="24771"/>
    <n v="1715"/>
    <n v="215"/>
    <n v="0"/>
    <n v="31860.82"/>
    <n v="6.92"/>
    <n v="12.54"/>
    <n v="0"/>
    <n v="0"/>
    <n v="31860.82"/>
  </r>
  <r>
    <x v="39"/>
    <s v="Display Ads"/>
    <s v="Product Launch"/>
    <s v="Enterprise Plan"/>
    <n v="30484"/>
    <n v="481"/>
    <n v="9"/>
    <n v="1104.8"/>
    <n v="734.8"/>
    <n v="1.58"/>
    <n v="1.87"/>
    <n v="122.76"/>
    <n v="0.67"/>
    <n v="-370"/>
  </r>
  <r>
    <x v="39"/>
    <s v="YouTube Ads"/>
    <s v="Flash Sale"/>
    <s v="Starter Kit"/>
    <n v="14064"/>
    <n v="288"/>
    <n v="21"/>
    <n v="1062.3599999999999"/>
    <n v="2398.5500000000002"/>
    <n v="2.0499999999999998"/>
    <n v="7.29"/>
    <n v="50.59"/>
    <n v="2.2599999999999998"/>
    <n v="1336.19"/>
  </r>
  <r>
    <x v="39"/>
    <s v="Twitter Ads"/>
    <s v="Brand Awareness"/>
    <s v="Basic Plan"/>
    <n v="9960"/>
    <n v="268"/>
    <n v="13"/>
    <n v="608.59"/>
    <n v="1272.3900000000001"/>
    <n v="2.69"/>
    <n v="4.8499999999999996"/>
    <n v="46.81"/>
    <n v="2.09"/>
    <n v="663.8"/>
  </r>
  <r>
    <x v="39"/>
    <s v="TikTok Ads"/>
    <s v="Product Launch"/>
    <s v="Add-on Service"/>
    <n v="22348"/>
    <n v="757"/>
    <n v="42"/>
    <n v="830.61"/>
    <n v="3911.06"/>
    <n v="3.39"/>
    <n v="5.55"/>
    <n v="19.78"/>
    <n v="4.71"/>
    <n v="3080.45"/>
  </r>
  <r>
    <x v="39"/>
    <s v="Affiliate Marketing"/>
    <s v="Flash Sale"/>
    <s v="Basic Plan"/>
    <n v="5183"/>
    <n v="222"/>
    <n v="25"/>
    <n v="269.60000000000002"/>
    <n v="3237.86"/>
    <n v="4.28"/>
    <n v="11.26"/>
    <n v="10.78"/>
    <n v="12.01"/>
    <n v="2968.26"/>
  </r>
  <r>
    <x v="39"/>
    <s v="Referral"/>
    <s v="Retargeting"/>
    <s v="Premium Plan"/>
    <n v="2647"/>
    <n v="238"/>
    <n v="38"/>
    <n v="119.57"/>
    <n v="5803.64"/>
    <n v="8.99"/>
    <n v="15.97"/>
    <n v="3.15"/>
    <n v="48.54"/>
    <n v="5684.07"/>
  </r>
  <r>
    <x v="40"/>
    <s v="Google Ads"/>
    <s v="Seasonal Promotion"/>
    <s v="Basic Plan"/>
    <n v="5165"/>
    <n v="205"/>
    <n v="19"/>
    <n v="750.18"/>
    <n v="3549.48"/>
    <n v="3.97"/>
    <n v="9.27"/>
    <n v="39.479999999999997"/>
    <n v="4.7300000000000004"/>
    <n v="2799.3"/>
  </r>
  <r>
    <x v="40"/>
    <s v="Facebook Ads"/>
    <s v="Flash Sale"/>
    <s v="Basic Plan"/>
    <n v="10846"/>
    <n v="276"/>
    <n v="22"/>
    <n v="509.41"/>
    <n v="2845.32"/>
    <n v="2.54"/>
    <n v="7.97"/>
    <n v="23.16"/>
    <n v="5.59"/>
    <n v="2335.91"/>
  </r>
  <r>
    <x v="40"/>
    <s v="Instagram Ads"/>
    <s v="Product Launch"/>
    <s v="Basic Plan"/>
    <n v="9465"/>
    <n v="406"/>
    <n v="26"/>
    <n v="571.79"/>
    <n v="3132.67"/>
    <n v="4.29"/>
    <n v="6.4"/>
    <n v="21.99"/>
    <n v="5.48"/>
    <n v="2560.88"/>
  </r>
  <r>
    <x v="40"/>
    <s v="LinkedIn Ads"/>
    <s v="Brand Awareness"/>
    <s v="Premium Plan"/>
    <n v="2300"/>
    <n v="60"/>
    <n v="5"/>
    <n v="667.5"/>
    <n v="1235.03"/>
    <n v="2.61"/>
    <n v="8.33"/>
    <n v="133.5"/>
    <n v="1.85"/>
    <n v="567.53"/>
  </r>
  <r>
    <x v="40"/>
    <s v="Email Marketing"/>
    <s v="Lead Generation"/>
    <s v="Enterprise Plan"/>
    <n v="12383"/>
    <n v="2299"/>
    <n v="204"/>
    <n v="155.29"/>
    <n v="26872.720000000001"/>
    <n v="18.57"/>
    <n v="8.8699999999999992"/>
    <n v="0.76"/>
    <n v="173.05"/>
    <n v="26717.43"/>
  </r>
  <r>
    <x v="40"/>
    <s v="Organic Search"/>
    <s v="Seasonal Promotion"/>
    <s v="Add-on Service"/>
    <n v="13272"/>
    <n v="1023"/>
    <n v="158"/>
    <n v="0"/>
    <n v="20412.29"/>
    <n v="7.71"/>
    <n v="15.44"/>
    <n v="0"/>
    <n v="0"/>
    <n v="20412.29"/>
  </r>
  <r>
    <x v="40"/>
    <s v="Display Ads"/>
    <s v="Product Launch"/>
    <s v="Starter Kit"/>
    <n v="19170"/>
    <n v="195"/>
    <n v="8"/>
    <n v="425.39"/>
    <n v="752.1"/>
    <n v="1.02"/>
    <n v="4.0999999999999996"/>
    <n v="53.17"/>
    <n v="1.77"/>
    <n v="326.70999999999998"/>
  </r>
  <r>
    <x v="40"/>
    <s v="YouTube Ads"/>
    <s v="Brand Awareness"/>
    <s v="Starter Kit"/>
    <n v="9719"/>
    <n v="213"/>
    <n v="11"/>
    <n v="674.38"/>
    <n v="1147.98"/>
    <n v="2.19"/>
    <n v="5.16"/>
    <n v="61.31"/>
    <n v="1.7"/>
    <n v="473.6"/>
  </r>
  <r>
    <x v="40"/>
    <s v="Twitter Ads"/>
    <s v="Flash Sale"/>
    <s v="Enterprise Plan"/>
    <n v="7415"/>
    <n v="196"/>
    <n v="9"/>
    <n v="334.87"/>
    <n v="717.87"/>
    <n v="2.64"/>
    <n v="4.59"/>
    <n v="37.21"/>
    <n v="2.14"/>
    <n v="383"/>
  </r>
  <r>
    <x v="40"/>
    <s v="TikTok Ads"/>
    <s v="Flash Sale"/>
    <s v="Starter Kit"/>
    <n v="16025"/>
    <n v="552"/>
    <n v="22"/>
    <n v="407.56"/>
    <n v="1791.98"/>
    <n v="3.44"/>
    <n v="3.99"/>
    <n v="18.53"/>
    <n v="4.4000000000000004"/>
    <n v="1384.42"/>
  </r>
  <r>
    <x v="40"/>
    <s v="Affiliate Marketing"/>
    <s v="Product Launch"/>
    <s v="Add-on Service"/>
    <n v="3649"/>
    <n v="198"/>
    <n v="19"/>
    <n v="407.84"/>
    <n v="3012.31"/>
    <n v="5.43"/>
    <n v="9.6"/>
    <n v="21.47"/>
    <n v="7.39"/>
    <n v="2604.4699999999998"/>
  </r>
  <r>
    <x v="40"/>
    <s v="Referral"/>
    <s v="Seasonal Promotion"/>
    <s v="Starter Kit"/>
    <n v="2856"/>
    <n v="202"/>
    <n v="24"/>
    <n v="40.08"/>
    <n v="4397.6899999999996"/>
    <n v="7.07"/>
    <n v="11.88"/>
    <n v="1.67"/>
    <n v="109.72"/>
    <n v="4357.6099999999997"/>
  </r>
  <r>
    <x v="41"/>
    <s v="Google Ads"/>
    <s v="Retargeting"/>
    <s v="Premium Plan"/>
    <n v="5827"/>
    <n v="282"/>
    <n v="22"/>
    <n v="762.93"/>
    <n v="3649.85"/>
    <n v="4.84"/>
    <n v="7.8"/>
    <n v="34.68"/>
    <n v="4.78"/>
    <n v="2886.92"/>
  </r>
  <r>
    <x v="41"/>
    <s v="Facebook Ads"/>
    <s v="Seasonal Promotion"/>
    <s v="Premium Plan"/>
    <n v="11294"/>
    <n v="382"/>
    <n v="27"/>
    <n v="502.97"/>
    <n v="3455.28"/>
    <n v="3.38"/>
    <n v="7.07"/>
    <n v="18.63"/>
    <n v="6.87"/>
    <n v="2952.31"/>
  </r>
  <r>
    <x v="41"/>
    <s v="Instagram Ads"/>
    <s v="Retargeting"/>
    <s v="Enterprise Plan"/>
    <n v="9033"/>
    <n v="304"/>
    <n v="19"/>
    <n v="577.64"/>
    <n v="1923.59"/>
    <n v="3.37"/>
    <n v="6.25"/>
    <n v="30.4"/>
    <n v="3.33"/>
    <n v="1345.95"/>
  </r>
  <r>
    <x v="41"/>
    <s v="LinkedIn Ads"/>
    <s v="Seasonal Promotion"/>
    <s v="Enterprise Plan"/>
    <n v="2350"/>
    <n v="48"/>
    <n v="5"/>
    <n v="813.28"/>
    <n v="1538.12"/>
    <n v="2.04"/>
    <n v="10.42"/>
    <n v="162.66"/>
    <n v="1.89"/>
    <n v="724.84"/>
  </r>
  <r>
    <x v="41"/>
    <s v="Email Marketing"/>
    <s v="Brand Awareness"/>
    <s v="Premium Plan"/>
    <n v="14538"/>
    <n v="2598"/>
    <n v="296"/>
    <n v="97.41"/>
    <n v="39376.57"/>
    <n v="17.87"/>
    <n v="11.39"/>
    <n v="0.33"/>
    <n v="404.24"/>
    <n v="39279.160000000003"/>
  </r>
  <r>
    <x v="41"/>
    <s v="Organic Search"/>
    <s v="Lead Generation"/>
    <s v="Add-on Service"/>
    <n v="15813"/>
    <n v="787"/>
    <n v="110"/>
    <n v="0"/>
    <n v="16227.49"/>
    <n v="4.9800000000000004"/>
    <n v="13.98"/>
    <n v="0"/>
    <n v="0"/>
    <n v="16227.49"/>
  </r>
  <r>
    <x v="41"/>
    <s v="Display Ads"/>
    <s v="Seasonal Promotion"/>
    <s v="Premium Plan"/>
    <n v="21012"/>
    <n v="395"/>
    <n v="17"/>
    <n v="444.98"/>
    <n v="1554.94"/>
    <n v="1.88"/>
    <n v="4.3"/>
    <n v="26.18"/>
    <n v="3.49"/>
    <n v="1109.96"/>
  </r>
  <r>
    <x v="41"/>
    <s v="YouTube Ads"/>
    <s v="Flash Sale"/>
    <s v="Enterprise Plan"/>
    <n v="10232"/>
    <n v="193"/>
    <n v="7"/>
    <n v="613.85"/>
    <n v="915.1"/>
    <n v="1.89"/>
    <n v="3.63"/>
    <n v="87.69"/>
    <n v="1.49"/>
    <n v="301.25"/>
  </r>
  <r>
    <x v="41"/>
    <s v="Twitter Ads"/>
    <s v="Seasonal Promotion"/>
    <s v="Premium Plan"/>
    <n v="7752"/>
    <n v="220"/>
    <n v="7"/>
    <n v="447.48"/>
    <n v="615.12"/>
    <n v="2.84"/>
    <n v="3.18"/>
    <n v="63.93"/>
    <n v="1.37"/>
    <n v="167.64"/>
  </r>
  <r>
    <x v="41"/>
    <s v="TikTok Ads"/>
    <s v="Lead Generation"/>
    <s v="Starter Kit"/>
    <n v="16468"/>
    <n v="548"/>
    <n v="24"/>
    <n v="633.76"/>
    <n v="2094.58"/>
    <n v="3.33"/>
    <n v="4.38"/>
    <n v="26.41"/>
    <n v="3.31"/>
    <n v="1460.82"/>
  </r>
  <r>
    <x v="41"/>
    <s v="Affiliate Marketing"/>
    <s v="Seasonal Promotion"/>
    <s v="Starter Kit"/>
    <n v="4316"/>
    <n v="231"/>
    <n v="27"/>
    <n v="252.59"/>
    <n v="3717.53"/>
    <n v="5.35"/>
    <n v="11.69"/>
    <n v="9.36"/>
    <n v="14.72"/>
    <n v="3464.94"/>
  </r>
  <r>
    <x v="41"/>
    <s v="Referral"/>
    <s v="Product Launch"/>
    <s v="Basic Plan"/>
    <n v="2065"/>
    <n v="122"/>
    <n v="15"/>
    <n v="94.77"/>
    <n v="2005.41"/>
    <n v="5.91"/>
    <n v="12.3"/>
    <n v="6.32"/>
    <n v="21.16"/>
    <n v="1910.64"/>
  </r>
  <r>
    <x v="42"/>
    <s v="Google Ads"/>
    <s v="Seasonal Promotion"/>
    <s v="Starter Kit"/>
    <n v="9349"/>
    <n v="427"/>
    <n v="42"/>
    <n v="683.22"/>
    <n v="5755.47"/>
    <n v="4.57"/>
    <n v="9.84"/>
    <n v="16.27"/>
    <n v="8.42"/>
    <n v="5072.25"/>
  </r>
  <r>
    <x v="42"/>
    <s v="Facebook Ads"/>
    <s v="Flash Sale"/>
    <s v="Starter Kit"/>
    <n v="16172"/>
    <n v="618"/>
    <n v="52"/>
    <n v="586.82000000000005"/>
    <n v="6801.62"/>
    <n v="3.82"/>
    <n v="8.41"/>
    <n v="11.28"/>
    <n v="11.59"/>
    <n v="6214.8"/>
  </r>
  <r>
    <x v="42"/>
    <s v="Instagram Ads"/>
    <s v="Brand Awareness"/>
    <s v="Starter Kit"/>
    <n v="8653"/>
    <n v="270"/>
    <n v="12"/>
    <n v="802.43"/>
    <n v="1408.39"/>
    <n v="3.12"/>
    <n v="4.4400000000000004"/>
    <n v="66.87"/>
    <n v="1.76"/>
    <n v="605.96"/>
  </r>
  <r>
    <x v="42"/>
    <s v="LinkedIn Ads"/>
    <s v="Product Launch"/>
    <s v="Starter Kit"/>
    <n v="3470"/>
    <n v="94"/>
    <n v="11"/>
    <n v="1223.6199999999999"/>
    <n v="2823.2"/>
    <n v="2.71"/>
    <n v="11.7"/>
    <n v="111.24"/>
    <n v="2.31"/>
    <n v="1599.58"/>
  </r>
  <r>
    <x v="42"/>
    <s v="Email Marketing"/>
    <s v="Product Launch"/>
    <s v="Enterprise Plan"/>
    <n v="16050"/>
    <n v="2793"/>
    <n v="265"/>
    <n v="150.09"/>
    <n v="32121.21"/>
    <n v="17.399999999999999"/>
    <n v="9.49"/>
    <n v="0.56999999999999995"/>
    <n v="214.01"/>
    <n v="31971.119999999999"/>
  </r>
  <r>
    <x v="42"/>
    <s v="Organic Search"/>
    <s v="Flash Sale"/>
    <s v="Premium Plan"/>
    <n v="27132"/>
    <n v="1306"/>
    <n v="149"/>
    <n v="0"/>
    <n v="15019.36"/>
    <n v="4.8099999999999996"/>
    <n v="11.41"/>
    <n v="0"/>
    <n v="0"/>
    <n v="15019.36"/>
  </r>
  <r>
    <x v="42"/>
    <s v="Display Ads"/>
    <s v="Lead Generation"/>
    <s v="Enterprise Plan"/>
    <n v="30211"/>
    <n v="439"/>
    <n v="11"/>
    <n v="671.51"/>
    <n v="1022.68"/>
    <n v="1.45"/>
    <n v="2.5099999999999998"/>
    <n v="61.05"/>
    <n v="1.52"/>
    <n v="351.17"/>
  </r>
  <r>
    <x v="42"/>
    <s v="YouTube Ads"/>
    <s v="Retargeting"/>
    <s v="Starter Kit"/>
    <n v="14691"/>
    <n v="413"/>
    <n v="19"/>
    <n v="977.95"/>
    <n v="1921.96"/>
    <n v="2.81"/>
    <n v="4.5999999999999996"/>
    <n v="51.47"/>
    <n v="1.97"/>
    <n v="944.01"/>
  </r>
  <r>
    <x v="42"/>
    <s v="Twitter Ads"/>
    <s v="Product Launch"/>
    <s v="Starter Kit"/>
    <n v="11238"/>
    <n v="319"/>
    <n v="16"/>
    <n v="509.25"/>
    <n v="1531.74"/>
    <n v="2.84"/>
    <n v="5.0199999999999996"/>
    <n v="31.83"/>
    <n v="3.01"/>
    <n v="1022.49"/>
  </r>
  <r>
    <x v="42"/>
    <s v="TikTok Ads"/>
    <s v="Seasonal Promotion"/>
    <s v="Premium Plan"/>
    <n v="20003"/>
    <n v="569"/>
    <n v="18"/>
    <n v="807.33"/>
    <n v="1910.7"/>
    <n v="2.84"/>
    <n v="3.16"/>
    <n v="44.85"/>
    <n v="2.37"/>
    <n v="1103.3699999999999"/>
  </r>
  <r>
    <x v="42"/>
    <s v="Affiliate Marketing"/>
    <s v="Retargeting"/>
    <s v="Premium Plan"/>
    <n v="4403"/>
    <n v="204"/>
    <n v="24"/>
    <n v="296.51"/>
    <n v="2927.69"/>
    <n v="4.63"/>
    <n v="11.76"/>
    <n v="12.35"/>
    <n v="9.8699999999999992"/>
    <n v="2631.18"/>
  </r>
  <r>
    <x v="42"/>
    <s v="Referral"/>
    <s v="Product Launch"/>
    <s v="Enterprise Plan"/>
    <n v="5094"/>
    <n v="492"/>
    <n v="58"/>
    <n v="52.7"/>
    <n v="9994.3799999999992"/>
    <n v="9.66"/>
    <n v="11.79"/>
    <n v="0.91"/>
    <n v="189.65"/>
    <n v="9941.68"/>
  </r>
  <r>
    <x v="43"/>
    <s v="Google Ads"/>
    <s v="Product Launch"/>
    <s v="Premium Plan"/>
    <n v="7947"/>
    <n v="315"/>
    <n v="34"/>
    <n v="895.37"/>
    <n v="5089.26"/>
    <n v="3.96"/>
    <n v="10.79"/>
    <n v="26.33"/>
    <n v="5.68"/>
    <n v="4193.8900000000003"/>
  </r>
  <r>
    <x v="43"/>
    <s v="Facebook Ads"/>
    <s v="Retargeting"/>
    <s v="Add-on Service"/>
    <n v="14357"/>
    <n v="351"/>
    <n v="24"/>
    <n v="963.64"/>
    <n v="2960.19"/>
    <n v="2.44"/>
    <n v="6.84"/>
    <n v="40.15"/>
    <n v="3.07"/>
    <n v="1996.55"/>
  </r>
  <r>
    <x v="43"/>
    <s v="Instagram Ads"/>
    <s v="Brand Awareness"/>
    <s v="Add-on Service"/>
    <n v="12891"/>
    <n v="339"/>
    <n v="21"/>
    <n v="678.96"/>
    <n v="1816.61"/>
    <n v="2.63"/>
    <n v="6.19"/>
    <n v="32.33"/>
    <n v="2.68"/>
    <n v="1137.6500000000001"/>
  </r>
  <r>
    <x v="43"/>
    <s v="LinkedIn Ads"/>
    <s v="Retargeting"/>
    <s v="Starter Kit"/>
    <n v="4938"/>
    <n v="121"/>
    <n v="17"/>
    <n v="1402.29"/>
    <n v="5621.86"/>
    <n v="2.4500000000000002"/>
    <n v="14.05"/>
    <n v="82.49"/>
    <n v="4.01"/>
    <n v="4219.57"/>
  </r>
  <r>
    <x v="43"/>
    <s v="Email Marketing"/>
    <s v="Brand Awareness"/>
    <s v="Basic Plan"/>
    <n v="14114"/>
    <n v="3499"/>
    <n v="345"/>
    <n v="247.58"/>
    <n v="39215.29"/>
    <n v="24.79"/>
    <n v="9.86"/>
    <n v="0.72"/>
    <n v="158.38999999999999"/>
    <n v="38967.71"/>
  </r>
  <r>
    <x v="43"/>
    <s v="Organic Search"/>
    <s v="Seasonal Promotion"/>
    <s v="Enterprise Plan"/>
    <n v="21740"/>
    <n v="1169"/>
    <n v="146"/>
    <n v="0"/>
    <n v="20887"/>
    <n v="5.38"/>
    <n v="12.49"/>
    <n v="0"/>
    <n v="0"/>
    <n v="20887"/>
  </r>
  <r>
    <x v="43"/>
    <s v="Display Ads"/>
    <s v="Seasonal Promotion"/>
    <s v="Starter Kit"/>
    <n v="33168"/>
    <n v="440"/>
    <n v="14"/>
    <n v="1027.03"/>
    <n v="1614.12"/>
    <n v="1.33"/>
    <n v="3.18"/>
    <n v="73.36"/>
    <n v="1.57"/>
    <n v="587.09"/>
  </r>
  <r>
    <x v="43"/>
    <s v="YouTube Ads"/>
    <s v="Flash Sale"/>
    <s v="Starter Kit"/>
    <n v="13221"/>
    <n v="301"/>
    <n v="19"/>
    <n v="1127.71"/>
    <n v="2211.84"/>
    <n v="2.2799999999999998"/>
    <n v="6.31"/>
    <n v="59.35"/>
    <n v="1.96"/>
    <n v="1084.1300000000001"/>
  </r>
  <r>
    <x v="43"/>
    <s v="Twitter Ads"/>
    <s v="Brand Awareness"/>
    <s v="Basic Plan"/>
    <n v="9848"/>
    <n v="298"/>
    <n v="8"/>
    <n v="360.29"/>
    <n v="716.45"/>
    <n v="3.03"/>
    <n v="2.68"/>
    <n v="45.04"/>
    <n v="1.99"/>
    <n v="356.16"/>
  </r>
  <r>
    <x v="43"/>
    <s v="TikTok Ads"/>
    <s v="Product Launch"/>
    <s v="Add-on Service"/>
    <n v="24163"/>
    <n v="883"/>
    <n v="56"/>
    <n v="543.08000000000004"/>
    <n v="5411.84"/>
    <n v="3.65"/>
    <n v="6.34"/>
    <n v="9.6999999999999993"/>
    <n v="9.9700000000000006"/>
    <n v="4868.76"/>
  </r>
  <r>
    <x v="43"/>
    <s v="Affiliate Marketing"/>
    <s v="Lead Generation"/>
    <s v="Enterprise Plan"/>
    <n v="5405"/>
    <n v="300"/>
    <n v="33"/>
    <n v="376.62"/>
    <n v="3848.9"/>
    <n v="5.55"/>
    <n v="11"/>
    <n v="11.41"/>
    <n v="10.220000000000001"/>
    <n v="3472.28"/>
  </r>
  <r>
    <x v="43"/>
    <s v="Referral"/>
    <s v="Retargeting"/>
    <s v="Starter Kit"/>
    <n v="5755"/>
    <n v="575"/>
    <n v="93"/>
    <n v="128.94999999999999"/>
    <n v="15390.05"/>
    <n v="9.99"/>
    <n v="16.170000000000002"/>
    <n v="1.39"/>
    <n v="119.35"/>
    <n v="15261.1"/>
  </r>
  <r>
    <x v="44"/>
    <s v="Google Ads"/>
    <s v="Brand Awareness"/>
    <s v="Premium Plan"/>
    <n v="10034"/>
    <n v="320"/>
    <n v="31"/>
    <n v="934.41"/>
    <n v="4073.93"/>
    <n v="3.19"/>
    <n v="9.69"/>
    <n v="30.14"/>
    <n v="4.3600000000000003"/>
    <n v="3139.52"/>
  </r>
  <r>
    <x v="44"/>
    <s v="Facebook Ads"/>
    <s v="Flash Sale"/>
    <s v="Add-on Service"/>
    <n v="11064"/>
    <n v="398"/>
    <n v="23"/>
    <n v="739.04"/>
    <n v="1938.57"/>
    <n v="3.6"/>
    <n v="5.78"/>
    <n v="32.130000000000003"/>
    <n v="2.62"/>
    <n v="1199.53"/>
  </r>
  <r>
    <x v="44"/>
    <s v="Instagram Ads"/>
    <s v="Lead Generation"/>
    <s v="Basic Plan"/>
    <n v="10193"/>
    <n v="363"/>
    <n v="26"/>
    <n v="500"/>
    <n v="2183.65"/>
    <n v="3.56"/>
    <n v="7.16"/>
    <n v="19.23"/>
    <n v="4.37"/>
    <n v="1683.65"/>
  </r>
  <r>
    <x v="44"/>
    <s v="LinkedIn Ads"/>
    <s v="Product Launch"/>
    <s v="Add-on Service"/>
    <n v="3992"/>
    <n v="90"/>
    <n v="12"/>
    <n v="1150.0999999999999"/>
    <n v="4140.66"/>
    <n v="2.25"/>
    <n v="13.33"/>
    <n v="95.84"/>
    <n v="3.6"/>
    <n v="2990.56"/>
  </r>
  <r>
    <x v="44"/>
    <s v="Email Marketing"/>
    <s v="Brand Awareness"/>
    <s v="Add-on Service"/>
    <n v="12995"/>
    <n v="2974"/>
    <n v="385"/>
    <n v="153.19999999999999"/>
    <n v="54883.76"/>
    <n v="22.89"/>
    <n v="12.95"/>
    <n v="0.4"/>
    <n v="358.25"/>
    <n v="54730.559999999998"/>
  </r>
  <r>
    <x v="44"/>
    <s v="Organic Search"/>
    <s v="Retargeting"/>
    <s v="Premium Plan"/>
    <n v="26423"/>
    <n v="1794"/>
    <n v="192"/>
    <n v="0"/>
    <n v="23688.3"/>
    <n v="6.79"/>
    <n v="10.7"/>
    <n v="0"/>
    <n v="0"/>
    <n v="23688.3"/>
  </r>
  <r>
    <x v="44"/>
    <s v="Display Ads"/>
    <s v="Lead Generation"/>
    <s v="Premium Plan"/>
    <n v="31296"/>
    <n v="379"/>
    <n v="17"/>
    <n v="606.66999999999996"/>
    <n v="2077.02"/>
    <n v="1.21"/>
    <n v="4.49"/>
    <n v="35.69"/>
    <n v="3.42"/>
    <n v="1470.35"/>
  </r>
  <r>
    <x v="44"/>
    <s v="YouTube Ads"/>
    <s v="Retargeting"/>
    <s v="Premium Plan"/>
    <n v="12938"/>
    <n v="378"/>
    <n v="17"/>
    <n v="891.32"/>
    <n v="1712.59"/>
    <n v="2.92"/>
    <n v="4.5"/>
    <n v="52.43"/>
    <n v="1.92"/>
    <n v="821.27"/>
  </r>
  <r>
    <x v="44"/>
    <s v="Twitter Ads"/>
    <s v="Flash Sale"/>
    <s v="Basic Plan"/>
    <n v="8001"/>
    <n v="212"/>
    <n v="10"/>
    <n v="528.53"/>
    <n v="1085.1099999999999"/>
    <n v="2.65"/>
    <n v="4.72"/>
    <n v="52.85"/>
    <n v="2.0499999999999998"/>
    <n v="556.58000000000004"/>
  </r>
  <r>
    <x v="44"/>
    <s v="TikTok Ads"/>
    <s v="Retargeting"/>
    <s v="Enterprise Plan"/>
    <n v="25081"/>
    <n v="1091"/>
    <n v="61"/>
    <n v="513.75"/>
    <n v="5096.8500000000004"/>
    <n v="4.3499999999999996"/>
    <n v="5.59"/>
    <n v="8.42"/>
    <n v="9.92"/>
    <n v="4583.1000000000004"/>
  </r>
  <r>
    <x v="44"/>
    <s v="Affiliate Marketing"/>
    <s v="Seasonal Promotion"/>
    <s v="Enterprise Plan"/>
    <n v="5270"/>
    <n v="253"/>
    <n v="32"/>
    <n v="509.26"/>
    <n v="3338.78"/>
    <n v="4.8"/>
    <n v="12.65"/>
    <n v="15.91"/>
    <n v="6.56"/>
    <n v="2829.52"/>
  </r>
  <r>
    <x v="44"/>
    <s v="Referral"/>
    <s v="Retargeting"/>
    <s v="Starter Kit"/>
    <n v="4137"/>
    <n v="357"/>
    <n v="59"/>
    <n v="49.28"/>
    <n v="9680.8700000000008"/>
    <n v="8.6300000000000008"/>
    <n v="16.53"/>
    <n v="0.84"/>
    <n v="196.45"/>
    <n v="9631.59"/>
  </r>
  <r>
    <x v="45"/>
    <s v="Google Ads"/>
    <s v="Retargeting"/>
    <s v="Basic Plan"/>
    <n v="7729"/>
    <n v="241"/>
    <n v="25"/>
    <n v="716.06"/>
    <n v="4228.76"/>
    <n v="3.12"/>
    <n v="10.37"/>
    <n v="28.64"/>
    <n v="5.91"/>
    <n v="3512.7"/>
  </r>
  <r>
    <x v="45"/>
    <s v="Facebook Ads"/>
    <s v="Retargeting"/>
    <s v="Add-on Service"/>
    <n v="13804"/>
    <n v="447"/>
    <n v="37"/>
    <n v="974.11"/>
    <n v="4025.9"/>
    <n v="3.24"/>
    <n v="8.2799999999999994"/>
    <n v="26.33"/>
    <n v="4.13"/>
    <n v="3051.79"/>
  </r>
  <r>
    <x v="45"/>
    <s v="Instagram Ads"/>
    <s v="Lead Generation"/>
    <s v="Starter Kit"/>
    <n v="14100"/>
    <n v="419"/>
    <n v="17"/>
    <n v="502.36"/>
    <n v="1705.01"/>
    <n v="2.97"/>
    <n v="4.0599999999999996"/>
    <n v="29.55"/>
    <n v="3.39"/>
    <n v="1202.6500000000001"/>
  </r>
  <r>
    <x v="45"/>
    <s v="LinkedIn Ads"/>
    <s v="Lead Generation"/>
    <s v="Add-on Service"/>
    <n v="2952"/>
    <n v="59"/>
    <n v="8"/>
    <n v="1499.15"/>
    <n v="2628.97"/>
    <n v="2"/>
    <n v="13.56"/>
    <n v="187.39"/>
    <n v="1.75"/>
    <n v="1129.82"/>
  </r>
  <r>
    <x v="45"/>
    <s v="Email Marketing"/>
    <s v="Seasonal Promotion"/>
    <s v="Basic Plan"/>
    <n v="15408"/>
    <n v="2429"/>
    <n v="246"/>
    <n v="254.9"/>
    <n v="30398.7"/>
    <n v="15.76"/>
    <n v="10.130000000000001"/>
    <n v="1.04"/>
    <n v="119.26"/>
    <n v="30143.8"/>
  </r>
  <r>
    <x v="45"/>
    <s v="Organic Search"/>
    <s v="Brand Awareness"/>
    <s v="Enterprise Plan"/>
    <n v="22462"/>
    <n v="1041"/>
    <n v="127"/>
    <n v="0"/>
    <n v="13696.62"/>
    <n v="4.63"/>
    <n v="12.2"/>
    <n v="0"/>
    <n v="0"/>
    <n v="13696.62"/>
  </r>
  <r>
    <x v="45"/>
    <s v="Display Ads"/>
    <s v="Retargeting"/>
    <s v="Enterprise Plan"/>
    <n v="31043"/>
    <n v="558"/>
    <n v="11"/>
    <n v="972.91"/>
    <n v="1432.7"/>
    <n v="1.8"/>
    <n v="1.97"/>
    <n v="88.45"/>
    <n v="1.47"/>
    <n v="459.79"/>
  </r>
  <r>
    <x v="45"/>
    <s v="YouTube Ads"/>
    <s v="Seasonal Promotion"/>
    <s v="Enterprise Plan"/>
    <n v="16423"/>
    <n v="263"/>
    <n v="18"/>
    <n v="1102.95"/>
    <n v="2072.29"/>
    <n v="1.6"/>
    <n v="6.84"/>
    <n v="61.28"/>
    <n v="1.88"/>
    <n v="969.34"/>
  </r>
  <r>
    <x v="45"/>
    <s v="Twitter Ads"/>
    <s v="Brand Awareness"/>
    <s v="Enterprise Plan"/>
    <n v="9443"/>
    <n v="312"/>
    <n v="11"/>
    <n v="621.84"/>
    <n v="903.85"/>
    <n v="3.3"/>
    <n v="3.53"/>
    <n v="56.53"/>
    <n v="1.45"/>
    <n v="282.01"/>
  </r>
  <r>
    <x v="45"/>
    <s v="TikTok Ads"/>
    <s v="Flash Sale"/>
    <s v="Enterprise Plan"/>
    <n v="22430"/>
    <n v="578"/>
    <n v="28"/>
    <n v="868.48"/>
    <n v="3078.05"/>
    <n v="2.58"/>
    <n v="4.84"/>
    <n v="31.02"/>
    <n v="3.54"/>
    <n v="2209.5700000000002"/>
  </r>
  <r>
    <x v="45"/>
    <s v="Affiliate Marketing"/>
    <s v="Seasonal Promotion"/>
    <s v="Add-on Service"/>
    <n v="6500"/>
    <n v="294"/>
    <n v="27"/>
    <n v="338.24"/>
    <n v="3395.81"/>
    <n v="4.5199999999999996"/>
    <n v="9.18"/>
    <n v="12.53"/>
    <n v="10.039999999999999"/>
    <n v="3057.57"/>
  </r>
  <r>
    <x v="45"/>
    <s v="Referral"/>
    <s v="Flash Sale"/>
    <s v="Starter Kit"/>
    <n v="3448"/>
    <n v="188"/>
    <n v="22"/>
    <n v="112.46"/>
    <n v="2688.9"/>
    <n v="5.45"/>
    <n v="11.7"/>
    <n v="5.1100000000000003"/>
    <n v="23.91"/>
    <n v="2576.44"/>
  </r>
  <r>
    <x v="46"/>
    <s v="Google Ads"/>
    <s v="Lead Generation"/>
    <s v="Starter Kit"/>
    <n v="8363"/>
    <n v="415"/>
    <n v="46"/>
    <n v="840.34"/>
    <n v="6842.2"/>
    <n v="4.96"/>
    <n v="11.08"/>
    <n v="18.27"/>
    <n v="8.14"/>
    <n v="6001.86"/>
  </r>
  <r>
    <x v="46"/>
    <s v="Facebook Ads"/>
    <s v="Seasonal Promotion"/>
    <s v="Starter Kit"/>
    <n v="13474"/>
    <n v="418"/>
    <n v="26"/>
    <n v="898.42"/>
    <n v="2675.94"/>
    <n v="3.1"/>
    <n v="6.22"/>
    <n v="34.549999999999997"/>
    <n v="2.98"/>
    <n v="1777.52"/>
  </r>
  <r>
    <x v="46"/>
    <s v="Instagram Ads"/>
    <s v="Product Launch"/>
    <s v="Enterprise Plan"/>
    <n v="11744"/>
    <n v="403"/>
    <n v="23"/>
    <n v="513.51"/>
    <n v="2355.0300000000002"/>
    <n v="3.43"/>
    <n v="5.71"/>
    <n v="22.33"/>
    <n v="4.59"/>
    <n v="1841.52"/>
  </r>
  <r>
    <x v="46"/>
    <s v="LinkedIn Ads"/>
    <s v="Seasonal Promotion"/>
    <s v="Add-on Service"/>
    <n v="3714"/>
    <n v="94"/>
    <n v="10"/>
    <n v="1079.93"/>
    <n v="2689.89"/>
    <n v="2.5299999999999998"/>
    <n v="10.64"/>
    <n v="107.99"/>
    <n v="2.4900000000000002"/>
    <n v="1609.96"/>
  </r>
  <r>
    <x v="46"/>
    <s v="Email Marketing"/>
    <s v="Retargeting"/>
    <s v="Starter Kit"/>
    <n v="18243"/>
    <n v="3012"/>
    <n v="362"/>
    <n v="208.81"/>
    <n v="46351.26"/>
    <n v="16.510000000000002"/>
    <n v="12.02"/>
    <n v="0.57999999999999996"/>
    <n v="221.98"/>
    <n v="46142.45"/>
  </r>
  <r>
    <x v="46"/>
    <s v="Organic Search"/>
    <s v="Product Launch"/>
    <s v="Basic Plan"/>
    <n v="25994"/>
    <n v="1698"/>
    <n v="212"/>
    <n v="0"/>
    <n v="28022.11"/>
    <n v="6.53"/>
    <n v="12.49"/>
    <n v="0"/>
    <n v="0"/>
    <n v="28022.11"/>
  </r>
  <r>
    <x v="46"/>
    <s v="Display Ads"/>
    <s v="Flash Sale"/>
    <s v="Basic Plan"/>
    <n v="23689"/>
    <n v="435"/>
    <n v="11"/>
    <n v="1094.3699999999999"/>
    <n v="1188.53"/>
    <n v="1.84"/>
    <n v="2.5299999999999998"/>
    <n v="99.49"/>
    <n v="1.0900000000000001"/>
    <n v="94.16"/>
  </r>
  <r>
    <x v="46"/>
    <s v="YouTube Ads"/>
    <s v="Seasonal Promotion"/>
    <s v="Starter Kit"/>
    <n v="16104"/>
    <n v="355"/>
    <n v="14"/>
    <n v="706.32"/>
    <n v="1337.86"/>
    <n v="2.2000000000000002"/>
    <n v="3.94"/>
    <n v="50.45"/>
    <n v="1.89"/>
    <n v="631.54"/>
  </r>
  <r>
    <x v="46"/>
    <s v="Twitter Ads"/>
    <s v="Lead Generation"/>
    <s v="Starter Kit"/>
    <n v="7666"/>
    <n v="166"/>
    <n v="5"/>
    <n v="470.87"/>
    <n v="466.33"/>
    <n v="2.17"/>
    <n v="3.01"/>
    <n v="94.17"/>
    <n v="0.99"/>
    <n v="-4.54"/>
  </r>
  <r>
    <x v="46"/>
    <s v="TikTok Ads"/>
    <s v="Brand Awareness"/>
    <s v="Enterprise Plan"/>
    <n v="16830"/>
    <n v="537"/>
    <n v="23"/>
    <n v="822.56"/>
    <n v="1661.55"/>
    <n v="3.19"/>
    <n v="4.28"/>
    <n v="35.76"/>
    <n v="2.02"/>
    <n v="838.99"/>
  </r>
  <r>
    <x v="46"/>
    <s v="Affiliate Marketing"/>
    <s v="Flash Sale"/>
    <s v="Starter Kit"/>
    <n v="5812"/>
    <n v="306"/>
    <n v="37"/>
    <n v="264.63"/>
    <n v="4194.6899999999996"/>
    <n v="5.26"/>
    <n v="12.09"/>
    <n v="7.15"/>
    <n v="15.85"/>
    <n v="3930.06"/>
  </r>
  <r>
    <x v="46"/>
    <s v="Referral"/>
    <s v="Flash Sale"/>
    <s v="Starter Kit"/>
    <n v="4955"/>
    <n v="413"/>
    <n v="73"/>
    <n v="131.38999999999999"/>
    <n v="12088.84"/>
    <n v="8.34"/>
    <n v="17.68"/>
    <n v="1.8"/>
    <n v="92.01"/>
    <n v="11957.45"/>
  </r>
  <r>
    <x v="47"/>
    <s v="Google Ads"/>
    <s v="Retargeting"/>
    <s v="Basic Plan"/>
    <n v="7078"/>
    <n v="266"/>
    <n v="30"/>
    <n v="732.17"/>
    <n v="4923.45"/>
    <n v="3.76"/>
    <n v="11.28"/>
    <n v="24.41"/>
    <n v="6.72"/>
    <n v="4191.28"/>
  </r>
  <r>
    <x v="47"/>
    <s v="Facebook Ads"/>
    <s v="Retargeting"/>
    <s v="Premium Plan"/>
    <n v="7596"/>
    <n v="260"/>
    <n v="16"/>
    <n v="371.25"/>
    <n v="1582.02"/>
    <n v="3.42"/>
    <n v="6.15"/>
    <n v="23.2"/>
    <n v="4.26"/>
    <n v="1210.77"/>
  </r>
  <r>
    <x v="47"/>
    <s v="Instagram Ads"/>
    <s v="Lead Generation"/>
    <s v="Add-on Service"/>
    <n v="10046"/>
    <n v="333"/>
    <n v="22"/>
    <n v="336.58"/>
    <n v="2172.62"/>
    <n v="3.31"/>
    <n v="6.61"/>
    <n v="15.3"/>
    <n v="6.45"/>
    <n v="1836.04"/>
  </r>
  <r>
    <x v="47"/>
    <s v="LinkedIn Ads"/>
    <s v="Seasonal Promotion"/>
    <s v="Enterprise Plan"/>
    <n v="3464"/>
    <n v="89"/>
    <n v="11"/>
    <n v="758.79"/>
    <n v="3265.41"/>
    <n v="2.57"/>
    <n v="12.36"/>
    <n v="68.98"/>
    <n v="4.3"/>
    <n v="2506.62"/>
  </r>
  <r>
    <x v="47"/>
    <s v="Email Marketing"/>
    <s v="Brand Awareness"/>
    <s v="Starter Kit"/>
    <n v="11514"/>
    <n v="1961"/>
    <n v="262"/>
    <n v="97.18"/>
    <n v="36179.74"/>
    <n v="17.03"/>
    <n v="13.36"/>
    <n v="0.37"/>
    <n v="372.3"/>
    <n v="36082.559999999998"/>
  </r>
  <r>
    <x v="47"/>
    <s v="Organic Search"/>
    <s v="Brand Awareness"/>
    <s v="Add-on Service"/>
    <n v="17505"/>
    <n v="1281"/>
    <n v="140"/>
    <n v="0"/>
    <n v="13674.52"/>
    <n v="7.32"/>
    <n v="10.93"/>
    <n v="0"/>
    <n v="0"/>
    <n v="13674.52"/>
  </r>
  <r>
    <x v="47"/>
    <s v="Display Ads"/>
    <s v="Retargeting"/>
    <s v="Premium Plan"/>
    <n v="18766"/>
    <n v="345"/>
    <n v="11"/>
    <n v="446.18"/>
    <n v="1240.8599999999999"/>
    <n v="1.84"/>
    <n v="3.19"/>
    <n v="40.56"/>
    <n v="2.78"/>
    <n v="794.68"/>
  </r>
  <r>
    <x v="47"/>
    <s v="YouTube Ads"/>
    <s v="Flash Sale"/>
    <s v="Basic Plan"/>
    <n v="13642"/>
    <n v="332"/>
    <n v="26"/>
    <n v="662.67"/>
    <n v="2443.17"/>
    <n v="2.4300000000000002"/>
    <n v="7.83"/>
    <n v="25.49"/>
    <n v="3.69"/>
    <n v="1780.5"/>
  </r>
  <r>
    <x v="47"/>
    <s v="Twitter Ads"/>
    <s v="Retargeting"/>
    <s v="Basic Plan"/>
    <n v="8224"/>
    <n v="250"/>
    <n v="7"/>
    <n v="244.61"/>
    <n v="676.12"/>
    <n v="3.04"/>
    <n v="2.8"/>
    <n v="34.94"/>
    <n v="2.76"/>
    <n v="431.51"/>
  </r>
  <r>
    <x v="47"/>
    <s v="TikTok Ads"/>
    <s v="Brand Awareness"/>
    <s v="Starter Kit"/>
    <n v="13218"/>
    <n v="424"/>
    <n v="29"/>
    <n v="440.19"/>
    <n v="2883.79"/>
    <n v="3.21"/>
    <n v="6.84"/>
    <n v="15.18"/>
    <n v="6.55"/>
    <n v="2443.6"/>
  </r>
  <r>
    <x v="47"/>
    <s v="Affiliate Marketing"/>
    <s v="Product Launch"/>
    <s v="Enterprise Plan"/>
    <n v="4568"/>
    <n v="220"/>
    <n v="20"/>
    <n v="346.46"/>
    <n v="2798.07"/>
    <n v="4.82"/>
    <n v="9.09"/>
    <n v="17.32"/>
    <n v="8.08"/>
    <n v="2451.61"/>
  </r>
  <r>
    <x v="47"/>
    <s v="Referral"/>
    <s v="Seasonal Promotion"/>
    <s v="Starter Kit"/>
    <n v="3733"/>
    <n v="223"/>
    <n v="32"/>
    <n v="89.18"/>
    <n v="3799.15"/>
    <n v="5.97"/>
    <n v="14.35"/>
    <n v="2.79"/>
    <n v="42.6"/>
    <n v="3709.97"/>
  </r>
  <r>
    <x v="48"/>
    <s v="Google Ads"/>
    <s v="Flash Sale"/>
    <s v="Premium Plan"/>
    <n v="4825"/>
    <n v="203"/>
    <n v="20"/>
    <n v="673.52"/>
    <n v="3263.59"/>
    <n v="4.21"/>
    <n v="9.85"/>
    <n v="33.68"/>
    <n v="4.8499999999999996"/>
    <n v="2590.0700000000002"/>
  </r>
  <r>
    <x v="48"/>
    <s v="Facebook Ads"/>
    <s v="Product Launch"/>
    <s v="Add-on Service"/>
    <n v="8149"/>
    <n v="277"/>
    <n v="22"/>
    <n v="586.66"/>
    <n v="2618.5100000000002"/>
    <n v="3.4"/>
    <n v="7.94"/>
    <n v="26.67"/>
    <n v="4.46"/>
    <n v="2031.85"/>
  </r>
  <r>
    <x v="48"/>
    <s v="Instagram Ads"/>
    <s v="Retargeting"/>
    <s v="Enterprise Plan"/>
    <n v="8442"/>
    <n v="263"/>
    <n v="17"/>
    <n v="374.91"/>
    <n v="1722.01"/>
    <n v="3.12"/>
    <n v="6.46"/>
    <n v="22.05"/>
    <n v="4.59"/>
    <n v="1347.1"/>
  </r>
  <r>
    <x v="48"/>
    <s v="LinkedIn Ads"/>
    <s v="Flash Sale"/>
    <s v="Starter Kit"/>
    <n v="2441"/>
    <n v="60"/>
    <n v="8"/>
    <n v="909.16"/>
    <n v="1866.03"/>
    <n v="2.46"/>
    <n v="13.33"/>
    <n v="113.64"/>
    <n v="2.0499999999999998"/>
    <n v="956.87"/>
  </r>
  <r>
    <x v="48"/>
    <s v="Email Marketing"/>
    <s v="Seasonal Promotion"/>
    <s v="Premium Plan"/>
    <n v="11566"/>
    <n v="2532"/>
    <n v="289"/>
    <n v="141.53"/>
    <n v="41593"/>
    <n v="21.89"/>
    <n v="11.41"/>
    <n v="0.49"/>
    <n v="293.88"/>
    <n v="41451.47"/>
  </r>
  <r>
    <x v="48"/>
    <s v="Organic Search"/>
    <s v="Seasonal Promotion"/>
    <s v="Premium Plan"/>
    <n v="18396"/>
    <n v="1027"/>
    <n v="142"/>
    <n v="0"/>
    <n v="15637.78"/>
    <n v="5.58"/>
    <n v="13.83"/>
    <n v="0"/>
    <n v="0"/>
    <n v="15637.78"/>
  </r>
  <r>
    <x v="48"/>
    <s v="Display Ads"/>
    <s v="Lead Generation"/>
    <s v="Enterprise Plan"/>
    <n v="17951"/>
    <n v="312"/>
    <n v="12"/>
    <n v="463.09"/>
    <n v="1270.83"/>
    <n v="1.74"/>
    <n v="3.85"/>
    <n v="38.590000000000003"/>
    <n v="2.74"/>
    <n v="807.74"/>
  </r>
  <r>
    <x v="48"/>
    <s v="YouTube Ads"/>
    <s v="Lead Generation"/>
    <s v="Premium Plan"/>
    <n v="13366"/>
    <n v="316"/>
    <n v="23"/>
    <n v="484.24"/>
    <n v="2847.23"/>
    <n v="2.36"/>
    <n v="7.28"/>
    <n v="21.05"/>
    <n v="5.88"/>
    <n v="2362.9899999999998"/>
  </r>
  <r>
    <x v="48"/>
    <s v="Twitter Ads"/>
    <s v="Retargeting"/>
    <s v="Premium Plan"/>
    <n v="5125"/>
    <n v="171"/>
    <n v="7"/>
    <n v="364.74"/>
    <n v="655.13"/>
    <n v="3.34"/>
    <n v="4.09"/>
    <n v="52.11"/>
    <n v="1.8"/>
    <n v="290.39"/>
  </r>
  <r>
    <x v="48"/>
    <s v="TikTok Ads"/>
    <s v="Flash Sale"/>
    <s v="Premium Plan"/>
    <n v="15901"/>
    <n v="696"/>
    <n v="23"/>
    <n v="557.20000000000005"/>
    <n v="1604.35"/>
    <n v="4.38"/>
    <n v="3.3"/>
    <n v="24.23"/>
    <n v="2.88"/>
    <n v="1047.1500000000001"/>
  </r>
  <r>
    <x v="48"/>
    <s v="Affiliate Marketing"/>
    <s v="Retargeting"/>
    <s v="Basic Plan"/>
    <n v="5221"/>
    <n v="321"/>
    <n v="26"/>
    <n v="388.5"/>
    <n v="2791.97"/>
    <n v="6.15"/>
    <n v="8.1"/>
    <n v="14.94"/>
    <n v="7.19"/>
    <n v="2403.4699999999998"/>
  </r>
  <r>
    <x v="48"/>
    <s v="Referral"/>
    <s v="Flash Sale"/>
    <s v="Enterprise Plan"/>
    <n v="2266"/>
    <n v="161"/>
    <n v="23"/>
    <n v="82.98"/>
    <n v="3247.77"/>
    <n v="7.11"/>
    <n v="14.29"/>
    <n v="3.61"/>
    <n v="39.14"/>
    <n v="3164.79"/>
  </r>
  <r>
    <x v="49"/>
    <s v="Google Ads"/>
    <s v="Brand Awareness"/>
    <s v="Premium Plan"/>
    <n v="9819"/>
    <n v="480"/>
    <n v="42"/>
    <n v="868.73"/>
    <n v="7140.54"/>
    <n v="4.8899999999999997"/>
    <n v="8.75"/>
    <n v="20.68"/>
    <n v="8.2200000000000006"/>
    <n v="6271.81"/>
  </r>
  <r>
    <x v="49"/>
    <s v="Facebook Ads"/>
    <s v="Product Launch"/>
    <s v="Premium Plan"/>
    <n v="15548"/>
    <n v="312"/>
    <n v="17"/>
    <n v="571.08000000000004"/>
    <n v="2091.96"/>
    <n v="2.0099999999999998"/>
    <n v="5.45"/>
    <n v="33.590000000000003"/>
    <n v="3.66"/>
    <n v="1520.88"/>
  </r>
  <r>
    <x v="49"/>
    <s v="Instagram Ads"/>
    <s v="Product Launch"/>
    <s v="Enterprise Plan"/>
    <n v="11759"/>
    <n v="514"/>
    <n v="39"/>
    <n v="452.16"/>
    <n v="3644.09"/>
    <n v="4.37"/>
    <n v="7.59"/>
    <n v="11.59"/>
    <n v="8.06"/>
    <n v="3191.93"/>
  </r>
  <r>
    <x v="49"/>
    <s v="LinkedIn Ads"/>
    <s v="Product Launch"/>
    <s v="Starter Kit"/>
    <n v="3411"/>
    <n v="86"/>
    <n v="11"/>
    <n v="1154.24"/>
    <n v="3691.3"/>
    <n v="2.52"/>
    <n v="12.79"/>
    <n v="104.93"/>
    <n v="3.2"/>
    <n v="2537.06"/>
  </r>
  <r>
    <x v="49"/>
    <s v="Email Marketing"/>
    <s v="Lead Generation"/>
    <s v="Basic Plan"/>
    <n v="16661"/>
    <n v="4055"/>
    <n v="544"/>
    <n v="223.48"/>
    <n v="81662.75"/>
    <n v="24.34"/>
    <n v="13.42"/>
    <n v="0.41"/>
    <n v="365.41"/>
    <n v="81439.27"/>
  </r>
  <r>
    <x v="49"/>
    <s v="Organic Search"/>
    <s v="Seasonal Promotion"/>
    <s v="Starter Kit"/>
    <n v="27596"/>
    <n v="1944"/>
    <n v="248"/>
    <n v="0"/>
    <n v="29936.31"/>
    <n v="7.04"/>
    <n v="12.76"/>
    <n v="0"/>
    <n v="0"/>
    <n v="29936.31"/>
  </r>
  <r>
    <x v="49"/>
    <s v="Display Ads"/>
    <s v="Seasonal Promotion"/>
    <s v="Basic Plan"/>
    <n v="29538"/>
    <n v="413"/>
    <n v="17"/>
    <n v="945.22"/>
    <n v="2151.91"/>
    <n v="1.4"/>
    <n v="4.12"/>
    <n v="55.6"/>
    <n v="2.2799999999999998"/>
    <n v="1206.69"/>
  </r>
  <r>
    <x v="49"/>
    <s v="YouTube Ads"/>
    <s v="Lead Generation"/>
    <s v="Basic Plan"/>
    <n v="16042"/>
    <n v="302"/>
    <n v="22"/>
    <n v="827.94"/>
    <n v="2326.4499999999998"/>
    <n v="1.88"/>
    <n v="7.28"/>
    <n v="37.630000000000003"/>
    <n v="2.81"/>
    <n v="1498.51"/>
  </r>
  <r>
    <x v="49"/>
    <s v="Twitter Ads"/>
    <s v="Brand Awareness"/>
    <s v="Add-on Service"/>
    <n v="11819"/>
    <n v="361"/>
    <n v="21"/>
    <n v="370.67"/>
    <n v="2071.23"/>
    <n v="3.05"/>
    <n v="5.82"/>
    <n v="17.649999999999999"/>
    <n v="5.59"/>
    <n v="1700.56"/>
  </r>
  <r>
    <x v="49"/>
    <s v="TikTok Ads"/>
    <s v="Retargeting"/>
    <s v="Add-on Service"/>
    <n v="23377"/>
    <n v="889"/>
    <n v="59"/>
    <n v="830.83"/>
    <n v="4959.5600000000004"/>
    <n v="3.8"/>
    <n v="6.64"/>
    <n v="14.08"/>
    <n v="5.97"/>
    <n v="4128.7299999999996"/>
  </r>
  <r>
    <x v="49"/>
    <s v="Affiliate Marketing"/>
    <s v="Flash Sale"/>
    <s v="Basic Plan"/>
    <n v="6552"/>
    <n v="370"/>
    <n v="41"/>
    <n v="488.85"/>
    <n v="5363.11"/>
    <n v="5.65"/>
    <n v="11.08"/>
    <n v="11.92"/>
    <n v="10.97"/>
    <n v="4874.26"/>
  </r>
  <r>
    <x v="49"/>
    <s v="Referral"/>
    <s v="Retargeting"/>
    <s v="Add-on Service"/>
    <n v="5622"/>
    <n v="483"/>
    <n v="78"/>
    <n v="134.69999999999999"/>
    <n v="9777.57"/>
    <n v="8.59"/>
    <n v="16.149999999999999"/>
    <n v="1.73"/>
    <n v="72.59"/>
    <n v="9642.8700000000008"/>
  </r>
  <r>
    <x v="50"/>
    <s v="Google Ads"/>
    <s v="Lead Generation"/>
    <s v="Basic Plan"/>
    <n v="11415"/>
    <n v="442"/>
    <n v="45"/>
    <n v="702.36"/>
    <n v="5991.24"/>
    <n v="3.87"/>
    <n v="10.18"/>
    <n v="15.61"/>
    <n v="8.5299999999999994"/>
    <n v="5288.88"/>
  </r>
  <r>
    <x v="50"/>
    <s v="Facebook Ads"/>
    <s v="Retargeting"/>
    <s v="Enterprise Plan"/>
    <n v="13479"/>
    <n v="440"/>
    <n v="24"/>
    <n v="965.47"/>
    <n v="2596.27"/>
    <n v="3.26"/>
    <n v="5.45"/>
    <n v="40.229999999999997"/>
    <n v="2.69"/>
    <n v="1630.8"/>
  </r>
  <r>
    <x v="50"/>
    <s v="Instagram Ads"/>
    <s v="Retargeting"/>
    <s v="Enterprise Plan"/>
    <n v="10320"/>
    <n v="412"/>
    <n v="32"/>
    <n v="481.52"/>
    <n v="3745.52"/>
    <n v="3.99"/>
    <n v="7.77"/>
    <n v="15.05"/>
    <n v="7.78"/>
    <n v="3264"/>
  </r>
  <r>
    <x v="50"/>
    <s v="LinkedIn Ads"/>
    <s v="Flash Sale"/>
    <s v="Premium Plan"/>
    <n v="3116"/>
    <n v="90"/>
    <n v="10"/>
    <n v="1002.46"/>
    <n v="2397.21"/>
    <n v="2.89"/>
    <n v="11.11"/>
    <n v="100.25"/>
    <n v="2.39"/>
    <n v="1394.75"/>
  </r>
  <r>
    <x v="50"/>
    <s v="Email Marketing"/>
    <s v="Retargeting"/>
    <s v="Enterprise Plan"/>
    <n v="12801"/>
    <n v="1992"/>
    <n v="255"/>
    <n v="114"/>
    <n v="33002.629999999997"/>
    <n v="15.56"/>
    <n v="12.8"/>
    <n v="0.45"/>
    <n v="289.5"/>
    <n v="32888.629999999997"/>
  </r>
  <r>
    <x v="50"/>
    <s v="Organic Search"/>
    <s v="Flash Sale"/>
    <s v="Add-on Service"/>
    <n v="24223"/>
    <n v="1552"/>
    <n v="183"/>
    <n v="0"/>
    <n v="21941.38"/>
    <n v="6.41"/>
    <n v="11.79"/>
    <n v="0"/>
    <n v="0"/>
    <n v="21941.38"/>
  </r>
  <r>
    <x v="50"/>
    <s v="Display Ads"/>
    <s v="Lead Generation"/>
    <s v="Premium Plan"/>
    <n v="22634"/>
    <n v="256"/>
    <n v="6"/>
    <n v="857.06"/>
    <n v="558.63"/>
    <n v="1.1299999999999999"/>
    <n v="2.34"/>
    <n v="142.84"/>
    <n v="0.65"/>
    <n v="-298.43"/>
  </r>
  <r>
    <x v="50"/>
    <s v="YouTube Ads"/>
    <s v="Retargeting"/>
    <s v="Enterprise Plan"/>
    <n v="19804"/>
    <n v="357"/>
    <n v="27"/>
    <n v="908.72"/>
    <n v="4021.46"/>
    <n v="1.8"/>
    <n v="7.56"/>
    <n v="33.659999999999997"/>
    <n v="4.43"/>
    <n v="3112.74"/>
  </r>
  <r>
    <x v="50"/>
    <s v="Twitter Ads"/>
    <s v="Seasonal Promotion"/>
    <s v="Enterprise Plan"/>
    <n v="10498"/>
    <n v="354"/>
    <n v="14"/>
    <n v="524.79"/>
    <n v="1631.24"/>
    <n v="3.37"/>
    <n v="3.95"/>
    <n v="37.479999999999997"/>
    <n v="3.11"/>
    <n v="1106.45"/>
  </r>
  <r>
    <x v="50"/>
    <s v="TikTok Ads"/>
    <s v="Flash Sale"/>
    <s v="Starter Kit"/>
    <n v="22643"/>
    <n v="605"/>
    <n v="41"/>
    <n v="588.20000000000005"/>
    <n v="3212.75"/>
    <n v="2.67"/>
    <n v="6.78"/>
    <n v="14.35"/>
    <n v="5.46"/>
    <n v="2624.55"/>
  </r>
  <r>
    <x v="50"/>
    <s v="Affiliate Marketing"/>
    <s v="Flash Sale"/>
    <s v="Enterprise Plan"/>
    <n v="8078"/>
    <n v="350"/>
    <n v="31"/>
    <n v="593.55999999999995"/>
    <n v="3296.06"/>
    <n v="4.33"/>
    <n v="8.86"/>
    <n v="19.149999999999999"/>
    <n v="5.55"/>
    <n v="2702.5"/>
  </r>
  <r>
    <x v="50"/>
    <s v="Referral"/>
    <s v="Retargeting"/>
    <s v="Enterprise Plan"/>
    <n v="5303"/>
    <n v="351"/>
    <n v="45"/>
    <n v="144.1"/>
    <n v="7088.59"/>
    <n v="6.62"/>
    <n v="12.82"/>
    <n v="3.2"/>
    <n v="49.19"/>
    <n v="6944.49"/>
  </r>
  <r>
    <x v="51"/>
    <s v="Google Ads"/>
    <s v="Lead Generation"/>
    <s v="Starter Kit"/>
    <n v="9877"/>
    <n v="488"/>
    <n v="56"/>
    <n v="744.01"/>
    <n v="8860.7999999999993"/>
    <n v="4.9400000000000004"/>
    <n v="11.48"/>
    <n v="13.29"/>
    <n v="11.91"/>
    <n v="8116.79"/>
  </r>
  <r>
    <x v="51"/>
    <s v="Facebook Ads"/>
    <s v="Retargeting"/>
    <s v="Premium Plan"/>
    <n v="15686"/>
    <n v="556"/>
    <n v="49"/>
    <n v="902.1"/>
    <n v="4915.05"/>
    <n v="3.54"/>
    <n v="8.81"/>
    <n v="18.41"/>
    <n v="5.45"/>
    <n v="4012.95"/>
  </r>
  <r>
    <x v="51"/>
    <s v="Instagram Ads"/>
    <s v="Lead Generation"/>
    <s v="Starter Kit"/>
    <n v="12702"/>
    <n v="466"/>
    <n v="32"/>
    <n v="564.96"/>
    <n v="3393.34"/>
    <n v="3.67"/>
    <n v="6.87"/>
    <n v="17.66"/>
    <n v="6.01"/>
    <n v="2828.38"/>
  </r>
  <r>
    <x v="51"/>
    <s v="LinkedIn Ads"/>
    <s v="Seasonal Promotion"/>
    <s v="Enterprise Plan"/>
    <n v="3071"/>
    <n v="63"/>
    <n v="6"/>
    <n v="983.79"/>
    <n v="2042.73"/>
    <n v="2.0499999999999998"/>
    <n v="9.52"/>
    <n v="163.96"/>
    <n v="2.08"/>
    <n v="1058.94"/>
  </r>
  <r>
    <x v="51"/>
    <s v="Email Marketing"/>
    <s v="Seasonal Promotion"/>
    <s v="Enterprise Plan"/>
    <n v="16515"/>
    <n v="3472"/>
    <n v="281"/>
    <n v="85.69"/>
    <n v="37999.47"/>
    <n v="21.02"/>
    <n v="8.09"/>
    <n v="0.3"/>
    <n v="443.45"/>
    <n v="37913.78"/>
  </r>
  <r>
    <x v="51"/>
    <s v="Organic Search"/>
    <s v="Flash Sale"/>
    <s v="Enterprise Plan"/>
    <n v="28950"/>
    <n v="1547"/>
    <n v="160"/>
    <n v="0"/>
    <n v="24105.46"/>
    <n v="5.34"/>
    <n v="10.34"/>
    <n v="0"/>
    <n v="0"/>
    <n v="24105.46"/>
  </r>
  <r>
    <x v="51"/>
    <s v="Display Ads"/>
    <s v="Brand Awareness"/>
    <s v="Starter Kit"/>
    <n v="26583"/>
    <n v="368"/>
    <n v="10"/>
    <n v="1056.28"/>
    <n v="958.28"/>
    <n v="1.38"/>
    <n v="2.72"/>
    <n v="105.63"/>
    <n v="0.91"/>
    <n v="-98"/>
  </r>
  <r>
    <x v="51"/>
    <s v="YouTube Ads"/>
    <s v="Product Launch"/>
    <s v="Premium Plan"/>
    <n v="13267"/>
    <n v="243"/>
    <n v="17"/>
    <n v="1023.9"/>
    <n v="2157.36"/>
    <n v="1.83"/>
    <n v="7"/>
    <n v="60.23"/>
    <n v="2.11"/>
    <n v="1133.46"/>
  </r>
  <r>
    <x v="51"/>
    <s v="Twitter Ads"/>
    <s v="Seasonal Promotion"/>
    <s v="Premium Plan"/>
    <n v="7582"/>
    <n v="241"/>
    <n v="13"/>
    <n v="501.92"/>
    <n v="1500.07"/>
    <n v="3.18"/>
    <n v="5.39"/>
    <n v="38.61"/>
    <n v="2.99"/>
    <n v="998.15"/>
  </r>
  <r>
    <x v="51"/>
    <s v="TikTok Ads"/>
    <s v="Seasonal Promotion"/>
    <s v="Starter Kit"/>
    <n v="22417"/>
    <n v="866"/>
    <n v="30"/>
    <n v="634.85"/>
    <n v="2683.3"/>
    <n v="3.86"/>
    <n v="3.46"/>
    <n v="21.16"/>
    <n v="4.2300000000000004"/>
    <n v="2048.4499999999998"/>
  </r>
  <r>
    <x v="51"/>
    <s v="Affiliate Marketing"/>
    <s v="Product Launch"/>
    <s v="Basic Plan"/>
    <n v="8041"/>
    <n v="409"/>
    <n v="37"/>
    <n v="306"/>
    <n v="4360.5"/>
    <n v="5.09"/>
    <n v="9.0500000000000007"/>
    <n v="8.27"/>
    <n v="14.25"/>
    <n v="4054.5"/>
  </r>
  <r>
    <x v="51"/>
    <s v="Referral"/>
    <s v="Seasonal Promotion"/>
    <s v="Enterprise Plan"/>
    <n v="3284"/>
    <n v="259"/>
    <n v="32"/>
    <n v="84.87"/>
    <n v="5772.15"/>
    <n v="7.89"/>
    <n v="12.36"/>
    <n v="2.65"/>
    <n v="68.010000000000005"/>
    <n v="5687.28"/>
  </r>
  <r>
    <x v="52"/>
    <s v="Google Ads"/>
    <s v="Lead Generation"/>
    <s v="Basic Plan"/>
    <n v="6999"/>
    <n v="225"/>
    <n v="22"/>
    <n v="1097.98"/>
    <n v="2493.5300000000002"/>
    <n v="3.21"/>
    <n v="9.7799999999999994"/>
    <n v="49.91"/>
    <n v="2.27"/>
    <n v="1395.55"/>
  </r>
  <r>
    <x v="52"/>
    <s v="Facebook Ads"/>
    <s v="Seasonal Promotion"/>
    <s v="Enterprise Plan"/>
    <n v="10332"/>
    <n v="303"/>
    <n v="23"/>
    <n v="1013.42"/>
    <n v="2373.15"/>
    <n v="2.93"/>
    <n v="7.59"/>
    <n v="44.06"/>
    <n v="2.34"/>
    <n v="1359.73"/>
  </r>
  <r>
    <x v="52"/>
    <s v="Instagram Ads"/>
    <s v="Flash Sale"/>
    <s v="Basic Plan"/>
    <n v="10681"/>
    <n v="450"/>
    <n v="19"/>
    <n v="462.48"/>
    <n v="1559.53"/>
    <n v="4.21"/>
    <n v="4.22"/>
    <n v="24.34"/>
    <n v="3.37"/>
    <n v="1097.05"/>
  </r>
  <r>
    <x v="52"/>
    <s v="LinkedIn Ads"/>
    <s v="Flash Sale"/>
    <s v="Premium Plan"/>
    <n v="2671"/>
    <n v="58"/>
    <n v="7"/>
    <n v="1283.6400000000001"/>
    <n v="1962.19"/>
    <n v="2.17"/>
    <n v="12.07"/>
    <n v="183.38"/>
    <n v="1.53"/>
    <n v="678.55"/>
  </r>
  <r>
    <x v="52"/>
    <s v="Email Marketing"/>
    <s v="Flash Sale"/>
    <s v="Premium Plan"/>
    <n v="17260"/>
    <n v="3383"/>
    <n v="403"/>
    <n v="216.83"/>
    <n v="60845.77"/>
    <n v="19.600000000000001"/>
    <n v="11.91"/>
    <n v="0.54"/>
    <n v="280.62"/>
    <n v="60628.94"/>
  </r>
  <r>
    <x v="52"/>
    <s v="Organic Search"/>
    <s v="Product Launch"/>
    <s v="Starter Kit"/>
    <n v="28720"/>
    <n v="2293"/>
    <n v="280"/>
    <n v="0"/>
    <n v="38581.01"/>
    <n v="7.98"/>
    <n v="12.21"/>
    <n v="0"/>
    <n v="0"/>
    <n v="38581.01"/>
  </r>
  <r>
    <x v="52"/>
    <s v="Display Ads"/>
    <s v="Brand Awareness"/>
    <s v="Add-on Service"/>
    <n v="27228"/>
    <n v="333"/>
    <n v="11"/>
    <n v="780.59"/>
    <n v="961.51"/>
    <n v="1.22"/>
    <n v="3.3"/>
    <n v="70.959999999999994"/>
    <n v="1.23"/>
    <n v="180.92"/>
  </r>
  <r>
    <x v="52"/>
    <s v="YouTube Ads"/>
    <s v="Product Launch"/>
    <s v="Basic Plan"/>
    <n v="13791"/>
    <n v="354"/>
    <n v="22"/>
    <n v="796.24"/>
    <n v="3172.85"/>
    <n v="2.57"/>
    <n v="6.21"/>
    <n v="36.19"/>
    <n v="3.98"/>
    <n v="2376.61"/>
  </r>
  <r>
    <x v="52"/>
    <s v="Twitter Ads"/>
    <s v="Brand Awareness"/>
    <s v="Enterprise Plan"/>
    <n v="7007"/>
    <n v="169"/>
    <n v="9"/>
    <n v="481.73"/>
    <n v="882.42"/>
    <n v="2.41"/>
    <n v="5.33"/>
    <n v="53.53"/>
    <n v="1.83"/>
    <n v="400.69"/>
  </r>
  <r>
    <x v="52"/>
    <s v="TikTok Ads"/>
    <s v="Product Launch"/>
    <s v="Starter Kit"/>
    <n v="25360"/>
    <n v="1056"/>
    <n v="49"/>
    <n v="785.26"/>
    <n v="3806.16"/>
    <n v="4.16"/>
    <n v="4.6399999999999997"/>
    <n v="16.03"/>
    <n v="4.8499999999999996"/>
    <n v="3020.9"/>
  </r>
  <r>
    <x v="52"/>
    <s v="Affiliate Marketing"/>
    <s v="Lead Generation"/>
    <s v="Basic Plan"/>
    <n v="5621"/>
    <n v="316"/>
    <n v="28"/>
    <n v="470.98"/>
    <n v="3031.15"/>
    <n v="5.62"/>
    <n v="8.86"/>
    <n v="16.82"/>
    <n v="6.44"/>
    <n v="2560.17"/>
  </r>
  <r>
    <x v="52"/>
    <s v="Referral"/>
    <s v="Lead Generation"/>
    <s v="Add-on Service"/>
    <n v="3400"/>
    <n v="264"/>
    <n v="46"/>
    <n v="63.17"/>
    <n v="7292.91"/>
    <n v="7.76"/>
    <n v="17.420000000000002"/>
    <n v="1.37"/>
    <n v="115.45"/>
    <n v="7229.74"/>
  </r>
  <r>
    <x v="53"/>
    <s v="Google Ads"/>
    <s v="Product Launch"/>
    <s v="Add-on Service"/>
    <n v="10254"/>
    <n v="334"/>
    <n v="28"/>
    <n v="964.02"/>
    <n v="4323.42"/>
    <n v="3.26"/>
    <n v="8.3800000000000008"/>
    <n v="34.43"/>
    <n v="4.4800000000000004"/>
    <n v="3359.4"/>
  </r>
  <r>
    <x v="53"/>
    <s v="Facebook Ads"/>
    <s v="Seasonal Promotion"/>
    <s v="Enterprise Plan"/>
    <n v="16625"/>
    <n v="544"/>
    <n v="33"/>
    <n v="928.25"/>
    <n v="4384.1499999999996"/>
    <n v="3.27"/>
    <n v="6.07"/>
    <n v="28.13"/>
    <n v="4.72"/>
    <n v="3455.9"/>
  </r>
  <r>
    <x v="53"/>
    <s v="Instagram Ads"/>
    <s v="Lead Generation"/>
    <s v="Enterprise Plan"/>
    <n v="12682"/>
    <n v="464"/>
    <n v="27"/>
    <n v="444.4"/>
    <n v="2735.77"/>
    <n v="3.66"/>
    <n v="5.82"/>
    <n v="16.46"/>
    <n v="6.16"/>
    <n v="2291.37"/>
  </r>
  <r>
    <x v="53"/>
    <s v="LinkedIn Ads"/>
    <s v="Retargeting"/>
    <s v="Enterprise Plan"/>
    <n v="3789"/>
    <n v="107"/>
    <n v="13"/>
    <n v="765.95"/>
    <n v="3773.01"/>
    <n v="2.82"/>
    <n v="12.15"/>
    <n v="58.92"/>
    <n v="4.93"/>
    <n v="3007.06"/>
  </r>
  <r>
    <x v="53"/>
    <s v="Email Marketing"/>
    <s v="Flash Sale"/>
    <s v="Enterprise Plan"/>
    <n v="16433"/>
    <n v="3558"/>
    <n v="342"/>
    <n v="150"/>
    <n v="45020.65"/>
    <n v="21.65"/>
    <n v="9.61"/>
    <n v="0.44"/>
    <n v="300.14"/>
    <n v="44870.65"/>
  </r>
  <r>
    <x v="53"/>
    <s v="Organic Search"/>
    <s v="Brand Awareness"/>
    <s v="Starter Kit"/>
    <n v="22364"/>
    <n v="1105"/>
    <n v="112"/>
    <n v="0"/>
    <n v="12674.97"/>
    <n v="4.9400000000000004"/>
    <n v="10.14"/>
    <n v="0"/>
    <n v="0"/>
    <n v="12674.97"/>
  </r>
  <r>
    <x v="53"/>
    <s v="Display Ads"/>
    <s v="Brand Awareness"/>
    <s v="Basic Plan"/>
    <n v="31877"/>
    <n v="419"/>
    <n v="13"/>
    <n v="705.4"/>
    <n v="1119.68"/>
    <n v="1.31"/>
    <n v="3.1"/>
    <n v="54.26"/>
    <n v="1.59"/>
    <n v="414.28"/>
  </r>
  <r>
    <x v="53"/>
    <s v="YouTube Ads"/>
    <s v="Lead Generation"/>
    <s v="Starter Kit"/>
    <n v="12835"/>
    <n v="207"/>
    <n v="15"/>
    <n v="818.45"/>
    <n v="1607.43"/>
    <n v="1.61"/>
    <n v="7.25"/>
    <n v="54.56"/>
    <n v="1.96"/>
    <n v="788.98"/>
  </r>
  <r>
    <x v="53"/>
    <s v="Twitter Ads"/>
    <s v="Seasonal Promotion"/>
    <s v="Enterprise Plan"/>
    <n v="9564"/>
    <n v="298"/>
    <n v="12"/>
    <n v="345.86"/>
    <n v="1164.07"/>
    <n v="3.12"/>
    <n v="4.03"/>
    <n v="28.82"/>
    <n v="3.37"/>
    <n v="818.21"/>
  </r>
  <r>
    <x v="53"/>
    <s v="TikTok Ads"/>
    <s v="Brand Awareness"/>
    <s v="Starter Kit"/>
    <n v="21254"/>
    <n v="556"/>
    <n v="19"/>
    <n v="588.26"/>
    <n v="1327.15"/>
    <n v="2.62"/>
    <n v="3.42"/>
    <n v="30.96"/>
    <n v="2.2599999999999998"/>
    <n v="738.89"/>
  </r>
  <r>
    <x v="53"/>
    <s v="Affiliate Marketing"/>
    <s v="Brand Awareness"/>
    <s v="Enterprise Plan"/>
    <n v="5204"/>
    <n v="293"/>
    <n v="27"/>
    <n v="456.88"/>
    <n v="3011.72"/>
    <n v="5.63"/>
    <n v="9.2200000000000006"/>
    <n v="16.920000000000002"/>
    <n v="6.59"/>
    <n v="2554.84"/>
  </r>
  <r>
    <x v="53"/>
    <s v="Referral"/>
    <s v="Seasonal Promotion"/>
    <s v="Premium Plan"/>
    <n v="4159"/>
    <n v="283"/>
    <n v="38"/>
    <n v="119.15"/>
    <n v="5120.82"/>
    <n v="6.8"/>
    <n v="13.43"/>
    <n v="3.14"/>
    <n v="42.98"/>
    <n v="5001.67"/>
  </r>
  <r>
    <x v="54"/>
    <s v="Google Ads"/>
    <s v="Retargeting"/>
    <s v="Enterprise Plan"/>
    <n v="7107"/>
    <n v="249"/>
    <n v="19"/>
    <n v="652.33000000000004"/>
    <n v="3340.11"/>
    <n v="3.5"/>
    <n v="7.63"/>
    <n v="34.33"/>
    <n v="5.12"/>
    <n v="2687.78"/>
  </r>
  <r>
    <x v="54"/>
    <s v="Facebook Ads"/>
    <s v="Flash Sale"/>
    <s v="Enterprise Plan"/>
    <n v="8272"/>
    <n v="177"/>
    <n v="13"/>
    <n v="460.05"/>
    <n v="1871.08"/>
    <n v="2.14"/>
    <n v="7.34"/>
    <n v="35.39"/>
    <n v="4.07"/>
    <n v="1411.03"/>
  </r>
  <r>
    <x v="54"/>
    <s v="Instagram Ads"/>
    <s v="Seasonal Promotion"/>
    <s v="Starter Kit"/>
    <n v="10649"/>
    <n v="465"/>
    <n v="35"/>
    <n v="373.2"/>
    <n v="3651.79"/>
    <n v="4.37"/>
    <n v="7.53"/>
    <n v="10.66"/>
    <n v="9.7899999999999991"/>
    <n v="3278.59"/>
  </r>
  <r>
    <x v="54"/>
    <s v="LinkedIn Ads"/>
    <s v="Flash Sale"/>
    <s v="Enterprise Plan"/>
    <n v="3172"/>
    <n v="89"/>
    <n v="12"/>
    <n v="654.26"/>
    <n v="3899.68"/>
    <n v="2.81"/>
    <n v="13.48"/>
    <n v="54.52"/>
    <n v="5.96"/>
    <n v="3245.42"/>
  </r>
  <r>
    <x v="54"/>
    <s v="Email Marketing"/>
    <s v="Brand Awareness"/>
    <s v="Basic Plan"/>
    <n v="10309"/>
    <n v="2496"/>
    <n v="307"/>
    <n v="98.42"/>
    <n v="41236.269999999997"/>
    <n v="24.21"/>
    <n v="12.3"/>
    <n v="0.32"/>
    <n v="418.98"/>
    <n v="41137.85"/>
  </r>
  <r>
    <x v="54"/>
    <s v="Organic Search"/>
    <s v="Retargeting"/>
    <s v="Premium Plan"/>
    <n v="14621"/>
    <n v="1016"/>
    <n v="104"/>
    <n v="0"/>
    <n v="11582.68"/>
    <n v="6.95"/>
    <n v="10.24"/>
    <n v="0"/>
    <n v="0"/>
    <n v="11582.68"/>
  </r>
  <r>
    <x v="54"/>
    <s v="Display Ads"/>
    <s v="Seasonal Promotion"/>
    <s v="Add-on Service"/>
    <n v="17555"/>
    <n v="307"/>
    <n v="11"/>
    <n v="430.17"/>
    <n v="1084.6199999999999"/>
    <n v="1.75"/>
    <n v="3.58"/>
    <n v="39.11"/>
    <n v="2.52"/>
    <n v="654.45000000000005"/>
  </r>
  <r>
    <x v="54"/>
    <s v="YouTube Ads"/>
    <s v="Product Launch"/>
    <s v="Add-on Service"/>
    <n v="12181"/>
    <n v="285"/>
    <n v="13"/>
    <n v="623.16"/>
    <n v="1582.01"/>
    <n v="2.34"/>
    <n v="4.5599999999999996"/>
    <n v="47.94"/>
    <n v="2.54"/>
    <n v="958.85"/>
  </r>
  <r>
    <x v="54"/>
    <s v="Twitter Ads"/>
    <s v="Lead Generation"/>
    <s v="Premium Plan"/>
    <n v="5355"/>
    <n v="124"/>
    <n v="7"/>
    <n v="455.19"/>
    <n v="609.84"/>
    <n v="2.3199999999999998"/>
    <n v="5.65"/>
    <n v="65.03"/>
    <n v="1.34"/>
    <n v="154.65"/>
  </r>
  <r>
    <x v="54"/>
    <s v="TikTok Ads"/>
    <s v="Flash Sale"/>
    <s v="Starter Kit"/>
    <n v="13781"/>
    <n v="494"/>
    <n v="33"/>
    <n v="621.49"/>
    <n v="3074.59"/>
    <n v="3.58"/>
    <n v="6.68"/>
    <n v="18.829999999999998"/>
    <n v="4.95"/>
    <n v="2453.1"/>
  </r>
  <r>
    <x v="54"/>
    <s v="Affiliate Marketing"/>
    <s v="Flash Sale"/>
    <s v="Enterprise Plan"/>
    <n v="4715"/>
    <n v="301"/>
    <n v="30"/>
    <n v="331.39"/>
    <n v="3369.37"/>
    <n v="6.38"/>
    <n v="9.9700000000000006"/>
    <n v="11.05"/>
    <n v="10.17"/>
    <n v="3037.98"/>
  </r>
  <r>
    <x v="54"/>
    <s v="Referral"/>
    <s v="Flash Sale"/>
    <s v="Starter Kit"/>
    <n v="2193"/>
    <n v="205"/>
    <n v="24"/>
    <n v="57.79"/>
    <n v="3707.86"/>
    <n v="9.35"/>
    <n v="11.71"/>
    <n v="2.41"/>
    <n v="64.16"/>
    <n v="3650.07"/>
  </r>
  <r>
    <x v="55"/>
    <s v="Google Ads"/>
    <s v="Brand Awareness"/>
    <s v="Basic Plan"/>
    <n v="7878"/>
    <n v="371"/>
    <n v="38"/>
    <n v="887.93"/>
    <n v="4461.88"/>
    <n v="4.71"/>
    <n v="10.24"/>
    <n v="23.37"/>
    <n v="5.03"/>
    <n v="3573.95"/>
  </r>
  <r>
    <x v="55"/>
    <s v="Facebook Ads"/>
    <s v="Brand Awareness"/>
    <s v="Premium Plan"/>
    <n v="11342"/>
    <n v="246"/>
    <n v="18"/>
    <n v="630.87"/>
    <n v="1759.17"/>
    <n v="2.17"/>
    <n v="7.32"/>
    <n v="35.049999999999997"/>
    <n v="2.79"/>
    <n v="1128.3"/>
  </r>
  <r>
    <x v="55"/>
    <s v="Instagram Ads"/>
    <s v="Product Launch"/>
    <s v="Starter Kit"/>
    <n v="6747"/>
    <n v="246"/>
    <n v="12"/>
    <n v="560.13"/>
    <n v="1335.13"/>
    <n v="3.65"/>
    <n v="4.88"/>
    <n v="46.68"/>
    <n v="2.38"/>
    <n v="775"/>
  </r>
  <r>
    <x v="55"/>
    <s v="LinkedIn Ads"/>
    <s v="Brand Awareness"/>
    <s v="Premium Plan"/>
    <n v="2704"/>
    <n v="48"/>
    <n v="5"/>
    <n v="631.67999999999995"/>
    <n v="1319.23"/>
    <n v="1.78"/>
    <n v="10.42"/>
    <n v="126.34"/>
    <n v="2.09"/>
    <n v="687.55"/>
  </r>
  <r>
    <x v="55"/>
    <s v="Email Marketing"/>
    <s v="Lead Generation"/>
    <s v="Add-on Service"/>
    <n v="11194"/>
    <n v="2653"/>
    <n v="345"/>
    <n v="65.31"/>
    <n v="37029"/>
    <n v="23.7"/>
    <n v="13"/>
    <n v="0.19"/>
    <n v="566.97"/>
    <n v="36963.69"/>
  </r>
  <r>
    <x v="55"/>
    <s v="Organic Search"/>
    <s v="Lead Generation"/>
    <s v="Starter Kit"/>
    <n v="15870"/>
    <n v="1018"/>
    <n v="104"/>
    <n v="0"/>
    <n v="14180.57"/>
    <n v="6.41"/>
    <n v="10.220000000000001"/>
    <n v="0"/>
    <n v="0"/>
    <n v="14180.57"/>
  </r>
  <r>
    <x v="55"/>
    <s v="Display Ads"/>
    <s v="Retargeting"/>
    <s v="Enterprise Plan"/>
    <n v="22548"/>
    <n v="293"/>
    <n v="13"/>
    <n v="493.88"/>
    <n v="1767.38"/>
    <n v="1.3"/>
    <n v="4.4400000000000004"/>
    <n v="37.99"/>
    <n v="3.58"/>
    <n v="1273.5"/>
  </r>
  <r>
    <x v="55"/>
    <s v="YouTube Ads"/>
    <s v="Flash Sale"/>
    <s v="Add-on Service"/>
    <n v="9935"/>
    <n v="229"/>
    <n v="11"/>
    <n v="762.18"/>
    <n v="1061.8900000000001"/>
    <n v="2.2999999999999998"/>
    <n v="4.8"/>
    <n v="69.290000000000006"/>
    <n v="1.39"/>
    <n v="299.70999999999998"/>
  </r>
  <r>
    <x v="55"/>
    <s v="Twitter Ads"/>
    <s v="Retargeting"/>
    <s v="Add-on Service"/>
    <n v="6030"/>
    <n v="196"/>
    <n v="8"/>
    <n v="443.21"/>
    <n v="835.4"/>
    <n v="3.25"/>
    <n v="4.08"/>
    <n v="55.4"/>
    <n v="1.88"/>
    <n v="392.19"/>
  </r>
  <r>
    <x v="55"/>
    <s v="TikTok Ads"/>
    <s v="Flash Sale"/>
    <s v="Basic Plan"/>
    <n v="11855"/>
    <n v="499"/>
    <n v="16"/>
    <n v="469.2"/>
    <n v="1089.1500000000001"/>
    <n v="4.21"/>
    <n v="3.21"/>
    <n v="29.32"/>
    <n v="2.3199999999999998"/>
    <n v="619.95000000000005"/>
  </r>
  <r>
    <x v="55"/>
    <s v="Affiliate Marketing"/>
    <s v="Retargeting"/>
    <s v="Premium Plan"/>
    <n v="4044"/>
    <n v="195"/>
    <n v="17"/>
    <n v="415.61"/>
    <n v="1805.62"/>
    <n v="4.82"/>
    <n v="8.7200000000000006"/>
    <n v="24.45"/>
    <n v="4.34"/>
    <n v="1390.01"/>
  </r>
  <r>
    <x v="55"/>
    <s v="Referral"/>
    <s v="Retargeting"/>
    <s v="Add-on Service"/>
    <n v="2937"/>
    <n v="166"/>
    <n v="24"/>
    <n v="64.819999999999993"/>
    <n v="4698.55"/>
    <n v="5.65"/>
    <n v="14.46"/>
    <n v="2.7"/>
    <n v="72.489999999999995"/>
    <n v="4633.7299999999996"/>
  </r>
  <r>
    <x v="56"/>
    <s v="Google Ads"/>
    <s v="Retargeting"/>
    <s v="Enterprise Plan"/>
    <n v="11033"/>
    <n v="490"/>
    <n v="43"/>
    <n v="1184.6600000000001"/>
    <n v="6331.93"/>
    <n v="4.4400000000000004"/>
    <n v="8.7799999999999994"/>
    <n v="27.55"/>
    <n v="5.34"/>
    <n v="5147.2700000000004"/>
  </r>
  <r>
    <x v="56"/>
    <s v="Facebook Ads"/>
    <s v="Brand Awareness"/>
    <s v="Enterprise Plan"/>
    <n v="13416"/>
    <n v="410"/>
    <n v="29"/>
    <n v="936.45"/>
    <n v="3396.69"/>
    <n v="3.06"/>
    <n v="7.07"/>
    <n v="32.29"/>
    <n v="3.63"/>
    <n v="2460.2399999999998"/>
  </r>
  <r>
    <x v="56"/>
    <s v="Instagram Ads"/>
    <s v="Lead Generation"/>
    <s v="Starter Kit"/>
    <n v="12205"/>
    <n v="356"/>
    <n v="19"/>
    <n v="430.24"/>
    <n v="2407.58"/>
    <n v="2.92"/>
    <n v="5.34"/>
    <n v="22.64"/>
    <n v="5.6"/>
    <n v="1977.34"/>
  </r>
  <r>
    <x v="56"/>
    <s v="LinkedIn Ads"/>
    <s v="Retargeting"/>
    <s v="Basic Plan"/>
    <n v="2708"/>
    <n v="43"/>
    <n v="5"/>
    <n v="1219.22"/>
    <n v="1663.61"/>
    <n v="1.59"/>
    <n v="11.63"/>
    <n v="243.84"/>
    <n v="1.36"/>
    <n v="444.39"/>
  </r>
  <r>
    <x v="56"/>
    <s v="Email Marketing"/>
    <s v="Product Launch"/>
    <s v="Premium Plan"/>
    <n v="17918"/>
    <n v="4424"/>
    <n v="566"/>
    <n v="192.21"/>
    <n v="77423.789999999994"/>
    <n v="24.69"/>
    <n v="12.79"/>
    <n v="0.34"/>
    <n v="402.81"/>
    <n v="77231.58"/>
  </r>
  <r>
    <x v="56"/>
    <s v="Organic Search"/>
    <s v="Flash Sale"/>
    <s v="Enterprise Plan"/>
    <n v="26696"/>
    <n v="1521"/>
    <n v="190"/>
    <n v="0"/>
    <n v="21193.59"/>
    <n v="5.7"/>
    <n v="12.49"/>
    <n v="0"/>
    <n v="0"/>
    <n v="21193.59"/>
  </r>
  <r>
    <x v="56"/>
    <s v="Display Ads"/>
    <s v="Seasonal Promotion"/>
    <s v="Enterprise Plan"/>
    <n v="29585"/>
    <n v="298"/>
    <n v="9"/>
    <n v="706.7"/>
    <n v="983.45"/>
    <n v="1.01"/>
    <n v="3.02"/>
    <n v="78.52"/>
    <n v="1.39"/>
    <n v="276.75"/>
  </r>
  <r>
    <x v="56"/>
    <s v="YouTube Ads"/>
    <s v="Brand Awareness"/>
    <s v="Starter Kit"/>
    <n v="19301"/>
    <n v="311"/>
    <n v="18"/>
    <n v="825.38"/>
    <n v="2176.0700000000002"/>
    <n v="1.61"/>
    <n v="5.79"/>
    <n v="45.85"/>
    <n v="2.64"/>
    <n v="1350.69"/>
  </r>
  <r>
    <x v="56"/>
    <s v="Twitter Ads"/>
    <s v="Product Launch"/>
    <s v="Basic Plan"/>
    <n v="10582"/>
    <n v="357"/>
    <n v="11"/>
    <n v="676.93"/>
    <n v="980.8"/>
    <n v="3.37"/>
    <n v="3.08"/>
    <n v="61.54"/>
    <n v="1.45"/>
    <n v="303.87"/>
  </r>
  <r>
    <x v="56"/>
    <s v="TikTok Ads"/>
    <s v="Brand Awareness"/>
    <s v="Starter Kit"/>
    <n v="23760"/>
    <n v="845"/>
    <n v="56"/>
    <n v="601.67999999999995"/>
    <n v="5167.63"/>
    <n v="3.56"/>
    <n v="6.63"/>
    <n v="10.74"/>
    <n v="8.59"/>
    <n v="4565.95"/>
  </r>
  <r>
    <x v="56"/>
    <s v="Affiliate Marketing"/>
    <s v="Brand Awareness"/>
    <s v="Basic Plan"/>
    <n v="6811"/>
    <n v="358"/>
    <n v="44"/>
    <n v="487.25"/>
    <n v="5891.13"/>
    <n v="5.26"/>
    <n v="12.29"/>
    <n v="11.07"/>
    <n v="12.09"/>
    <n v="5403.88"/>
  </r>
  <r>
    <x v="56"/>
    <s v="Referral"/>
    <s v="Flash Sale"/>
    <s v="Add-on Service"/>
    <n v="3046"/>
    <n v="243"/>
    <n v="39"/>
    <n v="157.53"/>
    <n v="6402.23"/>
    <n v="7.98"/>
    <n v="16.05"/>
    <n v="4.04"/>
    <n v="40.64"/>
    <n v="6244.7"/>
  </r>
  <r>
    <x v="57"/>
    <s v="Google Ads"/>
    <s v="Brand Awareness"/>
    <s v="Premium Plan"/>
    <n v="8224"/>
    <n v="328"/>
    <n v="34"/>
    <n v="793.25"/>
    <n v="5684.1"/>
    <n v="3.99"/>
    <n v="10.37"/>
    <n v="23.33"/>
    <n v="7.17"/>
    <n v="4890.8500000000004"/>
  </r>
  <r>
    <x v="57"/>
    <s v="Facebook Ads"/>
    <s v="Product Launch"/>
    <s v="Basic Plan"/>
    <n v="11471"/>
    <n v="231"/>
    <n v="11"/>
    <n v="814.5"/>
    <n v="1002.19"/>
    <n v="2.0099999999999998"/>
    <n v="4.76"/>
    <n v="74.05"/>
    <n v="1.23"/>
    <n v="187.69"/>
  </r>
  <r>
    <x v="57"/>
    <s v="Instagram Ads"/>
    <s v="Lead Generation"/>
    <s v="Add-on Service"/>
    <n v="14211"/>
    <n v="626"/>
    <n v="39"/>
    <n v="786.1"/>
    <n v="4357.2299999999996"/>
    <n v="4.41"/>
    <n v="6.23"/>
    <n v="20.16"/>
    <n v="5.54"/>
    <n v="3571.13"/>
  </r>
  <r>
    <x v="57"/>
    <s v="LinkedIn Ads"/>
    <s v="Lead Generation"/>
    <s v="Premium Plan"/>
    <n v="4388"/>
    <n v="69"/>
    <n v="8"/>
    <n v="864.65"/>
    <n v="2403.9299999999998"/>
    <n v="1.57"/>
    <n v="11.59"/>
    <n v="108.08"/>
    <n v="2.78"/>
    <n v="1539.28"/>
  </r>
  <r>
    <x v="57"/>
    <s v="Email Marketing"/>
    <s v="Seasonal Promotion"/>
    <s v="Basic Plan"/>
    <n v="16144"/>
    <n v="3400"/>
    <n v="448"/>
    <n v="206.5"/>
    <n v="58181.43"/>
    <n v="21.06"/>
    <n v="13.18"/>
    <n v="0.46"/>
    <n v="281.75"/>
    <n v="57974.93"/>
  </r>
  <r>
    <x v="57"/>
    <s v="Organic Search"/>
    <s v="Seasonal Promotion"/>
    <s v="Basic Plan"/>
    <n v="27585"/>
    <n v="1196"/>
    <n v="167"/>
    <n v="0"/>
    <n v="18528.78"/>
    <n v="4.34"/>
    <n v="13.96"/>
    <n v="0"/>
    <n v="0"/>
    <n v="18528.78"/>
  </r>
  <r>
    <x v="57"/>
    <s v="Display Ads"/>
    <s v="Lead Generation"/>
    <s v="Enterprise Plan"/>
    <n v="28140"/>
    <n v="399"/>
    <n v="17"/>
    <n v="815.1"/>
    <n v="1767.55"/>
    <n v="1.42"/>
    <n v="4.26"/>
    <n v="47.95"/>
    <n v="2.17"/>
    <n v="952.45"/>
  </r>
  <r>
    <x v="57"/>
    <s v="YouTube Ads"/>
    <s v="Lead Generation"/>
    <s v="Add-on Service"/>
    <n v="15309"/>
    <n v="321"/>
    <n v="22"/>
    <n v="1109.6099999999999"/>
    <n v="3275.84"/>
    <n v="2.1"/>
    <n v="6.85"/>
    <n v="50.44"/>
    <n v="2.95"/>
    <n v="2166.23"/>
  </r>
  <r>
    <x v="57"/>
    <s v="Twitter Ads"/>
    <s v="Brand Awareness"/>
    <s v="Enterprise Plan"/>
    <n v="7655"/>
    <n v="158"/>
    <n v="5"/>
    <n v="384.3"/>
    <n v="504.72"/>
    <n v="2.06"/>
    <n v="3.16"/>
    <n v="76.86"/>
    <n v="1.31"/>
    <n v="120.42"/>
  </r>
  <r>
    <x v="57"/>
    <s v="TikTok Ads"/>
    <s v="Lead Generation"/>
    <s v="Basic Plan"/>
    <n v="19196"/>
    <n v="628"/>
    <n v="31"/>
    <n v="724.1"/>
    <n v="3432.07"/>
    <n v="3.27"/>
    <n v="4.9400000000000004"/>
    <n v="23.36"/>
    <n v="4.74"/>
    <n v="2707.97"/>
  </r>
  <r>
    <x v="57"/>
    <s v="Affiliate Marketing"/>
    <s v="Seasonal Promotion"/>
    <s v="Enterprise Plan"/>
    <n v="5446"/>
    <n v="289"/>
    <n v="32"/>
    <n v="393.26"/>
    <n v="4305.75"/>
    <n v="5.31"/>
    <n v="11.07"/>
    <n v="12.29"/>
    <n v="10.95"/>
    <n v="3912.49"/>
  </r>
  <r>
    <x v="57"/>
    <s v="Referral"/>
    <s v="Lead Generation"/>
    <s v="Premium Plan"/>
    <n v="3606"/>
    <n v="305"/>
    <n v="45"/>
    <n v="128.56"/>
    <n v="5982.09"/>
    <n v="8.4600000000000009"/>
    <n v="14.75"/>
    <n v="2.86"/>
    <n v="46.53"/>
    <n v="5853.53"/>
  </r>
  <r>
    <x v="58"/>
    <s v="Google Ads"/>
    <s v="Flash Sale"/>
    <s v="Premium Plan"/>
    <n v="10579"/>
    <n v="463"/>
    <n v="48"/>
    <n v="942.32"/>
    <n v="7665.01"/>
    <n v="4.38"/>
    <n v="10.37"/>
    <n v="19.63"/>
    <n v="8.1300000000000008"/>
    <n v="6722.69"/>
  </r>
  <r>
    <x v="58"/>
    <s v="Facebook Ads"/>
    <s v="Lead Generation"/>
    <s v="Premium Plan"/>
    <n v="11726"/>
    <n v="388"/>
    <n v="32"/>
    <n v="650.78"/>
    <n v="4175.5600000000004"/>
    <n v="3.31"/>
    <n v="8.25"/>
    <n v="20.34"/>
    <n v="6.42"/>
    <n v="3524.78"/>
  </r>
  <r>
    <x v="58"/>
    <s v="Instagram Ads"/>
    <s v="Product Launch"/>
    <s v="Basic Plan"/>
    <n v="8720"/>
    <n v="230"/>
    <n v="16"/>
    <n v="466.72"/>
    <n v="1768.03"/>
    <n v="2.64"/>
    <n v="6.96"/>
    <n v="29.17"/>
    <n v="3.79"/>
    <n v="1301.31"/>
  </r>
  <r>
    <x v="58"/>
    <s v="LinkedIn Ads"/>
    <s v="Seasonal Promotion"/>
    <s v="Enterprise Plan"/>
    <n v="3590"/>
    <n v="58"/>
    <n v="7"/>
    <n v="977.24"/>
    <n v="1686.61"/>
    <n v="1.62"/>
    <n v="12.07"/>
    <n v="139.61000000000001"/>
    <n v="1.73"/>
    <n v="709.37"/>
  </r>
  <r>
    <x v="58"/>
    <s v="Email Marketing"/>
    <s v="Brand Awareness"/>
    <s v="Basic Plan"/>
    <n v="18581"/>
    <n v="3163"/>
    <n v="425"/>
    <n v="213.44"/>
    <n v="51481.279999999999"/>
    <n v="17.02"/>
    <n v="13.44"/>
    <n v="0.5"/>
    <n v="241.2"/>
    <n v="51267.839999999997"/>
  </r>
  <r>
    <x v="58"/>
    <s v="Organic Search"/>
    <s v="Product Launch"/>
    <s v="Premium Plan"/>
    <n v="20199"/>
    <n v="1356"/>
    <n v="152"/>
    <n v="0"/>
    <n v="23345.919999999998"/>
    <n v="6.71"/>
    <n v="11.21"/>
    <n v="0"/>
    <n v="0"/>
    <n v="23345.919999999998"/>
  </r>
  <r>
    <x v="58"/>
    <s v="Display Ads"/>
    <s v="Lead Generation"/>
    <s v="Starter Kit"/>
    <n v="33966"/>
    <n v="390"/>
    <n v="16"/>
    <n v="778.32"/>
    <n v="2246.09"/>
    <n v="1.1499999999999999"/>
    <n v="4.0999999999999996"/>
    <n v="48.64"/>
    <n v="2.89"/>
    <n v="1467.77"/>
  </r>
  <r>
    <x v="58"/>
    <s v="YouTube Ads"/>
    <s v="Seasonal Promotion"/>
    <s v="Premium Plan"/>
    <n v="14308"/>
    <n v="421"/>
    <n v="23"/>
    <n v="680.81"/>
    <n v="3354.7"/>
    <n v="2.94"/>
    <n v="5.46"/>
    <n v="29.6"/>
    <n v="4.93"/>
    <n v="2673.89"/>
  </r>
  <r>
    <x v="58"/>
    <s v="Twitter Ads"/>
    <s v="Flash Sale"/>
    <s v="Premium Plan"/>
    <n v="10428"/>
    <n v="228"/>
    <n v="12"/>
    <n v="643.79999999999995"/>
    <n v="1132.2"/>
    <n v="2.19"/>
    <n v="5.26"/>
    <n v="53.65"/>
    <n v="1.76"/>
    <n v="488.4"/>
  </r>
  <r>
    <x v="58"/>
    <s v="TikTok Ads"/>
    <s v="Retargeting"/>
    <s v="Starter Kit"/>
    <n v="21412"/>
    <n v="599"/>
    <n v="34"/>
    <n v="595.05999999999995"/>
    <n v="2428.38"/>
    <n v="2.8"/>
    <n v="5.68"/>
    <n v="17.5"/>
    <n v="4.08"/>
    <n v="1833.32"/>
  </r>
  <r>
    <x v="58"/>
    <s v="Affiliate Marketing"/>
    <s v="Product Launch"/>
    <s v="Add-on Service"/>
    <n v="7355"/>
    <n v="399"/>
    <n v="39"/>
    <n v="371.81"/>
    <n v="5655.72"/>
    <n v="5.42"/>
    <n v="9.77"/>
    <n v="9.5299999999999994"/>
    <n v="15.21"/>
    <n v="5283.91"/>
  </r>
  <r>
    <x v="58"/>
    <s v="Referral"/>
    <s v="Seasonal Promotion"/>
    <s v="Premium Plan"/>
    <n v="3541"/>
    <n v="213"/>
    <n v="28"/>
    <n v="119.11"/>
    <n v="3561.23"/>
    <n v="6.02"/>
    <n v="13.15"/>
    <n v="4.25"/>
    <n v="29.9"/>
    <n v="3442.12"/>
  </r>
  <r>
    <x v="59"/>
    <s v="Google Ads"/>
    <s v="Retargeting"/>
    <s v="Add-on Service"/>
    <n v="11344"/>
    <n v="380"/>
    <n v="30"/>
    <n v="1123.2"/>
    <n v="3680.99"/>
    <n v="3.35"/>
    <n v="7.89"/>
    <n v="37.44"/>
    <n v="3.28"/>
    <n v="2557.79"/>
  </r>
  <r>
    <x v="59"/>
    <s v="Facebook Ads"/>
    <s v="Lead Generation"/>
    <s v="Add-on Service"/>
    <n v="11672"/>
    <n v="368"/>
    <n v="25"/>
    <n v="546.75"/>
    <n v="2492.9299999999998"/>
    <n v="3.15"/>
    <n v="6.79"/>
    <n v="21.87"/>
    <n v="4.5599999999999996"/>
    <n v="1946.18"/>
  </r>
  <r>
    <x v="59"/>
    <s v="Instagram Ads"/>
    <s v="Brand Awareness"/>
    <s v="Add-on Service"/>
    <n v="14404"/>
    <n v="604"/>
    <n v="23"/>
    <n v="475.41"/>
    <n v="2336.8200000000002"/>
    <n v="4.1900000000000004"/>
    <n v="3.81"/>
    <n v="20.67"/>
    <n v="4.92"/>
    <n v="1861.41"/>
  </r>
  <r>
    <x v="59"/>
    <s v="LinkedIn Ads"/>
    <s v="Product Launch"/>
    <s v="Starter Kit"/>
    <n v="3631"/>
    <n v="55"/>
    <n v="7"/>
    <n v="1074.25"/>
    <n v="1544.91"/>
    <n v="1.51"/>
    <n v="12.73"/>
    <n v="153.46"/>
    <n v="1.44"/>
    <n v="470.66"/>
  </r>
  <r>
    <x v="59"/>
    <s v="Email Marketing"/>
    <s v="Flash Sale"/>
    <s v="Premium Plan"/>
    <n v="20638"/>
    <n v="3483"/>
    <n v="452"/>
    <n v="117.88"/>
    <n v="50971.59"/>
    <n v="16.88"/>
    <n v="12.98"/>
    <n v="0.26"/>
    <n v="432.4"/>
    <n v="50853.71"/>
  </r>
  <r>
    <x v="59"/>
    <s v="Organic Search"/>
    <s v="Brand Awareness"/>
    <s v="Starter Kit"/>
    <n v="29052"/>
    <n v="1862"/>
    <n v="210"/>
    <n v="0"/>
    <n v="25246.87"/>
    <n v="6.41"/>
    <n v="11.28"/>
    <n v="0"/>
    <n v="0"/>
    <n v="25246.87"/>
  </r>
  <r>
    <x v="59"/>
    <s v="Display Ads"/>
    <s v="Retargeting"/>
    <s v="Starter Kit"/>
    <n v="27445"/>
    <n v="412"/>
    <n v="8"/>
    <n v="914.77"/>
    <n v="949.56"/>
    <n v="1.5"/>
    <n v="1.94"/>
    <n v="114.35"/>
    <n v="1.04"/>
    <n v="34.79"/>
  </r>
  <r>
    <x v="59"/>
    <s v="YouTube Ads"/>
    <s v="Flash Sale"/>
    <s v="Premium Plan"/>
    <n v="13401"/>
    <n v="277"/>
    <n v="17"/>
    <n v="800.51"/>
    <n v="2410.5300000000002"/>
    <n v="2.0699999999999998"/>
    <n v="6.14"/>
    <n v="47.09"/>
    <n v="3.01"/>
    <n v="1610.02"/>
  </r>
  <r>
    <x v="59"/>
    <s v="Twitter Ads"/>
    <s v="Retargeting"/>
    <s v="Starter Kit"/>
    <n v="11050"/>
    <n v="333"/>
    <n v="10"/>
    <n v="604.05999999999995"/>
    <n v="815.89"/>
    <n v="3.01"/>
    <n v="3"/>
    <n v="60.41"/>
    <n v="1.35"/>
    <n v="211.83"/>
  </r>
  <r>
    <x v="59"/>
    <s v="TikTok Ads"/>
    <s v="Brand Awareness"/>
    <s v="Premium Plan"/>
    <n v="23172"/>
    <n v="667"/>
    <n v="32"/>
    <n v="882.33"/>
    <n v="2342.89"/>
    <n v="2.88"/>
    <n v="4.8"/>
    <n v="27.57"/>
    <n v="2.66"/>
    <n v="1460.56"/>
  </r>
  <r>
    <x v="59"/>
    <s v="Affiliate Marketing"/>
    <s v="Product Launch"/>
    <s v="Add-on Service"/>
    <n v="5089"/>
    <n v="241"/>
    <n v="28"/>
    <n v="384.42"/>
    <n v="3362.03"/>
    <n v="4.74"/>
    <n v="11.62"/>
    <n v="13.73"/>
    <n v="8.75"/>
    <n v="2977.61"/>
  </r>
  <r>
    <x v="59"/>
    <s v="Referral"/>
    <s v="Lead Generation"/>
    <s v="Premium Plan"/>
    <n v="3352"/>
    <n v="244"/>
    <n v="39"/>
    <n v="80.900000000000006"/>
    <n v="5439.37"/>
    <n v="7.28"/>
    <n v="15.98"/>
    <n v="2.0699999999999998"/>
    <n v="67.239999999999995"/>
    <n v="5358.47"/>
  </r>
  <r>
    <x v="60"/>
    <s v="Google Ads"/>
    <s v="Lead Generation"/>
    <s v="Enterprise Plan"/>
    <n v="9399"/>
    <n v="380"/>
    <n v="34"/>
    <n v="687.06"/>
    <n v="5353.56"/>
    <n v="4.04"/>
    <n v="8.9499999999999993"/>
    <n v="20.21"/>
    <n v="7.79"/>
    <n v="4666.5"/>
  </r>
  <r>
    <x v="60"/>
    <s v="Facebook Ads"/>
    <s v="Seasonal Promotion"/>
    <s v="Add-on Service"/>
    <n v="16756"/>
    <n v="379"/>
    <n v="28"/>
    <n v="858.6"/>
    <n v="3180.85"/>
    <n v="2.2599999999999998"/>
    <n v="7.39"/>
    <n v="30.66"/>
    <n v="3.7"/>
    <n v="2322.25"/>
  </r>
  <r>
    <x v="60"/>
    <s v="Instagram Ads"/>
    <s v="Seasonal Promotion"/>
    <s v="Enterprise Plan"/>
    <n v="12898"/>
    <n v="391"/>
    <n v="22"/>
    <n v="690.54"/>
    <n v="1750.92"/>
    <n v="3.03"/>
    <n v="5.63"/>
    <n v="31.39"/>
    <n v="2.54"/>
    <n v="1060.3800000000001"/>
  </r>
  <r>
    <x v="60"/>
    <s v="LinkedIn Ads"/>
    <s v="Retargeting"/>
    <s v="Add-on Service"/>
    <n v="4653"/>
    <n v="132"/>
    <n v="12"/>
    <n v="851.26"/>
    <n v="3204.9"/>
    <n v="2.84"/>
    <n v="9.09"/>
    <n v="70.94"/>
    <n v="3.76"/>
    <n v="2353.64"/>
  </r>
  <r>
    <x v="60"/>
    <s v="Email Marketing"/>
    <s v="Seasonal Promotion"/>
    <s v="Enterprise Plan"/>
    <n v="18832"/>
    <n v="2924"/>
    <n v="408"/>
    <n v="157.09"/>
    <n v="60912.160000000003"/>
    <n v="15.53"/>
    <n v="13.95"/>
    <n v="0.39"/>
    <n v="387.75"/>
    <n v="60755.07"/>
  </r>
  <r>
    <x v="60"/>
    <s v="Organic Search"/>
    <s v="Retargeting"/>
    <s v="Add-on Service"/>
    <n v="21917"/>
    <n v="895"/>
    <n v="129"/>
    <n v="0"/>
    <n v="12942.08"/>
    <n v="4.08"/>
    <n v="14.41"/>
    <n v="0"/>
    <n v="0"/>
    <n v="12942.08"/>
  </r>
  <r>
    <x v="60"/>
    <s v="Display Ads"/>
    <s v="Seasonal Promotion"/>
    <s v="Starter Kit"/>
    <n v="32532"/>
    <n v="449"/>
    <n v="11"/>
    <n v="972.2"/>
    <n v="1142.8800000000001"/>
    <n v="1.38"/>
    <n v="2.4500000000000002"/>
    <n v="88.38"/>
    <n v="1.18"/>
    <n v="170.68"/>
  </r>
  <r>
    <x v="60"/>
    <s v="YouTube Ads"/>
    <s v="Brand Awareness"/>
    <s v="Premium Plan"/>
    <n v="15053"/>
    <n v="396"/>
    <n v="24"/>
    <n v="1052.6300000000001"/>
    <n v="3221.73"/>
    <n v="2.63"/>
    <n v="6.06"/>
    <n v="43.86"/>
    <n v="3.06"/>
    <n v="2169.1"/>
  </r>
  <r>
    <x v="60"/>
    <s v="Twitter Ads"/>
    <s v="Flash Sale"/>
    <s v="Add-on Service"/>
    <n v="11590"/>
    <n v="260"/>
    <n v="11"/>
    <n v="535.66999999999996"/>
    <n v="1008.9"/>
    <n v="2.2400000000000002"/>
    <n v="4.2300000000000004"/>
    <n v="48.7"/>
    <n v="1.88"/>
    <n v="473.23"/>
  </r>
  <r>
    <x v="60"/>
    <s v="TikTok Ads"/>
    <s v="Flash Sale"/>
    <s v="Basic Plan"/>
    <n v="17836"/>
    <n v="589"/>
    <n v="40"/>
    <n v="517.94000000000005"/>
    <n v="3709.66"/>
    <n v="3.3"/>
    <n v="6.79"/>
    <n v="12.95"/>
    <n v="7.16"/>
    <n v="3191.72"/>
  </r>
  <r>
    <x v="60"/>
    <s v="Affiliate Marketing"/>
    <s v="Retargeting"/>
    <s v="Starter Kit"/>
    <n v="5958"/>
    <n v="404"/>
    <n v="51"/>
    <n v="411.94"/>
    <n v="6174.6"/>
    <n v="6.78"/>
    <n v="12.62"/>
    <n v="8.08"/>
    <n v="14.99"/>
    <n v="5762.66"/>
  </r>
  <r>
    <x v="60"/>
    <s v="Referral"/>
    <s v="Lead Generation"/>
    <s v="Starter Kit"/>
    <n v="5385"/>
    <n v="510"/>
    <n v="89"/>
    <n v="135.16999999999999"/>
    <n v="12511.57"/>
    <n v="9.4700000000000006"/>
    <n v="17.45"/>
    <n v="1.52"/>
    <n v="92.56"/>
    <n v="12376.4"/>
  </r>
  <r>
    <x v="61"/>
    <s v="Google Ads"/>
    <s v="Product Launch"/>
    <s v="Starter Kit"/>
    <n v="6525"/>
    <n v="225"/>
    <n v="20"/>
    <n v="542.04999999999995"/>
    <n v="3341.97"/>
    <n v="3.45"/>
    <n v="8.89"/>
    <n v="27.1"/>
    <n v="6.17"/>
    <n v="2799.92"/>
  </r>
  <r>
    <x v="61"/>
    <s v="Facebook Ads"/>
    <s v="Retargeting"/>
    <s v="Starter Kit"/>
    <n v="8756"/>
    <n v="185"/>
    <n v="11"/>
    <n v="562.54"/>
    <n v="1346.87"/>
    <n v="2.11"/>
    <n v="5.95"/>
    <n v="51.14"/>
    <n v="2.39"/>
    <n v="784.33"/>
  </r>
  <r>
    <x v="61"/>
    <s v="Instagram Ads"/>
    <s v="Flash Sale"/>
    <s v="Premium Plan"/>
    <n v="10031"/>
    <n v="294"/>
    <n v="17"/>
    <n v="530.11"/>
    <n v="1857.47"/>
    <n v="2.93"/>
    <n v="5.78"/>
    <n v="31.18"/>
    <n v="3.5"/>
    <n v="1327.36"/>
  </r>
  <r>
    <x v="61"/>
    <s v="LinkedIn Ads"/>
    <s v="Product Launch"/>
    <s v="Starter Kit"/>
    <n v="3418"/>
    <n v="60"/>
    <n v="6"/>
    <n v="912.3"/>
    <n v="1439.63"/>
    <n v="1.76"/>
    <n v="10"/>
    <n v="152.05000000000001"/>
    <n v="1.58"/>
    <n v="527.33000000000004"/>
  </r>
  <r>
    <x v="61"/>
    <s v="Email Marketing"/>
    <s v="Product Launch"/>
    <s v="Enterprise Plan"/>
    <n v="9536"/>
    <n v="2293"/>
    <n v="258"/>
    <n v="143.21"/>
    <n v="38762.82"/>
    <n v="24.05"/>
    <n v="11.25"/>
    <n v="0.56000000000000005"/>
    <n v="270.67"/>
    <n v="38619.61"/>
  </r>
  <r>
    <x v="61"/>
    <s v="Organic Search"/>
    <s v="Product Launch"/>
    <s v="Basic Plan"/>
    <n v="13685"/>
    <n v="708"/>
    <n v="86"/>
    <n v="0"/>
    <n v="11077.02"/>
    <n v="5.17"/>
    <n v="12.15"/>
    <n v="0"/>
    <n v="0"/>
    <n v="11077.02"/>
  </r>
  <r>
    <x v="61"/>
    <s v="Display Ads"/>
    <s v="Flash Sale"/>
    <s v="Starter Kit"/>
    <n v="23793"/>
    <n v="327"/>
    <n v="6"/>
    <n v="533.83000000000004"/>
    <n v="577.70000000000005"/>
    <n v="1.37"/>
    <n v="1.83"/>
    <n v="88.97"/>
    <n v="1.08"/>
    <n v="43.87"/>
  </r>
  <r>
    <x v="61"/>
    <s v="YouTube Ads"/>
    <s v="Brand Awareness"/>
    <s v="Premium Plan"/>
    <n v="9175"/>
    <n v="171"/>
    <n v="8"/>
    <n v="737.29"/>
    <n v="908.58"/>
    <n v="1.86"/>
    <n v="4.68"/>
    <n v="92.16"/>
    <n v="1.23"/>
    <n v="171.29"/>
  </r>
  <r>
    <x v="61"/>
    <s v="Twitter Ads"/>
    <s v="Brand Awareness"/>
    <s v="Premium Plan"/>
    <n v="7814"/>
    <n v="189"/>
    <n v="6"/>
    <n v="344.52"/>
    <n v="660.51"/>
    <n v="2.42"/>
    <n v="3.17"/>
    <n v="57.42"/>
    <n v="1.92"/>
    <n v="315.99"/>
  </r>
  <r>
    <x v="61"/>
    <s v="TikTok Ads"/>
    <s v="Retargeting"/>
    <s v="Premium Plan"/>
    <n v="13488"/>
    <n v="508"/>
    <n v="19"/>
    <n v="634.03"/>
    <n v="1488.77"/>
    <n v="3.77"/>
    <n v="3.74"/>
    <n v="33.369999999999997"/>
    <n v="2.35"/>
    <n v="854.74"/>
  </r>
  <r>
    <x v="61"/>
    <s v="Affiliate Marketing"/>
    <s v="Flash Sale"/>
    <s v="Enterprise Plan"/>
    <n v="5057"/>
    <n v="265"/>
    <n v="25"/>
    <n v="243.48"/>
    <n v="2682.36"/>
    <n v="5.24"/>
    <n v="9.43"/>
    <n v="9.74"/>
    <n v="11.02"/>
    <n v="2438.88"/>
  </r>
  <r>
    <x v="61"/>
    <s v="Referral"/>
    <s v="Lead Generation"/>
    <s v="Add-on Service"/>
    <n v="1908"/>
    <n v="161"/>
    <n v="20"/>
    <n v="93.63"/>
    <n v="2635.56"/>
    <n v="8.44"/>
    <n v="12.42"/>
    <n v="4.68"/>
    <n v="28.15"/>
    <n v="2541.9299999999998"/>
  </r>
  <r>
    <x v="62"/>
    <s v="Google Ads"/>
    <s v="Brand Awareness"/>
    <s v="Add-on Service"/>
    <n v="8024"/>
    <n v="259"/>
    <n v="25"/>
    <n v="658.42"/>
    <n v="3825.67"/>
    <n v="3.23"/>
    <n v="9.65"/>
    <n v="26.34"/>
    <n v="5.81"/>
    <n v="3167.25"/>
  </r>
  <r>
    <x v="62"/>
    <s v="Facebook Ads"/>
    <s v="Seasonal Promotion"/>
    <s v="Add-on Service"/>
    <n v="11678"/>
    <n v="293"/>
    <n v="18"/>
    <n v="676.16"/>
    <n v="2220.7199999999998"/>
    <n v="2.5099999999999998"/>
    <n v="6.14"/>
    <n v="37.56"/>
    <n v="3.28"/>
    <n v="1544.56"/>
  </r>
  <r>
    <x v="62"/>
    <s v="Instagram Ads"/>
    <s v="Product Launch"/>
    <s v="Premium Plan"/>
    <n v="10298"/>
    <n v="313"/>
    <n v="16"/>
    <n v="435.39"/>
    <n v="1199.81"/>
    <n v="3.04"/>
    <n v="5.1100000000000003"/>
    <n v="27.21"/>
    <n v="2.76"/>
    <n v="764.42"/>
  </r>
  <r>
    <x v="62"/>
    <s v="LinkedIn Ads"/>
    <s v="Retargeting"/>
    <s v="Enterprise Plan"/>
    <n v="2748"/>
    <n v="59"/>
    <n v="7"/>
    <n v="1117.07"/>
    <n v="2298.06"/>
    <n v="2.15"/>
    <n v="11.86"/>
    <n v="159.58000000000001"/>
    <n v="2.06"/>
    <n v="1180.99"/>
  </r>
  <r>
    <x v="62"/>
    <s v="Email Marketing"/>
    <s v="Flash Sale"/>
    <s v="Starter Kit"/>
    <n v="14204"/>
    <n v="3337"/>
    <n v="305"/>
    <n v="183.32"/>
    <n v="45954.15"/>
    <n v="23.49"/>
    <n v="9.14"/>
    <n v="0.6"/>
    <n v="250.68"/>
    <n v="45770.83"/>
  </r>
  <r>
    <x v="62"/>
    <s v="Organic Search"/>
    <s v="Flash Sale"/>
    <s v="Premium Plan"/>
    <n v="23095"/>
    <n v="947"/>
    <n v="138"/>
    <n v="0"/>
    <n v="13438.81"/>
    <n v="4.0999999999999996"/>
    <n v="14.57"/>
    <n v="0"/>
    <n v="0"/>
    <n v="13438.81"/>
  </r>
  <r>
    <x v="62"/>
    <s v="Display Ads"/>
    <s v="Product Launch"/>
    <s v="Add-on Service"/>
    <n v="21792"/>
    <n v="357"/>
    <n v="16"/>
    <n v="514.53"/>
    <n v="1359.02"/>
    <n v="1.64"/>
    <n v="4.4800000000000004"/>
    <n v="32.159999999999997"/>
    <n v="2.64"/>
    <n v="844.49"/>
  </r>
  <r>
    <x v="62"/>
    <s v="YouTube Ads"/>
    <s v="Product Launch"/>
    <s v="Enterprise Plan"/>
    <n v="14267"/>
    <n v="304"/>
    <n v="18"/>
    <n v="680.17"/>
    <n v="1944.71"/>
    <n v="2.13"/>
    <n v="5.92"/>
    <n v="37.79"/>
    <n v="2.86"/>
    <n v="1264.54"/>
  </r>
  <r>
    <x v="62"/>
    <s v="Twitter Ads"/>
    <s v="Brand Awareness"/>
    <s v="Add-on Service"/>
    <n v="8926"/>
    <n v="278"/>
    <n v="10"/>
    <n v="341.47"/>
    <n v="975.7"/>
    <n v="3.11"/>
    <n v="3.6"/>
    <n v="34.15"/>
    <n v="2.86"/>
    <n v="634.23"/>
  </r>
  <r>
    <x v="62"/>
    <s v="TikTok Ads"/>
    <s v="Seasonal Promotion"/>
    <s v="Basic Plan"/>
    <n v="13657"/>
    <n v="376"/>
    <n v="11"/>
    <n v="661.25"/>
    <n v="837.23"/>
    <n v="2.75"/>
    <n v="2.93"/>
    <n v="60.11"/>
    <n v="1.27"/>
    <n v="175.98"/>
  </r>
  <r>
    <x v="62"/>
    <s v="Affiliate Marketing"/>
    <s v="Lead Generation"/>
    <s v="Starter Kit"/>
    <n v="6021"/>
    <n v="339"/>
    <n v="42"/>
    <n v="402.7"/>
    <n v="4120.5600000000004"/>
    <n v="5.63"/>
    <n v="12.39"/>
    <n v="9.59"/>
    <n v="10.23"/>
    <n v="3717.86"/>
  </r>
  <r>
    <x v="62"/>
    <s v="Referral"/>
    <s v="Lead Generation"/>
    <s v="Premium Plan"/>
    <n v="4291"/>
    <n v="368"/>
    <n v="62"/>
    <n v="78.400000000000006"/>
    <n v="8540.08"/>
    <n v="8.58"/>
    <n v="16.850000000000001"/>
    <n v="1.26"/>
    <n v="108.93"/>
    <n v="8461.68"/>
  </r>
  <r>
    <x v="63"/>
    <s v="Google Ads"/>
    <s v="Product Launch"/>
    <s v="Add-on Service"/>
    <n v="12650"/>
    <n v="542"/>
    <n v="55"/>
    <n v="938.13"/>
    <n v="7210.59"/>
    <n v="4.28"/>
    <n v="10.15"/>
    <n v="17.059999999999999"/>
    <n v="7.69"/>
    <n v="6272.46"/>
  </r>
  <r>
    <x v="63"/>
    <s v="Facebook Ads"/>
    <s v="Product Launch"/>
    <s v="Premium Plan"/>
    <n v="12037"/>
    <n v="269"/>
    <n v="14"/>
    <n v="720.24"/>
    <n v="2052.65"/>
    <n v="2.23"/>
    <n v="5.2"/>
    <n v="51.45"/>
    <n v="2.85"/>
    <n v="1332.41"/>
  </r>
  <r>
    <x v="63"/>
    <s v="Instagram Ads"/>
    <s v="Product Launch"/>
    <s v="Add-on Service"/>
    <n v="10066"/>
    <n v="422"/>
    <n v="28"/>
    <n v="770.03"/>
    <n v="2848.94"/>
    <n v="4.1900000000000004"/>
    <n v="6.64"/>
    <n v="27.5"/>
    <n v="3.7"/>
    <n v="2078.91"/>
  </r>
  <r>
    <x v="63"/>
    <s v="LinkedIn Ads"/>
    <s v="Lead Generation"/>
    <s v="Starter Kit"/>
    <n v="5709"/>
    <n v="87"/>
    <n v="9"/>
    <n v="1248.68"/>
    <n v="2597.7399999999998"/>
    <n v="1.52"/>
    <n v="10.34"/>
    <n v="138.74"/>
    <n v="2.08"/>
    <n v="1349.06"/>
  </r>
  <r>
    <x v="63"/>
    <s v="Email Marketing"/>
    <s v="Seasonal Promotion"/>
    <s v="Add-on Service"/>
    <n v="17426"/>
    <n v="3512"/>
    <n v="369"/>
    <n v="272.43"/>
    <n v="51106.6"/>
    <n v="20.149999999999999"/>
    <n v="10.51"/>
    <n v="0.74"/>
    <n v="187.6"/>
    <n v="50834.17"/>
  </r>
  <r>
    <x v="63"/>
    <s v="Organic Search"/>
    <s v="Seasonal Promotion"/>
    <s v="Add-on Service"/>
    <n v="34424"/>
    <n v="2300"/>
    <n v="245"/>
    <n v="0"/>
    <n v="38162.99"/>
    <n v="6.68"/>
    <n v="10.65"/>
    <n v="0"/>
    <n v="0"/>
    <n v="38162.99"/>
  </r>
  <r>
    <x v="63"/>
    <s v="Display Ads"/>
    <s v="Brand Awareness"/>
    <s v="Add-on Service"/>
    <n v="33338"/>
    <n v="343"/>
    <n v="16"/>
    <n v="841.68"/>
    <n v="1596.53"/>
    <n v="1.03"/>
    <n v="4.66"/>
    <n v="52.6"/>
    <n v="1.9"/>
    <n v="754.85"/>
  </r>
  <r>
    <x v="63"/>
    <s v="YouTube Ads"/>
    <s v="Flash Sale"/>
    <s v="Enterprise Plan"/>
    <n v="23877"/>
    <n v="636"/>
    <n v="49"/>
    <n v="1068.0899999999999"/>
    <n v="5120.7299999999996"/>
    <n v="2.66"/>
    <n v="7.7"/>
    <n v="21.8"/>
    <n v="4.79"/>
    <n v="4052.64"/>
  </r>
  <r>
    <x v="63"/>
    <s v="Twitter Ads"/>
    <s v="Brand Awareness"/>
    <s v="Basic Plan"/>
    <n v="10459"/>
    <n v="313"/>
    <n v="18"/>
    <n v="559.01"/>
    <n v="1739.23"/>
    <n v="2.99"/>
    <n v="5.75"/>
    <n v="31.06"/>
    <n v="3.11"/>
    <n v="1180.22"/>
  </r>
  <r>
    <x v="63"/>
    <s v="TikTok Ads"/>
    <s v="Product Launch"/>
    <s v="Enterprise Plan"/>
    <n v="19790"/>
    <n v="510"/>
    <n v="26"/>
    <n v="773.81"/>
    <n v="2857.29"/>
    <n v="2.58"/>
    <n v="5.0999999999999996"/>
    <n v="29.76"/>
    <n v="3.69"/>
    <n v="2083.48"/>
  </r>
  <r>
    <x v="63"/>
    <s v="Affiliate Marketing"/>
    <s v="Product Launch"/>
    <s v="Enterprise Plan"/>
    <n v="5996"/>
    <n v="338"/>
    <n v="37"/>
    <n v="341.32"/>
    <n v="5043.37"/>
    <n v="5.64"/>
    <n v="10.95"/>
    <n v="9.2200000000000006"/>
    <n v="14.78"/>
    <n v="4702.05"/>
  </r>
  <r>
    <x v="63"/>
    <s v="Referral"/>
    <s v="Brand Awareness"/>
    <s v="Basic Plan"/>
    <n v="4815"/>
    <n v="265"/>
    <n v="42"/>
    <n v="75.5"/>
    <n v="4785.74"/>
    <n v="5.5"/>
    <n v="15.85"/>
    <n v="1.8"/>
    <n v="63.39"/>
    <n v="4710.24"/>
  </r>
  <r>
    <x v="64"/>
    <s v="Google Ads"/>
    <s v="Lead Generation"/>
    <s v="Add-on Service"/>
    <n v="13593"/>
    <n v="427"/>
    <n v="44"/>
    <n v="1134.52"/>
    <n v="6531.81"/>
    <n v="3.14"/>
    <n v="10.3"/>
    <n v="25.78"/>
    <n v="5.76"/>
    <n v="5397.29"/>
  </r>
  <r>
    <x v="64"/>
    <s v="Facebook Ads"/>
    <s v="Flash Sale"/>
    <s v="Starter Kit"/>
    <n v="17300"/>
    <n v="497"/>
    <n v="43"/>
    <n v="1065.01"/>
    <n v="5060.18"/>
    <n v="2.87"/>
    <n v="8.65"/>
    <n v="24.77"/>
    <n v="4.75"/>
    <n v="3995.17"/>
  </r>
  <r>
    <x v="64"/>
    <s v="Instagram Ads"/>
    <s v="Brand Awareness"/>
    <s v="Basic Plan"/>
    <n v="10243"/>
    <n v="380"/>
    <n v="20"/>
    <n v="553.01"/>
    <n v="1654.65"/>
    <n v="3.71"/>
    <n v="5.26"/>
    <n v="27.65"/>
    <n v="2.99"/>
    <n v="1101.6400000000001"/>
  </r>
  <r>
    <x v="64"/>
    <s v="LinkedIn Ads"/>
    <s v="Flash Sale"/>
    <s v="Premium Plan"/>
    <n v="3617"/>
    <n v="106"/>
    <n v="14"/>
    <n v="1669.82"/>
    <n v="3643.8"/>
    <n v="2.93"/>
    <n v="13.21"/>
    <n v="119.27"/>
    <n v="2.1800000000000002"/>
    <n v="1973.98"/>
  </r>
  <r>
    <x v="64"/>
    <s v="Email Marketing"/>
    <s v="Brand Awareness"/>
    <s v="Add-on Service"/>
    <n v="18733"/>
    <n v="2950"/>
    <n v="302"/>
    <n v="110.57"/>
    <n v="45811.81"/>
    <n v="15.75"/>
    <n v="10.24"/>
    <n v="0.37"/>
    <n v="414.32"/>
    <n v="45701.24"/>
  </r>
  <r>
    <x v="64"/>
    <s v="Organic Search"/>
    <s v="Lead Generation"/>
    <s v="Starter Kit"/>
    <n v="33753"/>
    <n v="2530"/>
    <n v="338"/>
    <n v="0"/>
    <n v="38842.43"/>
    <n v="7.5"/>
    <n v="13.36"/>
    <n v="0"/>
    <n v="0"/>
    <n v="38842.43"/>
  </r>
  <r>
    <x v="64"/>
    <s v="Display Ads"/>
    <s v="Retargeting"/>
    <s v="Starter Kit"/>
    <n v="28552"/>
    <n v="380"/>
    <n v="10"/>
    <n v="991.73"/>
    <n v="875.15"/>
    <n v="1.33"/>
    <n v="2.63"/>
    <n v="99.17"/>
    <n v="0.88"/>
    <n v="-116.58"/>
  </r>
  <r>
    <x v="64"/>
    <s v="YouTube Ads"/>
    <s v="Product Launch"/>
    <s v="Basic Plan"/>
    <n v="23950"/>
    <n v="668"/>
    <n v="49"/>
    <n v="1043.97"/>
    <n v="4698.0600000000004"/>
    <n v="2.79"/>
    <n v="7.34"/>
    <n v="21.31"/>
    <n v="4.5"/>
    <n v="3654.09"/>
  </r>
  <r>
    <x v="64"/>
    <s v="Twitter Ads"/>
    <s v="Product Launch"/>
    <s v="Enterprise Plan"/>
    <n v="8796"/>
    <n v="222"/>
    <n v="7"/>
    <n v="773.91"/>
    <n v="628.30999999999995"/>
    <n v="2.52"/>
    <n v="3.15"/>
    <n v="110.56"/>
    <n v="0.81"/>
    <n v="-145.6"/>
  </r>
  <r>
    <x v="64"/>
    <s v="TikTok Ads"/>
    <s v="Flash Sale"/>
    <s v="Enterprise Plan"/>
    <n v="24315"/>
    <n v="664"/>
    <n v="41"/>
    <n v="882.08"/>
    <n v="4036.67"/>
    <n v="2.73"/>
    <n v="6.17"/>
    <n v="21.51"/>
    <n v="4.58"/>
    <n v="3154.59"/>
  </r>
  <r>
    <x v="64"/>
    <s v="Affiliate Marketing"/>
    <s v="Seasonal Promotion"/>
    <s v="Add-on Service"/>
    <n v="9214"/>
    <n v="403"/>
    <n v="46"/>
    <n v="432.63"/>
    <n v="5520.72"/>
    <n v="4.37"/>
    <n v="11.41"/>
    <n v="9.4"/>
    <n v="12.76"/>
    <n v="5088.09"/>
  </r>
  <r>
    <x v="64"/>
    <s v="Referral"/>
    <s v="Brand Awareness"/>
    <s v="Premium Plan"/>
    <n v="4202"/>
    <n v="218"/>
    <n v="34"/>
    <n v="120.59"/>
    <n v="5077.95"/>
    <n v="5.19"/>
    <n v="15.6"/>
    <n v="3.55"/>
    <n v="42.11"/>
    <n v="4957.3599999999997"/>
  </r>
  <r>
    <x v="65"/>
    <s v="Google Ads"/>
    <s v="Lead Generation"/>
    <s v="Basic Plan"/>
    <n v="13599"/>
    <n v="665"/>
    <n v="57"/>
    <n v="1063.8900000000001"/>
    <n v="7937.81"/>
    <n v="4.8899999999999997"/>
    <n v="8.57"/>
    <n v="18.66"/>
    <n v="7.46"/>
    <n v="6873.92"/>
  </r>
  <r>
    <x v="65"/>
    <s v="Facebook Ads"/>
    <s v="Seasonal Promotion"/>
    <s v="Premium Plan"/>
    <n v="18937"/>
    <n v="384"/>
    <n v="29"/>
    <n v="779.39"/>
    <n v="3677.32"/>
    <n v="2.0299999999999998"/>
    <n v="7.55"/>
    <n v="26.88"/>
    <n v="4.72"/>
    <n v="2897.93"/>
  </r>
  <r>
    <x v="65"/>
    <s v="Instagram Ads"/>
    <s v="Flash Sale"/>
    <s v="Premium Plan"/>
    <n v="17360"/>
    <n v="485"/>
    <n v="32"/>
    <n v="952.79"/>
    <n v="2782.98"/>
    <n v="2.79"/>
    <n v="6.6"/>
    <n v="29.77"/>
    <n v="2.92"/>
    <n v="1830.19"/>
  </r>
  <r>
    <x v="65"/>
    <s v="LinkedIn Ads"/>
    <s v="Product Launch"/>
    <s v="Starter Kit"/>
    <n v="4472"/>
    <n v="103"/>
    <n v="11"/>
    <n v="1640.33"/>
    <n v="3742.07"/>
    <n v="2.2999999999999998"/>
    <n v="10.68"/>
    <n v="149.12"/>
    <n v="2.2799999999999998"/>
    <n v="2101.7399999999998"/>
  </r>
  <r>
    <x v="65"/>
    <s v="Email Marketing"/>
    <s v="Flash Sale"/>
    <s v="Starter Kit"/>
    <n v="19865"/>
    <n v="4632"/>
    <n v="576"/>
    <n v="251.95"/>
    <n v="81233.91"/>
    <n v="23.32"/>
    <n v="12.44"/>
    <n v="0.44"/>
    <n v="322.42"/>
    <n v="80981.960000000006"/>
  </r>
  <r>
    <x v="65"/>
    <s v="Organic Search"/>
    <s v="Retargeting"/>
    <s v="Add-on Service"/>
    <n v="24402"/>
    <n v="987"/>
    <n v="121"/>
    <n v="0"/>
    <n v="16742.080000000002"/>
    <n v="4.04"/>
    <n v="12.26"/>
    <n v="0"/>
    <n v="0"/>
    <n v="16742.080000000002"/>
  </r>
  <r>
    <x v="65"/>
    <s v="Display Ads"/>
    <s v="Retargeting"/>
    <s v="Starter Kit"/>
    <n v="30197"/>
    <n v="483"/>
    <n v="10"/>
    <n v="1025.08"/>
    <n v="1221.68"/>
    <n v="1.6"/>
    <n v="2.0699999999999998"/>
    <n v="102.51"/>
    <n v="1.19"/>
    <n v="196.6"/>
  </r>
  <r>
    <x v="65"/>
    <s v="YouTube Ads"/>
    <s v="Product Launch"/>
    <s v="Basic Plan"/>
    <n v="24957"/>
    <n v="492"/>
    <n v="28"/>
    <n v="844.57"/>
    <n v="3580.5"/>
    <n v="1.97"/>
    <n v="5.69"/>
    <n v="30.16"/>
    <n v="4.24"/>
    <n v="2735.93"/>
  </r>
  <r>
    <x v="65"/>
    <s v="Twitter Ads"/>
    <s v="Seasonal Promotion"/>
    <s v="Premium Plan"/>
    <n v="9373"/>
    <n v="202"/>
    <n v="11"/>
    <n v="607.20000000000005"/>
    <n v="1055.3900000000001"/>
    <n v="2.16"/>
    <n v="5.45"/>
    <n v="55.2"/>
    <n v="1.74"/>
    <n v="448.19"/>
  </r>
  <r>
    <x v="65"/>
    <s v="TikTok Ads"/>
    <s v="Product Launch"/>
    <s v="Starter Kit"/>
    <n v="26247"/>
    <n v="831"/>
    <n v="32"/>
    <n v="659.88"/>
    <n v="2671.64"/>
    <n v="3.17"/>
    <n v="3.85"/>
    <n v="20.62"/>
    <n v="4.05"/>
    <n v="2011.76"/>
  </r>
  <r>
    <x v="65"/>
    <s v="Affiliate Marketing"/>
    <s v="Brand Awareness"/>
    <s v="Enterprise Plan"/>
    <n v="5397"/>
    <n v="347"/>
    <n v="37"/>
    <n v="375.78"/>
    <n v="4146.12"/>
    <n v="6.43"/>
    <n v="10.66"/>
    <n v="10.16"/>
    <n v="11.03"/>
    <n v="3770.34"/>
  </r>
  <r>
    <x v="65"/>
    <s v="Referral"/>
    <s v="Flash Sale"/>
    <s v="Add-on Service"/>
    <n v="3881"/>
    <n v="216"/>
    <n v="37"/>
    <n v="86.75"/>
    <n v="6493.8"/>
    <n v="5.57"/>
    <n v="17.13"/>
    <n v="2.34"/>
    <n v="74.86"/>
    <n v="6407.05"/>
  </r>
  <r>
    <x v="66"/>
    <s v="Google Ads"/>
    <s v="Retargeting"/>
    <s v="Add-on Service"/>
    <n v="12627"/>
    <n v="508"/>
    <n v="48"/>
    <n v="872.45"/>
    <n v="6306.41"/>
    <n v="4.0199999999999996"/>
    <n v="9.4499999999999993"/>
    <n v="18.18"/>
    <n v="7.23"/>
    <n v="5433.96"/>
  </r>
  <r>
    <x v="66"/>
    <s v="Facebook Ads"/>
    <s v="Flash Sale"/>
    <s v="Enterprise Plan"/>
    <n v="17699"/>
    <n v="465"/>
    <n v="34"/>
    <n v="666.45"/>
    <n v="3423.75"/>
    <n v="2.63"/>
    <n v="7.31"/>
    <n v="19.600000000000001"/>
    <n v="5.14"/>
    <n v="2757.3"/>
  </r>
  <r>
    <x v="66"/>
    <s v="Instagram Ads"/>
    <s v="Brand Awareness"/>
    <s v="Basic Plan"/>
    <n v="10954"/>
    <n v="293"/>
    <n v="21"/>
    <n v="902.23"/>
    <n v="1986.59"/>
    <n v="2.67"/>
    <n v="7.17"/>
    <n v="42.96"/>
    <n v="2.2000000000000002"/>
    <n v="1084.3599999999999"/>
  </r>
  <r>
    <x v="66"/>
    <s v="LinkedIn Ads"/>
    <s v="Retargeting"/>
    <s v="Add-on Service"/>
    <n v="4294"/>
    <n v="120"/>
    <n v="13"/>
    <n v="1344.69"/>
    <n v="3754.63"/>
    <n v="2.79"/>
    <n v="10.83"/>
    <n v="103.44"/>
    <n v="2.79"/>
    <n v="2409.94"/>
  </r>
  <r>
    <x v="66"/>
    <s v="Email Marketing"/>
    <s v="Brand Awareness"/>
    <s v="Premium Plan"/>
    <n v="15900"/>
    <n v="3737"/>
    <n v="427"/>
    <n v="124.12"/>
    <n v="52019.61"/>
    <n v="23.5"/>
    <n v="11.43"/>
    <n v="0.28999999999999998"/>
    <n v="419.11"/>
    <n v="51895.49"/>
  </r>
  <r>
    <x v="66"/>
    <s v="Organic Search"/>
    <s v="Lead Generation"/>
    <s v="Enterprise Plan"/>
    <n v="26885"/>
    <n v="1188"/>
    <n v="176"/>
    <n v="0"/>
    <n v="21353.91"/>
    <n v="4.42"/>
    <n v="14.81"/>
    <n v="0"/>
    <n v="0"/>
    <n v="21353.91"/>
  </r>
  <r>
    <x v="66"/>
    <s v="Display Ads"/>
    <s v="Lead Generation"/>
    <s v="Basic Plan"/>
    <n v="30617"/>
    <n v="495"/>
    <n v="23"/>
    <n v="751.49"/>
    <n v="2492.88"/>
    <n v="1.62"/>
    <n v="4.6500000000000004"/>
    <n v="32.67"/>
    <n v="3.32"/>
    <n v="1741.39"/>
  </r>
  <r>
    <x v="66"/>
    <s v="YouTube Ads"/>
    <s v="Product Launch"/>
    <s v="Enterprise Plan"/>
    <n v="15475"/>
    <n v="291"/>
    <n v="21"/>
    <n v="954.4"/>
    <n v="2327.5500000000002"/>
    <n v="1.88"/>
    <n v="7.22"/>
    <n v="45.45"/>
    <n v="2.44"/>
    <n v="1373.15"/>
  </r>
  <r>
    <x v="66"/>
    <s v="Twitter Ads"/>
    <s v="Product Launch"/>
    <s v="Premium Plan"/>
    <n v="9482"/>
    <n v="237"/>
    <n v="7"/>
    <n v="471.37"/>
    <n v="683.96"/>
    <n v="2.5"/>
    <n v="2.95"/>
    <n v="67.34"/>
    <n v="1.45"/>
    <n v="212.59"/>
  </r>
  <r>
    <x v="66"/>
    <s v="TikTok Ads"/>
    <s v="Brand Awareness"/>
    <s v="Starter Kit"/>
    <n v="22701"/>
    <n v="743"/>
    <n v="27"/>
    <n v="645.95000000000005"/>
    <n v="2659.43"/>
    <n v="3.27"/>
    <n v="3.63"/>
    <n v="23.92"/>
    <n v="4.12"/>
    <n v="2013.48"/>
  </r>
  <r>
    <x v="66"/>
    <s v="Affiliate Marketing"/>
    <s v="Flash Sale"/>
    <s v="Starter Kit"/>
    <n v="5518"/>
    <n v="364"/>
    <n v="37"/>
    <n v="550.41999999999996"/>
    <n v="5501.93"/>
    <n v="6.6"/>
    <n v="10.16"/>
    <n v="14.88"/>
    <n v="10"/>
    <n v="4951.51"/>
  </r>
  <r>
    <x v="66"/>
    <s v="Referral"/>
    <s v="Lead Generation"/>
    <s v="Basic Plan"/>
    <n v="3557"/>
    <n v="338"/>
    <n v="57"/>
    <n v="156.44"/>
    <n v="7661.44"/>
    <n v="9.5"/>
    <n v="16.86"/>
    <n v="2.74"/>
    <n v="48.97"/>
    <n v="7505"/>
  </r>
  <r>
    <x v="67"/>
    <s v="Google Ads"/>
    <s v="Retargeting"/>
    <s v="Add-on Service"/>
    <n v="9059"/>
    <n v="305"/>
    <n v="30"/>
    <n v="1316.41"/>
    <n v="4894.93"/>
    <n v="3.37"/>
    <n v="9.84"/>
    <n v="43.88"/>
    <n v="3.72"/>
    <n v="3578.52"/>
  </r>
  <r>
    <x v="67"/>
    <s v="Facebook Ads"/>
    <s v="Flash Sale"/>
    <s v="Basic Plan"/>
    <n v="15344"/>
    <n v="517"/>
    <n v="30"/>
    <n v="1098.3900000000001"/>
    <n v="3425.93"/>
    <n v="3.37"/>
    <n v="5.8"/>
    <n v="36.61"/>
    <n v="3.12"/>
    <n v="2327.54"/>
  </r>
  <r>
    <x v="67"/>
    <s v="Instagram Ads"/>
    <s v="Seasonal Promotion"/>
    <s v="Add-on Service"/>
    <n v="17024"/>
    <n v="746"/>
    <n v="55"/>
    <n v="741.29"/>
    <n v="4724.8100000000004"/>
    <n v="4.38"/>
    <n v="7.37"/>
    <n v="13.48"/>
    <n v="6.37"/>
    <n v="3983.52"/>
  </r>
  <r>
    <x v="67"/>
    <s v="LinkedIn Ads"/>
    <s v="Flash Sale"/>
    <s v="Enterprise Plan"/>
    <n v="4374"/>
    <n v="120"/>
    <n v="17"/>
    <n v="1155.5"/>
    <n v="3504.22"/>
    <n v="2.74"/>
    <n v="14.17"/>
    <n v="67.97"/>
    <n v="3.03"/>
    <n v="2348.7199999999998"/>
  </r>
  <r>
    <x v="67"/>
    <s v="Email Marketing"/>
    <s v="Brand Awareness"/>
    <s v="Starter Kit"/>
    <n v="23786"/>
    <n v="3936"/>
    <n v="368"/>
    <n v="201.8"/>
    <n v="53056.56"/>
    <n v="16.55"/>
    <n v="9.35"/>
    <n v="0.55000000000000004"/>
    <n v="262.92"/>
    <n v="52854.76"/>
  </r>
  <r>
    <x v="67"/>
    <s v="Organic Search"/>
    <s v="Flash Sale"/>
    <s v="Premium Plan"/>
    <n v="31127"/>
    <n v="1420"/>
    <n v="211"/>
    <n v="0"/>
    <n v="28666.959999999999"/>
    <n v="4.5599999999999996"/>
    <n v="14.86"/>
    <n v="0"/>
    <n v="0"/>
    <n v="28666.959999999999"/>
  </r>
  <r>
    <x v="67"/>
    <s v="Display Ads"/>
    <s v="Retargeting"/>
    <s v="Premium Plan"/>
    <n v="27580"/>
    <n v="502"/>
    <n v="18"/>
    <n v="896.76"/>
    <n v="2384.7399999999998"/>
    <n v="1.82"/>
    <n v="3.59"/>
    <n v="49.82"/>
    <n v="2.66"/>
    <n v="1487.98"/>
  </r>
  <r>
    <x v="67"/>
    <s v="YouTube Ads"/>
    <s v="Retargeting"/>
    <s v="Premium Plan"/>
    <n v="15658"/>
    <n v="381"/>
    <n v="27"/>
    <n v="1397.77"/>
    <n v="2732.34"/>
    <n v="2.4300000000000002"/>
    <n v="7.09"/>
    <n v="51.77"/>
    <n v="1.95"/>
    <n v="1334.57"/>
  </r>
  <r>
    <x v="67"/>
    <s v="Twitter Ads"/>
    <s v="Product Launch"/>
    <s v="Add-on Service"/>
    <n v="11857"/>
    <n v="398"/>
    <n v="23"/>
    <n v="791.91"/>
    <n v="2767.47"/>
    <n v="3.36"/>
    <n v="5.78"/>
    <n v="34.43"/>
    <n v="3.49"/>
    <n v="1975.56"/>
  </r>
  <r>
    <x v="67"/>
    <s v="TikTok Ads"/>
    <s v="Retargeting"/>
    <s v="Add-on Service"/>
    <n v="26689"/>
    <n v="1160"/>
    <n v="61"/>
    <n v="692.25"/>
    <n v="5412.13"/>
    <n v="4.3499999999999996"/>
    <n v="5.26"/>
    <n v="11.35"/>
    <n v="7.82"/>
    <n v="4719.88"/>
  </r>
  <r>
    <x v="67"/>
    <s v="Affiliate Marketing"/>
    <s v="Retargeting"/>
    <s v="Starter Kit"/>
    <n v="5435"/>
    <n v="310"/>
    <n v="28"/>
    <n v="636.48"/>
    <n v="3032.63"/>
    <n v="5.7"/>
    <n v="9.0299999999999994"/>
    <n v="22.73"/>
    <n v="4.76"/>
    <n v="2396.15"/>
  </r>
  <r>
    <x v="67"/>
    <s v="Referral"/>
    <s v="Product Launch"/>
    <s v="Premium Plan"/>
    <n v="6549"/>
    <n v="447"/>
    <n v="80"/>
    <n v="65.489999999999995"/>
    <n v="10694.27"/>
    <n v="6.83"/>
    <n v="17.899999999999999"/>
    <n v="0.82"/>
    <n v="163.30000000000001"/>
    <n v="10628.78"/>
  </r>
  <r>
    <x v="68"/>
    <s v="Google Ads"/>
    <s v="Retargeting"/>
    <s v="Premium Plan"/>
    <n v="8760"/>
    <n v="364"/>
    <n v="31"/>
    <n v="734.55"/>
    <n v="5570.11"/>
    <n v="4.16"/>
    <n v="8.52"/>
    <n v="23.7"/>
    <n v="7.58"/>
    <n v="4835.5600000000004"/>
  </r>
  <r>
    <x v="68"/>
    <s v="Facebook Ads"/>
    <s v="Product Launch"/>
    <s v="Basic Plan"/>
    <n v="13246"/>
    <n v="403"/>
    <n v="21"/>
    <n v="620.97"/>
    <n v="2452.67"/>
    <n v="3.04"/>
    <n v="5.21"/>
    <n v="29.57"/>
    <n v="3.95"/>
    <n v="1831.7"/>
  </r>
  <r>
    <x v="68"/>
    <s v="Instagram Ads"/>
    <s v="Seasonal Promotion"/>
    <s v="Starter Kit"/>
    <n v="9896"/>
    <n v="411"/>
    <n v="20"/>
    <n v="571.96"/>
    <n v="2233.7800000000002"/>
    <n v="4.1500000000000004"/>
    <n v="4.87"/>
    <n v="28.6"/>
    <n v="3.91"/>
    <n v="1661.82"/>
  </r>
  <r>
    <x v="68"/>
    <s v="LinkedIn Ads"/>
    <s v="Flash Sale"/>
    <s v="Enterprise Plan"/>
    <n v="3909"/>
    <n v="84"/>
    <n v="11"/>
    <n v="947.83"/>
    <n v="2337.23"/>
    <n v="2.15"/>
    <n v="13.1"/>
    <n v="86.17"/>
    <n v="2.4700000000000002"/>
    <n v="1389.4"/>
  </r>
  <r>
    <x v="68"/>
    <s v="Email Marketing"/>
    <s v="Brand Awareness"/>
    <s v="Starter Kit"/>
    <n v="16868"/>
    <n v="3430"/>
    <n v="404"/>
    <n v="127.08"/>
    <n v="58152.13"/>
    <n v="20.329999999999998"/>
    <n v="11.78"/>
    <n v="0.31"/>
    <n v="457.6"/>
    <n v="58025.05"/>
  </r>
  <r>
    <x v="68"/>
    <s v="Organic Search"/>
    <s v="Brand Awareness"/>
    <s v="Basic Plan"/>
    <n v="21277"/>
    <n v="860"/>
    <n v="105"/>
    <n v="0"/>
    <n v="10999.93"/>
    <n v="4.04"/>
    <n v="12.21"/>
    <n v="0"/>
    <n v="0"/>
    <n v="10999.93"/>
  </r>
  <r>
    <x v="68"/>
    <s v="Display Ads"/>
    <s v="Retargeting"/>
    <s v="Add-on Service"/>
    <n v="17755"/>
    <n v="316"/>
    <n v="7"/>
    <n v="716.46"/>
    <n v="948.98"/>
    <n v="1.78"/>
    <n v="2.2200000000000002"/>
    <n v="102.35"/>
    <n v="1.32"/>
    <n v="232.52"/>
  </r>
  <r>
    <x v="68"/>
    <s v="YouTube Ads"/>
    <s v="Retargeting"/>
    <s v="Add-on Service"/>
    <n v="11617"/>
    <n v="293"/>
    <n v="18"/>
    <n v="896.46"/>
    <n v="2037.1"/>
    <n v="2.52"/>
    <n v="6.14"/>
    <n v="49.8"/>
    <n v="2.27"/>
    <n v="1140.6400000000001"/>
  </r>
  <r>
    <x v="68"/>
    <s v="Twitter Ads"/>
    <s v="Brand Awareness"/>
    <s v="Starter Kit"/>
    <n v="8493"/>
    <n v="220"/>
    <n v="6"/>
    <n v="350.77"/>
    <n v="529.66"/>
    <n v="2.59"/>
    <n v="2.73"/>
    <n v="58.46"/>
    <n v="1.51"/>
    <n v="178.89"/>
  </r>
  <r>
    <x v="68"/>
    <s v="TikTok Ads"/>
    <s v="Product Launch"/>
    <s v="Enterprise Plan"/>
    <n v="20026"/>
    <n v="877"/>
    <n v="47"/>
    <n v="669.82"/>
    <n v="3348.93"/>
    <n v="4.38"/>
    <n v="5.36"/>
    <n v="14.25"/>
    <n v="5"/>
    <n v="2679.11"/>
  </r>
  <r>
    <x v="68"/>
    <s v="Affiliate Marketing"/>
    <s v="Lead Generation"/>
    <s v="Enterprise Plan"/>
    <n v="5567"/>
    <n v="256"/>
    <n v="28"/>
    <n v="417.41"/>
    <n v="3897.45"/>
    <n v="4.5999999999999996"/>
    <n v="10.94"/>
    <n v="14.91"/>
    <n v="9.34"/>
    <n v="3480.04"/>
  </r>
  <r>
    <x v="68"/>
    <s v="Referral"/>
    <s v="Lead Generation"/>
    <s v="Premium Plan"/>
    <n v="4812"/>
    <n v="441"/>
    <n v="59"/>
    <n v="38.31"/>
    <n v="10570.11"/>
    <n v="9.16"/>
    <n v="13.38"/>
    <n v="0.65"/>
    <n v="275.91000000000003"/>
    <n v="10531.8"/>
  </r>
  <r>
    <x v="69"/>
    <s v="Google Ads"/>
    <s v="Seasonal Promotion"/>
    <s v="Premium Plan"/>
    <n v="7048"/>
    <n v="304"/>
    <n v="30"/>
    <n v="759.77"/>
    <n v="5455.07"/>
    <n v="4.3099999999999996"/>
    <n v="9.8699999999999992"/>
    <n v="25.33"/>
    <n v="7.18"/>
    <n v="4695.3"/>
  </r>
  <r>
    <x v="69"/>
    <s v="Facebook Ads"/>
    <s v="Seasonal Promotion"/>
    <s v="Add-on Service"/>
    <n v="8443"/>
    <n v="334"/>
    <n v="22"/>
    <n v="830.86"/>
    <n v="2664.29"/>
    <n v="3.96"/>
    <n v="6.59"/>
    <n v="37.770000000000003"/>
    <n v="3.21"/>
    <n v="1833.43"/>
  </r>
  <r>
    <x v="69"/>
    <s v="Instagram Ads"/>
    <s v="Lead Generation"/>
    <s v="Enterprise Plan"/>
    <n v="7823"/>
    <n v="268"/>
    <n v="18"/>
    <n v="694.06"/>
    <n v="1792.81"/>
    <n v="3.43"/>
    <n v="6.72"/>
    <n v="38.56"/>
    <n v="2.58"/>
    <n v="1098.75"/>
  </r>
  <r>
    <x v="69"/>
    <s v="LinkedIn Ads"/>
    <s v="Product Launch"/>
    <s v="Basic Plan"/>
    <n v="3257"/>
    <n v="51"/>
    <n v="6"/>
    <n v="790.64"/>
    <n v="1355.3"/>
    <n v="1.57"/>
    <n v="11.76"/>
    <n v="131.77000000000001"/>
    <n v="1.71"/>
    <n v="564.66"/>
  </r>
  <r>
    <x v="69"/>
    <s v="Email Marketing"/>
    <s v="Lead Generation"/>
    <s v="Premium Plan"/>
    <n v="15357"/>
    <n v="3399"/>
    <n v="437"/>
    <n v="200.91"/>
    <n v="66793.740000000005"/>
    <n v="22.13"/>
    <n v="12.86"/>
    <n v="0.46"/>
    <n v="332.46"/>
    <n v="66592.83"/>
  </r>
  <r>
    <x v="69"/>
    <s v="Organic Search"/>
    <s v="Lead Generation"/>
    <s v="Enterprise Plan"/>
    <n v="24037"/>
    <n v="1619"/>
    <n v="189"/>
    <n v="0"/>
    <n v="19372.32"/>
    <n v="6.74"/>
    <n v="11.67"/>
    <n v="0"/>
    <n v="0"/>
    <n v="19372.32"/>
  </r>
  <r>
    <x v="69"/>
    <s v="Display Ads"/>
    <s v="Lead Generation"/>
    <s v="Basic Plan"/>
    <n v="19806"/>
    <n v="296"/>
    <n v="5"/>
    <n v="872.12"/>
    <n v="590.86"/>
    <n v="1.49"/>
    <n v="1.69"/>
    <n v="174.42"/>
    <n v="0.68"/>
    <n v="-281.26"/>
  </r>
  <r>
    <x v="69"/>
    <s v="YouTube Ads"/>
    <s v="Seasonal Promotion"/>
    <s v="Basic Plan"/>
    <n v="12506"/>
    <n v="360"/>
    <n v="25"/>
    <n v="706.53"/>
    <n v="2783.95"/>
    <n v="2.88"/>
    <n v="6.94"/>
    <n v="28.26"/>
    <n v="3.94"/>
    <n v="2077.42"/>
  </r>
  <r>
    <x v="69"/>
    <s v="Twitter Ads"/>
    <s v="Flash Sale"/>
    <s v="Premium Plan"/>
    <n v="9653"/>
    <n v="237"/>
    <n v="7"/>
    <n v="450.84"/>
    <n v="649.48"/>
    <n v="2.46"/>
    <n v="2.95"/>
    <n v="64.41"/>
    <n v="1.44"/>
    <n v="198.64"/>
  </r>
  <r>
    <x v="69"/>
    <s v="TikTok Ads"/>
    <s v="Lead Generation"/>
    <s v="Starter Kit"/>
    <n v="19910"/>
    <n v="735"/>
    <n v="39"/>
    <n v="563.02"/>
    <n v="3428.45"/>
    <n v="3.69"/>
    <n v="5.31"/>
    <n v="14.44"/>
    <n v="6.09"/>
    <n v="2865.43"/>
  </r>
  <r>
    <x v="69"/>
    <s v="Affiliate Marketing"/>
    <s v="Retargeting"/>
    <s v="Add-on Service"/>
    <n v="3680"/>
    <n v="163"/>
    <n v="17"/>
    <n v="306.39999999999998"/>
    <n v="1852.96"/>
    <n v="4.43"/>
    <n v="10.43"/>
    <n v="18.02"/>
    <n v="6.05"/>
    <n v="1546.56"/>
  </r>
  <r>
    <x v="69"/>
    <s v="Referral"/>
    <s v="Seasonal Promotion"/>
    <s v="Starter Kit"/>
    <n v="2508"/>
    <n v="143"/>
    <n v="22"/>
    <n v="48.46"/>
    <n v="4009.33"/>
    <n v="5.7"/>
    <n v="15.38"/>
    <n v="2.2000000000000002"/>
    <n v="82.73"/>
    <n v="3960.87"/>
  </r>
  <r>
    <x v="70"/>
    <s v="Google Ads"/>
    <s v="Flash Sale"/>
    <s v="Add-on Service"/>
    <n v="12782"/>
    <n v="555"/>
    <n v="51"/>
    <n v="1020.2"/>
    <n v="8737.18"/>
    <n v="4.34"/>
    <n v="9.19"/>
    <n v="20"/>
    <n v="8.56"/>
    <n v="7716.98"/>
  </r>
  <r>
    <x v="70"/>
    <s v="Facebook Ads"/>
    <s v="Flash Sale"/>
    <s v="Add-on Service"/>
    <n v="14979"/>
    <n v="503"/>
    <n v="37"/>
    <n v="1154.6600000000001"/>
    <n v="4117.43"/>
    <n v="3.36"/>
    <n v="7.36"/>
    <n v="31.21"/>
    <n v="3.57"/>
    <n v="2962.77"/>
  </r>
  <r>
    <x v="70"/>
    <s v="Instagram Ads"/>
    <s v="Product Launch"/>
    <s v="Enterprise Plan"/>
    <n v="15486"/>
    <n v="448"/>
    <n v="27"/>
    <n v="974.04"/>
    <n v="2561.4499999999998"/>
    <n v="2.89"/>
    <n v="6.03"/>
    <n v="36.08"/>
    <n v="2.63"/>
    <n v="1587.41"/>
  </r>
  <r>
    <x v="70"/>
    <s v="LinkedIn Ads"/>
    <s v="Lead Generation"/>
    <s v="Starter Kit"/>
    <n v="3557"/>
    <n v="78"/>
    <n v="9"/>
    <n v="1511.04"/>
    <n v="3141.45"/>
    <n v="2.19"/>
    <n v="11.54"/>
    <n v="167.89"/>
    <n v="2.08"/>
    <n v="1630.41"/>
  </r>
  <r>
    <x v="70"/>
    <s v="Email Marketing"/>
    <s v="Brand Awareness"/>
    <s v="Starter Kit"/>
    <n v="20964"/>
    <n v="4269"/>
    <n v="495"/>
    <n v="173.38"/>
    <n v="65990.17"/>
    <n v="20.36"/>
    <n v="11.6"/>
    <n v="0.35"/>
    <n v="380.61"/>
    <n v="65816.789999999994"/>
  </r>
  <r>
    <x v="70"/>
    <s v="Organic Search"/>
    <s v="Retargeting"/>
    <s v="Enterprise Plan"/>
    <n v="22518"/>
    <n v="1778"/>
    <n v="181"/>
    <n v="0"/>
    <n v="20263.11"/>
    <n v="7.9"/>
    <n v="10.18"/>
    <n v="0"/>
    <n v="0"/>
    <n v="20263.11"/>
  </r>
  <r>
    <x v="70"/>
    <s v="Display Ads"/>
    <s v="Product Launch"/>
    <s v="Add-on Service"/>
    <n v="33054"/>
    <n v="457"/>
    <n v="18"/>
    <n v="807.32"/>
    <n v="2132.58"/>
    <n v="1.38"/>
    <n v="3.94"/>
    <n v="44.85"/>
    <n v="2.64"/>
    <n v="1325.26"/>
  </r>
  <r>
    <x v="70"/>
    <s v="YouTube Ads"/>
    <s v="Brand Awareness"/>
    <s v="Enterprise Plan"/>
    <n v="18538"/>
    <n v="279"/>
    <n v="15"/>
    <n v="1282.78"/>
    <n v="1920.69"/>
    <n v="1.51"/>
    <n v="5.38"/>
    <n v="85.52"/>
    <n v="1.5"/>
    <n v="637.91"/>
  </r>
  <r>
    <x v="70"/>
    <s v="Twitter Ads"/>
    <s v="Seasonal Promotion"/>
    <s v="Premium Plan"/>
    <n v="12849"/>
    <n v="392"/>
    <n v="17"/>
    <n v="695.46"/>
    <n v="1612.11"/>
    <n v="3.05"/>
    <n v="4.34"/>
    <n v="40.909999999999997"/>
    <n v="2.3199999999999998"/>
    <n v="916.65"/>
  </r>
  <r>
    <x v="70"/>
    <s v="TikTok Ads"/>
    <s v="Product Launch"/>
    <s v="Starter Kit"/>
    <n v="26682"/>
    <n v="733"/>
    <n v="36"/>
    <n v="1051.6199999999999"/>
    <n v="3861.39"/>
    <n v="2.75"/>
    <n v="4.91"/>
    <n v="29.21"/>
    <n v="3.67"/>
    <n v="2809.77"/>
  </r>
  <r>
    <x v="70"/>
    <s v="Affiliate Marketing"/>
    <s v="Retargeting"/>
    <s v="Premium Plan"/>
    <n v="7068"/>
    <n v="326"/>
    <n v="38"/>
    <n v="315.41000000000003"/>
    <n v="4607.33"/>
    <n v="4.6100000000000003"/>
    <n v="11.66"/>
    <n v="8.3000000000000007"/>
    <n v="14.61"/>
    <n v="4291.92"/>
  </r>
  <r>
    <x v="70"/>
    <s v="Referral"/>
    <s v="Brand Awareness"/>
    <s v="Enterprise Plan"/>
    <n v="5170"/>
    <n v="302"/>
    <n v="43"/>
    <n v="181.56"/>
    <n v="4943.7700000000004"/>
    <n v="5.84"/>
    <n v="14.24"/>
    <n v="4.22"/>
    <n v="27.23"/>
    <n v="4762.21"/>
  </r>
  <r>
    <x v="71"/>
    <s v="Google Ads"/>
    <s v="Product Launch"/>
    <s v="Premium Plan"/>
    <n v="8331"/>
    <n v="257"/>
    <n v="23"/>
    <n v="1054.98"/>
    <n v="2686.77"/>
    <n v="3.08"/>
    <n v="8.9499999999999993"/>
    <n v="45.87"/>
    <n v="2.5499999999999998"/>
    <n v="1631.79"/>
  </r>
  <r>
    <x v="71"/>
    <s v="Facebook Ads"/>
    <s v="Flash Sale"/>
    <s v="Premium Plan"/>
    <n v="13309"/>
    <n v="302"/>
    <n v="15"/>
    <n v="957.3"/>
    <n v="1517.33"/>
    <n v="2.27"/>
    <n v="4.97"/>
    <n v="63.82"/>
    <n v="1.59"/>
    <n v="560.03"/>
  </r>
  <r>
    <x v="71"/>
    <s v="Instagram Ads"/>
    <s v="Seasonal Promotion"/>
    <s v="Add-on Service"/>
    <n v="17218"/>
    <n v="501"/>
    <n v="28"/>
    <n v="838.6"/>
    <n v="3165.53"/>
    <n v="2.91"/>
    <n v="5.59"/>
    <n v="29.95"/>
    <n v="3.77"/>
    <n v="2326.9299999999998"/>
  </r>
  <r>
    <x v="71"/>
    <s v="LinkedIn Ads"/>
    <s v="Seasonal Promotion"/>
    <s v="Starter Kit"/>
    <n v="3943"/>
    <n v="63"/>
    <n v="8"/>
    <n v="1057.3800000000001"/>
    <n v="2358.6999999999998"/>
    <n v="1.6"/>
    <n v="12.7"/>
    <n v="132.16999999999999"/>
    <n v="2.23"/>
    <n v="1301.32"/>
  </r>
  <r>
    <x v="71"/>
    <s v="Email Marketing"/>
    <s v="Retargeting"/>
    <s v="Add-on Service"/>
    <n v="24204"/>
    <n v="5614"/>
    <n v="565"/>
    <n v="275"/>
    <n v="91932.69"/>
    <n v="23.19"/>
    <n v="10.06"/>
    <n v="0.49"/>
    <n v="334.3"/>
    <n v="91657.69"/>
  </r>
  <r>
    <x v="71"/>
    <s v="Organic Search"/>
    <s v="Seasonal Promotion"/>
    <s v="Premium Plan"/>
    <n v="22828"/>
    <n v="1765"/>
    <n v="200"/>
    <n v="0"/>
    <n v="21256.34"/>
    <n v="7.73"/>
    <n v="11.33"/>
    <n v="0"/>
    <n v="0"/>
    <n v="21256.34"/>
  </r>
  <r>
    <x v="71"/>
    <s v="Display Ads"/>
    <s v="Retargeting"/>
    <s v="Add-on Service"/>
    <n v="34858"/>
    <n v="674"/>
    <n v="28"/>
    <n v="1273.55"/>
    <n v="3773.14"/>
    <n v="1.93"/>
    <n v="4.1500000000000004"/>
    <n v="45.48"/>
    <n v="2.96"/>
    <n v="2499.59"/>
  </r>
  <r>
    <x v="71"/>
    <s v="YouTube Ads"/>
    <s v="Flash Sale"/>
    <s v="Basic Plan"/>
    <n v="24243"/>
    <n v="494"/>
    <n v="26"/>
    <n v="925.78"/>
    <n v="3300.65"/>
    <n v="2.04"/>
    <n v="5.26"/>
    <n v="35.61"/>
    <n v="3.57"/>
    <n v="2374.87"/>
  </r>
  <r>
    <x v="71"/>
    <s v="Twitter Ads"/>
    <s v="Product Launch"/>
    <s v="Add-on Service"/>
    <n v="8561"/>
    <n v="191"/>
    <n v="8"/>
    <n v="711.44"/>
    <n v="791.51"/>
    <n v="2.23"/>
    <n v="4.1900000000000004"/>
    <n v="88.93"/>
    <n v="1.1100000000000001"/>
    <n v="80.069999999999993"/>
  </r>
  <r>
    <x v="71"/>
    <s v="TikTok Ads"/>
    <s v="Retargeting"/>
    <s v="Add-on Service"/>
    <n v="21141"/>
    <n v="578"/>
    <n v="34"/>
    <n v="1060.83"/>
    <n v="2754.36"/>
    <n v="2.73"/>
    <n v="5.88"/>
    <n v="31.2"/>
    <n v="2.6"/>
    <n v="1693.53"/>
  </r>
  <r>
    <x v="71"/>
    <s v="Affiliate Marketing"/>
    <s v="Lead Generation"/>
    <s v="Premium Plan"/>
    <n v="9152"/>
    <n v="403"/>
    <n v="39"/>
    <n v="480.84"/>
    <n v="4050.39"/>
    <n v="4.4000000000000004"/>
    <n v="9.68"/>
    <n v="12.33"/>
    <n v="8.42"/>
    <n v="3569.55"/>
  </r>
  <r>
    <x v="71"/>
    <s v="Referral"/>
    <s v="Retargeting"/>
    <s v="Premium Plan"/>
    <n v="3300"/>
    <n v="226"/>
    <n v="37"/>
    <n v="173.48"/>
    <n v="6085.89"/>
    <n v="6.85"/>
    <n v="16.37"/>
    <n v="4.6900000000000004"/>
    <n v="35.08"/>
    <n v="5912.41"/>
  </r>
  <r>
    <x v="72"/>
    <s v="Google Ads"/>
    <s v="Product Launch"/>
    <s v="Premium Plan"/>
    <n v="12122"/>
    <n v="522"/>
    <n v="61"/>
    <n v="807.53"/>
    <n v="8845.1"/>
    <n v="4.3099999999999996"/>
    <n v="11.69"/>
    <n v="13.24"/>
    <n v="10.95"/>
    <n v="8037.57"/>
  </r>
  <r>
    <x v="72"/>
    <s v="Facebook Ads"/>
    <s v="Seasonal Promotion"/>
    <s v="Basic Plan"/>
    <n v="16398"/>
    <n v="419"/>
    <n v="35"/>
    <n v="963.07"/>
    <n v="4680.91"/>
    <n v="2.56"/>
    <n v="8.35"/>
    <n v="27.52"/>
    <n v="4.8600000000000003"/>
    <n v="3717.84"/>
  </r>
  <r>
    <x v="72"/>
    <s v="Instagram Ads"/>
    <s v="Brand Awareness"/>
    <s v="Basic Plan"/>
    <n v="13838"/>
    <n v="363"/>
    <n v="27"/>
    <n v="686.59"/>
    <n v="2728.06"/>
    <n v="2.62"/>
    <n v="7.44"/>
    <n v="25.43"/>
    <n v="3.97"/>
    <n v="2041.47"/>
  </r>
  <r>
    <x v="72"/>
    <s v="LinkedIn Ads"/>
    <s v="Flash Sale"/>
    <s v="Starter Kit"/>
    <n v="4453"/>
    <n v="82"/>
    <n v="10"/>
    <n v="1627.4"/>
    <n v="2090.61"/>
    <n v="1.84"/>
    <n v="12.2"/>
    <n v="162.74"/>
    <n v="1.28"/>
    <n v="463.21"/>
  </r>
  <r>
    <x v="72"/>
    <s v="Email Marketing"/>
    <s v="Retargeting"/>
    <s v="Add-on Service"/>
    <n v="16678"/>
    <n v="2852"/>
    <n v="270"/>
    <n v="213.68"/>
    <n v="31506.69"/>
    <n v="17.100000000000001"/>
    <n v="9.4700000000000006"/>
    <n v="0.79"/>
    <n v="147.44999999999999"/>
    <n v="31293.01"/>
  </r>
  <r>
    <x v="72"/>
    <s v="Organic Search"/>
    <s v="Seasonal Promotion"/>
    <s v="Add-on Service"/>
    <n v="30282"/>
    <n v="1550"/>
    <n v="187"/>
    <n v="0"/>
    <n v="22045.8"/>
    <n v="5.12"/>
    <n v="12.06"/>
    <n v="0"/>
    <n v="0"/>
    <n v="22045.8"/>
  </r>
  <r>
    <x v="72"/>
    <s v="Display Ads"/>
    <s v="Lead Generation"/>
    <s v="Enterprise Plan"/>
    <n v="31004"/>
    <n v="313"/>
    <n v="9"/>
    <n v="784.97"/>
    <n v="837.37"/>
    <n v="1.01"/>
    <n v="2.88"/>
    <n v="87.22"/>
    <n v="1.07"/>
    <n v="52.4"/>
  </r>
  <r>
    <x v="72"/>
    <s v="YouTube Ads"/>
    <s v="Product Launch"/>
    <s v="Enterprise Plan"/>
    <n v="20536"/>
    <n v="322"/>
    <n v="23"/>
    <n v="814.83"/>
    <n v="3165.83"/>
    <n v="1.57"/>
    <n v="7.14"/>
    <n v="35.43"/>
    <n v="3.89"/>
    <n v="2351"/>
  </r>
  <r>
    <x v="72"/>
    <s v="Twitter Ads"/>
    <s v="Retargeting"/>
    <s v="Starter Kit"/>
    <n v="8033"/>
    <n v="227"/>
    <n v="10"/>
    <n v="794.73"/>
    <n v="992.93"/>
    <n v="2.83"/>
    <n v="4.41"/>
    <n v="79.47"/>
    <n v="1.25"/>
    <n v="198.2"/>
  </r>
  <r>
    <x v="72"/>
    <s v="TikTok Ads"/>
    <s v="Product Launch"/>
    <s v="Add-on Service"/>
    <n v="20332"/>
    <n v="662"/>
    <n v="25"/>
    <n v="707.15"/>
    <n v="2335.0500000000002"/>
    <n v="3.26"/>
    <n v="3.78"/>
    <n v="28.29"/>
    <n v="3.3"/>
    <n v="1627.9"/>
  </r>
  <r>
    <x v="72"/>
    <s v="Affiliate Marketing"/>
    <s v="Brand Awareness"/>
    <s v="Enterprise Plan"/>
    <n v="7552"/>
    <n v="475"/>
    <n v="50"/>
    <n v="490.69"/>
    <n v="5680.98"/>
    <n v="6.29"/>
    <n v="10.53"/>
    <n v="9.81"/>
    <n v="11.58"/>
    <n v="5190.29"/>
  </r>
  <r>
    <x v="72"/>
    <s v="Referral"/>
    <s v="Brand Awareness"/>
    <s v="Enterprise Plan"/>
    <n v="4821"/>
    <n v="403"/>
    <n v="71"/>
    <n v="184.93"/>
    <n v="11576.09"/>
    <n v="8.36"/>
    <n v="17.62"/>
    <n v="2.6"/>
    <n v="62.6"/>
    <n v="11391.16"/>
  </r>
  <r>
    <x v="73"/>
    <s v="Google Ads"/>
    <s v="Brand Awareness"/>
    <s v="Add-on Service"/>
    <n v="13350"/>
    <n v="610"/>
    <n v="70"/>
    <n v="987.74"/>
    <n v="10812.44"/>
    <n v="4.57"/>
    <n v="11.48"/>
    <n v="14.11"/>
    <n v="10.95"/>
    <n v="9824.7000000000007"/>
  </r>
  <r>
    <x v="73"/>
    <s v="Facebook Ads"/>
    <s v="Flash Sale"/>
    <s v="Starter Kit"/>
    <n v="19567"/>
    <n v="549"/>
    <n v="31"/>
    <n v="920.24"/>
    <n v="4100.83"/>
    <n v="2.81"/>
    <n v="5.65"/>
    <n v="29.69"/>
    <n v="4.46"/>
    <n v="3180.59"/>
  </r>
  <r>
    <x v="73"/>
    <s v="Instagram Ads"/>
    <s v="Product Launch"/>
    <s v="Enterprise Plan"/>
    <n v="17914"/>
    <n v="739"/>
    <n v="38"/>
    <n v="838.53"/>
    <n v="4518.25"/>
    <n v="4.13"/>
    <n v="5.14"/>
    <n v="22.07"/>
    <n v="5.39"/>
    <n v="3679.72"/>
  </r>
  <r>
    <x v="73"/>
    <s v="LinkedIn Ads"/>
    <s v="Flash Sale"/>
    <s v="Add-on Service"/>
    <n v="5627"/>
    <n v="159"/>
    <n v="23"/>
    <n v="1237.2"/>
    <n v="5296.37"/>
    <n v="2.83"/>
    <n v="14.47"/>
    <n v="53.79"/>
    <n v="4.28"/>
    <n v="4059.17"/>
  </r>
  <r>
    <x v="73"/>
    <s v="Email Marketing"/>
    <s v="Lead Generation"/>
    <s v="Enterprise Plan"/>
    <n v="17567"/>
    <n v="4097"/>
    <n v="461"/>
    <n v="190.9"/>
    <n v="45980.5"/>
    <n v="23.32"/>
    <n v="11.25"/>
    <n v="0.41"/>
    <n v="240.86"/>
    <n v="45789.599999999999"/>
  </r>
  <r>
    <x v="73"/>
    <s v="Organic Search"/>
    <s v="Brand Awareness"/>
    <s v="Add-on Service"/>
    <n v="23476"/>
    <n v="1505"/>
    <n v="226"/>
    <n v="0"/>
    <n v="29843.65"/>
    <n v="6.41"/>
    <n v="15.02"/>
    <n v="0"/>
    <n v="0"/>
    <n v="29843.65"/>
  </r>
  <r>
    <x v="73"/>
    <s v="Display Ads"/>
    <s v="Flash Sale"/>
    <s v="Basic Plan"/>
    <n v="26749"/>
    <n v="442"/>
    <n v="21"/>
    <n v="1219.82"/>
    <n v="1910.18"/>
    <n v="1.65"/>
    <n v="4.75"/>
    <n v="58.09"/>
    <n v="1.57"/>
    <n v="690.36"/>
  </r>
  <r>
    <x v="73"/>
    <s v="YouTube Ads"/>
    <s v="Product Launch"/>
    <s v="Enterprise Plan"/>
    <n v="20776"/>
    <n v="474"/>
    <n v="20"/>
    <n v="1338.42"/>
    <n v="1985.36"/>
    <n v="2.2799999999999998"/>
    <n v="4.22"/>
    <n v="66.92"/>
    <n v="1.48"/>
    <n v="646.94000000000005"/>
  </r>
  <r>
    <x v="73"/>
    <s v="Twitter Ads"/>
    <s v="Flash Sale"/>
    <s v="Starter Kit"/>
    <n v="13535"/>
    <n v="463"/>
    <n v="20"/>
    <n v="520.73"/>
    <n v="2303.39"/>
    <n v="3.42"/>
    <n v="4.32"/>
    <n v="26.04"/>
    <n v="4.42"/>
    <n v="1782.66"/>
  </r>
  <r>
    <x v="73"/>
    <s v="TikTok Ads"/>
    <s v="Lead Generation"/>
    <s v="Add-on Service"/>
    <n v="25210"/>
    <n v="807"/>
    <n v="33"/>
    <n v="855.16"/>
    <n v="2426.9299999999998"/>
    <n v="3.2"/>
    <n v="4.09"/>
    <n v="25.91"/>
    <n v="2.84"/>
    <n v="1571.77"/>
  </r>
  <r>
    <x v="73"/>
    <s v="Affiliate Marketing"/>
    <s v="Flash Sale"/>
    <s v="Premium Plan"/>
    <n v="7101"/>
    <n v="315"/>
    <n v="39"/>
    <n v="523.69000000000005"/>
    <n v="4590.88"/>
    <n v="4.4400000000000004"/>
    <n v="12.38"/>
    <n v="13.43"/>
    <n v="8.77"/>
    <n v="4067.19"/>
  </r>
  <r>
    <x v="73"/>
    <s v="Referral"/>
    <s v="Product Launch"/>
    <s v="Add-on Service"/>
    <n v="3027"/>
    <n v="285"/>
    <n v="34"/>
    <n v="168.94"/>
    <n v="4302.08"/>
    <n v="9.42"/>
    <n v="11.93"/>
    <n v="4.97"/>
    <n v="25.47"/>
    <n v="4133.1400000000003"/>
  </r>
  <r>
    <x v="74"/>
    <s v="Google Ads"/>
    <s v="Retargeting"/>
    <s v="Enterprise Plan"/>
    <n v="8005"/>
    <n v="267"/>
    <n v="24"/>
    <n v="1158.6600000000001"/>
    <n v="4242.3500000000004"/>
    <n v="3.34"/>
    <n v="8.99"/>
    <n v="48.28"/>
    <n v="3.66"/>
    <n v="3083.69"/>
  </r>
  <r>
    <x v="74"/>
    <s v="Facebook Ads"/>
    <s v="Lead Generation"/>
    <s v="Add-on Service"/>
    <n v="16719"/>
    <n v="398"/>
    <n v="27"/>
    <n v="1021.58"/>
    <n v="3719.83"/>
    <n v="2.38"/>
    <n v="6.78"/>
    <n v="37.840000000000003"/>
    <n v="3.64"/>
    <n v="2698.25"/>
  </r>
  <r>
    <x v="74"/>
    <s v="Instagram Ads"/>
    <s v="Brand Awareness"/>
    <s v="Starter Kit"/>
    <n v="14443"/>
    <n v="563"/>
    <n v="29"/>
    <n v="569.80999999999995"/>
    <n v="3398.83"/>
    <n v="3.9"/>
    <n v="5.15"/>
    <n v="19.649999999999999"/>
    <n v="5.96"/>
    <n v="2829.02"/>
  </r>
  <r>
    <x v="74"/>
    <s v="LinkedIn Ads"/>
    <s v="Seasonal Promotion"/>
    <s v="Enterprise Plan"/>
    <n v="4429"/>
    <n v="111"/>
    <n v="13"/>
    <n v="1495.51"/>
    <n v="3199.08"/>
    <n v="2.5099999999999998"/>
    <n v="11.71"/>
    <n v="115.04"/>
    <n v="2.14"/>
    <n v="1703.57"/>
  </r>
  <r>
    <x v="74"/>
    <s v="Email Marketing"/>
    <s v="Brand Awareness"/>
    <s v="Enterprise Plan"/>
    <n v="24389"/>
    <n v="4235"/>
    <n v="508"/>
    <n v="253.45"/>
    <n v="74452.149999999994"/>
    <n v="17.36"/>
    <n v="12"/>
    <n v="0.5"/>
    <n v="293.75"/>
    <n v="74198.7"/>
  </r>
  <r>
    <x v="74"/>
    <s v="Organic Search"/>
    <s v="Product Launch"/>
    <s v="Basic Plan"/>
    <n v="28838"/>
    <n v="1558"/>
    <n v="224"/>
    <n v="0"/>
    <n v="26377.96"/>
    <n v="5.4"/>
    <n v="14.38"/>
    <n v="0"/>
    <n v="0"/>
    <n v="26377.96"/>
  </r>
  <r>
    <x v="74"/>
    <s v="Display Ads"/>
    <s v="Lead Generation"/>
    <s v="Enterprise Plan"/>
    <n v="26660"/>
    <n v="348"/>
    <n v="14"/>
    <n v="1092.0899999999999"/>
    <n v="1214.51"/>
    <n v="1.31"/>
    <n v="4.0199999999999996"/>
    <n v="78.010000000000005"/>
    <n v="1.1100000000000001"/>
    <n v="122.42"/>
  </r>
  <r>
    <x v="74"/>
    <s v="YouTube Ads"/>
    <s v="Retargeting"/>
    <s v="Basic Plan"/>
    <n v="18833"/>
    <n v="298"/>
    <n v="15"/>
    <n v="994.75"/>
    <n v="1563.54"/>
    <n v="1.58"/>
    <n v="5.03"/>
    <n v="66.319999999999993"/>
    <n v="1.57"/>
    <n v="568.79"/>
  </r>
  <r>
    <x v="74"/>
    <s v="Twitter Ads"/>
    <s v="Lead Generation"/>
    <s v="Basic Plan"/>
    <n v="13995"/>
    <n v="432"/>
    <n v="20"/>
    <n v="435.62"/>
    <n v="2246.34"/>
    <n v="3.09"/>
    <n v="4.63"/>
    <n v="21.78"/>
    <n v="5.16"/>
    <n v="1810.72"/>
  </r>
  <r>
    <x v="74"/>
    <s v="TikTok Ads"/>
    <s v="Lead Generation"/>
    <s v="Premium Plan"/>
    <n v="21648"/>
    <n v="951"/>
    <n v="33"/>
    <n v="1017.68"/>
    <n v="2761.6"/>
    <n v="4.3899999999999997"/>
    <n v="3.47"/>
    <n v="30.84"/>
    <n v="2.71"/>
    <n v="1743.92"/>
  </r>
  <r>
    <x v="74"/>
    <s v="Affiliate Marketing"/>
    <s v="Product Launch"/>
    <s v="Premium Plan"/>
    <n v="9465"/>
    <n v="512"/>
    <n v="57"/>
    <n v="411.43"/>
    <n v="6770.44"/>
    <n v="5.41"/>
    <n v="11.13"/>
    <n v="7.22"/>
    <n v="16.46"/>
    <n v="6359.01"/>
  </r>
  <r>
    <x v="74"/>
    <s v="Referral"/>
    <s v="Seasonal Promotion"/>
    <s v="Add-on Service"/>
    <n v="3174"/>
    <n v="258"/>
    <n v="39"/>
    <n v="86.07"/>
    <n v="5392.61"/>
    <n v="8.1300000000000008"/>
    <n v="15.12"/>
    <n v="2.21"/>
    <n v="62.65"/>
    <n v="5306.54"/>
  </r>
  <r>
    <x v="75"/>
    <s v="Google Ads"/>
    <s v="Flash Sale"/>
    <s v="Add-on Service"/>
    <n v="6176"/>
    <n v="256"/>
    <n v="21"/>
    <n v="909.46"/>
    <n v="3387.34"/>
    <n v="4.1500000000000004"/>
    <n v="8.1999999999999993"/>
    <n v="43.31"/>
    <n v="3.72"/>
    <n v="2477.88"/>
  </r>
  <r>
    <x v="75"/>
    <s v="Facebook Ads"/>
    <s v="Brand Awareness"/>
    <s v="Enterprise Plan"/>
    <n v="12300"/>
    <n v="469"/>
    <n v="28"/>
    <n v="692.19"/>
    <n v="3918.82"/>
    <n v="3.81"/>
    <n v="5.97"/>
    <n v="24.72"/>
    <n v="5.66"/>
    <n v="3226.63"/>
  </r>
  <r>
    <x v="75"/>
    <s v="Instagram Ads"/>
    <s v="Seasonal Promotion"/>
    <s v="Basic Plan"/>
    <n v="9702"/>
    <n v="399"/>
    <n v="16"/>
    <n v="480.92"/>
    <n v="1500.73"/>
    <n v="4.1100000000000003"/>
    <n v="4.01"/>
    <n v="30.06"/>
    <n v="3.12"/>
    <n v="1019.81"/>
  </r>
  <r>
    <x v="75"/>
    <s v="LinkedIn Ads"/>
    <s v="Seasonal Promotion"/>
    <s v="Starter Kit"/>
    <n v="2348"/>
    <n v="45"/>
    <n v="4"/>
    <n v="747.66"/>
    <n v="1071.19"/>
    <n v="1.92"/>
    <n v="8.89"/>
    <n v="186.92"/>
    <n v="1.43"/>
    <n v="323.52999999999997"/>
  </r>
  <r>
    <x v="75"/>
    <s v="Email Marketing"/>
    <s v="Lead Generation"/>
    <s v="Basic Plan"/>
    <n v="11503"/>
    <n v="2130"/>
    <n v="284"/>
    <n v="196.1"/>
    <n v="33218.43"/>
    <n v="18.52"/>
    <n v="13.33"/>
    <n v="0.69"/>
    <n v="169.4"/>
    <n v="33022.33"/>
  </r>
  <r>
    <x v="75"/>
    <s v="Organic Search"/>
    <s v="Lead Generation"/>
    <s v="Add-on Service"/>
    <n v="17976"/>
    <n v="1414"/>
    <n v="154"/>
    <n v="0"/>
    <n v="15643.57"/>
    <n v="7.87"/>
    <n v="10.89"/>
    <n v="0"/>
    <n v="0"/>
    <n v="15643.57"/>
  </r>
  <r>
    <x v="75"/>
    <s v="Display Ads"/>
    <s v="Lead Generation"/>
    <s v="Starter Kit"/>
    <n v="22422"/>
    <n v="300"/>
    <n v="12"/>
    <n v="752.33"/>
    <n v="1244.54"/>
    <n v="1.34"/>
    <n v="4"/>
    <n v="62.69"/>
    <n v="1.65"/>
    <n v="492.21"/>
  </r>
  <r>
    <x v="75"/>
    <s v="YouTube Ads"/>
    <s v="Brand Awareness"/>
    <s v="Starter Kit"/>
    <n v="11651"/>
    <n v="253"/>
    <n v="10"/>
    <n v="881.37"/>
    <n v="1267.02"/>
    <n v="2.17"/>
    <n v="3.95"/>
    <n v="88.14"/>
    <n v="1.44"/>
    <n v="385.65"/>
  </r>
  <r>
    <x v="75"/>
    <s v="Twitter Ads"/>
    <s v="Product Launch"/>
    <s v="Basic Plan"/>
    <n v="6633"/>
    <n v="192"/>
    <n v="9"/>
    <n v="364.35"/>
    <n v="1031.8900000000001"/>
    <n v="2.89"/>
    <n v="4.6900000000000004"/>
    <n v="40.479999999999997"/>
    <n v="2.83"/>
    <n v="667.54"/>
  </r>
  <r>
    <x v="75"/>
    <s v="TikTok Ads"/>
    <s v="Retargeting"/>
    <s v="Add-on Service"/>
    <n v="15296"/>
    <n v="434"/>
    <n v="24"/>
    <n v="642.20000000000005"/>
    <n v="1849.06"/>
    <n v="2.84"/>
    <n v="5.53"/>
    <n v="26.76"/>
    <n v="2.88"/>
    <n v="1206.8599999999999"/>
  </r>
  <r>
    <x v="75"/>
    <s v="Affiliate Marketing"/>
    <s v="Product Launch"/>
    <s v="Starter Kit"/>
    <n v="6770"/>
    <n v="466"/>
    <n v="39"/>
    <n v="285.88"/>
    <n v="4997.57"/>
    <n v="6.88"/>
    <n v="8.3699999999999992"/>
    <n v="7.33"/>
    <n v="17.48"/>
    <n v="4711.6899999999996"/>
  </r>
  <r>
    <x v="75"/>
    <s v="Referral"/>
    <s v="Lead Generation"/>
    <s v="Add-on Service"/>
    <n v="4286"/>
    <n v="254"/>
    <n v="32"/>
    <n v="61.6"/>
    <n v="3905.29"/>
    <n v="5.93"/>
    <n v="12.6"/>
    <n v="1.92"/>
    <n v="63.4"/>
    <n v="3843.69"/>
  </r>
  <r>
    <x v="76"/>
    <s v="Google Ads"/>
    <s v="Lead Generation"/>
    <s v="Enterprise Plan"/>
    <n v="9416"/>
    <n v="408"/>
    <n v="35"/>
    <n v="926.39"/>
    <n v="5223"/>
    <n v="4.33"/>
    <n v="8.58"/>
    <n v="26.47"/>
    <n v="5.64"/>
    <n v="4296.6099999999997"/>
  </r>
  <r>
    <x v="76"/>
    <s v="Facebook Ads"/>
    <s v="Retargeting"/>
    <s v="Basic Plan"/>
    <n v="8872"/>
    <n v="282"/>
    <n v="17"/>
    <n v="497.32"/>
    <n v="1658.68"/>
    <n v="3.18"/>
    <n v="6.03"/>
    <n v="29.25"/>
    <n v="3.34"/>
    <n v="1161.3599999999999"/>
  </r>
  <r>
    <x v="76"/>
    <s v="Instagram Ads"/>
    <s v="Product Launch"/>
    <s v="Add-on Service"/>
    <n v="10203"/>
    <n v="267"/>
    <n v="20"/>
    <n v="456.39"/>
    <n v="2432.84"/>
    <n v="2.62"/>
    <n v="7.49"/>
    <n v="22.82"/>
    <n v="5.33"/>
    <n v="1976.45"/>
  </r>
  <r>
    <x v="76"/>
    <s v="LinkedIn Ads"/>
    <s v="Retargeting"/>
    <s v="Starter Kit"/>
    <n v="2542"/>
    <n v="60"/>
    <n v="5"/>
    <n v="1141.1500000000001"/>
    <n v="1592.03"/>
    <n v="2.36"/>
    <n v="8.33"/>
    <n v="228.23"/>
    <n v="1.4"/>
    <n v="450.88"/>
  </r>
  <r>
    <x v="76"/>
    <s v="Email Marketing"/>
    <s v="Product Launch"/>
    <s v="Starter Kit"/>
    <n v="15726"/>
    <n v="2470"/>
    <n v="270"/>
    <n v="90.85"/>
    <n v="32218.94"/>
    <n v="15.71"/>
    <n v="10.93"/>
    <n v="0.34"/>
    <n v="354.64"/>
    <n v="32128.09"/>
  </r>
  <r>
    <x v="76"/>
    <s v="Organic Search"/>
    <s v="Seasonal Promotion"/>
    <s v="Add-on Service"/>
    <n v="19582"/>
    <n v="1173"/>
    <n v="137"/>
    <n v="0"/>
    <n v="13853.99"/>
    <n v="5.99"/>
    <n v="11.68"/>
    <n v="0"/>
    <n v="0"/>
    <n v="13853.99"/>
  </r>
  <r>
    <x v="76"/>
    <s v="Display Ads"/>
    <s v="Retargeting"/>
    <s v="Basic Plan"/>
    <n v="21481"/>
    <n v="321"/>
    <n v="14"/>
    <n v="777.65"/>
    <n v="1086.71"/>
    <n v="1.49"/>
    <n v="4.3600000000000003"/>
    <n v="55.55"/>
    <n v="1.4"/>
    <n v="309.06"/>
  </r>
  <r>
    <x v="76"/>
    <s v="YouTube Ads"/>
    <s v="Lead Generation"/>
    <s v="Add-on Service"/>
    <n v="11421"/>
    <n v="322"/>
    <n v="17"/>
    <n v="611.20000000000005"/>
    <n v="1767.84"/>
    <n v="2.82"/>
    <n v="5.28"/>
    <n v="35.950000000000003"/>
    <n v="2.89"/>
    <n v="1156.6400000000001"/>
  </r>
  <r>
    <x v="76"/>
    <s v="Twitter Ads"/>
    <s v="Lead Generation"/>
    <s v="Enterprise Plan"/>
    <n v="8544"/>
    <n v="230"/>
    <n v="12"/>
    <n v="496.16"/>
    <n v="1137.67"/>
    <n v="2.69"/>
    <n v="5.22"/>
    <n v="41.35"/>
    <n v="2.29"/>
    <n v="641.51"/>
  </r>
  <r>
    <x v="76"/>
    <s v="TikTok Ads"/>
    <s v="Brand Awareness"/>
    <s v="Starter Kit"/>
    <n v="16195"/>
    <n v="489"/>
    <n v="26"/>
    <n v="635.76"/>
    <n v="1853.07"/>
    <n v="3.02"/>
    <n v="5.32"/>
    <n v="24.45"/>
    <n v="2.91"/>
    <n v="1217.31"/>
  </r>
  <r>
    <x v="76"/>
    <s v="Affiliate Marketing"/>
    <s v="Product Launch"/>
    <s v="Add-on Service"/>
    <n v="5751"/>
    <n v="354"/>
    <n v="42"/>
    <n v="338.2"/>
    <n v="6289.49"/>
    <n v="6.16"/>
    <n v="11.86"/>
    <n v="8.0500000000000007"/>
    <n v="18.600000000000001"/>
    <n v="5951.29"/>
  </r>
  <r>
    <x v="76"/>
    <s v="Referral"/>
    <s v="Brand Awareness"/>
    <s v="Add-on Service"/>
    <n v="2891"/>
    <n v="225"/>
    <n v="29"/>
    <n v="127.81"/>
    <n v="3701.22"/>
    <n v="7.78"/>
    <n v="12.89"/>
    <n v="4.41"/>
    <n v="28.96"/>
    <n v="3573.41"/>
  </r>
  <r>
    <x v="77"/>
    <s v="Google Ads"/>
    <s v="Brand Awareness"/>
    <s v="Enterprise Plan"/>
    <n v="11437"/>
    <n v="468"/>
    <n v="53"/>
    <n v="1203.98"/>
    <n v="7148.15"/>
    <n v="4.09"/>
    <n v="11.32"/>
    <n v="22.72"/>
    <n v="5.94"/>
    <n v="5944.17"/>
  </r>
  <r>
    <x v="77"/>
    <s v="Facebook Ads"/>
    <s v="Brand Awareness"/>
    <s v="Basic Plan"/>
    <n v="16166"/>
    <n v="358"/>
    <n v="24"/>
    <n v="1148.7"/>
    <n v="3180.06"/>
    <n v="2.21"/>
    <n v="6.7"/>
    <n v="47.86"/>
    <n v="2.77"/>
    <n v="2031.36"/>
  </r>
  <r>
    <x v="77"/>
    <s v="Instagram Ads"/>
    <s v="Product Launch"/>
    <s v="Starter Kit"/>
    <n v="16911"/>
    <n v="503"/>
    <n v="36"/>
    <n v="772.54"/>
    <n v="2854.54"/>
    <n v="2.97"/>
    <n v="7.16"/>
    <n v="21.46"/>
    <n v="3.7"/>
    <n v="2082"/>
  </r>
  <r>
    <x v="77"/>
    <s v="LinkedIn Ads"/>
    <s v="Seasonal Promotion"/>
    <s v="Basic Plan"/>
    <n v="5555"/>
    <n v="83"/>
    <n v="9"/>
    <n v="1287.78"/>
    <n v="2140.36"/>
    <n v="1.49"/>
    <n v="10.84"/>
    <n v="143.09"/>
    <n v="1.66"/>
    <n v="852.58"/>
  </r>
  <r>
    <x v="77"/>
    <s v="Email Marketing"/>
    <s v="Retargeting"/>
    <s v="Premium Plan"/>
    <n v="21565"/>
    <n v="4286"/>
    <n v="352"/>
    <n v="113.16"/>
    <n v="44337.64"/>
    <n v="19.87"/>
    <n v="8.2100000000000009"/>
    <n v="0.32"/>
    <n v="391.81"/>
    <n v="44224.480000000003"/>
  </r>
  <r>
    <x v="77"/>
    <s v="Organic Search"/>
    <s v="Lead Generation"/>
    <s v="Starter Kit"/>
    <n v="26895"/>
    <n v="1136"/>
    <n v="144"/>
    <n v="0"/>
    <n v="17826.560000000001"/>
    <n v="4.22"/>
    <n v="12.68"/>
    <n v="0"/>
    <n v="0"/>
    <n v="17826.560000000001"/>
  </r>
  <r>
    <x v="77"/>
    <s v="Display Ads"/>
    <s v="Product Launch"/>
    <s v="Premium Plan"/>
    <n v="28371"/>
    <n v="489"/>
    <n v="23"/>
    <n v="1209.96"/>
    <n v="2599.27"/>
    <n v="1.72"/>
    <n v="4.7"/>
    <n v="52.61"/>
    <n v="2.15"/>
    <n v="1389.31"/>
  </r>
  <r>
    <x v="77"/>
    <s v="YouTube Ads"/>
    <s v="Retargeting"/>
    <s v="Premium Plan"/>
    <n v="19100"/>
    <n v="447"/>
    <n v="20"/>
    <n v="1236.48"/>
    <n v="2841.39"/>
    <n v="2.34"/>
    <n v="4.47"/>
    <n v="61.82"/>
    <n v="2.2999999999999998"/>
    <n v="1604.91"/>
  </r>
  <r>
    <x v="77"/>
    <s v="Twitter Ads"/>
    <s v="Retargeting"/>
    <s v="Add-on Service"/>
    <n v="8193"/>
    <n v="267"/>
    <n v="12"/>
    <n v="554.4"/>
    <n v="1186.08"/>
    <n v="3.26"/>
    <n v="4.49"/>
    <n v="46.2"/>
    <n v="2.14"/>
    <n v="631.67999999999995"/>
  </r>
  <r>
    <x v="77"/>
    <s v="TikTok Ads"/>
    <s v="Product Launch"/>
    <s v="Basic Plan"/>
    <n v="27139"/>
    <n v="823"/>
    <n v="26"/>
    <n v="634.99"/>
    <n v="1963.67"/>
    <n v="3.03"/>
    <n v="3.16"/>
    <n v="24.42"/>
    <n v="3.09"/>
    <n v="1328.68"/>
  </r>
  <r>
    <x v="77"/>
    <s v="Affiliate Marketing"/>
    <s v="Retargeting"/>
    <s v="Premium Plan"/>
    <n v="5130"/>
    <n v="272"/>
    <n v="29"/>
    <n v="603.5"/>
    <n v="3431"/>
    <n v="5.3"/>
    <n v="10.66"/>
    <n v="20.81"/>
    <n v="5.69"/>
    <n v="2827.5"/>
  </r>
  <r>
    <x v="77"/>
    <s v="Referral"/>
    <s v="Product Launch"/>
    <s v="Basic Plan"/>
    <n v="5765"/>
    <n v="437"/>
    <n v="74"/>
    <n v="120.86"/>
    <n v="9371.7199999999993"/>
    <n v="7.58"/>
    <n v="16.93"/>
    <n v="1.63"/>
    <n v="77.540000000000006"/>
    <n v="9250.86"/>
  </r>
  <r>
    <x v="78"/>
    <s v="Google Ads"/>
    <s v="Brand Awareness"/>
    <s v="Enterprise Plan"/>
    <n v="13167"/>
    <n v="624"/>
    <n v="63"/>
    <n v="1042.98"/>
    <n v="8923.66"/>
    <n v="4.74"/>
    <n v="10.1"/>
    <n v="16.559999999999999"/>
    <n v="8.56"/>
    <n v="7880.68"/>
  </r>
  <r>
    <x v="78"/>
    <s v="Facebook Ads"/>
    <s v="Brand Awareness"/>
    <s v="Enterprise Plan"/>
    <n v="17573"/>
    <n v="428"/>
    <n v="35"/>
    <n v="993.76"/>
    <n v="4835.24"/>
    <n v="2.44"/>
    <n v="8.18"/>
    <n v="28.39"/>
    <n v="4.87"/>
    <n v="3841.48"/>
  </r>
  <r>
    <x v="78"/>
    <s v="Instagram Ads"/>
    <s v="Lead Generation"/>
    <s v="Basic Plan"/>
    <n v="17656"/>
    <n v="706"/>
    <n v="53"/>
    <n v="872.81"/>
    <n v="6271.53"/>
    <n v="4"/>
    <n v="7.51"/>
    <n v="16.47"/>
    <n v="7.19"/>
    <n v="5398.72"/>
  </r>
  <r>
    <x v="78"/>
    <s v="LinkedIn Ads"/>
    <s v="Brand Awareness"/>
    <s v="Enterprise Plan"/>
    <n v="5017"/>
    <n v="88"/>
    <n v="12"/>
    <n v="1672.43"/>
    <n v="3415.4"/>
    <n v="1.75"/>
    <n v="13.64"/>
    <n v="139.37"/>
    <n v="2.04"/>
    <n v="1742.97"/>
  </r>
  <r>
    <x v="78"/>
    <s v="Email Marketing"/>
    <s v="Retargeting"/>
    <s v="Basic Plan"/>
    <n v="21024"/>
    <n v="5103"/>
    <n v="549"/>
    <n v="293.5"/>
    <n v="72413.55"/>
    <n v="24.27"/>
    <n v="10.76"/>
    <n v="0.53"/>
    <n v="246.72"/>
    <n v="72120.05"/>
  </r>
  <r>
    <x v="78"/>
    <s v="Organic Search"/>
    <s v="Flash Sale"/>
    <s v="Starter Kit"/>
    <n v="32814"/>
    <n v="2191"/>
    <n v="255"/>
    <n v="0"/>
    <n v="31699.81"/>
    <n v="6.68"/>
    <n v="11.64"/>
    <n v="0"/>
    <n v="0"/>
    <n v="31699.81"/>
  </r>
  <r>
    <x v="78"/>
    <s v="Display Ads"/>
    <s v="Retargeting"/>
    <s v="Add-on Service"/>
    <n v="28206"/>
    <n v="521"/>
    <n v="16"/>
    <n v="787.06"/>
    <n v="1831.62"/>
    <n v="1.85"/>
    <n v="3.07"/>
    <n v="49.19"/>
    <n v="2.33"/>
    <n v="1044.56"/>
  </r>
  <r>
    <x v="78"/>
    <s v="YouTube Ads"/>
    <s v="Brand Awareness"/>
    <s v="Premium Plan"/>
    <n v="24478"/>
    <n v="544"/>
    <n v="36"/>
    <n v="906.37"/>
    <n v="4626.62"/>
    <n v="2.2200000000000002"/>
    <n v="6.62"/>
    <n v="25.18"/>
    <n v="5.0999999999999996"/>
    <n v="3720.25"/>
  </r>
  <r>
    <x v="78"/>
    <s v="Twitter Ads"/>
    <s v="Brand Awareness"/>
    <s v="Enterprise Plan"/>
    <n v="8722"/>
    <n v="268"/>
    <n v="8"/>
    <n v="532.73"/>
    <n v="724.82"/>
    <n v="3.07"/>
    <n v="2.99"/>
    <n v="66.59"/>
    <n v="1.36"/>
    <n v="192.09"/>
  </r>
  <r>
    <x v="78"/>
    <s v="TikTok Ads"/>
    <s v="Lead Generation"/>
    <s v="Basic Plan"/>
    <n v="28725"/>
    <n v="1208"/>
    <n v="65"/>
    <n v="975.62"/>
    <n v="6354.4"/>
    <n v="4.21"/>
    <n v="5.38"/>
    <n v="15.01"/>
    <n v="6.51"/>
    <n v="5378.78"/>
  </r>
  <r>
    <x v="78"/>
    <s v="Affiliate Marketing"/>
    <s v="Seasonal Promotion"/>
    <s v="Add-on Service"/>
    <n v="7921"/>
    <n v="479"/>
    <n v="56"/>
    <n v="438.17"/>
    <n v="6483.15"/>
    <n v="6.05"/>
    <n v="11.69"/>
    <n v="7.82"/>
    <n v="14.8"/>
    <n v="6044.98"/>
  </r>
  <r>
    <x v="78"/>
    <s v="Referral"/>
    <s v="Seasonal Promotion"/>
    <s v="Starter Kit"/>
    <n v="6754"/>
    <n v="390"/>
    <n v="68"/>
    <n v="169.33"/>
    <n v="9521.8700000000008"/>
    <n v="5.77"/>
    <n v="17.440000000000001"/>
    <n v="2.4900000000000002"/>
    <n v="56.23"/>
    <n v="9352.5400000000009"/>
  </r>
  <r>
    <x v="79"/>
    <s v="Google Ads"/>
    <s v="Brand Awareness"/>
    <s v="Enterprise Plan"/>
    <n v="8371"/>
    <n v="280"/>
    <n v="26"/>
    <n v="1439.59"/>
    <n v="3858.29"/>
    <n v="3.34"/>
    <n v="9.2899999999999991"/>
    <n v="55.37"/>
    <n v="2.68"/>
    <n v="2418.6999999999998"/>
  </r>
  <r>
    <x v="79"/>
    <s v="Facebook Ads"/>
    <s v="Lead Generation"/>
    <s v="Enterprise Plan"/>
    <n v="12558"/>
    <n v="457"/>
    <n v="31"/>
    <n v="1005.92"/>
    <n v="4054.97"/>
    <n v="3.64"/>
    <n v="6.78"/>
    <n v="32.450000000000003"/>
    <n v="4.03"/>
    <n v="3049.05"/>
  </r>
  <r>
    <x v="79"/>
    <s v="Instagram Ads"/>
    <s v="Brand Awareness"/>
    <s v="Premium Plan"/>
    <n v="17956"/>
    <n v="680"/>
    <n v="31"/>
    <n v="957.84"/>
    <n v="3636.38"/>
    <n v="3.79"/>
    <n v="4.5599999999999996"/>
    <n v="30.9"/>
    <n v="3.8"/>
    <n v="2678.54"/>
  </r>
  <r>
    <x v="79"/>
    <s v="LinkedIn Ads"/>
    <s v="Lead Generation"/>
    <s v="Starter Kit"/>
    <n v="3898"/>
    <n v="82"/>
    <n v="9"/>
    <n v="1469.25"/>
    <n v="2025.01"/>
    <n v="2.1"/>
    <n v="10.98"/>
    <n v="163.25"/>
    <n v="1.38"/>
    <n v="555.76"/>
  </r>
  <r>
    <x v="79"/>
    <s v="Email Marketing"/>
    <s v="Flash Sale"/>
    <s v="Add-on Service"/>
    <n v="20464"/>
    <n v="3700"/>
    <n v="509"/>
    <n v="168.54"/>
    <n v="87394.1"/>
    <n v="18.079999999999998"/>
    <n v="13.76"/>
    <n v="0.33"/>
    <n v="518.54"/>
    <n v="87225.56"/>
  </r>
  <r>
    <x v="79"/>
    <s v="Organic Search"/>
    <s v="Retargeting"/>
    <s v="Premium Plan"/>
    <n v="24399"/>
    <n v="1040"/>
    <n v="116"/>
    <n v="0"/>
    <n v="13194.25"/>
    <n v="4.26"/>
    <n v="11.15"/>
    <n v="0"/>
    <n v="0"/>
    <n v="13194.25"/>
  </r>
  <r>
    <x v="79"/>
    <s v="Display Ads"/>
    <s v="Brand Awareness"/>
    <s v="Starter Kit"/>
    <n v="34187"/>
    <n v="388"/>
    <n v="10"/>
    <n v="1011.03"/>
    <n v="964.54"/>
    <n v="1.1299999999999999"/>
    <n v="2.58"/>
    <n v="101.1"/>
    <n v="0.95"/>
    <n v="-46.49"/>
  </r>
  <r>
    <x v="79"/>
    <s v="YouTube Ads"/>
    <s v="Seasonal Promotion"/>
    <s v="Add-on Service"/>
    <n v="22307"/>
    <n v="414"/>
    <n v="24"/>
    <n v="847.44"/>
    <n v="2879.25"/>
    <n v="1.86"/>
    <n v="5.8"/>
    <n v="35.31"/>
    <n v="3.4"/>
    <n v="2031.81"/>
  </r>
  <r>
    <x v="79"/>
    <s v="Twitter Ads"/>
    <s v="Brand Awareness"/>
    <s v="Add-on Service"/>
    <n v="11633"/>
    <n v="359"/>
    <n v="20"/>
    <n v="502.75"/>
    <n v="2004.5"/>
    <n v="3.09"/>
    <n v="5.57"/>
    <n v="25.14"/>
    <n v="3.99"/>
    <n v="1501.75"/>
  </r>
  <r>
    <x v="79"/>
    <s v="TikTok Ads"/>
    <s v="Seasonal Promotion"/>
    <s v="Basic Plan"/>
    <n v="26802"/>
    <n v="864"/>
    <n v="40"/>
    <n v="626.27"/>
    <n v="3662.1"/>
    <n v="3.22"/>
    <n v="4.63"/>
    <n v="15.66"/>
    <n v="5.85"/>
    <n v="3035.83"/>
  </r>
  <r>
    <x v="79"/>
    <s v="Affiliate Marketing"/>
    <s v="Flash Sale"/>
    <s v="Basic Plan"/>
    <n v="7482"/>
    <n v="495"/>
    <n v="47"/>
    <n v="415.66"/>
    <n v="5262.83"/>
    <n v="6.62"/>
    <n v="9.49"/>
    <n v="8.84"/>
    <n v="12.66"/>
    <n v="4847.17"/>
  </r>
  <r>
    <x v="79"/>
    <s v="Referral"/>
    <s v="Product Launch"/>
    <s v="Starter Kit"/>
    <n v="3054"/>
    <n v="278"/>
    <n v="38"/>
    <n v="182.85"/>
    <n v="4378.01"/>
    <n v="9.1"/>
    <n v="13.67"/>
    <n v="4.8099999999999996"/>
    <n v="23.94"/>
    <n v="4195.16"/>
  </r>
  <r>
    <x v="80"/>
    <s v="Google Ads"/>
    <s v="Brand Awareness"/>
    <s v="Add-on Service"/>
    <n v="10207"/>
    <n v="349"/>
    <n v="29"/>
    <n v="1187.74"/>
    <n v="4621.53"/>
    <n v="3.42"/>
    <n v="8.31"/>
    <n v="40.96"/>
    <n v="3.89"/>
    <n v="3433.79"/>
  </r>
  <r>
    <x v="80"/>
    <s v="Facebook Ads"/>
    <s v="Product Launch"/>
    <s v="Basic Plan"/>
    <n v="18139"/>
    <n v="591"/>
    <n v="36"/>
    <n v="1077.22"/>
    <n v="3746.35"/>
    <n v="3.26"/>
    <n v="6.09"/>
    <n v="29.92"/>
    <n v="3.48"/>
    <n v="2669.13"/>
  </r>
  <r>
    <x v="80"/>
    <s v="Instagram Ads"/>
    <s v="Seasonal Promotion"/>
    <s v="Starter Kit"/>
    <n v="14118"/>
    <n v="406"/>
    <n v="18"/>
    <n v="516.07000000000005"/>
    <n v="1460.47"/>
    <n v="2.88"/>
    <n v="4.43"/>
    <n v="28.67"/>
    <n v="2.83"/>
    <n v="944.4"/>
  </r>
  <r>
    <x v="80"/>
    <s v="LinkedIn Ads"/>
    <s v="Lead Generation"/>
    <s v="Premium Plan"/>
    <n v="4514"/>
    <n v="121"/>
    <n v="17"/>
    <n v="1678.55"/>
    <n v="4026.05"/>
    <n v="2.68"/>
    <n v="14.05"/>
    <n v="98.74"/>
    <n v="2.4"/>
    <n v="2347.5"/>
  </r>
  <r>
    <x v="80"/>
    <s v="Email Marketing"/>
    <s v="Seasonal Promotion"/>
    <s v="Enterprise Plan"/>
    <n v="22585"/>
    <n v="3792"/>
    <n v="357"/>
    <n v="185.34"/>
    <n v="44350.19"/>
    <n v="16.79"/>
    <n v="9.41"/>
    <n v="0.52"/>
    <n v="239.29"/>
    <n v="44164.85"/>
  </r>
  <r>
    <x v="80"/>
    <s v="Organic Search"/>
    <s v="Brand Awareness"/>
    <s v="Add-on Service"/>
    <n v="27239"/>
    <n v="1459"/>
    <n v="194"/>
    <n v="0"/>
    <n v="27238.79"/>
    <n v="5.36"/>
    <n v="13.3"/>
    <n v="0"/>
    <n v="0"/>
    <n v="27238.79"/>
  </r>
  <r>
    <x v="80"/>
    <s v="Display Ads"/>
    <s v="Seasonal Promotion"/>
    <s v="Add-on Service"/>
    <n v="32871"/>
    <n v="415"/>
    <n v="15"/>
    <n v="705.78"/>
    <n v="1772.53"/>
    <n v="1.26"/>
    <n v="3.61"/>
    <n v="47.05"/>
    <n v="2.5099999999999998"/>
    <n v="1066.75"/>
  </r>
  <r>
    <x v="80"/>
    <s v="YouTube Ads"/>
    <s v="Seasonal Promotion"/>
    <s v="Add-on Service"/>
    <n v="24260"/>
    <n v="526"/>
    <n v="37"/>
    <n v="1115.1300000000001"/>
    <n v="4762.38"/>
    <n v="2.17"/>
    <n v="7.03"/>
    <n v="30.14"/>
    <n v="4.2699999999999996"/>
    <n v="3647.25"/>
  </r>
  <r>
    <x v="80"/>
    <s v="Twitter Ads"/>
    <s v="Brand Awareness"/>
    <s v="Starter Kit"/>
    <n v="9161"/>
    <n v="310"/>
    <n v="9"/>
    <n v="750.78"/>
    <n v="997.61"/>
    <n v="3.38"/>
    <n v="2.9"/>
    <n v="83.42"/>
    <n v="1.33"/>
    <n v="246.83"/>
  </r>
  <r>
    <x v="80"/>
    <s v="TikTok Ads"/>
    <s v="Retargeting"/>
    <s v="Premium Plan"/>
    <n v="18289"/>
    <n v="577"/>
    <n v="26"/>
    <n v="736.56"/>
    <n v="1987.98"/>
    <n v="3.15"/>
    <n v="4.51"/>
    <n v="28.33"/>
    <n v="2.7"/>
    <n v="1251.42"/>
  </r>
  <r>
    <x v="80"/>
    <s v="Affiliate Marketing"/>
    <s v="Flash Sale"/>
    <s v="Starter Kit"/>
    <n v="6932"/>
    <n v="420"/>
    <n v="54"/>
    <n v="356.29"/>
    <n v="6481.89"/>
    <n v="6.06"/>
    <n v="12.86"/>
    <n v="6.6"/>
    <n v="18.190000000000001"/>
    <n v="6125.6"/>
  </r>
  <r>
    <x v="80"/>
    <s v="Referral"/>
    <s v="Product Launch"/>
    <s v="Enterprise Plan"/>
    <n v="3276"/>
    <n v="308"/>
    <n v="40"/>
    <n v="58.87"/>
    <n v="5802.44"/>
    <n v="9.4"/>
    <n v="12.99"/>
    <n v="1.47"/>
    <n v="98.56"/>
    <n v="5743.57"/>
  </r>
  <r>
    <x v="81"/>
    <s v="Google Ads"/>
    <s v="Flash Sale"/>
    <s v="Premium Plan"/>
    <n v="9039"/>
    <n v="311"/>
    <n v="28"/>
    <n v="1329.1"/>
    <n v="4767.7"/>
    <n v="3.44"/>
    <n v="9"/>
    <n v="47.47"/>
    <n v="3.59"/>
    <n v="3438.6"/>
  </r>
  <r>
    <x v="81"/>
    <s v="Facebook Ads"/>
    <s v="Product Launch"/>
    <s v="Premium Plan"/>
    <n v="17961"/>
    <n v="630"/>
    <n v="49"/>
    <n v="880.71"/>
    <n v="6196.81"/>
    <n v="3.51"/>
    <n v="7.78"/>
    <n v="17.97"/>
    <n v="7.04"/>
    <n v="5316.1"/>
  </r>
  <r>
    <x v="81"/>
    <s v="Instagram Ads"/>
    <s v="Product Launch"/>
    <s v="Basic Plan"/>
    <n v="10539"/>
    <n v="265"/>
    <n v="13"/>
    <n v="708.82"/>
    <n v="1467.89"/>
    <n v="2.5099999999999998"/>
    <n v="4.91"/>
    <n v="54.52"/>
    <n v="2.0699999999999998"/>
    <n v="759.07"/>
  </r>
  <r>
    <x v="81"/>
    <s v="LinkedIn Ads"/>
    <s v="Flash Sale"/>
    <s v="Premium Plan"/>
    <n v="5325"/>
    <n v="93"/>
    <n v="10"/>
    <n v="1173.18"/>
    <n v="2914"/>
    <n v="1.75"/>
    <n v="10.75"/>
    <n v="117.32"/>
    <n v="2.48"/>
    <n v="1740.82"/>
  </r>
  <r>
    <x v="81"/>
    <s v="Email Marketing"/>
    <s v="Seasonal Promotion"/>
    <s v="Enterprise Plan"/>
    <n v="23299"/>
    <n v="4692"/>
    <n v="471"/>
    <n v="169.58"/>
    <n v="60395.14"/>
    <n v="20.14"/>
    <n v="10.039999999999999"/>
    <n v="0.36"/>
    <n v="356.15"/>
    <n v="60225.56"/>
  </r>
  <r>
    <x v="81"/>
    <s v="Organic Search"/>
    <s v="Lead Generation"/>
    <s v="Premium Plan"/>
    <n v="22684"/>
    <n v="1720"/>
    <n v="264"/>
    <n v="0"/>
    <n v="32024.06"/>
    <n v="7.58"/>
    <n v="15.35"/>
    <n v="0"/>
    <n v="0"/>
    <n v="32024.06"/>
  </r>
  <r>
    <x v="81"/>
    <s v="Display Ads"/>
    <s v="Product Launch"/>
    <s v="Add-on Service"/>
    <n v="26798"/>
    <n v="338"/>
    <n v="12"/>
    <n v="808.46"/>
    <n v="1333.48"/>
    <n v="1.26"/>
    <n v="3.55"/>
    <n v="67.37"/>
    <n v="1.65"/>
    <n v="525.02"/>
  </r>
  <r>
    <x v="81"/>
    <s v="YouTube Ads"/>
    <s v="Product Launch"/>
    <s v="Basic Plan"/>
    <n v="18663"/>
    <n v="391"/>
    <n v="27"/>
    <n v="1138.75"/>
    <n v="2686.76"/>
    <n v="2.1"/>
    <n v="6.91"/>
    <n v="42.18"/>
    <n v="2.36"/>
    <n v="1548.01"/>
  </r>
  <r>
    <x v="81"/>
    <s v="Twitter Ads"/>
    <s v="Flash Sale"/>
    <s v="Starter Kit"/>
    <n v="10157"/>
    <n v="270"/>
    <n v="9"/>
    <n v="545.45000000000005"/>
    <n v="871.51"/>
    <n v="2.66"/>
    <n v="3.33"/>
    <n v="60.61"/>
    <n v="1.6"/>
    <n v="326.06"/>
  </r>
  <r>
    <x v="81"/>
    <s v="TikTok Ads"/>
    <s v="Flash Sale"/>
    <s v="Starter Kit"/>
    <n v="26761"/>
    <n v="1098"/>
    <n v="63"/>
    <n v="1074.19"/>
    <n v="4892.2299999999996"/>
    <n v="4.0999999999999996"/>
    <n v="5.74"/>
    <n v="17.05"/>
    <n v="4.55"/>
    <n v="3818.04"/>
  </r>
  <r>
    <x v="81"/>
    <s v="Affiliate Marketing"/>
    <s v="Flash Sale"/>
    <s v="Basic Plan"/>
    <n v="6327"/>
    <n v="361"/>
    <n v="42"/>
    <n v="676.68"/>
    <n v="5945.43"/>
    <n v="5.71"/>
    <n v="11.63"/>
    <n v="16.11"/>
    <n v="8.7899999999999991"/>
    <n v="5268.75"/>
  </r>
  <r>
    <x v="81"/>
    <s v="Referral"/>
    <s v="Lead Generation"/>
    <s v="Premium Plan"/>
    <n v="4405"/>
    <n v="225"/>
    <n v="39"/>
    <n v="169.17"/>
    <n v="7092.49"/>
    <n v="5.1100000000000003"/>
    <n v="17.329999999999998"/>
    <n v="4.34"/>
    <n v="41.93"/>
    <n v="6923.32"/>
  </r>
  <r>
    <x v="82"/>
    <s v="Google Ads"/>
    <s v="Flash Sale"/>
    <s v="Starter Kit"/>
    <n v="8808"/>
    <n v="275"/>
    <n v="30"/>
    <n v="801.02"/>
    <n v="4737.46"/>
    <n v="3.12"/>
    <n v="10.91"/>
    <n v="26.7"/>
    <n v="5.91"/>
    <n v="3936.44"/>
  </r>
  <r>
    <x v="82"/>
    <s v="Facebook Ads"/>
    <s v="Brand Awareness"/>
    <s v="Enterprise Plan"/>
    <n v="13414"/>
    <n v="359"/>
    <n v="18"/>
    <n v="619.87"/>
    <n v="1854.08"/>
    <n v="2.68"/>
    <n v="5.01"/>
    <n v="34.44"/>
    <n v="2.99"/>
    <n v="1234.21"/>
  </r>
  <r>
    <x v="82"/>
    <s v="Instagram Ads"/>
    <s v="Lead Generation"/>
    <s v="Premium Plan"/>
    <n v="11072"/>
    <n v="340"/>
    <n v="16"/>
    <n v="606.6"/>
    <n v="1570.61"/>
    <n v="3.07"/>
    <n v="4.71"/>
    <n v="37.909999999999997"/>
    <n v="2.59"/>
    <n v="964.01"/>
  </r>
  <r>
    <x v="82"/>
    <s v="LinkedIn Ads"/>
    <s v="Lead Generation"/>
    <s v="Premium Plan"/>
    <n v="3961"/>
    <n v="113"/>
    <n v="11"/>
    <n v="645.22"/>
    <n v="3013.49"/>
    <n v="2.85"/>
    <n v="9.73"/>
    <n v="58.66"/>
    <n v="4.67"/>
    <n v="2368.27"/>
  </r>
  <r>
    <x v="82"/>
    <s v="Email Marketing"/>
    <s v="Product Launch"/>
    <s v="Enterprise Plan"/>
    <n v="10941"/>
    <n v="2588"/>
    <n v="241"/>
    <n v="209.55"/>
    <n v="27838.25"/>
    <n v="23.65"/>
    <n v="9.31"/>
    <n v="0.87"/>
    <n v="132.85"/>
    <n v="27628.7"/>
  </r>
  <r>
    <x v="82"/>
    <s v="Organic Search"/>
    <s v="Seasonal Promotion"/>
    <s v="Starter Kit"/>
    <n v="19395"/>
    <n v="1423"/>
    <n v="212"/>
    <n v="0"/>
    <n v="27094.76"/>
    <n v="7.34"/>
    <n v="14.9"/>
    <n v="0"/>
    <n v="0"/>
    <n v="27094.76"/>
  </r>
  <r>
    <x v="82"/>
    <s v="Display Ads"/>
    <s v="Seasonal Promotion"/>
    <s v="Starter Kit"/>
    <n v="25998"/>
    <n v="450"/>
    <n v="18"/>
    <n v="528.1"/>
    <n v="1958.08"/>
    <n v="1.73"/>
    <n v="4"/>
    <n v="29.34"/>
    <n v="3.71"/>
    <n v="1429.98"/>
  </r>
  <r>
    <x v="82"/>
    <s v="YouTube Ads"/>
    <s v="Product Launch"/>
    <s v="Premium Plan"/>
    <n v="12886"/>
    <n v="313"/>
    <n v="14"/>
    <n v="946.17"/>
    <n v="1723.34"/>
    <n v="2.4300000000000002"/>
    <n v="4.47"/>
    <n v="67.58"/>
    <n v="1.82"/>
    <n v="777.17"/>
  </r>
  <r>
    <x v="82"/>
    <s v="Twitter Ads"/>
    <s v="Flash Sale"/>
    <s v="Basic Plan"/>
    <n v="6494"/>
    <n v="186"/>
    <n v="7"/>
    <n v="353.45"/>
    <n v="612.63"/>
    <n v="2.86"/>
    <n v="3.76"/>
    <n v="50.49"/>
    <n v="1.73"/>
    <n v="259.18"/>
  </r>
  <r>
    <x v="82"/>
    <s v="TikTok Ads"/>
    <s v="Product Launch"/>
    <s v="Enterprise Plan"/>
    <n v="17551"/>
    <n v="728"/>
    <n v="29"/>
    <n v="447.01"/>
    <n v="2940.79"/>
    <n v="4.1500000000000004"/>
    <n v="3.98"/>
    <n v="15.41"/>
    <n v="6.58"/>
    <n v="2493.7800000000002"/>
  </r>
  <r>
    <x v="82"/>
    <s v="Affiliate Marketing"/>
    <s v="Brand Awareness"/>
    <s v="Enterprise Plan"/>
    <n v="4025"/>
    <n v="217"/>
    <n v="23"/>
    <n v="468.74"/>
    <n v="3261.76"/>
    <n v="5.39"/>
    <n v="10.6"/>
    <n v="20.38"/>
    <n v="6.96"/>
    <n v="2793.02"/>
  </r>
  <r>
    <x v="82"/>
    <s v="Referral"/>
    <s v="Product Launch"/>
    <s v="Premium Plan"/>
    <n v="4494"/>
    <n v="233"/>
    <n v="36"/>
    <n v="77.34"/>
    <n v="4868"/>
    <n v="5.18"/>
    <n v="15.45"/>
    <n v="2.15"/>
    <n v="62.94"/>
    <n v="4790.66"/>
  </r>
  <r>
    <x v="83"/>
    <s v="Google Ads"/>
    <s v="Product Launch"/>
    <s v="Starter Kit"/>
    <n v="7389"/>
    <n v="317"/>
    <n v="27"/>
    <n v="570.16"/>
    <n v="3697.9"/>
    <n v="4.29"/>
    <n v="8.52"/>
    <n v="21.12"/>
    <n v="6.49"/>
    <n v="3127.74"/>
  </r>
  <r>
    <x v="83"/>
    <s v="Facebook Ads"/>
    <s v="Retargeting"/>
    <s v="Starter Kit"/>
    <n v="8964"/>
    <n v="184"/>
    <n v="9"/>
    <n v="829.91"/>
    <n v="995.66"/>
    <n v="2.0499999999999998"/>
    <n v="4.8899999999999997"/>
    <n v="92.21"/>
    <n v="1.2"/>
    <n v="165.75"/>
  </r>
  <r>
    <x v="83"/>
    <s v="Instagram Ads"/>
    <s v="Retargeting"/>
    <s v="Enterprise Plan"/>
    <n v="7366"/>
    <n v="207"/>
    <n v="8"/>
    <n v="604.35"/>
    <n v="679.4"/>
    <n v="2.81"/>
    <n v="3.86"/>
    <n v="75.540000000000006"/>
    <n v="1.1200000000000001"/>
    <n v="75.05"/>
  </r>
  <r>
    <x v="83"/>
    <s v="LinkedIn Ads"/>
    <s v="Lead Generation"/>
    <s v="Starter Kit"/>
    <n v="2730"/>
    <n v="73"/>
    <n v="8"/>
    <n v="1107.5"/>
    <n v="2107.88"/>
    <n v="2.67"/>
    <n v="10.96"/>
    <n v="138.44"/>
    <n v="1.9"/>
    <n v="1000.38"/>
  </r>
  <r>
    <x v="83"/>
    <s v="Email Marketing"/>
    <s v="Flash Sale"/>
    <s v="Starter Kit"/>
    <n v="13211"/>
    <n v="2535"/>
    <n v="304"/>
    <n v="110"/>
    <n v="43991.7"/>
    <n v="19.190000000000001"/>
    <n v="11.99"/>
    <n v="0.36"/>
    <n v="399.92"/>
    <n v="43881.7"/>
  </r>
  <r>
    <x v="83"/>
    <s v="Organic Search"/>
    <s v="Product Launch"/>
    <s v="Add-on Service"/>
    <n v="17031"/>
    <n v="1136"/>
    <n v="158"/>
    <n v="0"/>
    <n v="16308.7"/>
    <n v="6.67"/>
    <n v="13.91"/>
    <n v="0"/>
    <n v="0"/>
    <n v="16308.7"/>
  </r>
  <r>
    <x v="83"/>
    <s v="Display Ads"/>
    <s v="Product Launch"/>
    <s v="Premium Plan"/>
    <n v="23422"/>
    <n v="339"/>
    <n v="7"/>
    <n v="506.19"/>
    <n v="707.27"/>
    <n v="1.45"/>
    <n v="2.06"/>
    <n v="72.31"/>
    <n v="1.4"/>
    <n v="201.08"/>
  </r>
  <r>
    <x v="83"/>
    <s v="YouTube Ads"/>
    <s v="Flash Sale"/>
    <s v="Starter Kit"/>
    <n v="14411"/>
    <n v="425"/>
    <n v="28"/>
    <n v="961.82"/>
    <n v="3312.93"/>
    <n v="2.95"/>
    <n v="6.59"/>
    <n v="34.35"/>
    <n v="3.44"/>
    <n v="2351.11"/>
  </r>
  <r>
    <x v="83"/>
    <s v="Twitter Ads"/>
    <s v="Brand Awareness"/>
    <s v="Starter Kit"/>
    <n v="8119"/>
    <n v="172"/>
    <n v="7"/>
    <n v="468.45"/>
    <n v="783.88"/>
    <n v="2.12"/>
    <n v="4.07"/>
    <n v="66.92"/>
    <n v="1.67"/>
    <n v="315.43"/>
  </r>
  <r>
    <x v="83"/>
    <s v="TikTok Ads"/>
    <s v="Seasonal Promotion"/>
    <s v="Basic Plan"/>
    <n v="20545"/>
    <n v="737"/>
    <n v="34"/>
    <n v="678.37"/>
    <n v="3422.42"/>
    <n v="3.59"/>
    <n v="4.6100000000000003"/>
    <n v="19.95"/>
    <n v="5.05"/>
    <n v="2744.05"/>
  </r>
  <r>
    <x v="83"/>
    <s v="Affiliate Marketing"/>
    <s v="Seasonal Promotion"/>
    <s v="Enterprise Plan"/>
    <n v="5639"/>
    <n v="252"/>
    <n v="27"/>
    <n v="425.48"/>
    <n v="3111.41"/>
    <n v="4.47"/>
    <n v="10.71"/>
    <n v="15.76"/>
    <n v="7.31"/>
    <n v="2685.93"/>
  </r>
  <r>
    <x v="83"/>
    <s v="Referral"/>
    <s v="Product Launch"/>
    <s v="Premium Plan"/>
    <n v="3640"/>
    <n v="294"/>
    <n v="52"/>
    <n v="60.79"/>
    <n v="9136.91"/>
    <n v="8.08"/>
    <n v="17.690000000000001"/>
    <n v="1.17"/>
    <n v="150.30000000000001"/>
    <n v="9076.1200000000008"/>
  </r>
  <r>
    <x v="84"/>
    <s v="Google Ads"/>
    <s v="Brand Awareness"/>
    <s v="Enterprise Plan"/>
    <n v="8029"/>
    <n v="283"/>
    <n v="23"/>
    <n v="1312.95"/>
    <n v="3606.03"/>
    <n v="3.52"/>
    <n v="8.1300000000000008"/>
    <n v="57.08"/>
    <n v="2.75"/>
    <n v="2293.08"/>
  </r>
  <r>
    <x v="84"/>
    <s v="Facebook Ads"/>
    <s v="Flash Sale"/>
    <s v="Enterprise Plan"/>
    <n v="13750"/>
    <n v="298"/>
    <n v="24"/>
    <n v="1128.48"/>
    <n v="2216.29"/>
    <n v="2.17"/>
    <n v="8.0500000000000007"/>
    <n v="47.02"/>
    <n v="1.96"/>
    <n v="1087.81"/>
  </r>
  <r>
    <x v="84"/>
    <s v="Instagram Ads"/>
    <s v="Product Launch"/>
    <s v="Starter Kit"/>
    <n v="17318"/>
    <n v="522"/>
    <n v="37"/>
    <n v="527.83000000000004"/>
    <n v="3334.26"/>
    <n v="3.01"/>
    <n v="7.09"/>
    <n v="14.27"/>
    <n v="6.32"/>
    <n v="2806.43"/>
  </r>
  <r>
    <x v="84"/>
    <s v="LinkedIn Ads"/>
    <s v="Seasonal Promotion"/>
    <s v="Starter Kit"/>
    <n v="3772"/>
    <n v="107"/>
    <n v="13"/>
    <n v="1141.26"/>
    <n v="3854.23"/>
    <n v="2.84"/>
    <n v="12.15"/>
    <n v="87.79"/>
    <n v="3.38"/>
    <n v="2712.97"/>
  </r>
  <r>
    <x v="84"/>
    <s v="Email Marketing"/>
    <s v="Lead Generation"/>
    <s v="Starter Kit"/>
    <n v="21676"/>
    <n v="4658"/>
    <n v="544"/>
    <n v="277.22000000000003"/>
    <n v="71637.03"/>
    <n v="21.49"/>
    <n v="11.68"/>
    <n v="0.51"/>
    <n v="258.41000000000003"/>
    <n v="71359.81"/>
  </r>
  <r>
    <x v="84"/>
    <s v="Organic Search"/>
    <s v="Product Launch"/>
    <s v="Starter Kit"/>
    <n v="32984"/>
    <n v="2051"/>
    <n v="270"/>
    <n v="0"/>
    <n v="25449.93"/>
    <n v="6.22"/>
    <n v="13.16"/>
    <n v="0"/>
    <n v="0"/>
    <n v="25449.93"/>
  </r>
  <r>
    <x v="84"/>
    <s v="Display Ads"/>
    <s v="Brand Awareness"/>
    <s v="Enterprise Plan"/>
    <n v="29482"/>
    <n v="390"/>
    <n v="13"/>
    <n v="1207.05"/>
    <n v="1568.71"/>
    <n v="1.32"/>
    <n v="3.33"/>
    <n v="92.85"/>
    <n v="1.3"/>
    <n v="361.66"/>
  </r>
  <r>
    <x v="84"/>
    <s v="YouTube Ads"/>
    <s v="Seasonal Promotion"/>
    <s v="Starter Kit"/>
    <n v="24189"/>
    <n v="600"/>
    <n v="38"/>
    <n v="835.34"/>
    <n v="3760.74"/>
    <n v="2.48"/>
    <n v="6.33"/>
    <n v="21.98"/>
    <n v="4.5"/>
    <n v="2925.4"/>
  </r>
  <r>
    <x v="84"/>
    <s v="Twitter Ads"/>
    <s v="Product Launch"/>
    <s v="Premium Plan"/>
    <n v="10264"/>
    <n v="315"/>
    <n v="15"/>
    <n v="503.55"/>
    <n v="1684.83"/>
    <n v="3.07"/>
    <n v="4.76"/>
    <n v="33.57"/>
    <n v="3.35"/>
    <n v="1181.28"/>
  </r>
  <r>
    <x v="84"/>
    <s v="TikTok Ads"/>
    <s v="Brand Awareness"/>
    <s v="Starter Kit"/>
    <n v="25698"/>
    <n v="1112"/>
    <n v="70"/>
    <n v="1056.49"/>
    <n v="6525.42"/>
    <n v="4.33"/>
    <n v="6.29"/>
    <n v="15.09"/>
    <n v="6.18"/>
    <n v="5468.93"/>
  </r>
  <r>
    <x v="84"/>
    <s v="Affiliate Marketing"/>
    <s v="Product Launch"/>
    <s v="Add-on Service"/>
    <n v="6229"/>
    <n v="279"/>
    <n v="33"/>
    <n v="452.42"/>
    <n v="4277.51"/>
    <n v="4.4800000000000004"/>
    <n v="11.83"/>
    <n v="13.71"/>
    <n v="9.4499999999999993"/>
    <n v="3825.09"/>
  </r>
  <r>
    <x v="84"/>
    <s v="Referral"/>
    <s v="Flash Sale"/>
    <s v="Basic Plan"/>
    <n v="4143"/>
    <n v="364"/>
    <n v="57"/>
    <n v="57.11"/>
    <n v="9185.23"/>
    <n v="8.7899999999999991"/>
    <n v="15.66"/>
    <n v="1"/>
    <n v="160.83000000000001"/>
    <n v="9128.1200000000008"/>
  </r>
  <r>
    <x v="85"/>
    <s v="Google Ads"/>
    <s v="Brand Awareness"/>
    <s v="Basic Plan"/>
    <n v="9593"/>
    <n v="311"/>
    <n v="25"/>
    <n v="918.14"/>
    <n v="3690.17"/>
    <n v="3.24"/>
    <n v="8.0399999999999991"/>
    <n v="36.729999999999997"/>
    <n v="4.0199999999999996"/>
    <n v="2772.03"/>
  </r>
  <r>
    <x v="85"/>
    <s v="Facebook Ads"/>
    <s v="Seasonal Promotion"/>
    <s v="Starter Kit"/>
    <n v="12785"/>
    <n v="478"/>
    <n v="29"/>
    <n v="963.9"/>
    <n v="3466.87"/>
    <n v="3.74"/>
    <n v="6.07"/>
    <n v="33.24"/>
    <n v="3.6"/>
    <n v="2502.9699999999998"/>
  </r>
  <r>
    <x v="85"/>
    <s v="Instagram Ads"/>
    <s v="Brand Awareness"/>
    <s v="Basic Plan"/>
    <n v="14017"/>
    <n v="491"/>
    <n v="35"/>
    <n v="812.56"/>
    <n v="3542.3"/>
    <n v="3.5"/>
    <n v="7.13"/>
    <n v="23.22"/>
    <n v="4.3600000000000003"/>
    <n v="2729.74"/>
  </r>
  <r>
    <x v="85"/>
    <s v="LinkedIn Ads"/>
    <s v="Brand Awareness"/>
    <s v="Basic Plan"/>
    <n v="5510"/>
    <n v="123"/>
    <n v="13"/>
    <n v="1305.51"/>
    <n v="2542.21"/>
    <n v="2.23"/>
    <n v="10.57"/>
    <n v="100.42"/>
    <n v="1.95"/>
    <n v="1236.7"/>
  </r>
  <r>
    <x v="85"/>
    <s v="Email Marketing"/>
    <s v="Flash Sale"/>
    <s v="Enterprise Plan"/>
    <n v="18984"/>
    <n v="3973"/>
    <n v="504"/>
    <n v="145.12"/>
    <n v="82335.98"/>
    <n v="20.93"/>
    <n v="12.69"/>
    <n v="0.28999999999999998"/>
    <n v="567.36"/>
    <n v="82190.86"/>
  </r>
  <r>
    <x v="85"/>
    <s v="Organic Search"/>
    <s v="Product Launch"/>
    <s v="Starter Kit"/>
    <n v="25655"/>
    <n v="1285"/>
    <n v="181"/>
    <n v="0"/>
    <n v="20801.150000000001"/>
    <n v="5.01"/>
    <n v="14.09"/>
    <n v="0"/>
    <n v="0"/>
    <n v="20801.150000000001"/>
  </r>
  <r>
    <x v="85"/>
    <s v="Display Ads"/>
    <s v="Seasonal Promotion"/>
    <s v="Premium Plan"/>
    <n v="39204"/>
    <n v="748"/>
    <n v="24"/>
    <n v="1092.49"/>
    <n v="1946.66"/>
    <n v="1.91"/>
    <n v="3.21"/>
    <n v="45.52"/>
    <n v="1.78"/>
    <n v="854.17"/>
  </r>
  <r>
    <x v="85"/>
    <s v="YouTube Ads"/>
    <s v="Seasonal Promotion"/>
    <s v="Basic Plan"/>
    <n v="19086"/>
    <n v="473"/>
    <n v="28"/>
    <n v="1258.8"/>
    <n v="2854.94"/>
    <n v="2.48"/>
    <n v="5.92"/>
    <n v="44.96"/>
    <n v="2.27"/>
    <n v="1596.14"/>
  </r>
  <r>
    <x v="85"/>
    <s v="Twitter Ads"/>
    <s v="Flash Sale"/>
    <s v="Starter Kit"/>
    <n v="8105"/>
    <n v="203"/>
    <n v="10"/>
    <n v="732.41"/>
    <n v="842.99"/>
    <n v="2.5"/>
    <n v="4.93"/>
    <n v="73.239999999999995"/>
    <n v="1.1499999999999999"/>
    <n v="110.58"/>
  </r>
  <r>
    <x v="85"/>
    <s v="TikTok Ads"/>
    <s v="Product Launch"/>
    <s v="Enterprise Plan"/>
    <n v="23657"/>
    <n v="1022"/>
    <n v="40"/>
    <n v="947.52"/>
    <n v="2886.92"/>
    <n v="4.32"/>
    <n v="3.91"/>
    <n v="23.69"/>
    <n v="3.05"/>
    <n v="1939.4"/>
  </r>
  <r>
    <x v="85"/>
    <s v="Affiliate Marketing"/>
    <s v="Retargeting"/>
    <s v="Premium Plan"/>
    <n v="7909"/>
    <n v="443"/>
    <n v="49"/>
    <n v="332.62"/>
    <n v="6125.8"/>
    <n v="5.6"/>
    <n v="11.06"/>
    <n v="6.79"/>
    <n v="18.420000000000002"/>
    <n v="5793.18"/>
  </r>
  <r>
    <x v="85"/>
    <s v="Referral"/>
    <s v="Seasonal Promotion"/>
    <s v="Basic Plan"/>
    <n v="4839"/>
    <n v="421"/>
    <n v="54"/>
    <n v="154.72999999999999"/>
    <n v="7720.99"/>
    <n v="8.6999999999999993"/>
    <n v="12.83"/>
    <n v="2.87"/>
    <n v="49.9"/>
    <n v="7566.26"/>
  </r>
  <r>
    <x v="86"/>
    <s v="Google Ads"/>
    <s v="Seasonal Promotion"/>
    <s v="Enterprise Plan"/>
    <n v="13567"/>
    <n v="607"/>
    <n v="50"/>
    <n v="1336.81"/>
    <n v="5823.71"/>
    <n v="4.47"/>
    <n v="8.24"/>
    <n v="26.74"/>
    <n v="4.3600000000000003"/>
    <n v="4486.8999999999996"/>
  </r>
  <r>
    <x v="86"/>
    <s v="Facebook Ads"/>
    <s v="Retargeting"/>
    <s v="Enterprise Plan"/>
    <n v="19427"/>
    <n v="765"/>
    <n v="40"/>
    <n v="1102.95"/>
    <n v="3643.17"/>
    <n v="3.94"/>
    <n v="5.23"/>
    <n v="27.57"/>
    <n v="3.3"/>
    <n v="2540.2199999999998"/>
  </r>
  <r>
    <x v="86"/>
    <s v="Instagram Ads"/>
    <s v="Flash Sale"/>
    <s v="Enterprise Plan"/>
    <n v="12040"/>
    <n v="397"/>
    <n v="27"/>
    <n v="702.96"/>
    <n v="2606.0100000000002"/>
    <n v="3.3"/>
    <n v="6.8"/>
    <n v="26.04"/>
    <n v="3.71"/>
    <n v="1903.05"/>
  </r>
  <r>
    <x v="86"/>
    <s v="LinkedIn Ads"/>
    <s v="Lead Generation"/>
    <s v="Premium Plan"/>
    <n v="3222"/>
    <n v="88"/>
    <n v="9"/>
    <n v="1747.59"/>
    <n v="1811.44"/>
    <n v="2.73"/>
    <n v="10.23"/>
    <n v="194.18"/>
    <n v="1.04"/>
    <n v="63.85"/>
  </r>
  <r>
    <x v="86"/>
    <s v="Email Marketing"/>
    <s v="Brand Awareness"/>
    <s v="Basic Plan"/>
    <n v="23215"/>
    <n v="5404"/>
    <n v="614"/>
    <n v="133.02000000000001"/>
    <n v="93046.63"/>
    <n v="23.28"/>
    <n v="11.36"/>
    <n v="0.22"/>
    <n v="699.49"/>
    <n v="92913.61"/>
  </r>
  <r>
    <x v="86"/>
    <s v="Organic Search"/>
    <s v="Retargeting"/>
    <s v="Add-on Service"/>
    <n v="20952"/>
    <n v="986"/>
    <n v="105"/>
    <n v="0"/>
    <n v="15253.65"/>
    <n v="4.71"/>
    <n v="10.65"/>
    <n v="0"/>
    <n v="0"/>
    <n v="15253.65"/>
  </r>
  <r>
    <x v="86"/>
    <s v="Display Ads"/>
    <s v="Retargeting"/>
    <s v="Add-on Service"/>
    <n v="36763"/>
    <n v="497"/>
    <n v="22"/>
    <n v="955.27"/>
    <n v="2641.53"/>
    <n v="1.35"/>
    <n v="4.43"/>
    <n v="43.42"/>
    <n v="2.77"/>
    <n v="1686.26"/>
  </r>
  <r>
    <x v="86"/>
    <s v="YouTube Ads"/>
    <s v="Brand Awareness"/>
    <s v="Enterprise Plan"/>
    <n v="17090"/>
    <n v="281"/>
    <n v="21"/>
    <n v="1048.6500000000001"/>
    <n v="2577.11"/>
    <n v="1.64"/>
    <n v="7.47"/>
    <n v="49.94"/>
    <n v="2.46"/>
    <n v="1528.46"/>
  </r>
  <r>
    <x v="86"/>
    <s v="Twitter Ads"/>
    <s v="Product Launch"/>
    <s v="Starter Kit"/>
    <n v="10879"/>
    <n v="236"/>
    <n v="11"/>
    <n v="606.98"/>
    <n v="1231.31"/>
    <n v="2.17"/>
    <n v="4.66"/>
    <n v="55.18"/>
    <n v="2.0299999999999998"/>
    <n v="624.33000000000004"/>
  </r>
  <r>
    <x v="86"/>
    <s v="TikTok Ads"/>
    <s v="Lead Generation"/>
    <s v="Add-on Service"/>
    <n v="18046"/>
    <n v="527"/>
    <n v="19"/>
    <n v="692.39"/>
    <n v="1697.52"/>
    <n v="2.92"/>
    <n v="3.61"/>
    <n v="36.44"/>
    <n v="2.4500000000000002"/>
    <n v="1005.13"/>
  </r>
  <r>
    <x v="86"/>
    <s v="Affiliate Marketing"/>
    <s v="Product Launch"/>
    <s v="Starter Kit"/>
    <n v="9834"/>
    <n v="593"/>
    <n v="64"/>
    <n v="552.58000000000004"/>
    <n v="6577.82"/>
    <n v="6.03"/>
    <n v="10.79"/>
    <n v="8.6300000000000008"/>
    <n v="11.9"/>
    <n v="6025.24"/>
  </r>
  <r>
    <x v="86"/>
    <s v="Referral"/>
    <s v="Lead Generation"/>
    <s v="Premium Plan"/>
    <n v="4241"/>
    <n v="412"/>
    <n v="56"/>
    <n v="113.49"/>
    <n v="8793.84"/>
    <n v="9.7100000000000009"/>
    <n v="13.59"/>
    <n v="2.0299999999999998"/>
    <n v="77.489999999999995"/>
    <n v="8680.35"/>
  </r>
  <r>
    <x v="87"/>
    <s v="Google Ads"/>
    <s v="Lead Generation"/>
    <s v="Premium Plan"/>
    <n v="10161"/>
    <n v="336"/>
    <n v="33"/>
    <n v="1376.66"/>
    <n v="5340.68"/>
    <n v="3.31"/>
    <n v="9.82"/>
    <n v="41.72"/>
    <n v="3.88"/>
    <n v="3964.02"/>
  </r>
  <r>
    <x v="87"/>
    <s v="Facebook Ads"/>
    <s v="Retargeting"/>
    <s v="Basic Plan"/>
    <n v="14388"/>
    <n v="473"/>
    <n v="32"/>
    <n v="939.15"/>
    <n v="4043.77"/>
    <n v="3.29"/>
    <n v="6.77"/>
    <n v="29.35"/>
    <n v="4.3099999999999996"/>
    <n v="3104.62"/>
  </r>
  <r>
    <x v="87"/>
    <s v="Instagram Ads"/>
    <s v="Flash Sale"/>
    <s v="Starter Kit"/>
    <n v="15815"/>
    <n v="532"/>
    <n v="41"/>
    <n v="745.61"/>
    <n v="5124.0200000000004"/>
    <n v="3.36"/>
    <n v="7.71"/>
    <n v="18.190000000000001"/>
    <n v="6.87"/>
    <n v="4378.41"/>
  </r>
  <r>
    <x v="87"/>
    <s v="LinkedIn Ads"/>
    <s v="Brand Awareness"/>
    <s v="Enterprise Plan"/>
    <n v="5170"/>
    <n v="77"/>
    <n v="9"/>
    <n v="1687.48"/>
    <n v="2220.59"/>
    <n v="1.49"/>
    <n v="11.69"/>
    <n v="187.5"/>
    <n v="1.32"/>
    <n v="533.11"/>
  </r>
  <r>
    <x v="87"/>
    <s v="Email Marketing"/>
    <s v="Flash Sale"/>
    <s v="Enterprise Plan"/>
    <n v="15428"/>
    <n v="3205"/>
    <n v="317"/>
    <n v="256.31"/>
    <n v="40193.78"/>
    <n v="20.77"/>
    <n v="9.89"/>
    <n v="0.81"/>
    <n v="156.82"/>
    <n v="39937.47"/>
  </r>
  <r>
    <x v="87"/>
    <s v="Organic Search"/>
    <s v="Flash Sale"/>
    <s v="Premium Plan"/>
    <n v="29395"/>
    <n v="2339"/>
    <n v="328"/>
    <n v="0"/>
    <n v="32338.42"/>
    <n v="7.96"/>
    <n v="14.02"/>
    <n v="0"/>
    <n v="0"/>
    <n v="32338.42"/>
  </r>
  <r>
    <x v="87"/>
    <s v="Display Ads"/>
    <s v="Seasonal Promotion"/>
    <s v="Add-on Service"/>
    <n v="26261"/>
    <n v="351"/>
    <n v="7"/>
    <n v="729.78"/>
    <n v="613.69000000000005"/>
    <n v="1.34"/>
    <n v="1.99"/>
    <n v="104.25"/>
    <n v="0.84"/>
    <n v="-116.09"/>
  </r>
  <r>
    <x v="87"/>
    <s v="YouTube Ads"/>
    <s v="Product Launch"/>
    <s v="Enterprise Plan"/>
    <n v="23409"/>
    <n v="356"/>
    <n v="26"/>
    <n v="1106.8499999999999"/>
    <n v="3185.09"/>
    <n v="1.52"/>
    <n v="7.3"/>
    <n v="42.57"/>
    <n v="2.88"/>
    <n v="2078.2399999999998"/>
  </r>
  <r>
    <x v="87"/>
    <s v="Twitter Ads"/>
    <s v="Lead Generation"/>
    <s v="Basic Plan"/>
    <n v="12573"/>
    <n v="395"/>
    <n v="15"/>
    <n v="432.45"/>
    <n v="1264.8499999999999"/>
    <n v="3.14"/>
    <n v="3.8"/>
    <n v="28.83"/>
    <n v="2.92"/>
    <n v="832.4"/>
  </r>
  <r>
    <x v="87"/>
    <s v="TikTok Ads"/>
    <s v="Product Launch"/>
    <s v="Add-on Service"/>
    <n v="24270"/>
    <n v="968"/>
    <n v="46"/>
    <n v="769.36"/>
    <n v="3679.71"/>
    <n v="3.99"/>
    <n v="4.75"/>
    <n v="16.73"/>
    <n v="4.78"/>
    <n v="2910.35"/>
  </r>
  <r>
    <x v="87"/>
    <s v="Affiliate Marketing"/>
    <s v="Lead Generation"/>
    <s v="Premium Plan"/>
    <n v="8907"/>
    <n v="505"/>
    <n v="53"/>
    <n v="317.14"/>
    <n v="7639.31"/>
    <n v="5.67"/>
    <n v="10.5"/>
    <n v="5.98"/>
    <n v="24.09"/>
    <n v="7322.17"/>
  </r>
  <r>
    <x v="87"/>
    <s v="Referral"/>
    <s v="Lead Generation"/>
    <s v="Basic Plan"/>
    <n v="5348"/>
    <n v="273"/>
    <n v="47"/>
    <n v="186.75"/>
    <n v="7209.46"/>
    <n v="5.0999999999999996"/>
    <n v="17.22"/>
    <n v="3.97"/>
    <n v="38.6"/>
    <n v="7022.71"/>
  </r>
  <r>
    <x v="88"/>
    <s v="Google Ads"/>
    <s v="Lead Generation"/>
    <s v="Starter Kit"/>
    <n v="8329"/>
    <n v="360"/>
    <n v="42"/>
    <n v="846.17"/>
    <n v="6463.5"/>
    <n v="4.32"/>
    <n v="11.67"/>
    <n v="20.149999999999999"/>
    <n v="7.64"/>
    <n v="5617.33"/>
  </r>
  <r>
    <x v="88"/>
    <s v="Facebook Ads"/>
    <s v="Brand Awareness"/>
    <s v="Enterprise Plan"/>
    <n v="13051"/>
    <n v="362"/>
    <n v="19"/>
    <n v="959.83"/>
    <n v="2611.25"/>
    <n v="2.77"/>
    <n v="5.25"/>
    <n v="50.52"/>
    <n v="2.72"/>
    <n v="1651.42"/>
  </r>
  <r>
    <x v="88"/>
    <s v="Instagram Ads"/>
    <s v="Seasonal Promotion"/>
    <s v="Add-on Service"/>
    <n v="17304"/>
    <n v="572"/>
    <n v="41"/>
    <n v="609.25"/>
    <n v="4211.91"/>
    <n v="3.31"/>
    <n v="7.17"/>
    <n v="14.86"/>
    <n v="6.91"/>
    <n v="3602.66"/>
  </r>
  <r>
    <x v="88"/>
    <s v="LinkedIn Ads"/>
    <s v="Product Launch"/>
    <s v="Starter Kit"/>
    <n v="3222"/>
    <n v="82"/>
    <n v="11"/>
    <n v="979.08"/>
    <n v="2865.09"/>
    <n v="2.5499999999999998"/>
    <n v="13.41"/>
    <n v="89.01"/>
    <n v="2.93"/>
    <n v="1886.01"/>
  </r>
  <r>
    <x v="88"/>
    <s v="Email Marketing"/>
    <s v="Seasonal Promotion"/>
    <s v="Basic Plan"/>
    <n v="19896"/>
    <n v="4208"/>
    <n v="542"/>
    <n v="134.59"/>
    <n v="63456.23"/>
    <n v="21.15"/>
    <n v="12.88"/>
    <n v="0.25"/>
    <n v="471.48"/>
    <n v="63321.64"/>
  </r>
  <r>
    <x v="88"/>
    <s v="Organic Search"/>
    <s v="Seasonal Promotion"/>
    <s v="Premium Plan"/>
    <n v="25647"/>
    <n v="2000"/>
    <n v="254"/>
    <n v="0"/>
    <n v="28424.81"/>
    <n v="7.8"/>
    <n v="12.7"/>
    <n v="0"/>
    <n v="0"/>
    <n v="28424.81"/>
  </r>
  <r>
    <x v="88"/>
    <s v="Display Ads"/>
    <s v="Brand Awareness"/>
    <s v="Enterprise Plan"/>
    <n v="36158"/>
    <n v="453"/>
    <n v="15"/>
    <n v="1096.3"/>
    <n v="1450.04"/>
    <n v="1.25"/>
    <n v="3.31"/>
    <n v="73.09"/>
    <n v="1.32"/>
    <n v="353.74"/>
  </r>
  <r>
    <x v="88"/>
    <s v="YouTube Ads"/>
    <s v="Retargeting"/>
    <s v="Starter Kit"/>
    <n v="15095"/>
    <n v="341"/>
    <n v="17"/>
    <n v="872.35"/>
    <n v="1646.39"/>
    <n v="2.2599999999999998"/>
    <n v="4.99"/>
    <n v="51.31"/>
    <n v="1.89"/>
    <n v="774.04"/>
  </r>
  <r>
    <x v="88"/>
    <s v="Twitter Ads"/>
    <s v="Seasonal Promotion"/>
    <s v="Starter Kit"/>
    <n v="9515"/>
    <n v="201"/>
    <n v="11"/>
    <n v="486.52"/>
    <n v="824.33"/>
    <n v="2.11"/>
    <n v="5.47"/>
    <n v="44.23"/>
    <n v="1.69"/>
    <n v="337.81"/>
  </r>
  <r>
    <x v="88"/>
    <s v="TikTok Ads"/>
    <s v="Retargeting"/>
    <s v="Add-on Service"/>
    <n v="22850"/>
    <n v="980"/>
    <n v="56"/>
    <n v="1047.3599999999999"/>
    <n v="5410.73"/>
    <n v="4.29"/>
    <n v="5.71"/>
    <n v="18.7"/>
    <n v="5.17"/>
    <n v="4363.37"/>
  </r>
  <r>
    <x v="88"/>
    <s v="Affiliate Marketing"/>
    <s v="Brand Awareness"/>
    <s v="Basic Plan"/>
    <n v="9560"/>
    <n v="463"/>
    <n v="39"/>
    <n v="318.35000000000002"/>
    <n v="4490.9399999999996"/>
    <n v="4.84"/>
    <n v="8.42"/>
    <n v="8.16"/>
    <n v="14.11"/>
    <n v="4172.59"/>
  </r>
  <r>
    <x v="88"/>
    <s v="Referral"/>
    <s v="Product Launch"/>
    <s v="Premium Plan"/>
    <n v="6816"/>
    <n v="353"/>
    <n v="51"/>
    <n v="126.59"/>
    <n v="6565.18"/>
    <n v="5.18"/>
    <n v="14.45"/>
    <n v="2.48"/>
    <n v="51.86"/>
    <n v="6438.59"/>
  </r>
  <r>
    <x v="89"/>
    <s v="Google Ads"/>
    <s v="Retargeting"/>
    <s v="Starter Kit"/>
    <n v="7596"/>
    <n v="295"/>
    <n v="28"/>
    <n v="566.65"/>
    <n v="4508.6499999999996"/>
    <n v="3.88"/>
    <n v="9.49"/>
    <n v="20.239999999999998"/>
    <n v="7.96"/>
    <n v="3942"/>
  </r>
  <r>
    <x v="89"/>
    <s v="Facebook Ads"/>
    <s v="Flash Sale"/>
    <s v="Add-on Service"/>
    <n v="13787"/>
    <n v="341"/>
    <n v="26"/>
    <n v="731.16"/>
    <n v="2577.19"/>
    <n v="2.4700000000000002"/>
    <n v="7.62"/>
    <n v="28.12"/>
    <n v="3.52"/>
    <n v="1846.03"/>
  </r>
  <r>
    <x v="89"/>
    <s v="Instagram Ads"/>
    <s v="Product Launch"/>
    <s v="Basic Plan"/>
    <n v="12574"/>
    <n v="536"/>
    <n v="26"/>
    <n v="699.46"/>
    <n v="2176.94"/>
    <n v="4.26"/>
    <n v="4.8499999999999996"/>
    <n v="26.9"/>
    <n v="3.11"/>
    <n v="1477.48"/>
  </r>
  <r>
    <x v="89"/>
    <s v="LinkedIn Ads"/>
    <s v="Seasonal Promotion"/>
    <s v="Add-on Service"/>
    <n v="3347"/>
    <n v="55"/>
    <n v="7"/>
    <n v="802.4"/>
    <n v="1711.43"/>
    <n v="1.64"/>
    <n v="12.73"/>
    <n v="114.63"/>
    <n v="2.13"/>
    <n v="909.03"/>
  </r>
  <r>
    <x v="89"/>
    <s v="Email Marketing"/>
    <s v="Lead Generation"/>
    <s v="Basic Plan"/>
    <n v="12289"/>
    <n v="2935"/>
    <n v="291"/>
    <n v="102.79"/>
    <n v="32434.41"/>
    <n v="23.88"/>
    <n v="9.91"/>
    <n v="0.35"/>
    <n v="315.54000000000002"/>
    <n v="32331.62"/>
  </r>
  <r>
    <x v="89"/>
    <s v="Organic Search"/>
    <s v="Retargeting"/>
    <s v="Add-on Service"/>
    <n v="16774"/>
    <n v="674"/>
    <n v="87"/>
    <n v="0"/>
    <n v="11406.04"/>
    <n v="4.0199999999999996"/>
    <n v="12.91"/>
    <n v="0"/>
    <n v="0"/>
    <n v="11406.04"/>
  </r>
  <r>
    <x v="89"/>
    <s v="Display Ads"/>
    <s v="Brand Awareness"/>
    <s v="Premium Plan"/>
    <n v="20402"/>
    <n v="229"/>
    <n v="8"/>
    <n v="823.45"/>
    <n v="987.81"/>
    <n v="1.1200000000000001"/>
    <n v="3.49"/>
    <n v="102.93"/>
    <n v="1.2"/>
    <n v="164.36"/>
  </r>
  <r>
    <x v="89"/>
    <s v="YouTube Ads"/>
    <s v="Seasonal Promotion"/>
    <s v="Basic Plan"/>
    <n v="16370"/>
    <n v="486"/>
    <n v="35"/>
    <n v="847.34"/>
    <n v="4721.24"/>
    <n v="2.97"/>
    <n v="7.2"/>
    <n v="24.21"/>
    <n v="5.57"/>
    <n v="3873.9"/>
  </r>
  <r>
    <x v="89"/>
    <s v="Twitter Ads"/>
    <s v="Product Launch"/>
    <s v="Basic Plan"/>
    <n v="7294"/>
    <n v="154"/>
    <n v="7"/>
    <n v="328.25"/>
    <n v="708.38"/>
    <n v="2.11"/>
    <n v="4.55"/>
    <n v="46.89"/>
    <n v="2.16"/>
    <n v="380.13"/>
  </r>
  <r>
    <x v="89"/>
    <s v="TikTok Ads"/>
    <s v="Lead Generation"/>
    <s v="Enterprise Plan"/>
    <n v="14928"/>
    <n v="496"/>
    <n v="16"/>
    <n v="548.04"/>
    <n v="1303.26"/>
    <n v="3.32"/>
    <n v="3.23"/>
    <n v="34.25"/>
    <n v="2.38"/>
    <n v="755.22"/>
  </r>
  <r>
    <x v="89"/>
    <s v="Affiliate Marketing"/>
    <s v="Flash Sale"/>
    <s v="Basic Plan"/>
    <n v="5805"/>
    <n v="298"/>
    <n v="30"/>
    <n v="458.53"/>
    <n v="3257.63"/>
    <n v="5.13"/>
    <n v="10.07"/>
    <n v="15.28"/>
    <n v="7.1"/>
    <n v="2799.1"/>
  </r>
  <r>
    <x v="89"/>
    <s v="Referral"/>
    <s v="Product Launch"/>
    <s v="Add-on Service"/>
    <n v="4013"/>
    <n v="306"/>
    <n v="40"/>
    <n v="107.76"/>
    <n v="6581.84"/>
    <n v="7.63"/>
    <n v="13.07"/>
    <n v="2.69"/>
    <n v="61.08"/>
    <n v="6474.08"/>
  </r>
  <r>
    <x v="90"/>
    <s v="Google Ads"/>
    <s v="Product Launch"/>
    <s v="Premium Plan"/>
    <n v="10210"/>
    <n v="500"/>
    <n v="52"/>
    <n v="750.53"/>
    <n v="9405.33"/>
    <n v="4.9000000000000004"/>
    <n v="10.4"/>
    <n v="14.43"/>
    <n v="12.53"/>
    <n v="8654.7999999999993"/>
  </r>
  <r>
    <x v="90"/>
    <s v="Facebook Ads"/>
    <s v="Product Launch"/>
    <s v="Basic Plan"/>
    <n v="13410"/>
    <n v="284"/>
    <n v="23"/>
    <n v="577.72"/>
    <n v="2778.57"/>
    <n v="2.12"/>
    <n v="8.1"/>
    <n v="25.12"/>
    <n v="4.8099999999999996"/>
    <n v="2200.85"/>
  </r>
  <r>
    <x v="90"/>
    <s v="Instagram Ads"/>
    <s v="Flash Sale"/>
    <s v="Add-on Service"/>
    <n v="11244"/>
    <n v="398"/>
    <n v="26"/>
    <n v="360.97"/>
    <n v="3160.9"/>
    <n v="3.54"/>
    <n v="6.53"/>
    <n v="13.88"/>
    <n v="8.76"/>
    <n v="2799.93"/>
  </r>
  <r>
    <x v="90"/>
    <s v="LinkedIn Ads"/>
    <s v="Product Launch"/>
    <s v="Basic Plan"/>
    <n v="3801"/>
    <n v="94"/>
    <n v="11"/>
    <n v="1003.1"/>
    <n v="3154.57"/>
    <n v="2.4700000000000002"/>
    <n v="11.7"/>
    <n v="91.19"/>
    <n v="3.14"/>
    <n v="2151.4699999999998"/>
  </r>
  <r>
    <x v="90"/>
    <s v="Email Marketing"/>
    <s v="Flash Sale"/>
    <s v="Enterprise Plan"/>
    <n v="12985"/>
    <n v="2551"/>
    <n v="303"/>
    <n v="102.11"/>
    <n v="41502.14"/>
    <n v="19.649999999999999"/>
    <n v="11.88"/>
    <n v="0.34"/>
    <n v="406.45"/>
    <n v="41400.03"/>
  </r>
  <r>
    <x v="90"/>
    <s v="Organic Search"/>
    <s v="Seasonal Promotion"/>
    <s v="Add-on Service"/>
    <n v="20288"/>
    <n v="1619"/>
    <n v="237"/>
    <n v="0"/>
    <n v="25206.61"/>
    <n v="7.98"/>
    <n v="14.64"/>
    <n v="0"/>
    <n v="0"/>
    <n v="25206.61"/>
  </r>
  <r>
    <x v="90"/>
    <s v="Display Ads"/>
    <s v="Brand Awareness"/>
    <s v="Add-on Service"/>
    <n v="20640"/>
    <n v="392"/>
    <n v="9"/>
    <n v="493.67"/>
    <n v="873.41"/>
    <n v="1.9"/>
    <n v="2.2999999999999998"/>
    <n v="54.85"/>
    <n v="1.77"/>
    <n v="379.74"/>
  </r>
  <r>
    <x v="90"/>
    <s v="YouTube Ads"/>
    <s v="Flash Sale"/>
    <s v="Basic Plan"/>
    <n v="15182"/>
    <n v="288"/>
    <n v="12"/>
    <n v="935.4"/>
    <n v="1453.84"/>
    <n v="1.9"/>
    <n v="4.17"/>
    <n v="77.95"/>
    <n v="1.55"/>
    <n v="518.44000000000005"/>
  </r>
  <r>
    <x v="90"/>
    <s v="Twitter Ads"/>
    <s v="Seasonal Promotion"/>
    <s v="Add-on Service"/>
    <n v="9508"/>
    <n v="229"/>
    <n v="12"/>
    <n v="358.48"/>
    <n v="1174.97"/>
    <n v="2.41"/>
    <n v="5.24"/>
    <n v="29.87"/>
    <n v="3.28"/>
    <n v="816.49"/>
  </r>
  <r>
    <x v="90"/>
    <s v="TikTok Ads"/>
    <s v="Lead Generation"/>
    <s v="Basic Plan"/>
    <n v="15770"/>
    <n v="547"/>
    <n v="16"/>
    <n v="693.66"/>
    <n v="1534.58"/>
    <n v="3.47"/>
    <n v="2.93"/>
    <n v="43.35"/>
    <n v="2.21"/>
    <n v="840.92"/>
  </r>
  <r>
    <x v="90"/>
    <s v="Affiliate Marketing"/>
    <s v="Flash Sale"/>
    <s v="Add-on Service"/>
    <n v="5487"/>
    <n v="273"/>
    <n v="26"/>
    <n v="433.41"/>
    <n v="3598.48"/>
    <n v="4.9800000000000004"/>
    <n v="9.52"/>
    <n v="16.670000000000002"/>
    <n v="8.3000000000000007"/>
    <n v="3165.07"/>
  </r>
  <r>
    <x v="90"/>
    <s v="Referral"/>
    <s v="Flash Sale"/>
    <s v="Add-on Service"/>
    <n v="2909"/>
    <n v="199"/>
    <n v="34"/>
    <n v="49.02"/>
    <n v="6130.11"/>
    <n v="6.84"/>
    <n v="17.09"/>
    <n v="1.44"/>
    <n v="125.05"/>
    <n v="6081.09"/>
  </r>
  <r>
    <x v="91"/>
    <s v="Google Ads"/>
    <s v="Product Launch"/>
    <s v="Add-on Service"/>
    <n v="14225"/>
    <n v="632"/>
    <n v="68"/>
    <n v="1340.49"/>
    <n v="11052.45"/>
    <n v="4.4400000000000004"/>
    <n v="10.76"/>
    <n v="19.71"/>
    <n v="8.25"/>
    <n v="9711.9599999999991"/>
  </r>
  <r>
    <x v="91"/>
    <s v="Facebook Ads"/>
    <s v="Brand Awareness"/>
    <s v="Premium Plan"/>
    <n v="19717"/>
    <n v="534"/>
    <n v="32"/>
    <n v="1062.07"/>
    <n v="3913.85"/>
    <n v="2.71"/>
    <n v="5.99"/>
    <n v="33.19"/>
    <n v="3.69"/>
    <n v="2851.78"/>
  </r>
  <r>
    <x v="91"/>
    <s v="Instagram Ads"/>
    <s v="Brand Awareness"/>
    <s v="Premium Plan"/>
    <n v="12407"/>
    <n v="489"/>
    <n v="24"/>
    <n v="632.89"/>
    <n v="2682.2"/>
    <n v="3.94"/>
    <n v="4.91"/>
    <n v="26.37"/>
    <n v="4.24"/>
    <n v="2049.31"/>
  </r>
  <r>
    <x v="91"/>
    <s v="LinkedIn Ads"/>
    <s v="Flash Sale"/>
    <s v="Add-on Service"/>
    <n v="5485"/>
    <n v="152"/>
    <n v="20"/>
    <n v="1149.75"/>
    <n v="4476.3"/>
    <n v="2.77"/>
    <n v="13.16"/>
    <n v="57.49"/>
    <n v="3.89"/>
    <n v="3326.55"/>
  </r>
  <r>
    <x v="91"/>
    <s v="Email Marketing"/>
    <s v="Product Launch"/>
    <s v="Basic Plan"/>
    <n v="21690"/>
    <n v="4642"/>
    <n v="430"/>
    <n v="124.82"/>
    <n v="63923.21"/>
    <n v="21.4"/>
    <n v="9.26"/>
    <n v="0.28999999999999998"/>
    <n v="512.12"/>
    <n v="63798.39"/>
  </r>
  <r>
    <x v="91"/>
    <s v="Organic Search"/>
    <s v="Seasonal Promotion"/>
    <s v="Starter Kit"/>
    <n v="22029"/>
    <n v="1330"/>
    <n v="152"/>
    <n v="0"/>
    <n v="20186.169999999998"/>
    <n v="6.04"/>
    <n v="11.43"/>
    <n v="0"/>
    <n v="0"/>
    <n v="20186.169999999998"/>
  </r>
  <r>
    <x v="91"/>
    <s v="Display Ads"/>
    <s v="Seasonal Promotion"/>
    <s v="Premium Plan"/>
    <n v="27699"/>
    <n v="387"/>
    <n v="16"/>
    <n v="1027.28"/>
    <n v="1518.93"/>
    <n v="1.4"/>
    <n v="4.13"/>
    <n v="64.2"/>
    <n v="1.48"/>
    <n v="491.65"/>
  </r>
  <r>
    <x v="91"/>
    <s v="YouTube Ads"/>
    <s v="Retargeting"/>
    <s v="Add-on Service"/>
    <n v="24533"/>
    <n v="619"/>
    <n v="40"/>
    <n v="1396.29"/>
    <n v="4846.92"/>
    <n v="2.52"/>
    <n v="6.46"/>
    <n v="34.909999999999997"/>
    <n v="3.47"/>
    <n v="3450.63"/>
  </r>
  <r>
    <x v="91"/>
    <s v="Twitter Ads"/>
    <s v="Product Launch"/>
    <s v="Enterprise Plan"/>
    <n v="12888"/>
    <n v="280"/>
    <n v="15"/>
    <n v="727.52"/>
    <n v="1669.31"/>
    <n v="2.17"/>
    <n v="5.36"/>
    <n v="48.5"/>
    <n v="2.29"/>
    <n v="941.79"/>
  </r>
  <r>
    <x v="91"/>
    <s v="TikTok Ads"/>
    <s v="Retargeting"/>
    <s v="Basic Plan"/>
    <n v="26966"/>
    <n v="919"/>
    <n v="58"/>
    <n v="1025.92"/>
    <n v="4277.43"/>
    <n v="3.41"/>
    <n v="6.31"/>
    <n v="17.690000000000001"/>
    <n v="4.17"/>
    <n v="3251.51"/>
  </r>
  <r>
    <x v="91"/>
    <s v="Affiliate Marketing"/>
    <s v="Flash Sale"/>
    <s v="Starter Kit"/>
    <n v="9807"/>
    <n v="562"/>
    <n v="71"/>
    <n v="428.96"/>
    <n v="7935.47"/>
    <n v="5.73"/>
    <n v="12.63"/>
    <n v="6.04"/>
    <n v="18.5"/>
    <n v="7506.51"/>
  </r>
  <r>
    <x v="91"/>
    <s v="Referral"/>
    <s v="Product Launch"/>
    <s v="Starter Kit"/>
    <n v="3143"/>
    <n v="204"/>
    <n v="29"/>
    <n v="106.29"/>
    <n v="4131.28"/>
    <n v="6.49"/>
    <n v="14.22"/>
    <n v="3.67"/>
    <n v="38.869999999999997"/>
    <n v="4024.99"/>
  </r>
  <r>
    <x v="92"/>
    <s v="Google Ads"/>
    <s v="Brand Awareness"/>
    <s v="Premium Plan"/>
    <n v="11198"/>
    <n v="422"/>
    <n v="50"/>
    <n v="1167.76"/>
    <n v="8632.77"/>
    <n v="3.77"/>
    <n v="11.85"/>
    <n v="23.36"/>
    <n v="7.39"/>
    <n v="7465.01"/>
  </r>
  <r>
    <x v="92"/>
    <s v="Facebook Ads"/>
    <s v="Lead Generation"/>
    <s v="Starter Kit"/>
    <n v="16964"/>
    <n v="533"/>
    <n v="31"/>
    <n v="902.4"/>
    <n v="3704.4"/>
    <n v="3.14"/>
    <n v="5.82"/>
    <n v="29.11"/>
    <n v="4.1100000000000003"/>
    <n v="2802"/>
  </r>
  <r>
    <x v="92"/>
    <s v="Instagram Ads"/>
    <s v="Retargeting"/>
    <s v="Starter Kit"/>
    <n v="11473"/>
    <n v="346"/>
    <n v="21"/>
    <n v="944.2"/>
    <n v="2051.7800000000002"/>
    <n v="3.02"/>
    <n v="6.07"/>
    <n v="44.96"/>
    <n v="2.17"/>
    <n v="1107.58"/>
  </r>
  <r>
    <x v="92"/>
    <s v="LinkedIn Ads"/>
    <s v="Retargeting"/>
    <s v="Basic Plan"/>
    <n v="5092"/>
    <n v="83"/>
    <n v="8"/>
    <n v="1758.65"/>
    <n v="2202.63"/>
    <n v="1.63"/>
    <n v="9.64"/>
    <n v="219.83"/>
    <n v="1.25"/>
    <n v="443.98"/>
  </r>
  <r>
    <x v="92"/>
    <s v="Email Marketing"/>
    <s v="Product Launch"/>
    <s v="Add-on Service"/>
    <n v="23168"/>
    <n v="5685"/>
    <n v="709"/>
    <n v="110.91"/>
    <n v="81975.72"/>
    <n v="24.54"/>
    <n v="12.47"/>
    <n v="0.16"/>
    <n v="739.12"/>
    <n v="81864.81"/>
  </r>
  <r>
    <x v="92"/>
    <s v="Organic Search"/>
    <s v="Lead Generation"/>
    <s v="Enterprise Plan"/>
    <n v="24942"/>
    <n v="1612"/>
    <n v="192"/>
    <n v="0"/>
    <n v="28775.37"/>
    <n v="6.46"/>
    <n v="11.91"/>
    <n v="0"/>
    <n v="0"/>
    <n v="28775.37"/>
  </r>
  <r>
    <x v="92"/>
    <s v="Display Ads"/>
    <s v="Flash Sale"/>
    <s v="Enterprise Plan"/>
    <n v="35913"/>
    <n v="678"/>
    <n v="17"/>
    <n v="902.53"/>
    <n v="1973.73"/>
    <n v="1.89"/>
    <n v="2.5099999999999998"/>
    <n v="53.09"/>
    <n v="2.19"/>
    <n v="1071.2"/>
  </r>
  <r>
    <x v="92"/>
    <s v="YouTube Ads"/>
    <s v="Flash Sale"/>
    <s v="Enterprise Plan"/>
    <n v="16621"/>
    <n v="319"/>
    <n v="25"/>
    <n v="970.72"/>
    <n v="2291.9699999999998"/>
    <n v="1.92"/>
    <n v="7.84"/>
    <n v="38.83"/>
    <n v="2.36"/>
    <n v="1321.25"/>
  </r>
  <r>
    <x v="92"/>
    <s v="Twitter Ads"/>
    <s v="Retargeting"/>
    <s v="Basic Plan"/>
    <n v="13910"/>
    <n v="342"/>
    <n v="16"/>
    <n v="410.89"/>
    <n v="1193.32"/>
    <n v="2.46"/>
    <n v="4.68"/>
    <n v="25.68"/>
    <n v="2.9"/>
    <n v="782.43"/>
  </r>
  <r>
    <x v="92"/>
    <s v="TikTok Ads"/>
    <s v="Product Launch"/>
    <s v="Add-on Service"/>
    <n v="29826"/>
    <n v="790"/>
    <n v="42"/>
    <n v="1033.45"/>
    <n v="3662.72"/>
    <n v="2.65"/>
    <n v="5.32"/>
    <n v="24.61"/>
    <n v="3.54"/>
    <n v="2629.27"/>
  </r>
  <r>
    <x v="92"/>
    <s v="Affiliate Marketing"/>
    <s v="Seasonal Promotion"/>
    <s v="Premium Plan"/>
    <n v="5051"/>
    <n v="267"/>
    <n v="28"/>
    <n v="314.99"/>
    <n v="3265.72"/>
    <n v="5.29"/>
    <n v="10.49"/>
    <n v="11.25"/>
    <n v="10.37"/>
    <n v="2950.73"/>
  </r>
  <r>
    <x v="92"/>
    <s v="Referral"/>
    <s v="Product Launch"/>
    <s v="Basic Plan"/>
    <n v="4291"/>
    <n v="285"/>
    <n v="45"/>
    <n v="166"/>
    <n v="8172.82"/>
    <n v="6.64"/>
    <n v="15.79"/>
    <n v="3.69"/>
    <n v="49.23"/>
    <n v="8006.82"/>
  </r>
  <r>
    <x v="93"/>
    <s v="Google Ads"/>
    <s v="Retargeting"/>
    <s v="Premium Plan"/>
    <n v="10315"/>
    <n v="487"/>
    <n v="51"/>
    <n v="863.07"/>
    <n v="6463.01"/>
    <n v="4.72"/>
    <n v="10.47"/>
    <n v="16.920000000000002"/>
    <n v="7.49"/>
    <n v="5599.94"/>
  </r>
  <r>
    <x v="93"/>
    <s v="Facebook Ads"/>
    <s v="Product Launch"/>
    <s v="Starter Kit"/>
    <n v="19828"/>
    <n v="481"/>
    <n v="39"/>
    <n v="914.15"/>
    <n v="4356.05"/>
    <n v="2.4300000000000002"/>
    <n v="8.11"/>
    <n v="23.44"/>
    <n v="4.7699999999999996"/>
    <n v="3441.9"/>
  </r>
  <r>
    <x v="93"/>
    <s v="Instagram Ads"/>
    <s v="Lead Generation"/>
    <s v="Basic Plan"/>
    <n v="16899"/>
    <n v="497"/>
    <n v="36"/>
    <n v="878.44"/>
    <n v="2756.3"/>
    <n v="2.94"/>
    <n v="7.24"/>
    <n v="24.4"/>
    <n v="3.14"/>
    <n v="1877.86"/>
  </r>
  <r>
    <x v="93"/>
    <s v="LinkedIn Ads"/>
    <s v="Brand Awareness"/>
    <s v="Premium Plan"/>
    <n v="5396"/>
    <n v="134"/>
    <n v="17"/>
    <n v="1689.81"/>
    <n v="5003.54"/>
    <n v="2.48"/>
    <n v="12.69"/>
    <n v="99.4"/>
    <n v="2.96"/>
    <n v="3313.73"/>
  </r>
  <r>
    <x v="93"/>
    <s v="Email Marketing"/>
    <s v="Product Launch"/>
    <s v="Starter Kit"/>
    <n v="23548"/>
    <n v="5214"/>
    <n v="716"/>
    <n v="213.52"/>
    <n v="89168.8"/>
    <n v="22.14"/>
    <n v="13.73"/>
    <n v="0.3"/>
    <n v="417.61"/>
    <n v="88955.28"/>
  </r>
  <r>
    <x v="93"/>
    <s v="Organic Search"/>
    <s v="Seasonal Promotion"/>
    <s v="Starter Kit"/>
    <n v="24553"/>
    <n v="1944"/>
    <n v="298"/>
    <n v="0"/>
    <n v="31786.85"/>
    <n v="7.92"/>
    <n v="15.33"/>
    <n v="0"/>
    <n v="0"/>
    <n v="31786.85"/>
  </r>
  <r>
    <x v="93"/>
    <s v="Display Ads"/>
    <s v="Lead Generation"/>
    <s v="Basic Plan"/>
    <n v="33095"/>
    <n v="338"/>
    <n v="13"/>
    <n v="1294.19"/>
    <n v="1516.25"/>
    <n v="1.02"/>
    <n v="3.85"/>
    <n v="99.55"/>
    <n v="1.17"/>
    <n v="222.06"/>
  </r>
  <r>
    <x v="93"/>
    <s v="YouTube Ads"/>
    <s v="Product Launch"/>
    <s v="Add-on Service"/>
    <n v="19476"/>
    <n v="566"/>
    <n v="40"/>
    <n v="950.32"/>
    <n v="3965.13"/>
    <n v="2.91"/>
    <n v="7.07"/>
    <n v="23.76"/>
    <n v="4.17"/>
    <n v="3014.81"/>
  </r>
  <r>
    <x v="93"/>
    <s v="Twitter Ads"/>
    <s v="Flash Sale"/>
    <s v="Enterprise Plan"/>
    <n v="13397"/>
    <n v="384"/>
    <n v="16"/>
    <n v="660.74"/>
    <n v="1300.52"/>
    <n v="2.87"/>
    <n v="4.17"/>
    <n v="41.3"/>
    <n v="1.97"/>
    <n v="639.78"/>
  </r>
  <r>
    <x v="93"/>
    <s v="TikTok Ads"/>
    <s v="Lead Generation"/>
    <s v="Basic Plan"/>
    <n v="28000"/>
    <n v="754"/>
    <n v="47"/>
    <n v="1079.25"/>
    <n v="4528.7"/>
    <n v="2.69"/>
    <n v="6.23"/>
    <n v="22.96"/>
    <n v="4.2"/>
    <n v="3449.45"/>
  </r>
  <r>
    <x v="93"/>
    <s v="Affiliate Marketing"/>
    <s v="Retargeting"/>
    <s v="Add-on Service"/>
    <n v="8743"/>
    <n v="440"/>
    <n v="54"/>
    <n v="621.62"/>
    <n v="6233.23"/>
    <n v="5.03"/>
    <n v="12.27"/>
    <n v="11.51"/>
    <n v="10.029999999999999"/>
    <n v="5611.61"/>
  </r>
  <r>
    <x v="93"/>
    <s v="Referral"/>
    <s v="Retargeting"/>
    <s v="Starter Kit"/>
    <n v="4907"/>
    <n v="304"/>
    <n v="43"/>
    <n v="167.18"/>
    <n v="6319.49"/>
    <n v="6.2"/>
    <n v="14.14"/>
    <n v="3.89"/>
    <n v="37.799999999999997"/>
    <n v="6152.31"/>
  </r>
  <r>
    <x v="94"/>
    <s v="Google Ads"/>
    <s v="Product Launch"/>
    <s v="Starter Kit"/>
    <n v="13551"/>
    <n v="514"/>
    <n v="51"/>
    <n v="1245.03"/>
    <n v="6477.18"/>
    <n v="3.79"/>
    <n v="9.92"/>
    <n v="24.41"/>
    <n v="5.2"/>
    <n v="5232.1499999999996"/>
  </r>
  <r>
    <x v="94"/>
    <s v="Facebook Ads"/>
    <s v="Brand Awareness"/>
    <s v="Premium Plan"/>
    <n v="12213"/>
    <n v="328"/>
    <n v="23"/>
    <n v="1117.78"/>
    <n v="2719.11"/>
    <n v="2.69"/>
    <n v="7.01"/>
    <n v="48.6"/>
    <n v="2.4300000000000002"/>
    <n v="1601.33"/>
  </r>
  <r>
    <x v="94"/>
    <s v="Instagram Ads"/>
    <s v="Retargeting"/>
    <s v="Add-on Service"/>
    <n v="10725"/>
    <n v="356"/>
    <n v="22"/>
    <n v="975.61"/>
    <n v="2246.59"/>
    <n v="3.32"/>
    <n v="6.18"/>
    <n v="44.35"/>
    <n v="2.2999999999999998"/>
    <n v="1270.98"/>
  </r>
  <r>
    <x v="94"/>
    <s v="LinkedIn Ads"/>
    <s v="Retargeting"/>
    <s v="Basic Plan"/>
    <n v="3290"/>
    <n v="65"/>
    <n v="8"/>
    <n v="1356.68"/>
    <n v="2053.64"/>
    <n v="1.98"/>
    <n v="12.31"/>
    <n v="169.58"/>
    <n v="1.51"/>
    <n v="696.96"/>
  </r>
  <r>
    <x v="94"/>
    <s v="Email Marketing"/>
    <s v="Lead Generation"/>
    <s v="Add-on Service"/>
    <n v="23150"/>
    <n v="4648"/>
    <n v="572"/>
    <n v="247.85"/>
    <n v="81911.67"/>
    <n v="20.079999999999998"/>
    <n v="12.31"/>
    <n v="0.43"/>
    <n v="330.49"/>
    <n v="81663.820000000007"/>
  </r>
  <r>
    <x v="94"/>
    <s v="Organic Search"/>
    <s v="Product Launch"/>
    <s v="Premium Plan"/>
    <n v="21052"/>
    <n v="1107"/>
    <n v="132"/>
    <n v="0"/>
    <n v="16224.03"/>
    <n v="5.26"/>
    <n v="11.92"/>
    <n v="0"/>
    <n v="0"/>
    <n v="16224.03"/>
  </r>
  <r>
    <x v="94"/>
    <s v="Display Ads"/>
    <s v="Brand Awareness"/>
    <s v="Enterprise Plan"/>
    <n v="32702"/>
    <n v="390"/>
    <n v="7"/>
    <n v="935.02"/>
    <n v="835.27"/>
    <n v="1.19"/>
    <n v="1.79"/>
    <n v="133.57"/>
    <n v="0.89"/>
    <n v="-99.75"/>
  </r>
  <r>
    <x v="94"/>
    <s v="YouTube Ads"/>
    <s v="Retargeting"/>
    <s v="Add-on Service"/>
    <n v="16132"/>
    <n v="435"/>
    <n v="27"/>
    <n v="1250.48"/>
    <n v="3528.54"/>
    <n v="2.7"/>
    <n v="6.21"/>
    <n v="46.31"/>
    <n v="2.82"/>
    <n v="2278.06"/>
  </r>
  <r>
    <x v="94"/>
    <s v="Twitter Ads"/>
    <s v="Flash Sale"/>
    <s v="Starter Kit"/>
    <n v="11971"/>
    <n v="416"/>
    <n v="20"/>
    <n v="691.13"/>
    <n v="1714.77"/>
    <n v="3.48"/>
    <n v="4.8099999999999996"/>
    <n v="34.56"/>
    <n v="2.48"/>
    <n v="1023.64"/>
  </r>
  <r>
    <x v="94"/>
    <s v="TikTok Ads"/>
    <s v="Product Launch"/>
    <s v="Add-on Service"/>
    <n v="25917"/>
    <n v="927"/>
    <n v="52"/>
    <n v="921.43"/>
    <n v="4346.82"/>
    <n v="3.58"/>
    <n v="5.61"/>
    <n v="17.72"/>
    <n v="4.72"/>
    <n v="3425.39"/>
  </r>
  <r>
    <x v="94"/>
    <s v="Affiliate Marketing"/>
    <s v="Brand Awareness"/>
    <s v="Premium Plan"/>
    <n v="6247"/>
    <n v="434"/>
    <n v="42"/>
    <n v="564.41"/>
    <n v="5190.49"/>
    <n v="6.95"/>
    <n v="9.68"/>
    <n v="13.44"/>
    <n v="9.1999999999999993"/>
    <n v="4626.08"/>
  </r>
  <r>
    <x v="94"/>
    <s v="Referral"/>
    <s v="Retargeting"/>
    <s v="Basic Plan"/>
    <n v="5527"/>
    <n v="438"/>
    <n v="72"/>
    <n v="182.02"/>
    <n v="11312.19"/>
    <n v="7.92"/>
    <n v="16.440000000000001"/>
    <n v="2.5299999999999998"/>
    <n v="62.15"/>
    <n v="11130.17"/>
  </r>
  <r>
    <x v="95"/>
    <s v="Google Ads"/>
    <s v="Product Launch"/>
    <s v="Enterprise Plan"/>
    <n v="12173"/>
    <n v="594"/>
    <n v="57"/>
    <n v="869.78"/>
    <n v="8900.08"/>
    <n v="4.88"/>
    <n v="9.6"/>
    <n v="15.26"/>
    <n v="10.23"/>
    <n v="8030.3"/>
  </r>
  <r>
    <x v="95"/>
    <s v="Facebook Ads"/>
    <s v="Retargeting"/>
    <s v="Enterprise Plan"/>
    <n v="15131"/>
    <n v="584"/>
    <n v="35"/>
    <n v="1183.57"/>
    <n v="3466.37"/>
    <n v="3.86"/>
    <n v="5.99"/>
    <n v="33.82"/>
    <n v="2.93"/>
    <n v="2282.8000000000002"/>
  </r>
  <r>
    <x v="95"/>
    <s v="Instagram Ads"/>
    <s v="Brand Awareness"/>
    <s v="Starter Kit"/>
    <n v="15581"/>
    <n v="613"/>
    <n v="35"/>
    <n v="951.37"/>
    <n v="3107.92"/>
    <n v="3.93"/>
    <n v="5.71"/>
    <n v="27.18"/>
    <n v="3.27"/>
    <n v="2156.5500000000002"/>
  </r>
  <r>
    <x v="95"/>
    <s v="LinkedIn Ads"/>
    <s v="Brand Awareness"/>
    <s v="Add-on Service"/>
    <n v="3028"/>
    <n v="89"/>
    <n v="11"/>
    <n v="1185.17"/>
    <n v="3477.74"/>
    <n v="2.94"/>
    <n v="12.36"/>
    <n v="107.74"/>
    <n v="2.93"/>
    <n v="2292.5700000000002"/>
  </r>
  <r>
    <x v="95"/>
    <s v="Email Marketing"/>
    <s v="Seasonal Promotion"/>
    <s v="Basic Plan"/>
    <n v="15831"/>
    <n v="2758"/>
    <n v="360"/>
    <n v="206.88"/>
    <n v="52660.63"/>
    <n v="17.420000000000002"/>
    <n v="13.05"/>
    <n v="0.56999999999999995"/>
    <n v="254.55"/>
    <n v="52453.75"/>
  </r>
  <r>
    <x v="95"/>
    <s v="Organic Search"/>
    <s v="Product Launch"/>
    <s v="Add-on Service"/>
    <n v="30460"/>
    <n v="1717"/>
    <n v="186"/>
    <n v="0"/>
    <n v="21313.98"/>
    <n v="5.64"/>
    <n v="10.83"/>
    <n v="0"/>
    <n v="0"/>
    <n v="21313.98"/>
  </r>
  <r>
    <x v="95"/>
    <s v="Display Ads"/>
    <s v="Product Launch"/>
    <s v="Premium Plan"/>
    <n v="33428"/>
    <n v="493"/>
    <n v="12"/>
    <n v="1221.8399999999999"/>
    <n v="1468.19"/>
    <n v="1.47"/>
    <n v="2.4300000000000002"/>
    <n v="101.82"/>
    <n v="1.2"/>
    <n v="246.35"/>
  </r>
  <r>
    <x v="95"/>
    <s v="YouTube Ads"/>
    <s v="Retargeting"/>
    <s v="Add-on Service"/>
    <n v="17427"/>
    <n v="319"/>
    <n v="19"/>
    <n v="1081.6500000000001"/>
    <n v="2429.86"/>
    <n v="1.83"/>
    <n v="5.96"/>
    <n v="56.93"/>
    <n v="2.25"/>
    <n v="1348.21"/>
  </r>
  <r>
    <x v="95"/>
    <s v="Twitter Ads"/>
    <s v="Retargeting"/>
    <s v="Add-on Service"/>
    <n v="11175"/>
    <n v="242"/>
    <n v="12"/>
    <n v="528.80999999999995"/>
    <n v="1074.81"/>
    <n v="2.17"/>
    <n v="4.96"/>
    <n v="44.07"/>
    <n v="2.0299999999999998"/>
    <n v="546"/>
  </r>
  <r>
    <x v="95"/>
    <s v="TikTok Ads"/>
    <s v="Product Launch"/>
    <s v="Add-on Service"/>
    <n v="27006"/>
    <n v="824"/>
    <n v="49"/>
    <n v="1086.17"/>
    <n v="3842.21"/>
    <n v="3.05"/>
    <n v="5.95"/>
    <n v="22.17"/>
    <n v="3.54"/>
    <n v="2756.04"/>
  </r>
  <r>
    <x v="95"/>
    <s v="Affiliate Marketing"/>
    <s v="Flash Sale"/>
    <s v="Add-on Service"/>
    <n v="7173"/>
    <n v="308"/>
    <n v="26"/>
    <n v="379.52"/>
    <n v="3301.18"/>
    <n v="4.29"/>
    <n v="8.44"/>
    <n v="14.6"/>
    <n v="8.6999999999999993"/>
    <n v="2921.66"/>
  </r>
  <r>
    <x v="95"/>
    <s v="Referral"/>
    <s v="Brand Awareness"/>
    <s v="Basic Plan"/>
    <n v="6401"/>
    <n v="467"/>
    <n v="67"/>
    <n v="151.16999999999999"/>
    <n v="8832.16"/>
    <n v="7.3"/>
    <n v="14.35"/>
    <n v="2.2599999999999998"/>
    <n v="58.43"/>
    <n v="8680.99"/>
  </r>
  <r>
    <x v="96"/>
    <s v="Google Ads"/>
    <s v="Brand Awareness"/>
    <s v="Starter Kit"/>
    <n v="6733"/>
    <n v="262"/>
    <n v="30"/>
    <n v="693.38"/>
    <n v="3989.76"/>
    <n v="3.89"/>
    <n v="11.45"/>
    <n v="23.11"/>
    <n v="5.75"/>
    <n v="3296.38"/>
  </r>
  <r>
    <x v="96"/>
    <s v="Facebook Ads"/>
    <s v="Product Launch"/>
    <s v="Enterprise Plan"/>
    <n v="13631"/>
    <n v="532"/>
    <n v="42"/>
    <n v="767.77"/>
    <n v="4534.92"/>
    <n v="3.9"/>
    <n v="7.89"/>
    <n v="18.28"/>
    <n v="5.91"/>
    <n v="3767.15"/>
  </r>
  <r>
    <x v="96"/>
    <s v="Instagram Ads"/>
    <s v="Seasonal Promotion"/>
    <s v="Enterprise Plan"/>
    <n v="8655"/>
    <n v="226"/>
    <n v="16"/>
    <n v="547.52"/>
    <n v="1447.19"/>
    <n v="2.61"/>
    <n v="7.08"/>
    <n v="34.22"/>
    <n v="2.64"/>
    <n v="899.67"/>
  </r>
  <r>
    <x v="96"/>
    <s v="LinkedIn Ads"/>
    <s v="Lead Generation"/>
    <s v="Basic Plan"/>
    <n v="3371"/>
    <n v="94"/>
    <n v="13"/>
    <n v="903.91"/>
    <n v="2735.36"/>
    <n v="2.79"/>
    <n v="13.83"/>
    <n v="69.53"/>
    <n v="3.03"/>
    <n v="1831.45"/>
  </r>
  <r>
    <x v="96"/>
    <s v="Email Marketing"/>
    <s v="Seasonal Promotion"/>
    <s v="Add-on Service"/>
    <n v="14569"/>
    <n v="2490"/>
    <n v="229"/>
    <n v="137.34"/>
    <n v="29343.86"/>
    <n v="17.09"/>
    <n v="9.1999999999999993"/>
    <n v="0.6"/>
    <n v="213.66"/>
    <n v="29206.52"/>
  </r>
  <r>
    <x v="96"/>
    <s v="Organic Search"/>
    <s v="Retargeting"/>
    <s v="Add-on Service"/>
    <n v="15395"/>
    <n v="783"/>
    <n v="109"/>
    <n v="0"/>
    <n v="14755.31"/>
    <n v="5.09"/>
    <n v="13.92"/>
    <n v="0"/>
    <n v="0"/>
    <n v="14755.31"/>
  </r>
  <r>
    <x v="96"/>
    <s v="Display Ads"/>
    <s v="Brand Awareness"/>
    <s v="Premium Plan"/>
    <n v="19154"/>
    <n v="297"/>
    <n v="12"/>
    <n v="674.1"/>
    <n v="1261.81"/>
    <n v="1.55"/>
    <n v="4.04"/>
    <n v="56.18"/>
    <n v="1.87"/>
    <n v="587.71"/>
  </r>
  <r>
    <x v="96"/>
    <s v="YouTube Ads"/>
    <s v="Brand Awareness"/>
    <s v="Basic Plan"/>
    <n v="16197"/>
    <n v="437"/>
    <n v="27"/>
    <n v="573.27"/>
    <n v="3933.65"/>
    <n v="2.7"/>
    <n v="6.18"/>
    <n v="21.23"/>
    <n v="6.86"/>
    <n v="3360.38"/>
  </r>
  <r>
    <x v="96"/>
    <s v="Twitter Ads"/>
    <s v="Flash Sale"/>
    <s v="Enterprise Plan"/>
    <n v="8332"/>
    <n v="249"/>
    <n v="14"/>
    <n v="369.07"/>
    <n v="1080.7"/>
    <n v="2.99"/>
    <n v="5.62"/>
    <n v="26.36"/>
    <n v="2.93"/>
    <n v="711.63"/>
  </r>
  <r>
    <x v="96"/>
    <s v="TikTok Ads"/>
    <s v="Retargeting"/>
    <s v="Add-on Service"/>
    <n v="18575"/>
    <n v="826"/>
    <n v="27"/>
    <n v="668.03"/>
    <n v="2408.23"/>
    <n v="4.45"/>
    <n v="3.27"/>
    <n v="24.74"/>
    <n v="3.6"/>
    <n v="1740.2"/>
  </r>
  <r>
    <x v="96"/>
    <s v="Affiliate Marketing"/>
    <s v="Retargeting"/>
    <s v="Basic Plan"/>
    <n v="4093"/>
    <n v="212"/>
    <n v="18"/>
    <n v="380.4"/>
    <n v="1968.06"/>
    <n v="5.18"/>
    <n v="8.49"/>
    <n v="21.13"/>
    <n v="5.17"/>
    <n v="1587.66"/>
  </r>
  <r>
    <x v="96"/>
    <s v="Referral"/>
    <s v="Seasonal Promotion"/>
    <s v="Add-on Service"/>
    <n v="3217"/>
    <n v="251"/>
    <n v="31"/>
    <n v="88.66"/>
    <n v="4426.32"/>
    <n v="7.8"/>
    <n v="12.35"/>
    <n v="2.86"/>
    <n v="49.92"/>
    <n v="4337.66"/>
  </r>
  <r>
    <x v="97"/>
    <s v="Google Ads"/>
    <s v="Lead Generation"/>
    <s v="Enterprise Plan"/>
    <n v="8862"/>
    <n v="266"/>
    <n v="29"/>
    <n v="957.59"/>
    <n v="3823.75"/>
    <n v="3"/>
    <n v="10.9"/>
    <n v="33.020000000000003"/>
    <n v="3.99"/>
    <n v="2866.16"/>
  </r>
  <r>
    <x v="97"/>
    <s v="Facebook Ads"/>
    <s v="Seasonal Promotion"/>
    <s v="Enterprise Plan"/>
    <n v="11260"/>
    <n v="447"/>
    <n v="34"/>
    <n v="473.39"/>
    <n v="2966.49"/>
    <n v="3.97"/>
    <n v="7.61"/>
    <n v="13.92"/>
    <n v="6.27"/>
    <n v="2493.1"/>
  </r>
  <r>
    <x v="97"/>
    <s v="Instagram Ads"/>
    <s v="Lead Generation"/>
    <s v="Starter Kit"/>
    <n v="10859"/>
    <n v="333"/>
    <n v="23"/>
    <n v="442.71"/>
    <n v="2127.12"/>
    <n v="3.07"/>
    <n v="6.91"/>
    <n v="19.25"/>
    <n v="4.8"/>
    <n v="1684.41"/>
  </r>
  <r>
    <x v="97"/>
    <s v="LinkedIn Ads"/>
    <s v="Seasonal Promotion"/>
    <s v="Enterprise Plan"/>
    <n v="4005"/>
    <n v="65"/>
    <n v="7"/>
    <n v="1175.21"/>
    <n v="2383.58"/>
    <n v="1.62"/>
    <n v="10.77"/>
    <n v="167.89"/>
    <n v="2.0299999999999998"/>
    <n v="1208.3699999999999"/>
  </r>
  <r>
    <x v="97"/>
    <s v="Email Marketing"/>
    <s v="Seasonal Promotion"/>
    <s v="Enterprise Plan"/>
    <n v="11076"/>
    <n v="1934"/>
    <n v="180"/>
    <n v="187.05"/>
    <n v="27750.02"/>
    <n v="17.46"/>
    <n v="9.31"/>
    <n v="1.04"/>
    <n v="148.36000000000001"/>
    <n v="27562.97"/>
  </r>
  <r>
    <x v="97"/>
    <s v="Organic Search"/>
    <s v="Seasonal Promotion"/>
    <s v="Add-on Service"/>
    <n v="21888"/>
    <n v="900"/>
    <n v="118"/>
    <n v="0"/>
    <n v="18374.64"/>
    <n v="4.1100000000000003"/>
    <n v="13.11"/>
    <n v="0"/>
    <n v="0"/>
    <n v="18374.64"/>
  </r>
  <r>
    <x v="97"/>
    <s v="Display Ads"/>
    <s v="Seasonal Promotion"/>
    <s v="Starter Kit"/>
    <n v="21989"/>
    <n v="319"/>
    <n v="13"/>
    <n v="838.89"/>
    <n v="1474.2"/>
    <n v="1.45"/>
    <n v="4.08"/>
    <n v="64.53"/>
    <n v="1.76"/>
    <n v="635.30999999999995"/>
  </r>
  <r>
    <x v="97"/>
    <s v="YouTube Ads"/>
    <s v="Flash Sale"/>
    <s v="Add-on Service"/>
    <n v="17054"/>
    <n v="287"/>
    <n v="18"/>
    <n v="576.89"/>
    <n v="2581.25"/>
    <n v="1.68"/>
    <n v="6.27"/>
    <n v="32.049999999999997"/>
    <n v="4.47"/>
    <n v="2004.36"/>
  </r>
  <r>
    <x v="97"/>
    <s v="Twitter Ads"/>
    <s v="Product Launch"/>
    <s v="Starter Kit"/>
    <n v="7993"/>
    <n v="170"/>
    <n v="6"/>
    <n v="418.72"/>
    <n v="433.4"/>
    <n v="2.13"/>
    <n v="3.53"/>
    <n v="69.790000000000006"/>
    <n v="1.04"/>
    <n v="14.68"/>
  </r>
  <r>
    <x v="97"/>
    <s v="TikTok Ads"/>
    <s v="Brand Awareness"/>
    <s v="Enterprise Plan"/>
    <n v="15845"/>
    <n v="660"/>
    <n v="23"/>
    <n v="768.67"/>
    <n v="2389.42"/>
    <n v="4.17"/>
    <n v="3.48"/>
    <n v="33.42"/>
    <n v="3.11"/>
    <n v="1620.75"/>
  </r>
  <r>
    <x v="97"/>
    <s v="Affiliate Marketing"/>
    <s v="Product Launch"/>
    <s v="Premium Plan"/>
    <n v="6105"/>
    <n v="272"/>
    <n v="24"/>
    <n v="228.97"/>
    <n v="3261.72"/>
    <n v="4.46"/>
    <n v="8.82"/>
    <n v="9.5399999999999991"/>
    <n v="14.25"/>
    <n v="3032.75"/>
  </r>
  <r>
    <x v="97"/>
    <s v="Referral"/>
    <s v="Retargeting"/>
    <s v="Add-on Service"/>
    <n v="2951"/>
    <n v="281"/>
    <n v="36"/>
    <n v="69.959999999999994"/>
    <n v="5881.84"/>
    <n v="9.52"/>
    <n v="12.81"/>
    <n v="1.94"/>
    <n v="84.07"/>
    <n v="5811.88"/>
  </r>
  <r>
    <x v="98"/>
    <s v="Google Ads"/>
    <s v="Product Launch"/>
    <s v="Premium Plan"/>
    <n v="13559"/>
    <n v="517"/>
    <n v="60"/>
    <n v="841.32"/>
    <n v="10893.27"/>
    <n v="3.81"/>
    <n v="11.61"/>
    <n v="14.02"/>
    <n v="12.95"/>
    <n v="10051.950000000001"/>
  </r>
  <r>
    <x v="98"/>
    <s v="Facebook Ads"/>
    <s v="Seasonal Promotion"/>
    <s v="Starter Kit"/>
    <n v="18038"/>
    <n v="562"/>
    <n v="33"/>
    <n v="928.52"/>
    <n v="2954.01"/>
    <n v="3.12"/>
    <n v="5.87"/>
    <n v="28.14"/>
    <n v="3.18"/>
    <n v="2025.49"/>
  </r>
  <r>
    <x v="98"/>
    <s v="Instagram Ads"/>
    <s v="Product Launch"/>
    <s v="Add-on Service"/>
    <n v="16596"/>
    <n v="728"/>
    <n v="31"/>
    <n v="586.49"/>
    <n v="2921.34"/>
    <n v="4.3899999999999997"/>
    <n v="4.26"/>
    <n v="18.920000000000002"/>
    <n v="4.9800000000000004"/>
    <n v="2334.85"/>
  </r>
  <r>
    <x v="98"/>
    <s v="LinkedIn Ads"/>
    <s v="Seasonal Promotion"/>
    <s v="Basic Plan"/>
    <n v="5658"/>
    <n v="123"/>
    <n v="13"/>
    <n v="1274.27"/>
    <n v="4993.1000000000004"/>
    <n v="2.17"/>
    <n v="10.57"/>
    <n v="98.02"/>
    <n v="3.92"/>
    <n v="3718.83"/>
  </r>
  <r>
    <x v="98"/>
    <s v="Email Marketing"/>
    <s v="Flash Sale"/>
    <s v="Premium Plan"/>
    <n v="18550"/>
    <n v="4473"/>
    <n v="589"/>
    <n v="186.3"/>
    <n v="82141.149999999994"/>
    <n v="24.11"/>
    <n v="13.17"/>
    <n v="0.32"/>
    <n v="440.91"/>
    <n v="81954.850000000006"/>
  </r>
  <r>
    <x v="98"/>
    <s v="Organic Search"/>
    <s v="Seasonal Promotion"/>
    <s v="Starter Kit"/>
    <n v="29511"/>
    <n v="1320"/>
    <n v="166"/>
    <n v="0"/>
    <n v="22006.66"/>
    <n v="4.47"/>
    <n v="12.58"/>
    <n v="0"/>
    <n v="0"/>
    <n v="22006.66"/>
  </r>
  <r>
    <x v="98"/>
    <s v="Display Ads"/>
    <s v="Lead Generation"/>
    <s v="Add-on Service"/>
    <n v="34367"/>
    <n v="670"/>
    <n v="26"/>
    <n v="1094.8599999999999"/>
    <n v="3255.01"/>
    <n v="1.95"/>
    <n v="3.88"/>
    <n v="42.11"/>
    <n v="2.97"/>
    <n v="2160.15"/>
  </r>
  <r>
    <x v="98"/>
    <s v="YouTube Ads"/>
    <s v="Flash Sale"/>
    <s v="Add-on Service"/>
    <n v="17401"/>
    <n v="445"/>
    <n v="33"/>
    <n v="1212.25"/>
    <n v="3898.36"/>
    <n v="2.56"/>
    <n v="7.42"/>
    <n v="36.729999999999997"/>
    <n v="3.22"/>
    <n v="2686.11"/>
  </r>
  <r>
    <x v="98"/>
    <s v="Twitter Ads"/>
    <s v="Retargeting"/>
    <s v="Basic Plan"/>
    <n v="12904"/>
    <n v="405"/>
    <n v="14"/>
    <n v="569.12"/>
    <n v="1230.9100000000001"/>
    <n v="3.14"/>
    <n v="3.46"/>
    <n v="40.65"/>
    <n v="2.16"/>
    <n v="661.79"/>
  </r>
  <r>
    <x v="98"/>
    <s v="TikTok Ads"/>
    <s v="Flash Sale"/>
    <s v="Basic Plan"/>
    <n v="19058"/>
    <n v="602"/>
    <n v="38"/>
    <n v="636.99"/>
    <n v="2921.99"/>
    <n v="3.16"/>
    <n v="6.31"/>
    <n v="16.760000000000002"/>
    <n v="4.59"/>
    <n v="2285"/>
  </r>
  <r>
    <x v="98"/>
    <s v="Affiliate Marketing"/>
    <s v="Brand Awareness"/>
    <s v="Add-on Service"/>
    <n v="8947"/>
    <n v="476"/>
    <n v="55"/>
    <n v="480.79"/>
    <n v="5732.73"/>
    <n v="5.32"/>
    <n v="11.55"/>
    <n v="8.74"/>
    <n v="11.92"/>
    <n v="5251.94"/>
  </r>
  <r>
    <x v="98"/>
    <s v="Referral"/>
    <s v="Flash Sale"/>
    <s v="Premium Plan"/>
    <n v="6471"/>
    <n v="562"/>
    <n v="69"/>
    <n v="122.63"/>
    <n v="10597.97"/>
    <n v="8.68"/>
    <n v="12.28"/>
    <n v="1.78"/>
    <n v="86.42"/>
    <n v="10475.34"/>
  </r>
  <r>
    <x v="99"/>
    <s v="Google Ads"/>
    <s v="Lead Generation"/>
    <s v="Premium Plan"/>
    <n v="10500"/>
    <n v="368"/>
    <n v="42"/>
    <n v="1178.6500000000001"/>
    <n v="5270.74"/>
    <n v="3.5"/>
    <n v="11.41"/>
    <n v="28.06"/>
    <n v="4.47"/>
    <n v="4092.09"/>
  </r>
  <r>
    <x v="99"/>
    <s v="Facebook Ads"/>
    <s v="Retargeting"/>
    <s v="Enterprise Plan"/>
    <n v="14289"/>
    <n v="316"/>
    <n v="17"/>
    <n v="1090.4100000000001"/>
    <n v="1979.42"/>
    <n v="2.21"/>
    <n v="5.38"/>
    <n v="64.14"/>
    <n v="1.82"/>
    <n v="889.01"/>
  </r>
  <r>
    <x v="99"/>
    <s v="Instagram Ads"/>
    <s v="Retargeting"/>
    <s v="Basic Plan"/>
    <n v="13492"/>
    <n v="545"/>
    <n v="40"/>
    <n v="649.24"/>
    <n v="3607.31"/>
    <n v="4.04"/>
    <n v="7.34"/>
    <n v="16.23"/>
    <n v="5.56"/>
    <n v="2958.07"/>
  </r>
  <r>
    <x v="99"/>
    <s v="LinkedIn Ads"/>
    <s v="Retargeting"/>
    <s v="Basic Plan"/>
    <n v="5920"/>
    <n v="160"/>
    <n v="17"/>
    <n v="1426.39"/>
    <n v="3972.69"/>
    <n v="2.7"/>
    <n v="10.62"/>
    <n v="83.91"/>
    <n v="2.79"/>
    <n v="2546.3000000000002"/>
  </r>
  <r>
    <x v="99"/>
    <s v="Email Marketing"/>
    <s v="Retargeting"/>
    <s v="Add-on Service"/>
    <n v="20380"/>
    <n v="4195"/>
    <n v="574"/>
    <n v="116.64"/>
    <n v="85262.99"/>
    <n v="20.58"/>
    <n v="13.68"/>
    <n v="0.2"/>
    <n v="730.99"/>
    <n v="85146.35"/>
  </r>
  <r>
    <x v="99"/>
    <s v="Organic Search"/>
    <s v="Seasonal Promotion"/>
    <s v="Starter Kit"/>
    <n v="24525"/>
    <n v="1946"/>
    <n v="297"/>
    <n v="0"/>
    <n v="28979.42"/>
    <n v="7.93"/>
    <n v="15.26"/>
    <n v="0"/>
    <n v="0"/>
    <n v="28979.42"/>
  </r>
  <r>
    <x v="99"/>
    <s v="Display Ads"/>
    <s v="Flash Sale"/>
    <s v="Premium Plan"/>
    <n v="26426"/>
    <n v="286"/>
    <n v="11"/>
    <n v="1288.02"/>
    <n v="1375.65"/>
    <n v="1.08"/>
    <n v="3.85"/>
    <n v="117.09"/>
    <n v="1.07"/>
    <n v="87.63"/>
  </r>
  <r>
    <x v="99"/>
    <s v="YouTube Ads"/>
    <s v="Flash Sale"/>
    <s v="Basic Plan"/>
    <n v="15675"/>
    <n v="305"/>
    <n v="22"/>
    <n v="1166.7"/>
    <n v="3011.66"/>
    <n v="1.95"/>
    <n v="7.21"/>
    <n v="53.03"/>
    <n v="2.58"/>
    <n v="1844.96"/>
  </r>
  <r>
    <x v="99"/>
    <s v="Twitter Ads"/>
    <s v="Seasonal Promotion"/>
    <s v="Basic Plan"/>
    <n v="13755"/>
    <n v="416"/>
    <n v="24"/>
    <n v="570.87"/>
    <n v="2139.04"/>
    <n v="3.02"/>
    <n v="5.77"/>
    <n v="23.79"/>
    <n v="3.75"/>
    <n v="1568.17"/>
  </r>
  <r>
    <x v="99"/>
    <s v="TikTok Ads"/>
    <s v="Seasonal Promotion"/>
    <s v="Enterprise Plan"/>
    <n v="27687"/>
    <n v="833"/>
    <n v="28"/>
    <n v="898.42"/>
    <n v="2313.35"/>
    <n v="3.01"/>
    <n v="3.36"/>
    <n v="32.090000000000003"/>
    <n v="2.57"/>
    <n v="1414.93"/>
  </r>
  <r>
    <x v="99"/>
    <s v="Affiliate Marketing"/>
    <s v="Flash Sale"/>
    <s v="Starter Kit"/>
    <n v="5587"/>
    <n v="263"/>
    <n v="29"/>
    <n v="307.01"/>
    <n v="3412.2"/>
    <n v="4.71"/>
    <n v="11.03"/>
    <n v="10.59"/>
    <n v="11.11"/>
    <n v="3105.19"/>
  </r>
  <r>
    <x v="99"/>
    <s v="Referral"/>
    <s v="Seasonal Promotion"/>
    <s v="Starter Kit"/>
    <n v="4510"/>
    <n v="229"/>
    <n v="35"/>
    <n v="70.55"/>
    <n v="5032.28"/>
    <n v="5.08"/>
    <n v="15.28"/>
    <n v="2.02"/>
    <n v="71.33"/>
    <n v="4961.7299999999996"/>
  </r>
  <r>
    <x v="100"/>
    <s v="Google Ads"/>
    <s v="Product Launch"/>
    <s v="Basic Plan"/>
    <n v="12480"/>
    <n v="623"/>
    <n v="54"/>
    <n v="1259.6400000000001"/>
    <n v="9943.84"/>
    <n v="4.99"/>
    <n v="8.67"/>
    <n v="23.33"/>
    <n v="7.89"/>
    <n v="8684.2000000000007"/>
  </r>
  <r>
    <x v="100"/>
    <s v="Facebook Ads"/>
    <s v="Retargeting"/>
    <s v="Add-on Service"/>
    <n v="18772"/>
    <n v="739"/>
    <n v="61"/>
    <n v="760.57"/>
    <n v="5840.66"/>
    <n v="3.94"/>
    <n v="8.25"/>
    <n v="12.47"/>
    <n v="7.68"/>
    <n v="5080.09"/>
  </r>
  <r>
    <x v="100"/>
    <s v="Instagram Ads"/>
    <s v="Product Launch"/>
    <s v="Add-on Service"/>
    <n v="12321"/>
    <n v="487"/>
    <n v="29"/>
    <n v="571.95000000000005"/>
    <n v="2819.23"/>
    <n v="3.95"/>
    <n v="5.95"/>
    <n v="19.72"/>
    <n v="4.93"/>
    <n v="2247.2800000000002"/>
  </r>
  <r>
    <x v="100"/>
    <s v="LinkedIn Ads"/>
    <s v="Product Launch"/>
    <s v="Enterprise Plan"/>
    <n v="5027"/>
    <n v="82"/>
    <n v="10"/>
    <n v="1162.7"/>
    <n v="3410.12"/>
    <n v="1.63"/>
    <n v="12.2"/>
    <n v="116.27"/>
    <n v="2.93"/>
    <n v="2247.42"/>
  </r>
  <r>
    <x v="100"/>
    <s v="Email Marketing"/>
    <s v="Seasonal Promotion"/>
    <s v="Starter Kit"/>
    <n v="17704"/>
    <n v="2994"/>
    <n v="378"/>
    <n v="141.91999999999999"/>
    <n v="57295.19"/>
    <n v="16.91"/>
    <n v="12.63"/>
    <n v="0.38"/>
    <n v="403.71"/>
    <n v="57153.27"/>
  </r>
  <r>
    <x v="100"/>
    <s v="Organic Search"/>
    <s v="Lead Generation"/>
    <s v="Basic Plan"/>
    <n v="26769"/>
    <n v="1913"/>
    <n v="281"/>
    <n v="0"/>
    <n v="32341.15"/>
    <n v="7.15"/>
    <n v="14.69"/>
    <n v="0"/>
    <n v="0"/>
    <n v="32341.15"/>
  </r>
  <r>
    <x v="100"/>
    <s v="Display Ads"/>
    <s v="Product Launch"/>
    <s v="Add-on Service"/>
    <n v="34597"/>
    <n v="601"/>
    <n v="27"/>
    <n v="755.86"/>
    <n v="2287.27"/>
    <n v="1.74"/>
    <n v="4.49"/>
    <n v="27.99"/>
    <n v="3.03"/>
    <n v="1531.41"/>
  </r>
  <r>
    <x v="100"/>
    <s v="YouTube Ads"/>
    <s v="Product Launch"/>
    <s v="Basic Plan"/>
    <n v="20861"/>
    <n v="318"/>
    <n v="19"/>
    <n v="1204.82"/>
    <n v="1773.43"/>
    <n v="1.52"/>
    <n v="5.97"/>
    <n v="63.41"/>
    <n v="1.47"/>
    <n v="568.61"/>
  </r>
  <r>
    <x v="100"/>
    <s v="Twitter Ads"/>
    <s v="Product Launch"/>
    <s v="Enterprise Plan"/>
    <n v="13652"/>
    <n v="313"/>
    <n v="16"/>
    <n v="423.52"/>
    <n v="1370.57"/>
    <n v="2.29"/>
    <n v="5.1100000000000003"/>
    <n v="26.47"/>
    <n v="3.24"/>
    <n v="947.05"/>
  </r>
  <r>
    <x v="100"/>
    <s v="TikTok Ads"/>
    <s v="Flash Sale"/>
    <s v="Basic Plan"/>
    <n v="25700"/>
    <n v="836"/>
    <n v="55"/>
    <n v="854.55"/>
    <n v="4852.62"/>
    <n v="3.25"/>
    <n v="6.58"/>
    <n v="15.54"/>
    <n v="5.68"/>
    <n v="3998.07"/>
  </r>
  <r>
    <x v="100"/>
    <s v="Affiliate Marketing"/>
    <s v="Flash Sale"/>
    <s v="Starter Kit"/>
    <n v="5828"/>
    <n v="316"/>
    <n v="40"/>
    <n v="648.66999999999996"/>
    <n v="5167.57"/>
    <n v="5.42"/>
    <n v="12.66"/>
    <n v="16.22"/>
    <n v="7.97"/>
    <n v="4518.8999999999996"/>
  </r>
  <r>
    <x v="100"/>
    <s v="Referral"/>
    <s v="Product Launch"/>
    <s v="Starter Kit"/>
    <n v="4139"/>
    <n v="334"/>
    <n v="52"/>
    <n v="53.98"/>
    <n v="8093.28"/>
    <n v="8.07"/>
    <n v="15.57"/>
    <n v="1.04"/>
    <n v="149.93"/>
    <n v="8039.3"/>
  </r>
  <r>
    <x v="101"/>
    <s v="Google Ads"/>
    <s v="Product Launch"/>
    <s v="Add-on Service"/>
    <n v="12191"/>
    <n v="530"/>
    <n v="52"/>
    <n v="1246.48"/>
    <n v="6669.81"/>
    <n v="4.3499999999999996"/>
    <n v="9.81"/>
    <n v="23.97"/>
    <n v="5.35"/>
    <n v="5423.33"/>
  </r>
  <r>
    <x v="101"/>
    <s v="Facebook Ads"/>
    <s v="Flash Sale"/>
    <s v="Enterprise Plan"/>
    <n v="15747"/>
    <n v="450"/>
    <n v="22"/>
    <n v="1108.05"/>
    <n v="2816.43"/>
    <n v="2.86"/>
    <n v="4.8899999999999997"/>
    <n v="50.37"/>
    <n v="2.54"/>
    <n v="1708.38"/>
  </r>
  <r>
    <x v="101"/>
    <s v="Instagram Ads"/>
    <s v="Product Launch"/>
    <s v="Premium Plan"/>
    <n v="15979"/>
    <n v="534"/>
    <n v="34"/>
    <n v="829.48"/>
    <n v="3111.23"/>
    <n v="3.34"/>
    <n v="6.37"/>
    <n v="24.4"/>
    <n v="3.75"/>
    <n v="2281.75"/>
  </r>
  <r>
    <x v="101"/>
    <s v="LinkedIn Ads"/>
    <s v="Seasonal Promotion"/>
    <s v="Add-on Service"/>
    <n v="5746"/>
    <n v="113"/>
    <n v="16"/>
    <n v="1129.92"/>
    <n v="5021.78"/>
    <n v="1.97"/>
    <n v="14.16"/>
    <n v="70.62"/>
    <n v="4.4400000000000004"/>
    <n v="3891.86"/>
  </r>
  <r>
    <x v="101"/>
    <s v="Email Marketing"/>
    <s v="Retargeting"/>
    <s v="Starter Kit"/>
    <n v="17852"/>
    <n v="3932"/>
    <n v="405"/>
    <n v="212.72"/>
    <n v="63203.42"/>
    <n v="22.03"/>
    <n v="10.3"/>
    <n v="0.53"/>
    <n v="297.12"/>
    <n v="62990.7"/>
  </r>
  <r>
    <x v="101"/>
    <s v="Organic Search"/>
    <s v="Product Launch"/>
    <s v="Basic Plan"/>
    <n v="21583"/>
    <n v="1280"/>
    <n v="198"/>
    <n v="0"/>
    <n v="26959.38"/>
    <n v="5.93"/>
    <n v="15.47"/>
    <n v="0"/>
    <n v="0"/>
    <n v="26959.38"/>
  </r>
  <r>
    <x v="101"/>
    <s v="Display Ads"/>
    <s v="Product Launch"/>
    <s v="Premium Plan"/>
    <n v="33426"/>
    <n v="476"/>
    <n v="22"/>
    <n v="1159.74"/>
    <n v="2543.58"/>
    <n v="1.42"/>
    <n v="4.62"/>
    <n v="52.72"/>
    <n v="2.19"/>
    <n v="1383.84"/>
  </r>
  <r>
    <x v="101"/>
    <s v="YouTube Ads"/>
    <s v="Product Launch"/>
    <s v="Premium Plan"/>
    <n v="21638"/>
    <n v="391"/>
    <n v="24"/>
    <n v="880.97"/>
    <n v="3205.25"/>
    <n v="1.81"/>
    <n v="6.14"/>
    <n v="36.71"/>
    <n v="3.64"/>
    <n v="2324.2800000000002"/>
  </r>
  <r>
    <x v="101"/>
    <s v="Twitter Ads"/>
    <s v="Product Launch"/>
    <s v="Starter Kit"/>
    <n v="8192"/>
    <n v="271"/>
    <n v="13"/>
    <n v="795.58"/>
    <n v="1482.71"/>
    <n v="3.31"/>
    <n v="4.8"/>
    <n v="61.2"/>
    <n v="1.86"/>
    <n v="687.13"/>
  </r>
  <r>
    <x v="101"/>
    <s v="TikTok Ads"/>
    <s v="Flash Sale"/>
    <s v="Enterprise Plan"/>
    <n v="21858"/>
    <n v="586"/>
    <n v="31"/>
    <n v="657.41"/>
    <n v="3125.37"/>
    <n v="2.68"/>
    <n v="5.29"/>
    <n v="21.21"/>
    <n v="4.75"/>
    <n v="2467.96"/>
  </r>
  <r>
    <x v="101"/>
    <s v="Affiliate Marketing"/>
    <s v="Flash Sale"/>
    <s v="Starter Kit"/>
    <n v="6197"/>
    <n v="248"/>
    <n v="27"/>
    <n v="651.73"/>
    <n v="2621.21"/>
    <n v="4"/>
    <n v="10.89"/>
    <n v="24.14"/>
    <n v="4.0199999999999996"/>
    <n v="1969.48"/>
  </r>
  <r>
    <x v="101"/>
    <s v="Referral"/>
    <s v="Lead Generation"/>
    <s v="Basic Plan"/>
    <n v="3443"/>
    <n v="299"/>
    <n v="38"/>
    <n v="99.19"/>
    <n v="5647.36"/>
    <n v="8.68"/>
    <n v="12.71"/>
    <n v="2.61"/>
    <n v="56.93"/>
    <n v="5548.17"/>
  </r>
  <r>
    <x v="102"/>
    <s v="Google Ads"/>
    <s v="Seasonal Promotion"/>
    <s v="Enterprise Plan"/>
    <n v="9739"/>
    <n v="409"/>
    <n v="44"/>
    <n v="1182.83"/>
    <n v="5026.71"/>
    <n v="4.2"/>
    <n v="10.76"/>
    <n v="26.88"/>
    <n v="4.25"/>
    <n v="3843.88"/>
  </r>
  <r>
    <x v="102"/>
    <s v="Facebook Ads"/>
    <s v="Seasonal Promotion"/>
    <s v="Enterprise Plan"/>
    <n v="19623"/>
    <n v="774"/>
    <n v="57"/>
    <n v="777.79"/>
    <n v="6557.14"/>
    <n v="3.94"/>
    <n v="7.36"/>
    <n v="13.65"/>
    <n v="8.43"/>
    <n v="5779.35"/>
  </r>
  <r>
    <x v="102"/>
    <s v="Instagram Ads"/>
    <s v="Lead Generation"/>
    <s v="Premium Plan"/>
    <n v="15046"/>
    <n v="617"/>
    <n v="29"/>
    <n v="971.16"/>
    <n v="2929.73"/>
    <n v="4.0999999999999996"/>
    <n v="4.7"/>
    <n v="33.49"/>
    <n v="3.02"/>
    <n v="1958.57"/>
  </r>
  <r>
    <x v="102"/>
    <s v="LinkedIn Ads"/>
    <s v="Seasonal Promotion"/>
    <s v="Add-on Service"/>
    <n v="5959"/>
    <n v="114"/>
    <n v="11"/>
    <n v="1730.46"/>
    <n v="2789.16"/>
    <n v="1.91"/>
    <n v="9.65"/>
    <n v="157.31"/>
    <n v="1.61"/>
    <n v="1058.7"/>
  </r>
  <r>
    <x v="102"/>
    <s v="Email Marketing"/>
    <s v="Lead Generation"/>
    <s v="Basic Plan"/>
    <n v="22422"/>
    <n v="4980"/>
    <n v="547"/>
    <n v="194.65"/>
    <n v="85078.48"/>
    <n v="22.21"/>
    <n v="10.98"/>
    <n v="0.36"/>
    <n v="437.08"/>
    <n v="84883.83"/>
  </r>
  <r>
    <x v="102"/>
    <s v="Organic Search"/>
    <s v="Brand Awareness"/>
    <s v="Add-on Service"/>
    <n v="32678"/>
    <n v="1337"/>
    <n v="174"/>
    <n v="0"/>
    <n v="18009.98"/>
    <n v="4.09"/>
    <n v="13.01"/>
    <n v="0"/>
    <n v="0"/>
    <n v="18009.98"/>
  </r>
  <r>
    <x v="102"/>
    <s v="Display Ads"/>
    <s v="Lead Generation"/>
    <s v="Basic Plan"/>
    <n v="29909"/>
    <n v="464"/>
    <n v="22"/>
    <n v="1189.3900000000001"/>
    <n v="2411.19"/>
    <n v="1.55"/>
    <n v="4.74"/>
    <n v="54.06"/>
    <n v="2.0299999999999998"/>
    <n v="1221.8"/>
  </r>
  <r>
    <x v="102"/>
    <s v="YouTube Ads"/>
    <s v="Brand Awareness"/>
    <s v="Premium Plan"/>
    <n v="19459"/>
    <n v="422"/>
    <n v="33"/>
    <n v="824.21"/>
    <n v="4044.04"/>
    <n v="2.17"/>
    <n v="7.82"/>
    <n v="24.98"/>
    <n v="4.91"/>
    <n v="3219.83"/>
  </r>
  <r>
    <x v="102"/>
    <s v="Twitter Ads"/>
    <s v="Retargeting"/>
    <s v="Enterprise Plan"/>
    <n v="13004"/>
    <n v="402"/>
    <n v="14"/>
    <n v="537.30999999999995"/>
    <n v="1395.85"/>
    <n v="3.09"/>
    <n v="3.48"/>
    <n v="38.380000000000003"/>
    <n v="2.6"/>
    <n v="858.54"/>
  </r>
  <r>
    <x v="102"/>
    <s v="TikTok Ads"/>
    <s v="Flash Sale"/>
    <s v="Starter Kit"/>
    <n v="29449"/>
    <n v="768"/>
    <n v="39"/>
    <n v="933.81"/>
    <n v="2751.82"/>
    <n v="2.61"/>
    <n v="5.08"/>
    <n v="23.94"/>
    <n v="2.95"/>
    <n v="1818.01"/>
  </r>
  <r>
    <x v="102"/>
    <s v="Affiliate Marketing"/>
    <s v="Brand Awareness"/>
    <s v="Basic Plan"/>
    <n v="9956"/>
    <n v="502"/>
    <n v="64"/>
    <n v="420.72"/>
    <n v="8086.54"/>
    <n v="5.04"/>
    <n v="12.75"/>
    <n v="6.57"/>
    <n v="19.22"/>
    <n v="7665.82"/>
  </r>
  <r>
    <x v="102"/>
    <s v="Referral"/>
    <s v="Brand Awareness"/>
    <s v="Add-on Service"/>
    <n v="4743"/>
    <n v="449"/>
    <n v="60"/>
    <n v="99.83"/>
    <n v="10352.959999999999"/>
    <n v="9.4700000000000006"/>
    <n v="13.36"/>
    <n v="1.66"/>
    <n v="103.71"/>
    <n v="10253.129999999999"/>
  </r>
  <r>
    <x v="103"/>
    <s v="Google Ads"/>
    <s v="Lead Generation"/>
    <s v="Starter Kit"/>
    <n v="8316"/>
    <n v="312"/>
    <n v="29"/>
    <n v="920.68"/>
    <n v="4442.0600000000004"/>
    <n v="3.75"/>
    <n v="9.2899999999999991"/>
    <n v="31.75"/>
    <n v="4.82"/>
    <n v="3521.38"/>
  </r>
  <r>
    <x v="103"/>
    <s v="Facebook Ads"/>
    <s v="Flash Sale"/>
    <s v="Starter Kit"/>
    <n v="10624"/>
    <n v="290"/>
    <n v="21"/>
    <n v="629.74"/>
    <n v="2070.7199999999998"/>
    <n v="2.73"/>
    <n v="7.24"/>
    <n v="29.99"/>
    <n v="3.29"/>
    <n v="1440.98"/>
  </r>
  <r>
    <x v="103"/>
    <s v="Instagram Ads"/>
    <s v="Retargeting"/>
    <s v="Basic Plan"/>
    <n v="8021"/>
    <n v="214"/>
    <n v="10"/>
    <n v="540.37"/>
    <n v="1002.67"/>
    <n v="2.67"/>
    <n v="4.67"/>
    <n v="54.04"/>
    <n v="1.86"/>
    <n v="462.3"/>
  </r>
  <r>
    <x v="103"/>
    <s v="LinkedIn Ads"/>
    <s v="Product Launch"/>
    <s v="Enterprise Plan"/>
    <n v="2543"/>
    <n v="40"/>
    <n v="4"/>
    <n v="635.04999999999995"/>
    <n v="1150.53"/>
    <n v="1.57"/>
    <n v="10"/>
    <n v="158.76"/>
    <n v="1.81"/>
    <n v="515.48"/>
  </r>
  <r>
    <x v="103"/>
    <s v="Email Marketing"/>
    <s v="Product Launch"/>
    <s v="Premium Plan"/>
    <n v="13794"/>
    <n v="2364"/>
    <n v="289"/>
    <n v="119.74"/>
    <n v="47745.06"/>
    <n v="17.14"/>
    <n v="12.23"/>
    <n v="0.41"/>
    <n v="398.74"/>
    <n v="47625.32"/>
  </r>
  <r>
    <x v="103"/>
    <s v="Organic Search"/>
    <s v="Brand Awareness"/>
    <s v="Add-on Service"/>
    <n v="24154"/>
    <n v="1359"/>
    <n v="204"/>
    <n v="0"/>
    <n v="26748"/>
    <n v="5.63"/>
    <n v="15.01"/>
    <n v="0"/>
    <n v="0"/>
    <n v="26748"/>
  </r>
  <r>
    <x v="103"/>
    <s v="Display Ads"/>
    <s v="Lead Generation"/>
    <s v="Add-on Service"/>
    <n v="24609"/>
    <n v="364"/>
    <n v="12"/>
    <n v="646.25"/>
    <n v="1361.38"/>
    <n v="1.48"/>
    <n v="3.3"/>
    <n v="53.85"/>
    <n v="2.11"/>
    <n v="715.13"/>
  </r>
  <r>
    <x v="103"/>
    <s v="YouTube Ads"/>
    <s v="Flash Sale"/>
    <s v="Premium Plan"/>
    <n v="12055"/>
    <n v="186"/>
    <n v="14"/>
    <n v="760.74"/>
    <n v="1714.2"/>
    <n v="1.54"/>
    <n v="7.53"/>
    <n v="54.34"/>
    <n v="2.25"/>
    <n v="953.46"/>
  </r>
  <r>
    <x v="103"/>
    <s v="Twitter Ads"/>
    <s v="Lead Generation"/>
    <s v="Starter Kit"/>
    <n v="6012"/>
    <n v="175"/>
    <n v="9"/>
    <n v="334.16"/>
    <n v="1033.8499999999999"/>
    <n v="2.91"/>
    <n v="5.14"/>
    <n v="37.130000000000003"/>
    <n v="3.09"/>
    <n v="699.69"/>
  </r>
  <r>
    <x v="103"/>
    <s v="TikTok Ads"/>
    <s v="Lead Generation"/>
    <s v="Premium Plan"/>
    <n v="19893"/>
    <n v="557"/>
    <n v="32"/>
    <n v="516.38"/>
    <n v="3040.52"/>
    <n v="2.8"/>
    <n v="5.75"/>
    <n v="16.14"/>
    <n v="5.89"/>
    <n v="2524.14"/>
  </r>
  <r>
    <x v="103"/>
    <s v="Affiliate Marketing"/>
    <s v="Retargeting"/>
    <s v="Starter Kit"/>
    <n v="6992"/>
    <n v="340"/>
    <n v="41"/>
    <n v="232.07"/>
    <n v="5550.76"/>
    <n v="4.8600000000000003"/>
    <n v="12.06"/>
    <n v="5.66"/>
    <n v="23.92"/>
    <n v="5318.69"/>
  </r>
  <r>
    <x v="103"/>
    <s v="Referral"/>
    <s v="Lead Generation"/>
    <s v="Enterprise Plan"/>
    <n v="4378"/>
    <n v="251"/>
    <n v="44"/>
    <n v="75.73"/>
    <n v="5967.31"/>
    <n v="5.73"/>
    <n v="17.53"/>
    <n v="1.72"/>
    <n v="78.8"/>
    <n v="5891.58"/>
  </r>
  <r>
    <x v="104"/>
    <s v="Google Ads"/>
    <s v="Brand Awareness"/>
    <s v="Premium Plan"/>
    <n v="5641"/>
    <n v="189"/>
    <n v="22"/>
    <n v="984.38"/>
    <n v="3062.66"/>
    <n v="3.35"/>
    <n v="11.64"/>
    <n v="44.74"/>
    <n v="3.11"/>
    <n v="2078.2800000000002"/>
  </r>
  <r>
    <x v="104"/>
    <s v="Facebook Ads"/>
    <s v="Product Launch"/>
    <s v="Add-on Service"/>
    <n v="13397"/>
    <n v="485"/>
    <n v="24"/>
    <n v="753.69"/>
    <n v="2521.66"/>
    <n v="3.62"/>
    <n v="4.95"/>
    <n v="31.4"/>
    <n v="3.35"/>
    <n v="1767.97"/>
  </r>
  <r>
    <x v="104"/>
    <s v="Instagram Ads"/>
    <s v="Seasonal Promotion"/>
    <s v="Premium Plan"/>
    <n v="7415"/>
    <n v="223"/>
    <n v="16"/>
    <n v="582.79999999999995"/>
    <n v="1715.63"/>
    <n v="3.01"/>
    <n v="7.17"/>
    <n v="36.42"/>
    <n v="2.94"/>
    <n v="1132.83"/>
  </r>
  <r>
    <x v="104"/>
    <s v="LinkedIn Ads"/>
    <s v="Product Launch"/>
    <s v="Enterprise Plan"/>
    <n v="3264"/>
    <n v="64"/>
    <n v="8"/>
    <n v="788.18"/>
    <n v="2621.3200000000002"/>
    <n v="1.96"/>
    <n v="12.5"/>
    <n v="98.52"/>
    <n v="3.33"/>
    <n v="1833.14"/>
  </r>
  <r>
    <x v="104"/>
    <s v="Email Marketing"/>
    <s v="Retargeting"/>
    <s v="Add-on Service"/>
    <n v="16643"/>
    <n v="3554"/>
    <n v="376"/>
    <n v="71.08"/>
    <n v="61634.83"/>
    <n v="21.35"/>
    <n v="10.58"/>
    <n v="0.19"/>
    <n v="867.12"/>
    <n v="61563.75"/>
  </r>
  <r>
    <x v="104"/>
    <s v="Organic Search"/>
    <s v="Seasonal Promotion"/>
    <s v="Starter Kit"/>
    <n v="20750"/>
    <n v="963"/>
    <n v="135"/>
    <n v="0"/>
    <n v="20339.03"/>
    <n v="4.6399999999999997"/>
    <n v="14.02"/>
    <n v="0"/>
    <n v="0"/>
    <n v="20339.03"/>
  </r>
  <r>
    <x v="104"/>
    <s v="Display Ads"/>
    <s v="Lead Generation"/>
    <s v="Add-on Service"/>
    <n v="25420"/>
    <n v="490"/>
    <n v="12"/>
    <n v="843.19"/>
    <n v="1102.3499999999999"/>
    <n v="1.93"/>
    <n v="2.4500000000000002"/>
    <n v="70.27"/>
    <n v="1.31"/>
    <n v="259.16000000000003"/>
  </r>
  <r>
    <x v="104"/>
    <s v="YouTube Ads"/>
    <s v="Retargeting"/>
    <s v="Enterprise Plan"/>
    <n v="12420"/>
    <n v="262"/>
    <n v="18"/>
    <n v="890.13"/>
    <n v="2082.16"/>
    <n v="2.11"/>
    <n v="6.87"/>
    <n v="49.45"/>
    <n v="2.34"/>
    <n v="1192.03"/>
  </r>
  <r>
    <x v="104"/>
    <s v="Twitter Ads"/>
    <s v="Lead Generation"/>
    <s v="Premium Plan"/>
    <n v="7021"/>
    <n v="163"/>
    <n v="8"/>
    <n v="399.13"/>
    <n v="685.87"/>
    <n v="2.3199999999999998"/>
    <n v="4.91"/>
    <n v="49.89"/>
    <n v="1.72"/>
    <n v="286.74"/>
  </r>
  <r>
    <x v="104"/>
    <s v="TikTok Ads"/>
    <s v="Product Launch"/>
    <s v="Basic Plan"/>
    <n v="13456"/>
    <n v="366"/>
    <n v="24"/>
    <n v="543.4"/>
    <n v="1989.73"/>
    <n v="2.72"/>
    <n v="6.56"/>
    <n v="22.64"/>
    <n v="3.66"/>
    <n v="1446.33"/>
  </r>
  <r>
    <x v="104"/>
    <s v="Affiliate Marketing"/>
    <s v="Flash Sale"/>
    <s v="Starter Kit"/>
    <n v="5310"/>
    <n v="215"/>
    <n v="17"/>
    <n v="449.35"/>
    <n v="1647.99"/>
    <n v="4.05"/>
    <n v="7.91"/>
    <n v="26.43"/>
    <n v="3.67"/>
    <n v="1198.6400000000001"/>
  </r>
  <r>
    <x v="104"/>
    <s v="Referral"/>
    <s v="Flash Sale"/>
    <s v="Enterprise Plan"/>
    <n v="2524"/>
    <n v="219"/>
    <n v="29"/>
    <n v="71.08"/>
    <n v="3880.61"/>
    <n v="8.68"/>
    <n v="13.24"/>
    <n v="2.4500000000000002"/>
    <n v="54.59"/>
    <n v="3809.53"/>
  </r>
  <r>
    <x v="105"/>
    <s v="Google Ads"/>
    <s v="Flash Sale"/>
    <s v="Basic Plan"/>
    <n v="14232"/>
    <n v="471"/>
    <n v="42"/>
    <n v="897.01"/>
    <n v="6558.79"/>
    <n v="3.31"/>
    <n v="8.92"/>
    <n v="21.36"/>
    <n v="7.31"/>
    <n v="5661.78"/>
  </r>
  <r>
    <x v="105"/>
    <s v="Facebook Ads"/>
    <s v="Brand Awareness"/>
    <s v="Enterprise Plan"/>
    <n v="17054"/>
    <n v="555"/>
    <n v="46"/>
    <n v="753.05"/>
    <n v="4214.7"/>
    <n v="3.25"/>
    <n v="8.2899999999999991"/>
    <n v="16.37"/>
    <n v="5.6"/>
    <n v="3461.65"/>
  </r>
  <r>
    <x v="105"/>
    <s v="Instagram Ads"/>
    <s v="Product Launch"/>
    <s v="Add-on Service"/>
    <n v="12843"/>
    <n v="526"/>
    <n v="24"/>
    <n v="660.45"/>
    <n v="2651.2"/>
    <n v="4.0999999999999996"/>
    <n v="4.5599999999999996"/>
    <n v="27.52"/>
    <n v="4.01"/>
    <n v="1990.75"/>
  </r>
  <r>
    <x v="105"/>
    <s v="LinkedIn Ads"/>
    <s v="Flash Sale"/>
    <s v="Basic Plan"/>
    <n v="5164"/>
    <n v="110"/>
    <n v="15"/>
    <n v="1785.37"/>
    <n v="4802.58"/>
    <n v="2.13"/>
    <n v="13.64"/>
    <n v="119.02"/>
    <n v="2.69"/>
    <n v="3017.21"/>
  </r>
  <r>
    <x v="105"/>
    <s v="Email Marketing"/>
    <s v="Lead Generation"/>
    <s v="Add-on Service"/>
    <n v="18134"/>
    <n v="4128"/>
    <n v="448"/>
    <n v="229.02"/>
    <n v="54891.76"/>
    <n v="22.76"/>
    <n v="10.85"/>
    <n v="0.51"/>
    <n v="239.68"/>
    <n v="54662.74"/>
  </r>
  <r>
    <x v="105"/>
    <s v="Organic Search"/>
    <s v="Flash Sale"/>
    <s v="Starter Kit"/>
    <n v="24089"/>
    <n v="1556"/>
    <n v="215"/>
    <n v="0"/>
    <n v="31613.25"/>
    <n v="6.46"/>
    <n v="13.82"/>
    <n v="0"/>
    <n v="0"/>
    <n v="31613.25"/>
  </r>
  <r>
    <x v="105"/>
    <s v="Display Ads"/>
    <s v="Retargeting"/>
    <s v="Add-on Service"/>
    <n v="28713"/>
    <n v="374"/>
    <n v="15"/>
    <n v="1277.44"/>
    <n v="1841.29"/>
    <n v="1.3"/>
    <n v="4.01"/>
    <n v="85.16"/>
    <n v="1.44"/>
    <n v="563.85"/>
  </r>
  <r>
    <x v="105"/>
    <s v="YouTube Ads"/>
    <s v="Product Launch"/>
    <s v="Premium Plan"/>
    <n v="16087"/>
    <n v="397"/>
    <n v="26"/>
    <n v="1298.3599999999999"/>
    <n v="3075.04"/>
    <n v="2.4700000000000002"/>
    <n v="6.55"/>
    <n v="49.94"/>
    <n v="2.37"/>
    <n v="1776.68"/>
  </r>
  <r>
    <x v="105"/>
    <s v="Twitter Ads"/>
    <s v="Retargeting"/>
    <s v="Premium Plan"/>
    <n v="11214"/>
    <n v="329"/>
    <n v="14"/>
    <n v="460.24"/>
    <n v="1271.55"/>
    <n v="2.93"/>
    <n v="4.26"/>
    <n v="32.869999999999997"/>
    <n v="2.76"/>
    <n v="811.31"/>
  </r>
  <r>
    <x v="105"/>
    <s v="TikTok Ads"/>
    <s v="Lead Generation"/>
    <s v="Basic Plan"/>
    <n v="29205"/>
    <n v="1004"/>
    <n v="63"/>
    <n v="1053.22"/>
    <n v="4429.49"/>
    <n v="3.44"/>
    <n v="6.27"/>
    <n v="16.72"/>
    <n v="4.21"/>
    <n v="3376.27"/>
  </r>
  <r>
    <x v="105"/>
    <s v="Affiliate Marketing"/>
    <s v="Retargeting"/>
    <s v="Enterprise Plan"/>
    <n v="7221"/>
    <n v="307"/>
    <n v="39"/>
    <n v="483.12"/>
    <n v="4379.59"/>
    <n v="4.25"/>
    <n v="12.7"/>
    <n v="12.39"/>
    <n v="9.07"/>
    <n v="3896.47"/>
  </r>
  <r>
    <x v="105"/>
    <s v="Referral"/>
    <s v="Lead Generation"/>
    <s v="Premium Plan"/>
    <n v="3301"/>
    <n v="240"/>
    <n v="29"/>
    <n v="182.98"/>
    <n v="4762.55"/>
    <n v="7.27"/>
    <n v="12.08"/>
    <n v="6.31"/>
    <n v="26.03"/>
    <n v="4579.57"/>
  </r>
  <r>
    <x v="106"/>
    <s v="Google Ads"/>
    <s v="Product Launch"/>
    <s v="Starter Kit"/>
    <n v="10520"/>
    <n v="411"/>
    <n v="36"/>
    <n v="1073.71"/>
    <n v="4723.21"/>
    <n v="3.91"/>
    <n v="8.76"/>
    <n v="29.83"/>
    <n v="4.4000000000000004"/>
    <n v="3649.5"/>
  </r>
  <r>
    <x v="106"/>
    <s v="Facebook Ads"/>
    <s v="Lead Generation"/>
    <s v="Starter Kit"/>
    <n v="13544"/>
    <n v="490"/>
    <n v="28"/>
    <n v="863.42"/>
    <n v="3122.57"/>
    <n v="3.62"/>
    <n v="5.71"/>
    <n v="30.84"/>
    <n v="3.62"/>
    <n v="2259.15"/>
  </r>
  <r>
    <x v="106"/>
    <s v="Instagram Ads"/>
    <s v="Product Launch"/>
    <s v="Enterprise Plan"/>
    <n v="13722"/>
    <n v="604"/>
    <n v="30"/>
    <n v="643.75"/>
    <n v="3153.25"/>
    <n v="4.4000000000000004"/>
    <n v="4.97"/>
    <n v="21.46"/>
    <n v="4.9000000000000004"/>
    <n v="2509.5"/>
  </r>
  <r>
    <x v="106"/>
    <s v="LinkedIn Ads"/>
    <s v="Product Launch"/>
    <s v="Add-on Service"/>
    <n v="4338"/>
    <n v="126"/>
    <n v="15"/>
    <n v="1184"/>
    <n v="3679.66"/>
    <n v="2.9"/>
    <n v="11.9"/>
    <n v="78.930000000000007"/>
    <n v="3.11"/>
    <n v="2495.66"/>
  </r>
  <r>
    <x v="106"/>
    <s v="Email Marketing"/>
    <s v="Flash Sale"/>
    <s v="Add-on Service"/>
    <n v="15772"/>
    <n v="2780"/>
    <n v="278"/>
    <n v="125.54"/>
    <n v="38949.120000000003"/>
    <n v="17.63"/>
    <n v="10"/>
    <n v="0.45"/>
    <n v="310.25"/>
    <n v="38823.58"/>
  </r>
  <r>
    <x v="106"/>
    <s v="Organic Search"/>
    <s v="Brand Awareness"/>
    <s v="Enterprise Plan"/>
    <n v="26920"/>
    <n v="1430"/>
    <n v="198"/>
    <n v="0"/>
    <n v="22898.44"/>
    <n v="5.31"/>
    <n v="13.85"/>
    <n v="0"/>
    <n v="0"/>
    <n v="22898.44"/>
  </r>
  <r>
    <x v="106"/>
    <s v="Display Ads"/>
    <s v="Flash Sale"/>
    <s v="Enterprise Plan"/>
    <n v="27548"/>
    <n v="346"/>
    <n v="12"/>
    <n v="821.49"/>
    <n v="1374.61"/>
    <n v="1.26"/>
    <n v="3.47"/>
    <n v="68.459999999999994"/>
    <n v="1.67"/>
    <n v="553.12"/>
  </r>
  <r>
    <x v="106"/>
    <s v="YouTube Ads"/>
    <s v="Flash Sale"/>
    <s v="Basic Plan"/>
    <n v="16920"/>
    <n v="429"/>
    <n v="32"/>
    <n v="1202.8"/>
    <n v="2924.76"/>
    <n v="2.54"/>
    <n v="7.46"/>
    <n v="37.590000000000003"/>
    <n v="2.4300000000000002"/>
    <n v="1721.96"/>
  </r>
  <r>
    <x v="106"/>
    <s v="Twitter Ads"/>
    <s v="Brand Awareness"/>
    <s v="Premium Plan"/>
    <n v="13698"/>
    <n v="356"/>
    <n v="13"/>
    <n v="579.72"/>
    <n v="1112.69"/>
    <n v="2.6"/>
    <n v="3.65"/>
    <n v="44.59"/>
    <n v="1.92"/>
    <n v="532.97"/>
  </r>
  <r>
    <x v="106"/>
    <s v="TikTok Ads"/>
    <s v="Retargeting"/>
    <s v="Enterprise Plan"/>
    <n v="25781"/>
    <n v="740"/>
    <n v="27"/>
    <n v="780.21"/>
    <n v="2750.2"/>
    <n v="2.87"/>
    <n v="3.65"/>
    <n v="28.9"/>
    <n v="3.52"/>
    <n v="1969.99"/>
  </r>
  <r>
    <x v="106"/>
    <s v="Affiliate Marketing"/>
    <s v="Lead Generation"/>
    <s v="Starter Kit"/>
    <n v="6281"/>
    <n v="380"/>
    <n v="37"/>
    <n v="519.25"/>
    <n v="3547.13"/>
    <n v="6.05"/>
    <n v="9.74"/>
    <n v="14.03"/>
    <n v="6.83"/>
    <n v="3027.88"/>
  </r>
  <r>
    <x v="106"/>
    <s v="Referral"/>
    <s v="Flash Sale"/>
    <s v="Add-on Service"/>
    <n v="5257"/>
    <n v="445"/>
    <n v="57"/>
    <n v="94.08"/>
    <n v="7760.89"/>
    <n v="8.4600000000000009"/>
    <n v="12.81"/>
    <n v="1.65"/>
    <n v="82.49"/>
    <n v="7666.81"/>
  </r>
  <r>
    <x v="107"/>
    <s v="Google Ads"/>
    <s v="Flash Sale"/>
    <s v="Enterprise Plan"/>
    <n v="11459"/>
    <n v="392"/>
    <n v="34"/>
    <n v="853.02"/>
    <n v="6497.4"/>
    <n v="3.42"/>
    <n v="8.67"/>
    <n v="25.09"/>
    <n v="7.62"/>
    <n v="5644.38"/>
  </r>
  <r>
    <x v="107"/>
    <s v="Facebook Ads"/>
    <s v="Flash Sale"/>
    <s v="Premium Plan"/>
    <n v="13050"/>
    <n v="470"/>
    <n v="38"/>
    <n v="943.4"/>
    <n v="3559.56"/>
    <n v="3.6"/>
    <n v="8.09"/>
    <n v="24.83"/>
    <n v="3.77"/>
    <n v="2616.16"/>
  </r>
  <r>
    <x v="107"/>
    <s v="Instagram Ads"/>
    <s v="Flash Sale"/>
    <s v="Enterprise Plan"/>
    <n v="10753"/>
    <n v="364"/>
    <n v="28"/>
    <n v="867.81"/>
    <n v="2575.98"/>
    <n v="3.39"/>
    <n v="7.69"/>
    <n v="30.99"/>
    <n v="2.97"/>
    <n v="1708.17"/>
  </r>
  <r>
    <x v="107"/>
    <s v="LinkedIn Ads"/>
    <s v="Product Launch"/>
    <s v="Add-on Service"/>
    <n v="4585"/>
    <n v="114"/>
    <n v="13"/>
    <n v="1341.3"/>
    <n v="3348.62"/>
    <n v="2.4900000000000002"/>
    <n v="11.4"/>
    <n v="103.18"/>
    <n v="2.5"/>
    <n v="2007.32"/>
  </r>
  <r>
    <x v="107"/>
    <s v="Email Marketing"/>
    <s v="Lead Generation"/>
    <s v="Basic Plan"/>
    <n v="18409"/>
    <n v="3782"/>
    <n v="477"/>
    <n v="291.02"/>
    <n v="59966.37"/>
    <n v="20.54"/>
    <n v="12.61"/>
    <n v="0.61"/>
    <n v="206.06"/>
    <n v="59675.35"/>
  </r>
  <r>
    <x v="107"/>
    <s v="Organic Search"/>
    <s v="Lead Generation"/>
    <s v="Starter Kit"/>
    <n v="22602"/>
    <n v="1150"/>
    <n v="128"/>
    <n v="0"/>
    <n v="17527.72"/>
    <n v="5.09"/>
    <n v="11.13"/>
    <n v="0"/>
    <n v="0"/>
    <n v="17527.72"/>
  </r>
  <r>
    <x v="107"/>
    <s v="Display Ads"/>
    <s v="Lead Generation"/>
    <s v="Starter Kit"/>
    <n v="32334"/>
    <n v="352"/>
    <n v="10"/>
    <n v="1003.63"/>
    <n v="871.45"/>
    <n v="1.0900000000000001"/>
    <n v="2.84"/>
    <n v="100.36"/>
    <n v="0.87"/>
    <n v="-132.18"/>
  </r>
  <r>
    <x v="107"/>
    <s v="YouTube Ads"/>
    <s v="Flash Sale"/>
    <s v="Add-on Service"/>
    <n v="20747"/>
    <n v="517"/>
    <n v="29"/>
    <n v="979.32"/>
    <n v="3471.69"/>
    <n v="2.4900000000000002"/>
    <n v="5.61"/>
    <n v="33.770000000000003"/>
    <n v="3.55"/>
    <n v="2492.37"/>
  </r>
  <r>
    <x v="107"/>
    <s v="Twitter Ads"/>
    <s v="Product Launch"/>
    <s v="Starter Kit"/>
    <n v="11772"/>
    <n v="319"/>
    <n v="18"/>
    <n v="726.74"/>
    <n v="2074.06"/>
    <n v="2.71"/>
    <n v="5.64"/>
    <n v="40.369999999999997"/>
    <n v="2.85"/>
    <n v="1347.32"/>
  </r>
  <r>
    <x v="107"/>
    <s v="TikTok Ads"/>
    <s v="Flash Sale"/>
    <s v="Add-on Service"/>
    <n v="22169"/>
    <n v="584"/>
    <n v="39"/>
    <n v="601.9"/>
    <n v="4286.04"/>
    <n v="2.63"/>
    <n v="6.68"/>
    <n v="15.43"/>
    <n v="7.12"/>
    <n v="3684.14"/>
  </r>
  <r>
    <x v="107"/>
    <s v="Affiliate Marketing"/>
    <s v="Retargeting"/>
    <s v="Add-on Service"/>
    <n v="7243"/>
    <n v="446"/>
    <n v="38"/>
    <n v="605.6"/>
    <n v="4538.99"/>
    <n v="6.16"/>
    <n v="8.52"/>
    <n v="15.94"/>
    <n v="7.5"/>
    <n v="3933.39"/>
  </r>
  <r>
    <x v="107"/>
    <s v="Referral"/>
    <s v="Flash Sale"/>
    <s v="Basic Plan"/>
    <n v="6317"/>
    <n v="553"/>
    <n v="94"/>
    <n v="187.12"/>
    <n v="13416.82"/>
    <n v="8.75"/>
    <n v="17"/>
    <n v="1.99"/>
    <n v="71.7"/>
    <n v="13229.7"/>
  </r>
  <r>
    <x v="108"/>
    <s v="Google Ads"/>
    <s v="Lead Generation"/>
    <s v="Add-on Service"/>
    <n v="10098"/>
    <n v="362"/>
    <n v="32"/>
    <n v="952.68"/>
    <n v="5157.72"/>
    <n v="3.58"/>
    <n v="8.84"/>
    <n v="29.77"/>
    <n v="5.41"/>
    <n v="4205.04"/>
  </r>
  <r>
    <x v="108"/>
    <s v="Facebook Ads"/>
    <s v="Brand Awareness"/>
    <s v="Add-on Service"/>
    <n v="16438"/>
    <n v="472"/>
    <n v="35"/>
    <n v="692.65"/>
    <n v="4699.17"/>
    <n v="2.87"/>
    <n v="7.42"/>
    <n v="19.79"/>
    <n v="6.78"/>
    <n v="4006.52"/>
  </r>
  <r>
    <x v="108"/>
    <s v="Instagram Ads"/>
    <s v="Retargeting"/>
    <s v="Add-on Service"/>
    <n v="13769"/>
    <n v="434"/>
    <n v="33"/>
    <n v="716.77"/>
    <n v="2929.11"/>
    <n v="3.15"/>
    <n v="7.6"/>
    <n v="21.72"/>
    <n v="4.09"/>
    <n v="2212.34"/>
  </r>
  <r>
    <x v="108"/>
    <s v="LinkedIn Ads"/>
    <s v="Flash Sale"/>
    <s v="Enterprise Plan"/>
    <n v="3411"/>
    <n v="77"/>
    <n v="9"/>
    <n v="1420.41"/>
    <n v="1805.42"/>
    <n v="2.2599999999999998"/>
    <n v="11.69"/>
    <n v="157.82"/>
    <n v="1.27"/>
    <n v="385.01"/>
  </r>
  <r>
    <x v="108"/>
    <s v="Email Marketing"/>
    <s v="Brand Awareness"/>
    <s v="Add-on Service"/>
    <n v="18075"/>
    <n v="3262"/>
    <n v="265"/>
    <n v="265.12"/>
    <n v="28377.75"/>
    <n v="18.05"/>
    <n v="8.1199999999999992"/>
    <n v="1"/>
    <n v="107.04"/>
    <n v="28112.63"/>
  </r>
  <r>
    <x v="108"/>
    <s v="Organic Search"/>
    <s v="Brand Awareness"/>
    <s v="Premium Plan"/>
    <n v="26068"/>
    <n v="1234"/>
    <n v="161"/>
    <n v="0"/>
    <n v="21628.47"/>
    <n v="4.7300000000000004"/>
    <n v="13.05"/>
    <n v="0"/>
    <n v="0"/>
    <n v="21628.47"/>
  </r>
  <r>
    <x v="108"/>
    <s v="Display Ads"/>
    <s v="Seasonal Promotion"/>
    <s v="Add-on Service"/>
    <n v="35079"/>
    <n v="442"/>
    <n v="14"/>
    <n v="770.1"/>
    <n v="1253.26"/>
    <n v="1.26"/>
    <n v="3.17"/>
    <n v="55.01"/>
    <n v="1.63"/>
    <n v="483.16"/>
  </r>
  <r>
    <x v="108"/>
    <s v="YouTube Ads"/>
    <s v="Lead Generation"/>
    <s v="Add-on Service"/>
    <n v="23804"/>
    <n v="406"/>
    <n v="23"/>
    <n v="1323.21"/>
    <n v="2843.77"/>
    <n v="1.71"/>
    <n v="5.67"/>
    <n v="57.53"/>
    <n v="2.15"/>
    <n v="1520.56"/>
  </r>
  <r>
    <x v="108"/>
    <s v="Twitter Ads"/>
    <s v="Seasonal Promotion"/>
    <s v="Basic Plan"/>
    <n v="12210"/>
    <n v="263"/>
    <n v="10"/>
    <n v="450.31"/>
    <n v="1113.3"/>
    <n v="2.15"/>
    <n v="3.8"/>
    <n v="45.03"/>
    <n v="2.4700000000000002"/>
    <n v="662.99"/>
  </r>
  <r>
    <x v="108"/>
    <s v="TikTok Ads"/>
    <s v="Lead Generation"/>
    <s v="Enterprise Plan"/>
    <n v="21730"/>
    <n v="891"/>
    <n v="35"/>
    <n v="609.45000000000005"/>
    <n v="2860.55"/>
    <n v="4.0999999999999996"/>
    <n v="3.93"/>
    <n v="17.41"/>
    <n v="4.6900000000000004"/>
    <n v="2251.1"/>
  </r>
  <r>
    <x v="108"/>
    <s v="Affiliate Marketing"/>
    <s v="Seasonal Promotion"/>
    <s v="Starter Kit"/>
    <n v="6697"/>
    <n v="358"/>
    <n v="46"/>
    <n v="310.2"/>
    <n v="5736.46"/>
    <n v="5.35"/>
    <n v="12.85"/>
    <n v="6.74"/>
    <n v="18.489999999999998"/>
    <n v="5426.26"/>
  </r>
  <r>
    <x v="108"/>
    <s v="Referral"/>
    <s v="Brand Awareness"/>
    <s v="Basic Plan"/>
    <n v="3790"/>
    <n v="257"/>
    <n v="36"/>
    <n v="63.2"/>
    <n v="5323.75"/>
    <n v="6.78"/>
    <n v="14.01"/>
    <n v="1.76"/>
    <n v="84.24"/>
    <n v="5260.55"/>
  </r>
  <r>
    <x v="109"/>
    <s v="Google Ads"/>
    <s v="Flash Sale"/>
    <s v="Add-on Service"/>
    <n v="8405"/>
    <n v="286"/>
    <n v="23"/>
    <n v="1062.8900000000001"/>
    <n v="3521.59"/>
    <n v="3.4"/>
    <n v="8.0399999999999991"/>
    <n v="46.21"/>
    <n v="3.31"/>
    <n v="2458.6999999999998"/>
  </r>
  <r>
    <x v="109"/>
    <s v="Facebook Ads"/>
    <s v="Retargeting"/>
    <s v="Premium Plan"/>
    <n v="17868"/>
    <n v="512"/>
    <n v="36"/>
    <n v="932.56"/>
    <n v="4053.26"/>
    <n v="2.87"/>
    <n v="7.03"/>
    <n v="25.9"/>
    <n v="4.3499999999999996"/>
    <n v="3120.7"/>
  </r>
  <r>
    <x v="109"/>
    <s v="Instagram Ads"/>
    <s v="Seasonal Promotion"/>
    <s v="Starter Kit"/>
    <n v="16585"/>
    <n v="686"/>
    <n v="49"/>
    <n v="917.68"/>
    <n v="4517.2299999999996"/>
    <n v="4.1399999999999997"/>
    <n v="7.14"/>
    <n v="18.73"/>
    <n v="4.92"/>
    <n v="3599.55"/>
  </r>
  <r>
    <x v="109"/>
    <s v="LinkedIn Ads"/>
    <s v="Brand Awareness"/>
    <s v="Starter Kit"/>
    <n v="3123"/>
    <n v="52"/>
    <n v="7"/>
    <n v="1559.37"/>
    <n v="2221.4299999999998"/>
    <n v="1.67"/>
    <n v="13.46"/>
    <n v="222.77"/>
    <n v="1.42"/>
    <n v="662.06"/>
  </r>
  <r>
    <x v="109"/>
    <s v="Email Marketing"/>
    <s v="Lead Generation"/>
    <s v="Add-on Service"/>
    <n v="18684"/>
    <n v="2953"/>
    <n v="313"/>
    <n v="271.41000000000003"/>
    <n v="41148.71"/>
    <n v="15.8"/>
    <n v="10.6"/>
    <n v="0.87"/>
    <n v="151.61000000000001"/>
    <n v="40877.300000000003"/>
  </r>
  <r>
    <x v="109"/>
    <s v="Organic Search"/>
    <s v="Retargeting"/>
    <s v="Starter Kit"/>
    <n v="22132"/>
    <n v="1622"/>
    <n v="227"/>
    <n v="0"/>
    <n v="29123.64"/>
    <n v="7.33"/>
    <n v="14"/>
    <n v="0"/>
    <n v="0"/>
    <n v="29123.64"/>
  </r>
  <r>
    <x v="109"/>
    <s v="Display Ads"/>
    <s v="Seasonal Promotion"/>
    <s v="Premium Plan"/>
    <n v="29298"/>
    <n v="301"/>
    <n v="13"/>
    <n v="1258.01"/>
    <n v="1224.8399999999999"/>
    <n v="1.03"/>
    <n v="4.32"/>
    <n v="96.77"/>
    <n v="0.97"/>
    <n v="-33.17"/>
  </r>
  <r>
    <x v="109"/>
    <s v="YouTube Ads"/>
    <s v="Seasonal Promotion"/>
    <s v="Starter Kit"/>
    <n v="21941"/>
    <n v="604"/>
    <n v="27"/>
    <n v="1108.8399999999999"/>
    <n v="3261.1"/>
    <n v="2.75"/>
    <n v="4.47"/>
    <n v="41.07"/>
    <n v="2.94"/>
    <n v="2152.2600000000002"/>
  </r>
  <r>
    <x v="109"/>
    <s v="Twitter Ads"/>
    <s v="Flash Sale"/>
    <s v="Enterprise Plan"/>
    <n v="9289"/>
    <n v="255"/>
    <n v="8"/>
    <n v="595.42999999999995"/>
    <n v="866.58"/>
    <n v="2.75"/>
    <n v="3.14"/>
    <n v="74.430000000000007"/>
    <n v="1.46"/>
    <n v="271.14999999999998"/>
  </r>
  <r>
    <x v="109"/>
    <s v="TikTok Ads"/>
    <s v="Flash Sale"/>
    <s v="Premium Plan"/>
    <n v="22583"/>
    <n v="897"/>
    <n v="40"/>
    <n v="839.89"/>
    <n v="2756.72"/>
    <n v="3.97"/>
    <n v="4.46"/>
    <n v="21"/>
    <n v="3.28"/>
    <n v="1916.83"/>
  </r>
  <r>
    <x v="109"/>
    <s v="Affiliate Marketing"/>
    <s v="Retargeting"/>
    <s v="Enterprise Plan"/>
    <n v="8565"/>
    <n v="481"/>
    <n v="51"/>
    <n v="503.18"/>
    <n v="6672.22"/>
    <n v="5.62"/>
    <n v="10.6"/>
    <n v="9.8699999999999992"/>
    <n v="13.26"/>
    <n v="6169.04"/>
  </r>
  <r>
    <x v="109"/>
    <s v="Referral"/>
    <s v="Brand Awareness"/>
    <s v="Basic Plan"/>
    <n v="4638"/>
    <n v="282"/>
    <n v="35"/>
    <n v="190.67"/>
    <n v="4262.84"/>
    <n v="6.08"/>
    <n v="12.41"/>
    <n v="5.45"/>
    <n v="22.36"/>
    <n v="4072.17"/>
  </r>
  <r>
    <x v="110"/>
    <s v="Google Ads"/>
    <s v="Seasonal Promotion"/>
    <s v="Premium Plan"/>
    <n v="8201"/>
    <n v="282"/>
    <n v="24"/>
    <n v="578.91"/>
    <n v="4396.8100000000004"/>
    <n v="3.44"/>
    <n v="8.51"/>
    <n v="24.12"/>
    <n v="7.59"/>
    <n v="3817.9"/>
  </r>
  <r>
    <x v="110"/>
    <s v="Facebook Ads"/>
    <s v="Brand Awareness"/>
    <s v="Starter Kit"/>
    <n v="10301"/>
    <n v="212"/>
    <n v="16"/>
    <n v="794.19"/>
    <n v="1810.48"/>
    <n v="2.06"/>
    <n v="7.55"/>
    <n v="49.64"/>
    <n v="2.2799999999999998"/>
    <n v="1016.29"/>
  </r>
  <r>
    <x v="110"/>
    <s v="Instagram Ads"/>
    <s v="Product Launch"/>
    <s v="Premium Plan"/>
    <n v="7923"/>
    <n v="223"/>
    <n v="10"/>
    <n v="624.04"/>
    <n v="891.78"/>
    <n v="2.81"/>
    <n v="4.4800000000000004"/>
    <n v="62.4"/>
    <n v="1.43"/>
    <n v="267.74"/>
  </r>
  <r>
    <x v="110"/>
    <s v="LinkedIn Ads"/>
    <s v="Seasonal Promotion"/>
    <s v="Premium Plan"/>
    <n v="2420"/>
    <n v="45"/>
    <n v="5"/>
    <n v="756.74"/>
    <n v="1010.01"/>
    <n v="1.86"/>
    <n v="11.11"/>
    <n v="151.35"/>
    <n v="1.33"/>
    <n v="253.27"/>
  </r>
  <r>
    <x v="110"/>
    <s v="Email Marketing"/>
    <s v="Brand Awareness"/>
    <s v="Starter Kit"/>
    <n v="13814"/>
    <n v="2770"/>
    <n v="300"/>
    <n v="163.77000000000001"/>
    <n v="38998.89"/>
    <n v="20.05"/>
    <n v="10.83"/>
    <n v="0.55000000000000004"/>
    <n v="238.13"/>
    <n v="38835.120000000003"/>
  </r>
  <r>
    <x v="110"/>
    <s v="Organic Search"/>
    <s v="Brand Awareness"/>
    <s v="Enterprise Plan"/>
    <n v="24199"/>
    <n v="1769"/>
    <n v="261"/>
    <n v="0"/>
    <n v="32294.03"/>
    <n v="7.31"/>
    <n v="14.75"/>
    <n v="0"/>
    <n v="0"/>
    <n v="32294.03"/>
  </r>
  <r>
    <x v="110"/>
    <s v="Display Ads"/>
    <s v="Retargeting"/>
    <s v="Basic Plan"/>
    <n v="18855"/>
    <n v="317"/>
    <n v="13"/>
    <n v="520.04999999999995"/>
    <n v="1275.99"/>
    <n v="1.68"/>
    <n v="4.0999999999999996"/>
    <n v="40"/>
    <n v="2.4500000000000002"/>
    <n v="755.94"/>
  </r>
  <r>
    <x v="110"/>
    <s v="YouTube Ads"/>
    <s v="Lead Generation"/>
    <s v="Starter Kit"/>
    <n v="11363"/>
    <n v="235"/>
    <n v="18"/>
    <n v="788.42"/>
    <n v="2504.29"/>
    <n v="2.0699999999999998"/>
    <n v="7.66"/>
    <n v="43.8"/>
    <n v="3.18"/>
    <n v="1715.87"/>
  </r>
  <r>
    <x v="110"/>
    <s v="Twitter Ads"/>
    <s v="Product Launch"/>
    <s v="Starter Kit"/>
    <n v="7889"/>
    <n v="224"/>
    <n v="11"/>
    <n v="483.09"/>
    <n v="947.42"/>
    <n v="2.84"/>
    <n v="4.91"/>
    <n v="43.92"/>
    <n v="1.96"/>
    <n v="464.33"/>
  </r>
  <r>
    <x v="110"/>
    <s v="TikTok Ads"/>
    <s v="Retargeting"/>
    <s v="Starter Kit"/>
    <n v="18121"/>
    <n v="618"/>
    <n v="36"/>
    <n v="487.66"/>
    <n v="3391.01"/>
    <n v="3.41"/>
    <n v="5.83"/>
    <n v="13.55"/>
    <n v="6.95"/>
    <n v="2903.35"/>
  </r>
  <r>
    <x v="110"/>
    <s v="Affiliate Marketing"/>
    <s v="Retargeting"/>
    <s v="Premium Plan"/>
    <n v="3627"/>
    <n v="240"/>
    <n v="27"/>
    <n v="213.78"/>
    <n v="3127.11"/>
    <n v="6.62"/>
    <n v="11.25"/>
    <n v="7.92"/>
    <n v="14.63"/>
    <n v="2913.33"/>
  </r>
  <r>
    <x v="110"/>
    <s v="Referral"/>
    <s v="Flash Sale"/>
    <s v="Add-on Service"/>
    <n v="4603"/>
    <n v="240"/>
    <n v="35"/>
    <n v="98.53"/>
    <n v="6455.67"/>
    <n v="5.21"/>
    <n v="14.58"/>
    <n v="2.82"/>
    <n v="65.52"/>
    <n v="6357.14"/>
  </r>
  <r>
    <x v="111"/>
    <s v="Google Ads"/>
    <s v="Lead Generation"/>
    <s v="Enterprise Plan"/>
    <n v="9354"/>
    <n v="427"/>
    <n v="42"/>
    <n v="831.13"/>
    <n v="7568.77"/>
    <n v="4.5599999999999996"/>
    <n v="9.84"/>
    <n v="19.79"/>
    <n v="9.11"/>
    <n v="6737.64"/>
  </r>
  <r>
    <x v="111"/>
    <s v="Facebook Ads"/>
    <s v="Brand Awareness"/>
    <s v="Basic Plan"/>
    <n v="9240"/>
    <n v="343"/>
    <n v="28"/>
    <n v="532.67999999999995"/>
    <n v="3569.8"/>
    <n v="3.71"/>
    <n v="8.16"/>
    <n v="19.02"/>
    <n v="6.7"/>
    <n v="3037.12"/>
  </r>
  <r>
    <x v="111"/>
    <s v="Instagram Ads"/>
    <s v="Seasonal Promotion"/>
    <s v="Starter Kit"/>
    <n v="8423"/>
    <n v="287"/>
    <n v="13"/>
    <n v="481.64"/>
    <n v="1332.48"/>
    <n v="3.41"/>
    <n v="4.53"/>
    <n v="37.049999999999997"/>
    <n v="2.77"/>
    <n v="850.84"/>
  </r>
  <r>
    <x v="111"/>
    <s v="LinkedIn Ads"/>
    <s v="Seasonal Promotion"/>
    <s v="Basic Plan"/>
    <n v="3830"/>
    <n v="63"/>
    <n v="6"/>
    <n v="1259.93"/>
    <n v="1420.43"/>
    <n v="1.64"/>
    <n v="9.52"/>
    <n v="209.99"/>
    <n v="1.1299999999999999"/>
    <n v="160.5"/>
  </r>
  <r>
    <x v="111"/>
    <s v="Email Marketing"/>
    <s v="Flash Sale"/>
    <s v="Basic Plan"/>
    <n v="11964"/>
    <n v="2633"/>
    <n v="340"/>
    <n v="184.84"/>
    <n v="48362.77"/>
    <n v="22.01"/>
    <n v="12.91"/>
    <n v="0.54"/>
    <n v="261.64999999999998"/>
    <n v="48177.93"/>
  </r>
  <r>
    <x v="111"/>
    <s v="Organic Search"/>
    <s v="Brand Awareness"/>
    <s v="Premium Plan"/>
    <n v="19972"/>
    <n v="1506"/>
    <n v="159"/>
    <n v="0"/>
    <n v="17878.830000000002"/>
    <n v="7.54"/>
    <n v="10.56"/>
    <n v="0"/>
    <n v="0"/>
    <n v="17878.830000000002"/>
  </r>
  <r>
    <x v="111"/>
    <s v="Display Ads"/>
    <s v="Product Launch"/>
    <s v="Starter Kit"/>
    <n v="21848"/>
    <n v="309"/>
    <n v="7"/>
    <n v="758.49"/>
    <n v="645.28"/>
    <n v="1.41"/>
    <n v="2.27"/>
    <n v="108.36"/>
    <n v="0.85"/>
    <n v="-113.21"/>
  </r>
  <r>
    <x v="111"/>
    <s v="YouTube Ads"/>
    <s v="Flash Sale"/>
    <s v="Add-on Service"/>
    <n v="15629"/>
    <n v="464"/>
    <n v="30"/>
    <n v="815.66"/>
    <n v="3351.92"/>
    <n v="2.97"/>
    <n v="6.47"/>
    <n v="27.19"/>
    <n v="4.1100000000000003"/>
    <n v="2536.2600000000002"/>
  </r>
  <r>
    <x v="111"/>
    <s v="Twitter Ads"/>
    <s v="Retargeting"/>
    <s v="Add-on Service"/>
    <n v="9162"/>
    <n v="186"/>
    <n v="7"/>
    <n v="365.95"/>
    <n v="756.13"/>
    <n v="2.0299999999999998"/>
    <n v="3.76"/>
    <n v="52.28"/>
    <n v="2.0699999999999998"/>
    <n v="390.18"/>
  </r>
  <r>
    <x v="111"/>
    <s v="TikTok Ads"/>
    <s v="Retargeting"/>
    <s v="Basic Plan"/>
    <n v="13940"/>
    <n v="410"/>
    <n v="26"/>
    <n v="513.51"/>
    <n v="2387.66"/>
    <n v="2.94"/>
    <n v="6.34"/>
    <n v="19.75"/>
    <n v="4.6500000000000004"/>
    <n v="1874.15"/>
  </r>
  <r>
    <x v="111"/>
    <s v="Affiliate Marketing"/>
    <s v="Lead Generation"/>
    <s v="Starter Kit"/>
    <n v="4329"/>
    <n v="240"/>
    <n v="21"/>
    <n v="265.67"/>
    <n v="1978.83"/>
    <n v="5.54"/>
    <n v="8.75"/>
    <n v="12.65"/>
    <n v="7.45"/>
    <n v="1713.16"/>
  </r>
  <r>
    <x v="111"/>
    <s v="Referral"/>
    <s v="Product Launch"/>
    <s v="Basic Plan"/>
    <n v="3274"/>
    <n v="184"/>
    <n v="26"/>
    <n v="118.24"/>
    <n v="4242.07"/>
    <n v="5.62"/>
    <n v="14.13"/>
    <n v="4.55"/>
    <n v="35.880000000000003"/>
    <n v="4123.83"/>
  </r>
  <r>
    <x v="112"/>
    <s v="Google Ads"/>
    <s v="Product Launch"/>
    <s v="Basic Plan"/>
    <n v="10018"/>
    <n v="321"/>
    <n v="26"/>
    <n v="1039.93"/>
    <n v="3834.87"/>
    <n v="3.2"/>
    <n v="8.1"/>
    <n v="40"/>
    <n v="3.69"/>
    <n v="2794.94"/>
  </r>
  <r>
    <x v="112"/>
    <s v="Facebook Ads"/>
    <s v="Flash Sale"/>
    <s v="Premium Plan"/>
    <n v="14783"/>
    <n v="583"/>
    <n v="42"/>
    <n v="1083.29"/>
    <n v="5944.44"/>
    <n v="3.94"/>
    <n v="7.2"/>
    <n v="25.79"/>
    <n v="5.49"/>
    <n v="4861.1499999999996"/>
  </r>
  <r>
    <x v="112"/>
    <s v="Instagram Ads"/>
    <s v="Brand Awareness"/>
    <s v="Starter Kit"/>
    <n v="11634"/>
    <n v="505"/>
    <n v="32"/>
    <n v="803.03"/>
    <n v="3320.17"/>
    <n v="4.34"/>
    <n v="6.34"/>
    <n v="25.09"/>
    <n v="4.13"/>
    <n v="2517.14"/>
  </r>
  <r>
    <x v="112"/>
    <s v="LinkedIn Ads"/>
    <s v="Seasonal Promotion"/>
    <s v="Premium Plan"/>
    <n v="5818"/>
    <n v="135"/>
    <n v="15"/>
    <n v="1355.06"/>
    <n v="4892.5600000000004"/>
    <n v="2.3199999999999998"/>
    <n v="11.11"/>
    <n v="90.34"/>
    <n v="3.61"/>
    <n v="3537.5"/>
  </r>
  <r>
    <x v="112"/>
    <s v="Email Marketing"/>
    <s v="Lead Generation"/>
    <s v="Basic Plan"/>
    <n v="15015"/>
    <n v="2867"/>
    <n v="325"/>
    <n v="296.91000000000003"/>
    <n v="37131.57"/>
    <n v="19.09"/>
    <n v="11.34"/>
    <n v="0.91"/>
    <n v="125.06"/>
    <n v="36834.660000000003"/>
  </r>
  <r>
    <x v="112"/>
    <s v="Organic Search"/>
    <s v="Brand Awareness"/>
    <s v="Premium Plan"/>
    <n v="30374"/>
    <n v="2187"/>
    <n v="326"/>
    <n v="0"/>
    <n v="46254.63"/>
    <n v="7.2"/>
    <n v="14.91"/>
    <n v="0"/>
    <n v="0"/>
    <n v="46254.63"/>
  </r>
  <r>
    <x v="112"/>
    <s v="Display Ads"/>
    <s v="Seasonal Promotion"/>
    <s v="Premium Plan"/>
    <n v="39201"/>
    <n v="582"/>
    <n v="22"/>
    <n v="1283.98"/>
    <n v="2812.85"/>
    <n v="1.48"/>
    <n v="3.78"/>
    <n v="58.36"/>
    <n v="2.19"/>
    <n v="1528.87"/>
  </r>
  <r>
    <x v="112"/>
    <s v="YouTube Ads"/>
    <s v="Retargeting"/>
    <s v="Add-on Service"/>
    <n v="17393"/>
    <n v="518"/>
    <n v="22"/>
    <n v="1244.99"/>
    <n v="2177.73"/>
    <n v="2.98"/>
    <n v="4.25"/>
    <n v="56.59"/>
    <n v="1.75"/>
    <n v="932.74"/>
  </r>
  <r>
    <x v="112"/>
    <s v="Twitter Ads"/>
    <s v="Flash Sale"/>
    <s v="Premium Plan"/>
    <n v="10907"/>
    <n v="222"/>
    <n v="13"/>
    <n v="588.72"/>
    <n v="1285.22"/>
    <n v="2.04"/>
    <n v="5.86"/>
    <n v="45.29"/>
    <n v="2.1800000000000002"/>
    <n v="696.5"/>
  </r>
  <r>
    <x v="112"/>
    <s v="TikTok Ads"/>
    <s v="Lead Generation"/>
    <s v="Premium Plan"/>
    <n v="22701"/>
    <n v="767"/>
    <n v="28"/>
    <n v="672.33"/>
    <n v="2588.86"/>
    <n v="3.38"/>
    <n v="3.65"/>
    <n v="24.01"/>
    <n v="3.85"/>
    <n v="1916.53"/>
  </r>
  <r>
    <x v="112"/>
    <s v="Affiliate Marketing"/>
    <s v="Retargeting"/>
    <s v="Starter Kit"/>
    <n v="8577"/>
    <n v="594"/>
    <n v="65"/>
    <n v="471.15"/>
    <n v="6908.32"/>
    <n v="6.93"/>
    <n v="10.94"/>
    <n v="7.25"/>
    <n v="14.66"/>
    <n v="6437.17"/>
  </r>
  <r>
    <x v="112"/>
    <s v="Referral"/>
    <s v="Lead Generation"/>
    <s v="Add-on Service"/>
    <n v="5584"/>
    <n v="407"/>
    <n v="64"/>
    <n v="178.21"/>
    <n v="7494.49"/>
    <n v="7.29"/>
    <n v="15.72"/>
    <n v="2.78"/>
    <n v="42.05"/>
    <n v="7316.28"/>
  </r>
  <r>
    <x v="113"/>
    <s v="Google Ads"/>
    <s v="Lead Generation"/>
    <s v="Premium Plan"/>
    <n v="14063"/>
    <n v="496"/>
    <n v="47"/>
    <n v="930.64"/>
    <n v="5503.38"/>
    <n v="3.53"/>
    <n v="9.48"/>
    <n v="19.8"/>
    <n v="5.91"/>
    <n v="4572.74"/>
  </r>
  <r>
    <x v="113"/>
    <s v="Facebook Ads"/>
    <s v="Lead Generation"/>
    <s v="Add-on Service"/>
    <n v="19852"/>
    <n v="673"/>
    <n v="51"/>
    <n v="816.89"/>
    <n v="7175.04"/>
    <n v="3.39"/>
    <n v="7.58"/>
    <n v="16.02"/>
    <n v="8.7799999999999994"/>
    <n v="6358.15"/>
  </r>
  <r>
    <x v="113"/>
    <s v="Instagram Ads"/>
    <s v="Product Launch"/>
    <s v="Basic Plan"/>
    <n v="12464"/>
    <n v="360"/>
    <n v="25"/>
    <n v="770.36"/>
    <n v="2286.25"/>
    <n v="2.89"/>
    <n v="6.94"/>
    <n v="30.81"/>
    <n v="2.97"/>
    <n v="1515.89"/>
  </r>
  <r>
    <x v="113"/>
    <s v="LinkedIn Ads"/>
    <s v="Flash Sale"/>
    <s v="Add-on Service"/>
    <n v="5023"/>
    <n v="97"/>
    <n v="14"/>
    <n v="1094.8900000000001"/>
    <n v="2870.03"/>
    <n v="1.93"/>
    <n v="14.43"/>
    <n v="78.209999999999994"/>
    <n v="2.62"/>
    <n v="1775.14"/>
  </r>
  <r>
    <x v="113"/>
    <s v="Email Marketing"/>
    <s v="Product Launch"/>
    <s v="Add-on Service"/>
    <n v="18055"/>
    <n v="4419"/>
    <n v="450"/>
    <n v="184.71"/>
    <n v="52359.54"/>
    <n v="24.48"/>
    <n v="10.18"/>
    <n v="0.41"/>
    <n v="283.47000000000003"/>
    <n v="52174.83"/>
  </r>
  <r>
    <x v="113"/>
    <s v="Organic Search"/>
    <s v="Seasonal Promotion"/>
    <s v="Enterprise Plan"/>
    <n v="20155"/>
    <n v="947"/>
    <n v="135"/>
    <n v="0"/>
    <n v="15487.14"/>
    <n v="4.7"/>
    <n v="14.26"/>
    <n v="0"/>
    <n v="0"/>
    <n v="15487.14"/>
  </r>
  <r>
    <x v="113"/>
    <s v="Display Ads"/>
    <s v="Lead Generation"/>
    <s v="Enterprise Plan"/>
    <n v="31328"/>
    <n v="392"/>
    <n v="12"/>
    <n v="1231.8499999999999"/>
    <n v="1509.63"/>
    <n v="1.25"/>
    <n v="3.06"/>
    <n v="102.65"/>
    <n v="1.23"/>
    <n v="277.77999999999997"/>
  </r>
  <r>
    <x v="113"/>
    <s v="YouTube Ads"/>
    <s v="Lead Generation"/>
    <s v="Add-on Service"/>
    <n v="24613"/>
    <n v="522"/>
    <n v="28"/>
    <n v="1152.08"/>
    <n v="3291.26"/>
    <n v="2.12"/>
    <n v="5.36"/>
    <n v="41.15"/>
    <n v="2.86"/>
    <n v="2139.1799999999998"/>
  </r>
  <r>
    <x v="113"/>
    <s v="Twitter Ads"/>
    <s v="Lead Generation"/>
    <s v="Starter Kit"/>
    <n v="10430"/>
    <n v="353"/>
    <n v="19"/>
    <n v="543.21"/>
    <n v="1810.09"/>
    <n v="3.38"/>
    <n v="5.38"/>
    <n v="28.59"/>
    <n v="3.33"/>
    <n v="1266.8800000000001"/>
  </r>
  <r>
    <x v="113"/>
    <s v="TikTok Ads"/>
    <s v="Product Launch"/>
    <s v="Enterprise Plan"/>
    <n v="18036"/>
    <n v="496"/>
    <n v="31"/>
    <n v="900.3"/>
    <n v="2620.34"/>
    <n v="2.75"/>
    <n v="6.25"/>
    <n v="29.04"/>
    <n v="2.91"/>
    <n v="1720.04"/>
  </r>
  <r>
    <x v="113"/>
    <s v="Affiliate Marketing"/>
    <s v="Brand Awareness"/>
    <s v="Add-on Service"/>
    <n v="7676"/>
    <n v="456"/>
    <n v="53"/>
    <n v="581.98"/>
    <n v="8416.32"/>
    <n v="5.94"/>
    <n v="11.62"/>
    <n v="10.98"/>
    <n v="14.46"/>
    <n v="7834.34"/>
  </r>
  <r>
    <x v="113"/>
    <s v="Referral"/>
    <s v="Seasonal Promotion"/>
    <s v="Basic Plan"/>
    <n v="5774"/>
    <n v="468"/>
    <n v="73"/>
    <n v="98.99"/>
    <n v="12354.25"/>
    <n v="8.11"/>
    <n v="15.6"/>
    <n v="1.36"/>
    <n v="124.8"/>
    <n v="12255.26"/>
  </r>
  <r>
    <x v="114"/>
    <s v="Google Ads"/>
    <s v="Flash Sale"/>
    <s v="Starter Kit"/>
    <n v="8587"/>
    <n v="387"/>
    <n v="36"/>
    <n v="1102.95"/>
    <n v="4983.5600000000004"/>
    <n v="4.51"/>
    <n v="9.3000000000000007"/>
    <n v="30.64"/>
    <n v="4.5199999999999996"/>
    <n v="3880.61"/>
  </r>
  <r>
    <x v="114"/>
    <s v="Facebook Ads"/>
    <s v="Seasonal Promotion"/>
    <s v="Starter Kit"/>
    <n v="19115"/>
    <n v="410"/>
    <n v="29"/>
    <n v="987.28"/>
    <n v="3629.2"/>
    <n v="2.14"/>
    <n v="7.07"/>
    <n v="34.04"/>
    <n v="3.68"/>
    <n v="2641.92"/>
  </r>
  <r>
    <x v="114"/>
    <s v="Instagram Ads"/>
    <s v="Brand Awareness"/>
    <s v="Enterprise Plan"/>
    <n v="14918"/>
    <n v="427"/>
    <n v="23"/>
    <n v="601.73"/>
    <n v="2225.39"/>
    <n v="2.86"/>
    <n v="5.39"/>
    <n v="26.16"/>
    <n v="3.7"/>
    <n v="1623.66"/>
  </r>
  <r>
    <x v="114"/>
    <s v="LinkedIn Ads"/>
    <s v="Flash Sale"/>
    <s v="Starter Kit"/>
    <n v="5063"/>
    <n v="80"/>
    <n v="9"/>
    <n v="989.21"/>
    <n v="3006.08"/>
    <n v="1.58"/>
    <n v="11.25"/>
    <n v="109.91"/>
    <n v="3.04"/>
    <n v="2016.87"/>
  </r>
  <r>
    <x v="114"/>
    <s v="Email Marketing"/>
    <s v="Seasonal Promotion"/>
    <s v="Enterprise Plan"/>
    <n v="21790"/>
    <n v="4383"/>
    <n v="501"/>
    <n v="126.52"/>
    <n v="58932.98"/>
    <n v="20.11"/>
    <n v="11.43"/>
    <n v="0.25"/>
    <n v="465.8"/>
    <n v="58806.46"/>
  </r>
  <r>
    <x v="114"/>
    <s v="Organic Search"/>
    <s v="Flash Sale"/>
    <s v="Starter Kit"/>
    <n v="33794"/>
    <n v="2005"/>
    <n v="217"/>
    <n v="0"/>
    <n v="31932.85"/>
    <n v="5.93"/>
    <n v="10.82"/>
    <n v="0"/>
    <n v="0"/>
    <n v="31932.85"/>
  </r>
  <r>
    <x v="114"/>
    <s v="Display Ads"/>
    <s v="Retargeting"/>
    <s v="Basic Plan"/>
    <n v="39108"/>
    <n v="759"/>
    <n v="18"/>
    <n v="1220.54"/>
    <n v="1797.6"/>
    <n v="1.94"/>
    <n v="2.37"/>
    <n v="67.81"/>
    <n v="1.47"/>
    <n v="577.05999999999995"/>
  </r>
  <r>
    <x v="114"/>
    <s v="YouTube Ads"/>
    <s v="Product Launch"/>
    <s v="Starter Kit"/>
    <n v="23010"/>
    <n v="388"/>
    <n v="28"/>
    <n v="1394.51"/>
    <n v="3934.66"/>
    <n v="1.69"/>
    <n v="7.22"/>
    <n v="49.8"/>
    <n v="2.82"/>
    <n v="2540.15"/>
  </r>
  <r>
    <x v="114"/>
    <s v="Twitter Ads"/>
    <s v="Lead Generation"/>
    <s v="Add-on Service"/>
    <n v="10491"/>
    <n v="359"/>
    <n v="18"/>
    <n v="759.45"/>
    <n v="1393.6"/>
    <n v="3.42"/>
    <n v="5.01"/>
    <n v="42.19"/>
    <n v="1.84"/>
    <n v="634.15"/>
  </r>
  <r>
    <x v="114"/>
    <s v="TikTok Ads"/>
    <s v="Retargeting"/>
    <s v="Basic Plan"/>
    <n v="29196"/>
    <n v="814"/>
    <n v="34"/>
    <n v="702.07"/>
    <n v="3294.61"/>
    <n v="2.79"/>
    <n v="4.18"/>
    <n v="20.65"/>
    <n v="4.6900000000000004"/>
    <n v="2592.54"/>
  </r>
  <r>
    <x v="114"/>
    <s v="Affiliate Marketing"/>
    <s v="Lead Generation"/>
    <s v="Enterprise Plan"/>
    <n v="5493"/>
    <n v="371"/>
    <n v="34"/>
    <n v="326.48"/>
    <n v="5404.61"/>
    <n v="6.75"/>
    <n v="9.16"/>
    <n v="9.6"/>
    <n v="16.55"/>
    <n v="5078.13"/>
  </r>
  <r>
    <x v="114"/>
    <s v="Referral"/>
    <s v="Flash Sale"/>
    <s v="Basic Plan"/>
    <n v="6434"/>
    <n v="431"/>
    <n v="65"/>
    <n v="159.96"/>
    <n v="9296"/>
    <n v="6.7"/>
    <n v="15.08"/>
    <n v="2.46"/>
    <n v="58.11"/>
    <n v="9136.0400000000009"/>
  </r>
  <r>
    <x v="115"/>
    <s v="Google Ads"/>
    <s v="Retargeting"/>
    <s v="Premium Plan"/>
    <n v="11091"/>
    <n v="378"/>
    <n v="33"/>
    <n v="1216.81"/>
    <n v="5369.14"/>
    <n v="3.41"/>
    <n v="8.73"/>
    <n v="36.869999999999997"/>
    <n v="4.41"/>
    <n v="4152.33"/>
  </r>
  <r>
    <x v="115"/>
    <s v="Facebook Ads"/>
    <s v="Seasonal Promotion"/>
    <s v="Starter Kit"/>
    <n v="17376"/>
    <n v="668"/>
    <n v="34"/>
    <n v="710.74"/>
    <n v="4283.83"/>
    <n v="3.84"/>
    <n v="5.09"/>
    <n v="20.9"/>
    <n v="6.03"/>
    <n v="3573.09"/>
  </r>
  <r>
    <x v="115"/>
    <s v="Instagram Ads"/>
    <s v="Retargeting"/>
    <s v="Add-on Service"/>
    <n v="10497"/>
    <n v="379"/>
    <n v="17"/>
    <n v="863.06"/>
    <n v="1661.7"/>
    <n v="3.61"/>
    <n v="4.49"/>
    <n v="50.77"/>
    <n v="1.93"/>
    <n v="798.64"/>
  </r>
  <r>
    <x v="115"/>
    <s v="LinkedIn Ads"/>
    <s v="Seasonal Promotion"/>
    <s v="Basic Plan"/>
    <n v="3677"/>
    <n v="59"/>
    <n v="8"/>
    <n v="949.26"/>
    <n v="2326.2800000000002"/>
    <n v="1.6"/>
    <n v="13.56"/>
    <n v="118.66"/>
    <n v="2.4500000000000002"/>
    <n v="1377.02"/>
  </r>
  <r>
    <x v="115"/>
    <s v="Email Marketing"/>
    <s v="Retargeting"/>
    <s v="Basic Plan"/>
    <n v="23327"/>
    <n v="5064"/>
    <n v="434"/>
    <n v="217.61"/>
    <n v="47145.919999999998"/>
    <n v="21.71"/>
    <n v="8.57"/>
    <n v="0.5"/>
    <n v="216.65"/>
    <n v="46928.31"/>
  </r>
  <r>
    <x v="115"/>
    <s v="Organic Search"/>
    <s v="Product Launch"/>
    <s v="Basic Plan"/>
    <n v="27919"/>
    <n v="2020"/>
    <n v="265"/>
    <n v="0"/>
    <n v="27299.17"/>
    <n v="7.24"/>
    <n v="13.12"/>
    <n v="0"/>
    <n v="0"/>
    <n v="27299.17"/>
  </r>
  <r>
    <x v="115"/>
    <s v="Display Ads"/>
    <s v="Product Launch"/>
    <s v="Premium Plan"/>
    <n v="31990"/>
    <n v="402"/>
    <n v="13"/>
    <n v="1195.32"/>
    <n v="1647.52"/>
    <n v="1.26"/>
    <n v="3.23"/>
    <n v="91.95"/>
    <n v="1.38"/>
    <n v="452.2"/>
  </r>
  <r>
    <x v="115"/>
    <s v="YouTube Ads"/>
    <s v="Retargeting"/>
    <s v="Enterprise Plan"/>
    <n v="24368"/>
    <n v="604"/>
    <n v="30"/>
    <n v="1381.47"/>
    <n v="3344.1"/>
    <n v="2.48"/>
    <n v="4.97"/>
    <n v="46.05"/>
    <n v="2.42"/>
    <n v="1962.63"/>
  </r>
  <r>
    <x v="115"/>
    <s v="Twitter Ads"/>
    <s v="Brand Awareness"/>
    <s v="Add-on Service"/>
    <n v="11785"/>
    <n v="260"/>
    <n v="9"/>
    <n v="505.81"/>
    <n v="733.3"/>
    <n v="2.21"/>
    <n v="3.46"/>
    <n v="56.2"/>
    <n v="1.45"/>
    <n v="227.49"/>
  </r>
  <r>
    <x v="115"/>
    <s v="TikTok Ads"/>
    <s v="Flash Sale"/>
    <s v="Basic Plan"/>
    <n v="19312"/>
    <n v="860"/>
    <n v="59"/>
    <n v="786.96"/>
    <n v="6041.95"/>
    <n v="4.45"/>
    <n v="6.86"/>
    <n v="13.34"/>
    <n v="7.68"/>
    <n v="5254.99"/>
  </r>
  <r>
    <x v="115"/>
    <s v="Affiliate Marketing"/>
    <s v="Brand Awareness"/>
    <s v="Enterprise Plan"/>
    <n v="5210"/>
    <n v="267"/>
    <n v="34"/>
    <n v="396.76"/>
    <n v="5283.11"/>
    <n v="5.12"/>
    <n v="12.73"/>
    <n v="11.67"/>
    <n v="13.32"/>
    <n v="4886.3500000000004"/>
  </r>
  <r>
    <x v="115"/>
    <s v="Referral"/>
    <s v="Retargeting"/>
    <s v="Add-on Service"/>
    <n v="6178"/>
    <n v="332"/>
    <n v="55"/>
    <n v="139.72999999999999"/>
    <n v="7936.42"/>
    <n v="5.37"/>
    <n v="16.57"/>
    <n v="2.54"/>
    <n v="56.8"/>
    <n v="7796.69"/>
  </r>
  <r>
    <x v="116"/>
    <s v="Google Ads"/>
    <s v="Seasonal Promotion"/>
    <s v="Premium Plan"/>
    <n v="12871"/>
    <n v="509"/>
    <n v="41"/>
    <n v="1316.15"/>
    <n v="5893.98"/>
    <n v="3.95"/>
    <n v="8.06"/>
    <n v="32.1"/>
    <n v="4.4800000000000004"/>
    <n v="4577.83"/>
  </r>
  <r>
    <x v="116"/>
    <s v="Facebook Ads"/>
    <s v="Brand Awareness"/>
    <s v="Basic Plan"/>
    <n v="12879"/>
    <n v="437"/>
    <n v="37"/>
    <n v="1153.57"/>
    <n v="3815.64"/>
    <n v="3.39"/>
    <n v="8.4700000000000006"/>
    <n v="31.18"/>
    <n v="3.31"/>
    <n v="2662.07"/>
  </r>
  <r>
    <x v="116"/>
    <s v="Instagram Ads"/>
    <s v="Seasonal Promotion"/>
    <s v="Add-on Service"/>
    <n v="12963"/>
    <n v="525"/>
    <n v="28"/>
    <n v="702.89"/>
    <n v="3134.53"/>
    <n v="4.05"/>
    <n v="5.33"/>
    <n v="25.1"/>
    <n v="4.46"/>
    <n v="2431.64"/>
  </r>
  <r>
    <x v="116"/>
    <s v="LinkedIn Ads"/>
    <s v="Lead Generation"/>
    <s v="Starter Kit"/>
    <n v="4866"/>
    <n v="113"/>
    <n v="15"/>
    <n v="1705.08"/>
    <n v="3834.67"/>
    <n v="2.3199999999999998"/>
    <n v="13.27"/>
    <n v="113.67"/>
    <n v="2.25"/>
    <n v="2129.59"/>
  </r>
  <r>
    <x v="116"/>
    <s v="Email Marketing"/>
    <s v="Lead Generation"/>
    <s v="Enterprise Plan"/>
    <n v="15011"/>
    <n v="3488"/>
    <n v="422"/>
    <n v="292"/>
    <n v="60089.27"/>
    <n v="23.24"/>
    <n v="12.1"/>
    <n v="0.69"/>
    <n v="205.79"/>
    <n v="59797.27"/>
  </r>
  <r>
    <x v="116"/>
    <s v="Organic Search"/>
    <s v="Product Launch"/>
    <s v="Premium Plan"/>
    <n v="20923"/>
    <n v="1228"/>
    <n v="150"/>
    <n v="0"/>
    <n v="22944.01"/>
    <n v="5.87"/>
    <n v="12.21"/>
    <n v="0"/>
    <n v="0"/>
    <n v="22944.01"/>
  </r>
  <r>
    <x v="116"/>
    <s v="Display Ads"/>
    <s v="Lead Generation"/>
    <s v="Basic Plan"/>
    <n v="39893"/>
    <n v="791"/>
    <n v="35"/>
    <n v="995.88"/>
    <n v="4064.36"/>
    <n v="1.98"/>
    <n v="4.42"/>
    <n v="28.45"/>
    <n v="4.08"/>
    <n v="3068.48"/>
  </r>
  <r>
    <x v="116"/>
    <s v="YouTube Ads"/>
    <s v="Flash Sale"/>
    <s v="Premium Plan"/>
    <n v="21779"/>
    <n v="459"/>
    <n v="28"/>
    <n v="994.47"/>
    <n v="3146.56"/>
    <n v="2.11"/>
    <n v="6.1"/>
    <n v="35.520000000000003"/>
    <n v="3.16"/>
    <n v="2152.09"/>
  </r>
  <r>
    <x v="116"/>
    <s v="Twitter Ads"/>
    <s v="Flash Sale"/>
    <s v="Starter Kit"/>
    <n v="10306"/>
    <n v="252"/>
    <n v="8"/>
    <n v="640.51"/>
    <n v="703.14"/>
    <n v="2.4500000000000002"/>
    <n v="3.17"/>
    <n v="80.06"/>
    <n v="1.1000000000000001"/>
    <n v="62.63"/>
  </r>
  <r>
    <x v="116"/>
    <s v="TikTok Ads"/>
    <s v="Lead Generation"/>
    <s v="Add-on Service"/>
    <n v="19273"/>
    <n v="794"/>
    <n v="39"/>
    <n v="661.36"/>
    <n v="4107.47"/>
    <n v="4.12"/>
    <n v="4.91"/>
    <n v="16.96"/>
    <n v="6.21"/>
    <n v="3446.11"/>
  </r>
  <r>
    <x v="116"/>
    <s v="Affiliate Marketing"/>
    <s v="Flash Sale"/>
    <s v="Basic Plan"/>
    <n v="9921"/>
    <n v="530"/>
    <n v="49"/>
    <n v="347.68"/>
    <n v="6509.46"/>
    <n v="5.34"/>
    <n v="9.25"/>
    <n v="7.1"/>
    <n v="18.72"/>
    <n v="6161.78"/>
  </r>
  <r>
    <x v="116"/>
    <s v="Referral"/>
    <s v="Retargeting"/>
    <s v="Basic Plan"/>
    <n v="3402"/>
    <n v="295"/>
    <n v="40"/>
    <n v="130.84"/>
    <n v="6749.44"/>
    <n v="8.67"/>
    <n v="13.56"/>
    <n v="3.27"/>
    <n v="51.59"/>
    <n v="6618.6"/>
  </r>
  <r>
    <x v="117"/>
    <s v="Google Ads"/>
    <s v="Seasonal Promotion"/>
    <s v="Enterprise Plan"/>
    <n v="7412"/>
    <n v="280"/>
    <n v="23"/>
    <n v="1036.71"/>
    <n v="4004.58"/>
    <n v="3.78"/>
    <n v="8.2100000000000009"/>
    <n v="45.07"/>
    <n v="3.86"/>
    <n v="2967.87"/>
  </r>
  <r>
    <x v="117"/>
    <s v="Facebook Ads"/>
    <s v="Product Launch"/>
    <s v="Starter Kit"/>
    <n v="12003"/>
    <n v="370"/>
    <n v="18"/>
    <n v="790.77"/>
    <n v="1983.47"/>
    <n v="3.08"/>
    <n v="4.8600000000000003"/>
    <n v="43.93"/>
    <n v="2.5099999999999998"/>
    <n v="1192.7"/>
  </r>
  <r>
    <x v="117"/>
    <s v="Instagram Ads"/>
    <s v="Retargeting"/>
    <s v="Add-on Service"/>
    <n v="11356"/>
    <n v="465"/>
    <n v="25"/>
    <n v="690.3"/>
    <n v="2714.14"/>
    <n v="4.09"/>
    <n v="5.38"/>
    <n v="27.61"/>
    <n v="3.93"/>
    <n v="2023.84"/>
  </r>
  <r>
    <x v="117"/>
    <s v="LinkedIn Ads"/>
    <s v="Flash Sale"/>
    <s v="Enterprise Plan"/>
    <n v="3283"/>
    <n v="55"/>
    <n v="6"/>
    <n v="1171.1500000000001"/>
    <n v="1725.45"/>
    <n v="1.68"/>
    <n v="10.91"/>
    <n v="195.19"/>
    <n v="1.47"/>
    <n v="554.29999999999995"/>
  </r>
  <r>
    <x v="117"/>
    <s v="Email Marketing"/>
    <s v="Product Launch"/>
    <s v="Enterprise Plan"/>
    <n v="11916"/>
    <n v="2883"/>
    <n v="240"/>
    <n v="152.68"/>
    <n v="25438.560000000001"/>
    <n v="24.19"/>
    <n v="8.32"/>
    <n v="0.64"/>
    <n v="166.61"/>
    <n v="25285.88"/>
  </r>
  <r>
    <x v="117"/>
    <s v="Organic Search"/>
    <s v="Product Launch"/>
    <s v="Add-on Service"/>
    <n v="20353"/>
    <n v="1311"/>
    <n v="196"/>
    <n v="0"/>
    <n v="29738.68"/>
    <n v="6.44"/>
    <n v="14.95"/>
    <n v="0"/>
    <n v="0"/>
    <n v="29738.68"/>
  </r>
  <r>
    <x v="117"/>
    <s v="Display Ads"/>
    <s v="Retargeting"/>
    <s v="Starter Kit"/>
    <n v="27616"/>
    <n v="501"/>
    <n v="14"/>
    <n v="782.46"/>
    <n v="1562.93"/>
    <n v="1.81"/>
    <n v="2.79"/>
    <n v="55.89"/>
    <n v="2"/>
    <n v="780.47"/>
  </r>
  <r>
    <x v="117"/>
    <s v="YouTube Ads"/>
    <s v="Brand Awareness"/>
    <s v="Starter Kit"/>
    <n v="15158"/>
    <n v="275"/>
    <n v="14"/>
    <n v="971.47"/>
    <n v="1393.14"/>
    <n v="1.81"/>
    <n v="5.09"/>
    <n v="69.39"/>
    <n v="1.43"/>
    <n v="421.67"/>
  </r>
  <r>
    <x v="117"/>
    <s v="Twitter Ads"/>
    <s v="Product Launch"/>
    <s v="Basic Plan"/>
    <n v="5826"/>
    <n v="130"/>
    <n v="4"/>
    <n v="477.13"/>
    <n v="424.57"/>
    <n v="2.23"/>
    <n v="3.08"/>
    <n v="119.28"/>
    <n v="0.89"/>
    <n v="-52.56"/>
  </r>
  <r>
    <x v="117"/>
    <s v="TikTok Ads"/>
    <s v="Product Launch"/>
    <s v="Enterprise Plan"/>
    <n v="20959"/>
    <n v="583"/>
    <n v="25"/>
    <n v="516.53"/>
    <n v="2396.5500000000002"/>
    <n v="2.78"/>
    <n v="4.29"/>
    <n v="20.66"/>
    <n v="4.6399999999999997"/>
    <n v="1880.02"/>
  </r>
  <r>
    <x v="117"/>
    <s v="Affiliate Marketing"/>
    <s v="Retargeting"/>
    <s v="Premium Plan"/>
    <n v="3943"/>
    <n v="157"/>
    <n v="18"/>
    <n v="263.91000000000003"/>
    <n v="2642.47"/>
    <n v="3.98"/>
    <n v="11.46"/>
    <n v="14.66"/>
    <n v="10.01"/>
    <n v="2378.56"/>
  </r>
  <r>
    <x v="117"/>
    <s v="Referral"/>
    <s v="Seasonal Promotion"/>
    <s v="Basic Plan"/>
    <n v="2839"/>
    <n v="258"/>
    <n v="37"/>
    <n v="115.17"/>
    <n v="5452.24"/>
    <n v="9.09"/>
    <n v="14.34"/>
    <n v="3.11"/>
    <n v="47.34"/>
    <n v="5337.07"/>
  </r>
  <r>
    <x v="118"/>
    <s v="Google Ads"/>
    <s v="Flash Sale"/>
    <s v="Basic Plan"/>
    <n v="9887"/>
    <n v="434"/>
    <n v="49"/>
    <n v="697.92"/>
    <n v="8212.64"/>
    <n v="4.3899999999999997"/>
    <n v="11.29"/>
    <n v="14.24"/>
    <n v="11.77"/>
    <n v="7514.72"/>
  </r>
  <r>
    <x v="118"/>
    <s v="Facebook Ads"/>
    <s v="Brand Awareness"/>
    <s v="Enterprise Plan"/>
    <n v="11636"/>
    <n v="420"/>
    <n v="27"/>
    <n v="621.96"/>
    <n v="2893.79"/>
    <n v="3.61"/>
    <n v="6.43"/>
    <n v="23.04"/>
    <n v="4.6500000000000004"/>
    <n v="2271.83"/>
  </r>
  <r>
    <x v="118"/>
    <s v="Instagram Ads"/>
    <s v="Seasonal Promotion"/>
    <s v="Add-on Service"/>
    <n v="11610"/>
    <n v="490"/>
    <n v="30"/>
    <n v="575.61"/>
    <n v="3801.81"/>
    <n v="4.22"/>
    <n v="6.12"/>
    <n v="19.190000000000001"/>
    <n v="6.6"/>
    <n v="3226.2"/>
  </r>
  <r>
    <x v="118"/>
    <s v="LinkedIn Ads"/>
    <s v="Seasonal Promotion"/>
    <s v="Starter Kit"/>
    <n v="3391"/>
    <n v="89"/>
    <n v="12"/>
    <n v="771.36"/>
    <n v="3879.07"/>
    <n v="2.62"/>
    <n v="13.48"/>
    <n v="64.28"/>
    <n v="5.03"/>
    <n v="3107.71"/>
  </r>
  <r>
    <x v="118"/>
    <s v="Email Marketing"/>
    <s v="Product Launch"/>
    <s v="Basic Plan"/>
    <n v="15250"/>
    <n v="2449"/>
    <n v="200"/>
    <n v="183.44"/>
    <n v="24406.27"/>
    <n v="16.059999999999999"/>
    <n v="8.17"/>
    <n v="0.92"/>
    <n v="133.05000000000001"/>
    <n v="24222.83"/>
  </r>
  <r>
    <x v="118"/>
    <s v="Organic Search"/>
    <s v="Lead Generation"/>
    <s v="Enterprise Plan"/>
    <n v="15791"/>
    <n v="902"/>
    <n v="122"/>
    <n v="0"/>
    <n v="14054.28"/>
    <n v="5.71"/>
    <n v="13.53"/>
    <n v="0"/>
    <n v="0"/>
    <n v="14054.28"/>
  </r>
  <r>
    <x v="118"/>
    <s v="Display Ads"/>
    <s v="Lead Generation"/>
    <s v="Starter Kit"/>
    <n v="26621"/>
    <n v="319"/>
    <n v="14"/>
    <n v="517.61"/>
    <n v="1582.36"/>
    <n v="1.2"/>
    <n v="4.3899999999999997"/>
    <n v="36.97"/>
    <n v="3.06"/>
    <n v="1064.75"/>
  </r>
  <r>
    <x v="118"/>
    <s v="YouTube Ads"/>
    <s v="Seasonal Promotion"/>
    <s v="Basic Plan"/>
    <n v="14808"/>
    <n v="316"/>
    <n v="20"/>
    <n v="862.29"/>
    <n v="2398.0700000000002"/>
    <n v="2.13"/>
    <n v="6.33"/>
    <n v="43.11"/>
    <n v="2.78"/>
    <n v="1535.78"/>
  </r>
  <r>
    <x v="118"/>
    <s v="Twitter Ads"/>
    <s v="Retargeting"/>
    <s v="Add-on Service"/>
    <n v="5735"/>
    <n v="141"/>
    <n v="5"/>
    <n v="431.56"/>
    <n v="400.34"/>
    <n v="2.46"/>
    <n v="3.55"/>
    <n v="86.31"/>
    <n v="0.93"/>
    <n v="-31.22"/>
  </r>
  <r>
    <x v="118"/>
    <s v="TikTok Ads"/>
    <s v="Flash Sale"/>
    <s v="Enterprise Plan"/>
    <n v="13941"/>
    <n v="532"/>
    <n v="21"/>
    <n v="460.1"/>
    <n v="1978.6"/>
    <n v="3.82"/>
    <n v="3.95"/>
    <n v="21.91"/>
    <n v="4.3"/>
    <n v="1518.5"/>
  </r>
  <r>
    <x v="118"/>
    <s v="Affiliate Marketing"/>
    <s v="Product Launch"/>
    <s v="Starter Kit"/>
    <n v="3522"/>
    <n v="161"/>
    <n v="20"/>
    <n v="288.35000000000002"/>
    <n v="2758.49"/>
    <n v="4.57"/>
    <n v="12.42"/>
    <n v="14.42"/>
    <n v="9.57"/>
    <n v="2470.14"/>
  </r>
  <r>
    <x v="118"/>
    <s v="Referral"/>
    <s v="Flash Sale"/>
    <s v="Starter Kit"/>
    <n v="2185"/>
    <n v="172"/>
    <n v="24"/>
    <n v="81.87"/>
    <n v="3879.11"/>
    <n v="7.87"/>
    <n v="13.95"/>
    <n v="3.41"/>
    <n v="47.38"/>
    <n v="3797.24"/>
  </r>
  <r>
    <x v="119"/>
    <s v="Google Ads"/>
    <s v="Retargeting"/>
    <s v="Basic Plan"/>
    <n v="8909"/>
    <n v="358"/>
    <n v="40"/>
    <n v="831.55"/>
    <n v="6660.76"/>
    <n v="4.0199999999999996"/>
    <n v="11.17"/>
    <n v="20.79"/>
    <n v="8.01"/>
    <n v="5829.21"/>
  </r>
  <r>
    <x v="119"/>
    <s v="Facebook Ads"/>
    <s v="Flash Sale"/>
    <s v="Enterprise Plan"/>
    <n v="13140"/>
    <n v="313"/>
    <n v="23"/>
    <n v="1139.5899999999999"/>
    <n v="2854.45"/>
    <n v="2.38"/>
    <n v="7.35"/>
    <n v="49.55"/>
    <n v="2.5"/>
    <n v="1714.86"/>
  </r>
  <r>
    <x v="119"/>
    <s v="Instagram Ads"/>
    <s v="Lead Generation"/>
    <s v="Basic Plan"/>
    <n v="14000"/>
    <n v="429"/>
    <n v="18"/>
    <n v="553.30999999999995"/>
    <n v="1563.08"/>
    <n v="3.06"/>
    <n v="4.2"/>
    <n v="30.74"/>
    <n v="2.82"/>
    <n v="1009.77"/>
  </r>
  <r>
    <x v="119"/>
    <s v="LinkedIn Ads"/>
    <s v="Flash Sale"/>
    <s v="Add-on Service"/>
    <n v="5319"/>
    <n v="101"/>
    <n v="10"/>
    <n v="914.49"/>
    <n v="2334.2600000000002"/>
    <n v="1.9"/>
    <n v="9.9"/>
    <n v="91.45"/>
    <n v="2.5499999999999998"/>
    <n v="1419.77"/>
  </r>
  <r>
    <x v="119"/>
    <s v="Email Marketing"/>
    <s v="Retargeting"/>
    <s v="Basic Plan"/>
    <n v="22575"/>
    <n v="5267"/>
    <n v="434"/>
    <n v="282.48"/>
    <n v="68505.759999999995"/>
    <n v="23.33"/>
    <n v="8.24"/>
    <n v="0.65"/>
    <n v="242.52"/>
    <n v="68223.28"/>
  </r>
  <r>
    <x v="119"/>
    <s v="Organic Search"/>
    <s v="Seasonal Promotion"/>
    <s v="Premium Plan"/>
    <n v="28823"/>
    <n v="1576"/>
    <n v="181"/>
    <n v="0"/>
    <n v="24638.45"/>
    <n v="5.47"/>
    <n v="11.48"/>
    <n v="0"/>
    <n v="0"/>
    <n v="24638.45"/>
  </r>
  <r>
    <x v="119"/>
    <s v="Display Ads"/>
    <s v="Seasonal Promotion"/>
    <s v="Premium Plan"/>
    <n v="36534"/>
    <n v="574"/>
    <n v="24"/>
    <n v="1113.92"/>
    <n v="3148.62"/>
    <n v="1.57"/>
    <n v="4.18"/>
    <n v="46.41"/>
    <n v="2.83"/>
    <n v="2034.7"/>
  </r>
  <r>
    <x v="119"/>
    <s v="YouTube Ads"/>
    <s v="Brand Awareness"/>
    <s v="Premium Plan"/>
    <n v="16302"/>
    <n v="338"/>
    <n v="16"/>
    <n v="1237.1400000000001"/>
    <n v="2233.54"/>
    <n v="2.0699999999999998"/>
    <n v="4.7300000000000004"/>
    <n v="77.319999999999993"/>
    <n v="1.81"/>
    <n v="996.4"/>
  </r>
  <r>
    <x v="119"/>
    <s v="Twitter Ads"/>
    <s v="Brand Awareness"/>
    <s v="Starter Kit"/>
    <n v="12086"/>
    <n v="415"/>
    <n v="15"/>
    <n v="500.46"/>
    <n v="1312.57"/>
    <n v="3.43"/>
    <n v="3.61"/>
    <n v="33.36"/>
    <n v="2.62"/>
    <n v="812.11"/>
  </r>
  <r>
    <x v="119"/>
    <s v="TikTok Ads"/>
    <s v="Lead Generation"/>
    <s v="Basic Plan"/>
    <n v="28348"/>
    <n v="968"/>
    <n v="62"/>
    <n v="998.42"/>
    <n v="6291.55"/>
    <n v="3.41"/>
    <n v="6.4"/>
    <n v="16.100000000000001"/>
    <n v="6.3"/>
    <n v="5293.13"/>
  </r>
  <r>
    <x v="119"/>
    <s v="Affiliate Marketing"/>
    <s v="Brand Awareness"/>
    <s v="Basic Plan"/>
    <n v="9007"/>
    <n v="603"/>
    <n v="64"/>
    <n v="628.74"/>
    <n v="6750.45"/>
    <n v="6.69"/>
    <n v="10.61"/>
    <n v="9.82"/>
    <n v="10.74"/>
    <n v="6121.71"/>
  </r>
  <r>
    <x v="119"/>
    <s v="Referral"/>
    <s v="Brand Awareness"/>
    <s v="Basic Plan"/>
    <n v="6310"/>
    <n v="468"/>
    <n v="65"/>
    <n v="64.16"/>
    <n v="10150.9"/>
    <n v="7.42"/>
    <n v="13.89"/>
    <n v="0.99"/>
    <n v="158.21"/>
    <n v="10086.74"/>
  </r>
  <r>
    <x v="120"/>
    <s v="Google Ads"/>
    <s v="Seasonal Promotion"/>
    <s v="Starter Kit"/>
    <n v="13486"/>
    <n v="612"/>
    <n v="56"/>
    <n v="1058.51"/>
    <n v="9885.5300000000007"/>
    <n v="4.54"/>
    <n v="9.15"/>
    <n v="18.899999999999999"/>
    <n v="9.34"/>
    <n v="8827.02"/>
  </r>
  <r>
    <x v="120"/>
    <s v="Facebook Ads"/>
    <s v="Product Launch"/>
    <s v="Premium Plan"/>
    <n v="15114"/>
    <n v="489"/>
    <n v="29"/>
    <n v="1125.2"/>
    <n v="3774.16"/>
    <n v="3.24"/>
    <n v="5.93"/>
    <n v="38.799999999999997"/>
    <n v="3.35"/>
    <n v="2648.96"/>
  </r>
  <r>
    <x v="120"/>
    <s v="Instagram Ads"/>
    <s v="Seasonal Promotion"/>
    <s v="Add-on Service"/>
    <n v="10563"/>
    <n v="288"/>
    <n v="14"/>
    <n v="806.92"/>
    <n v="1651.89"/>
    <n v="2.73"/>
    <n v="4.8600000000000003"/>
    <n v="57.64"/>
    <n v="2.0499999999999998"/>
    <n v="844.97"/>
  </r>
  <r>
    <x v="120"/>
    <s v="LinkedIn Ads"/>
    <s v="Retargeting"/>
    <s v="Starter Kit"/>
    <n v="4243"/>
    <n v="69"/>
    <n v="8"/>
    <n v="1094.8699999999999"/>
    <n v="1660.37"/>
    <n v="1.63"/>
    <n v="11.59"/>
    <n v="136.86000000000001"/>
    <n v="1.52"/>
    <n v="565.5"/>
  </r>
  <r>
    <x v="120"/>
    <s v="Email Marketing"/>
    <s v="Brand Awareness"/>
    <s v="Premium Plan"/>
    <n v="19283"/>
    <n v="3638"/>
    <n v="296"/>
    <n v="229.93"/>
    <n v="44984.71"/>
    <n v="18.87"/>
    <n v="8.14"/>
    <n v="0.78"/>
    <n v="195.65"/>
    <n v="44754.78"/>
  </r>
  <r>
    <x v="120"/>
    <s v="Organic Search"/>
    <s v="Seasonal Promotion"/>
    <s v="Add-on Service"/>
    <n v="24417"/>
    <n v="1493"/>
    <n v="235"/>
    <n v="0"/>
    <n v="25336.07"/>
    <n v="6.11"/>
    <n v="15.74"/>
    <n v="0"/>
    <n v="0"/>
    <n v="25336.07"/>
  </r>
  <r>
    <x v="120"/>
    <s v="Display Ads"/>
    <s v="Retargeting"/>
    <s v="Premium Plan"/>
    <n v="35577"/>
    <n v="517"/>
    <n v="17"/>
    <n v="1194.32"/>
    <n v="2091.1999999999998"/>
    <n v="1.45"/>
    <n v="3.29"/>
    <n v="70.25"/>
    <n v="1.75"/>
    <n v="896.88"/>
  </r>
  <r>
    <x v="120"/>
    <s v="YouTube Ads"/>
    <s v="Brand Awareness"/>
    <s v="Add-on Service"/>
    <n v="15211"/>
    <n v="361"/>
    <n v="16"/>
    <n v="946.01"/>
    <n v="1863.38"/>
    <n v="2.37"/>
    <n v="4.43"/>
    <n v="59.13"/>
    <n v="1.97"/>
    <n v="917.37"/>
  </r>
  <r>
    <x v="120"/>
    <s v="Twitter Ads"/>
    <s v="Flash Sale"/>
    <s v="Enterprise Plan"/>
    <n v="11142"/>
    <n v="280"/>
    <n v="13"/>
    <n v="777.84"/>
    <n v="1233.29"/>
    <n v="2.5099999999999998"/>
    <n v="4.6399999999999997"/>
    <n v="59.83"/>
    <n v="1.59"/>
    <n v="455.45"/>
  </r>
  <r>
    <x v="120"/>
    <s v="TikTok Ads"/>
    <s v="Seasonal Promotion"/>
    <s v="Enterprise Plan"/>
    <n v="27365"/>
    <n v="1159"/>
    <n v="42"/>
    <n v="982.47"/>
    <n v="4306.83"/>
    <n v="4.24"/>
    <n v="3.62"/>
    <n v="23.39"/>
    <n v="4.38"/>
    <n v="3324.36"/>
  </r>
  <r>
    <x v="120"/>
    <s v="Affiliate Marketing"/>
    <s v="Brand Awareness"/>
    <s v="Add-on Service"/>
    <n v="6432"/>
    <n v="449"/>
    <n v="40"/>
    <n v="632.9"/>
    <n v="5453.41"/>
    <n v="6.98"/>
    <n v="8.91"/>
    <n v="15.82"/>
    <n v="8.6199999999999992"/>
    <n v="4820.51"/>
  </r>
  <r>
    <x v="120"/>
    <s v="Referral"/>
    <s v="Flash Sale"/>
    <s v="Starter Kit"/>
    <n v="5044"/>
    <n v="447"/>
    <n v="64"/>
    <n v="56.77"/>
    <n v="8202.7199999999993"/>
    <n v="8.86"/>
    <n v="14.32"/>
    <n v="0.89"/>
    <n v="144.49"/>
    <n v="8145.95"/>
  </r>
  <r>
    <x v="121"/>
    <s v="Google Ads"/>
    <s v="Lead Generation"/>
    <s v="Premium Plan"/>
    <n v="13570"/>
    <n v="555"/>
    <n v="58"/>
    <n v="1186.52"/>
    <n v="10199.370000000001"/>
    <n v="4.09"/>
    <n v="10.45"/>
    <n v="20.46"/>
    <n v="8.6"/>
    <n v="9012.85"/>
  </r>
  <r>
    <x v="121"/>
    <s v="Facebook Ads"/>
    <s v="Brand Awareness"/>
    <s v="Add-on Service"/>
    <n v="18779"/>
    <n v="597"/>
    <n v="35"/>
    <n v="930.7"/>
    <n v="4446.25"/>
    <n v="3.18"/>
    <n v="5.86"/>
    <n v="26.59"/>
    <n v="4.78"/>
    <n v="3515.55"/>
  </r>
  <r>
    <x v="121"/>
    <s v="Instagram Ads"/>
    <s v="Lead Generation"/>
    <s v="Basic Plan"/>
    <n v="12201"/>
    <n v="520"/>
    <n v="29"/>
    <n v="810.53"/>
    <n v="3059.23"/>
    <n v="4.26"/>
    <n v="5.58"/>
    <n v="27.95"/>
    <n v="3.77"/>
    <n v="2248.6999999999998"/>
  </r>
  <r>
    <x v="121"/>
    <s v="LinkedIn Ads"/>
    <s v="Lead Generation"/>
    <s v="Add-on Service"/>
    <n v="5358"/>
    <n v="149"/>
    <n v="18"/>
    <n v="1626.18"/>
    <n v="5892.76"/>
    <n v="2.78"/>
    <n v="12.08"/>
    <n v="90.34"/>
    <n v="3.62"/>
    <n v="4266.58"/>
  </r>
  <r>
    <x v="121"/>
    <s v="Email Marketing"/>
    <s v="Seasonal Promotion"/>
    <s v="Enterprise Plan"/>
    <n v="15892"/>
    <n v="3203"/>
    <n v="297"/>
    <n v="266.72000000000003"/>
    <n v="33316.15"/>
    <n v="20.149999999999999"/>
    <n v="9.27"/>
    <n v="0.9"/>
    <n v="124.91"/>
    <n v="33049.43"/>
  </r>
  <r>
    <x v="121"/>
    <s v="Organic Search"/>
    <s v="Product Launch"/>
    <s v="Enterprise Plan"/>
    <n v="26780"/>
    <n v="1447"/>
    <n v="162"/>
    <n v="0"/>
    <n v="25066.9"/>
    <n v="5.4"/>
    <n v="11.2"/>
    <n v="0"/>
    <n v="0"/>
    <n v="25066.9"/>
  </r>
  <r>
    <x v="121"/>
    <s v="Display Ads"/>
    <s v="Retargeting"/>
    <s v="Premium Plan"/>
    <n v="32357"/>
    <n v="362"/>
    <n v="7"/>
    <n v="874.06"/>
    <n v="760.13"/>
    <n v="1.1200000000000001"/>
    <n v="1.93"/>
    <n v="124.87"/>
    <n v="0.87"/>
    <n v="-113.93"/>
  </r>
  <r>
    <x v="121"/>
    <s v="YouTube Ads"/>
    <s v="Product Launch"/>
    <s v="Starter Kit"/>
    <n v="23463"/>
    <n v="676"/>
    <n v="39"/>
    <n v="805.05"/>
    <n v="4691.55"/>
    <n v="2.88"/>
    <n v="5.77"/>
    <n v="20.64"/>
    <n v="5.83"/>
    <n v="3886.5"/>
  </r>
  <r>
    <x v="121"/>
    <s v="Twitter Ads"/>
    <s v="Retargeting"/>
    <s v="Add-on Service"/>
    <n v="11117"/>
    <n v="345"/>
    <n v="11"/>
    <n v="513.14"/>
    <n v="1047.07"/>
    <n v="3.1"/>
    <n v="3.19"/>
    <n v="46.65"/>
    <n v="2.04"/>
    <n v="533.92999999999995"/>
  </r>
  <r>
    <x v="121"/>
    <s v="TikTok Ads"/>
    <s v="Lead Generation"/>
    <s v="Basic Plan"/>
    <n v="18795"/>
    <n v="550"/>
    <n v="18"/>
    <n v="682.85"/>
    <n v="1287.6199999999999"/>
    <n v="2.93"/>
    <n v="3.27"/>
    <n v="37.94"/>
    <n v="1.89"/>
    <n v="604.77"/>
  </r>
  <r>
    <x v="121"/>
    <s v="Affiliate Marketing"/>
    <s v="Product Launch"/>
    <s v="Premium Plan"/>
    <n v="7986"/>
    <n v="438"/>
    <n v="43"/>
    <n v="378.52"/>
    <n v="5891.83"/>
    <n v="5.48"/>
    <n v="9.82"/>
    <n v="8.8000000000000007"/>
    <n v="15.57"/>
    <n v="5513.31"/>
  </r>
  <r>
    <x v="121"/>
    <s v="Referral"/>
    <s v="Flash Sale"/>
    <s v="Premium Plan"/>
    <n v="5469"/>
    <n v="349"/>
    <n v="46"/>
    <n v="117.38"/>
    <n v="7540.26"/>
    <n v="6.38"/>
    <n v="13.18"/>
    <n v="2.5499999999999998"/>
    <n v="64.239999999999995"/>
    <n v="7422.88"/>
  </r>
  <r>
    <x v="122"/>
    <s v="Google Ads"/>
    <s v="Brand Awareness"/>
    <s v="Starter Kit"/>
    <n v="13709"/>
    <n v="682"/>
    <n v="68"/>
    <n v="1489.51"/>
    <n v="9959.26"/>
    <n v="4.97"/>
    <n v="9.9700000000000006"/>
    <n v="21.9"/>
    <n v="6.69"/>
    <n v="8469.75"/>
  </r>
  <r>
    <x v="122"/>
    <s v="Facebook Ads"/>
    <s v="Retargeting"/>
    <s v="Starter Kit"/>
    <n v="15517"/>
    <n v="570"/>
    <n v="41"/>
    <n v="922.09"/>
    <n v="4070.63"/>
    <n v="3.67"/>
    <n v="7.19"/>
    <n v="22.49"/>
    <n v="4.41"/>
    <n v="3148.54"/>
  </r>
  <r>
    <x v="122"/>
    <s v="Instagram Ads"/>
    <s v="Seasonal Promotion"/>
    <s v="Starter Kit"/>
    <n v="14121"/>
    <n v="592"/>
    <n v="29"/>
    <n v="854.94"/>
    <n v="3058"/>
    <n v="4.1900000000000004"/>
    <n v="4.9000000000000004"/>
    <n v="29.48"/>
    <n v="3.58"/>
    <n v="2203.06"/>
  </r>
  <r>
    <x v="122"/>
    <s v="LinkedIn Ads"/>
    <s v="Brand Awareness"/>
    <s v="Premium Plan"/>
    <n v="3201"/>
    <n v="90"/>
    <n v="11"/>
    <n v="1222.28"/>
    <n v="3133.88"/>
    <n v="2.81"/>
    <n v="12.22"/>
    <n v="111.12"/>
    <n v="2.56"/>
    <n v="1911.6"/>
  </r>
  <r>
    <x v="122"/>
    <s v="Email Marketing"/>
    <s v="Flash Sale"/>
    <s v="Basic Plan"/>
    <n v="19873"/>
    <n v="4898"/>
    <n v="607"/>
    <n v="249.49"/>
    <n v="84852.44"/>
    <n v="24.65"/>
    <n v="12.39"/>
    <n v="0.41"/>
    <n v="340.1"/>
    <n v="84602.95"/>
  </r>
  <r>
    <x v="122"/>
    <s v="Organic Search"/>
    <s v="Brand Awareness"/>
    <s v="Starter Kit"/>
    <n v="24896"/>
    <n v="1354"/>
    <n v="211"/>
    <n v="0"/>
    <n v="26428.38"/>
    <n v="5.44"/>
    <n v="15.58"/>
    <n v="0"/>
    <n v="0"/>
    <n v="26428.38"/>
  </r>
  <r>
    <x v="122"/>
    <s v="Display Ads"/>
    <s v="Retargeting"/>
    <s v="Enterprise Plan"/>
    <n v="28311"/>
    <n v="351"/>
    <n v="13"/>
    <n v="824.66"/>
    <n v="1399.07"/>
    <n v="1.24"/>
    <n v="3.7"/>
    <n v="63.44"/>
    <n v="1.7"/>
    <n v="574.41"/>
  </r>
  <r>
    <x v="122"/>
    <s v="YouTube Ads"/>
    <s v="Seasonal Promotion"/>
    <s v="Premium Plan"/>
    <n v="21938"/>
    <n v="398"/>
    <n v="20"/>
    <n v="1332.03"/>
    <n v="2261.94"/>
    <n v="1.81"/>
    <n v="5.03"/>
    <n v="66.599999999999994"/>
    <n v="1.7"/>
    <n v="929.91"/>
  </r>
  <r>
    <x v="122"/>
    <s v="Twitter Ads"/>
    <s v="Seasonal Promotion"/>
    <s v="Premium Plan"/>
    <n v="11794"/>
    <n v="319"/>
    <n v="10"/>
    <n v="744.89"/>
    <n v="1006.79"/>
    <n v="2.7"/>
    <n v="3.13"/>
    <n v="74.489999999999995"/>
    <n v="1.35"/>
    <n v="261.89999999999998"/>
  </r>
  <r>
    <x v="122"/>
    <s v="TikTok Ads"/>
    <s v="Lead Generation"/>
    <s v="Basic Plan"/>
    <n v="29317"/>
    <n v="983"/>
    <n v="31"/>
    <n v="971.08"/>
    <n v="3243.65"/>
    <n v="3.35"/>
    <n v="3.15"/>
    <n v="31.33"/>
    <n v="3.34"/>
    <n v="2272.5700000000002"/>
  </r>
  <r>
    <x v="122"/>
    <s v="Affiliate Marketing"/>
    <s v="Flash Sale"/>
    <s v="Add-on Service"/>
    <n v="9558"/>
    <n v="560"/>
    <n v="59"/>
    <n v="631.37"/>
    <n v="8882.69"/>
    <n v="5.86"/>
    <n v="10.54"/>
    <n v="10.7"/>
    <n v="14.07"/>
    <n v="8251.32"/>
  </r>
  <r>
    <x v="122"/>
    <s v="Referral"/>
    <s v="Retargeting"/>
    <s v="Enterprise Plan"/>
    <n v="3677"/>
    <n v="331"/>
    <n v="40"/>
    <n v="172.01"/>
    <n v="7029.07"/>
    <n v="9"/>
    <n v="12.08"/>
    <n v="4.3"/>
    <n v="40.86"/>
    <n v="6857.06"/>
  </r>
  <r>
    <x v="123"/>
    <s v="Google Ads"/>
    <s v="Brand Awareness"/>
    <s v="Premium Plan"/>
    <n v="11797"/>
    <n v="379"/>
    <n v="35"/>
    <n v="1248.04"/>
    <n v="4725.1000000000004"/>
    <n v="3.21"/>
    <n v="9.23"/>
    <n v="35.659999999999997"/>
    <n v="3.79"/>
    <n v="3477.06"/>
  </r>
  <r>
    <x v="123"/>
    <s v="Facebook Ads"/>
    <s v="Flash Sale"/>
    <s v="Enterprise Plan"/>
    <n v="22491"/>
    <n v="474"/>
    <n v="37"/>
    <n v="916.54"/>
    <n v="4950.67"/>
    <n v="2.11"/>
    <n v="7.81"/>
    <n v="24.77"/>
    <n v="5.4"/>
    <n v="4034.13"/>
  </r>
  <r>
    <x v="123"/>
    <s v="Instagram Ads"/>
    <s v="Seasonal Promotion"/>
    <s v="Add-on Service"/>
    <n v="18902"/>
    <n v="805"/>
    <n v="39"/>
    <n v="745.54"/>
    <n v="4651.93"/>
    <n v="4.26"/>
    <n v="4.84"/>
    <n v="19.12"/>
    <n v="6.24"/>
    <n v="3906.39"/>
  </r>
  <r>
    <x v="123"/>
    <s v="LinkedIn Ads"/>
    <s v="Flash Sale"/>
    <s v="Premium Plan"/>
    <n v="5594"/>
    <n v="133"/>
    <n v="15"/>
    <n v="1484.5"/>
    <n v="4867.4799999999996"/>
    <n v="2.38"/>
    <n v="11.28"/>
    <n v="98.97"/>
    <n v="3.28"/>
    <n v="3382.98"/>
  </r>
  <r>
    <x v="123"/>
    <s v="Email Marketing"/>
    <s v="Lead Generation"/>
    <s v="Enterprise Plan"/>
    <n v="34000"/>
    <n v="7359"/>
    <n v="834"/>
    <n v="281.74"/>
    <n v="128833.74"/>
    <n v="21.64"/>
    <n v="11.33"/>
    <n v="0.34"/>
    <n v="457.28"/>
    <n v="128552"/>
  </r>
  <r>
    <x v="123"/>
    <s v="Organic Search"/>
    <s v="Brand Awareness"/>
    <s v="Basic Plan"/>
    <n v="48594"/>
    <n v="3694"/>
    <n v="579"/>
    <n v="0"/>
    <n v="76499.710000000006"/>
    <n v="7.6"/>
    <n v="15.67"/>
    <n v="0"/>
    <n v="0"/>
    <n v="76499.710000000006"/>
  </r>
  <r>
    <x v="123"/>
    <s v="Display Ads"/>
    <s v="Seasonal Promotion"/>
    <s v="Basic Plan"/>
    <n v="48734"/>
    <n v="800"/>
    <n v="35"/>
    <n v="1240.83"/>
    <n v="4288.6499999999996"/>
    <n v="1.64"/>
    <n v="4.38"/>
    <n v="35.450000000000003"/>
    <n v="3.46"/>
    <n v="3047.82"/>
  </r>
  <r>
    <x v="123"/>
    <s v="YouTube Ads"/>
    <s v="Flash Sale"/>
    <s v="Starter Kit"/>
    <n v="31165"/>
    <n v="672"/>
    <n v="32"/>
    <n v="1399.9"/>
    <n v="4966.25"/>
    <n v="2.16"/>
    <n v="4.76"/>
    <n v="43.75"/>
    <n v="3.55"/>
    <n v="3566.35"/>
  </r>
  <r>
    <x v="123"/>
    <s v="Twitter Ads"/>
    <s v="Brand Awareness"/>
    <s v="Enterprise Plan"/>
    <n v="17778"/>
    <n v="571"/>
    <n v="26"/>
    <n v="906.6"/>
    <n v="2065.21"/>
    <n v="3.21"/>
    <n v="4.55"/>
    <n v="34.869999999999997"/>
    <n v="2.2799999999999998"/>
    <n v="1158.6099999999999"/>
  </r>
  <r>
    <x v="123"/>
    <s v="TikTok Ads"/>
    <s v="Lead Generation"/>
    <s v="Add-on Service"/>
    <n v="29457"/>
    <n v="1191"/>
    <n v="67"/>
    <n v="1124.01"/>
    <n v="5881.68"/>
    <n v="4.04"/>
    <n v="5.63"/>
    <n v="16.78"/>
    <n v="5.23"/>
    <n v="4757.67"/>
  </r>
  <r>
    <x v="123"/>
    <s v="Affiliate Marketing"/>
    <s v="Lead Generation"/>
    <s v="Add-on Service"/>
    <n v="11197"/>
    <n v="726"/>
    <n v="85"/>
    <n v="850.82"/>
    <n v="10540"/>
    <n v="6.48"/>
    <n v="11.71"/>
    <n v="10.01"/>
    <n v="12.39"/>
    <n v="9689.18"/>
  </r>
  <r>
    <x v="123"/>
    <s v="Referral"/>
    <s v="Retargeting"/>
    <s v="Add-on Service"/>
    <n v="7140"/>
    <n v="701"/>
    <n v="98"/>
    <n v="156.34"/>
    <n v="13507.17"/>
    <n v="9.82"/>
    <n v="13.98"/>
    <n v="1.6"/>
    <n v="86.4"/>
    <n v="13350.83"/>
  </r>
  <r>
    <x v="124"/>
    <s v="Google Ads"/>
    <s v="Product Launch"/>
    <s v="Starter Kit"/>
    <n v="10332"/>
    <n v="312"/>
    <n v="29"/>
    <n v="1030.1400000000001"/>
    <n v="4409.7299999999996"/>
    <n v="3.02"/>
    <n v="9.2899999999999991"/>
    <n v="35.520000000000003"/>
    <n v="4.28"/>
    <n v="3379.59"/>
  </r>
  <r>
    <x v="124"/>
    <s v="Facebook Ads"/>
    <s v="Flash Sale"/>
    <s v="Basic Plan"/>
    <n v="19132"/>
    <n v="657"/>
    <n v="39"/>
    <n v="1091.48"/>
    <n v="4250.5600000000004"/>
    <n v="3.43"/>
    <n v="5.94"/>
    <n v="27.99"/>
    <n v="3.89"/>
    <n v="3159.08"/>
  </r>
  <r>
    <x v="124"/>
    <s v="Instagram Ads"/>
    <s v="Flash Sale"/>
    <s v="Premium Plan"/>
    <n v="16630"/>
    <n v="614"/>
    <n v="29"/>
    <n v="817.99"/>
    <n v="2815.36"/>
    <n v="3.69"/>
    <n v="4.72"/>
    <n v="28.21"/>
    <n v="3.44"/>
    <n v="1997.37"/>
  </r>
  <r>
    <x v="124"/>
    <s v="LinkedIn Ads"/>
    <s v="Seasonal Promotion"/>
    <s v="Enterprise Plan"/>
    <n v="4561"/>
    <n v="81"/>
    <n v="9"/>
    <n v="1030.79"/>
    <n v="2477.27"/>
    <n v="1.78"/>
    <n v="11.11"/>
    <n v="114.53"/>
    <n v="2.4"/>
    <n v="1446.48"/>
  </r>
  <r>
    <x v="124"/>
    <s v="Email Marketing"/>
    <s v="Brand Awareness"/>
    <s v="Premium Plan"/>
    <n v="16438"/>
    <n v="3987"/>
    <n v="360"/>
    <n v="211.66"/>
    <n v="40172.74"/>
    <n v="24.25"/>
    <n v="9.0299999999999994"/>
    <n v="0.59"/>
    <n v="189.8"/>
    <n v="39961.08"/>
  </r>
  <r>
    <x v="124"/>
    <s v="Organic Search"/>
    <s v="Retargeting"/>
    <s v="Basic Plan"/>
    <n v="21598"/>
    <n v="1058"/>
    <n v="130"/>
    <n v="0"/>
    <n v="14591.61"/>
    <n v="4.9000000000000004"/>
    <n v="12.29"/>
    <n v="0"/>
    <n v="0"/>
    <n v="14591.61"/>
  </r>
  <r>
    <x v="124"/>
    <s v="Display Ads"/>
    <s v="Brand Awareness"/>
    <s v="Enterprise Plan"/>
    <n v="37525"/>
    <n v="629"/>
    <n v="30"/>
    <n v="1246.26"/>
    <n v="3777.78"/>
    <n v="1.68"/>
    <n v="4.7699999999999996"/>
    <n v="41.54"/>
    <n v="3.03"/>
    <n v="2531.52"/>
  </r>
  <r>
    <x v="124"/>
    <s v="YouTube Ads"/>
    <s v="Seasonal Promotion"/>
    <s v="Add-on Service"/>
    <n v="15716"/>
    <n v="271"/>
    <n v="18"/>
    <n v="925.53"/>
    <n v="2350.9299999999998"/>
    <n v="1.72"/>
    <n v="6.64"/>
    <n v="51.42"/>
    <n v="2.54"/>
    <n v="1425.4"/>
  </r>
  <r>
    <x v="124"/>
    <s v="Twitter Ads"/>
    <s v="Seasonal Promotion"/>
    <s v="Starter Kit"/>
    <n v="8504"/>
    <n v="170"/>
    <n v="7"/>
    <n v="708.17"/>
    <n v="740.28"/>
    <n v="2"/>
    <n v="4.12"/>
    <n v="101.17"/>
    <n v="1.05"/>
    <n v="32.11"/>
  </r>
  <r>
    <x v="124"/>
    <s v="TikTok Ads"/>
    <s v="Product Launch"/>
    <s v="Premium Plan"/>
    <n v="26021"/>
    <n v="1034"/>
    <n v="31"/>
    <n v="802.82"/>
    <n v="2929.28"/>
    <n v="3.97"/>
    <n v="3"/>
    <n v="25.9"/>
    <n v="3.65"/>
    <n v="2126.46"/>
  </r>
  <r>
    <x v="124"/>
    <s v="Affiliate Marketing"/>
    <s v="Flash Sale"/>
    <s v="Enterprise Plan"/>
    <n v="7182"/>
    <n v="496"/>
    <n v="59"/>
    <n v="580.23"/>
    <n v="7691.35"/>
    <n v="6.91"/>
    <n v="11.9"/>
    <n v="9.83"/>
    <n v="13.26"/>
    <n v="7111.12"/>
  </r>
  <r>
    <x v="124"/>
    <s v="Referral"/>
    <s v="Retargeting"/>
    <s v="Starter Kit"/>
    <n v="5932"/>
    <n v="468"/>
    <n v="70"/>
    <n v="70.81"/>
    <n v="11328.25"/>
    <n v="7.89"/>
    <n v="14.96"/>
    <n v="1.01"/>
    <n v="159.97999999999999"/>
    <n v="11257.44"/>
  </r>
  <r>
    <x v="125"/>
    <s v="Google Ads"/>
    <s v="Lead Generation"/>
    <s v="Enterprise Plan"/>
    <n v="14309"/>
    <n v="557"/>
    <n v="45"/>
    <n v="1190.53"/>
    <n v="8557.52"/>
    <n v="3.89"/>
    <n v="8.08"/>
    <n v="26.46"/>
    <n v="7.19"/>
    <n v="7366.99"/>
  </r>
  <r>
    <x v="125"/>
    <s v="Facebook Ads"/>
    <s v="Seasonal Promotion"/>
    <s v="Starter Kit"/>
    <n v="14966"/>
    <n v="545"/>
    <n v="32"/>
    <n v="929.63"/>
    <n v="4769.6099999999997"/>
    <n v="3.64"/>
    <n v="5.87"/>
    <n v="29.05"/>
    <n v="5.13"/>
    <n v="3839.98"/>
  </r>
  <r>
    <x v="125"/>
    <s v="Instagram Ads"/>
    <s v="Retargeting"/>
    <s v="Basic Plan"/>
    <n v="10346"/>
    <n v="309"/>
    <n v="23"/>
    <n v="886.35"/>
    <n v="2276.16"/>
    <n v="2.99"/>
    <n v="7.44"/>
    <n v="38.54"/>
    <n v="2.57"/>
    <n v="1389.81"/>
  </r>
  <r>
    <x v="125"/>
    <s v="LinkedIn Ads"/>
    <s v="Flash Sale"/>
    <s v="Add-on Service"/>
    <n v="4409"/>
    <n v="82"/>
    <n v="10"/>
    <n v="1118.19"/>
    <n v="3486.92"/>
    <n v="1.86"/>
    <n v="12.2"/>
    <n v="111.82"/>
    <n v="3.12"/>
    <n v="2368.73"/>
  </r>
  <r>
    <x v="125"/>
    <s v="Email Marketing"/>
    <s v="Flash Sale"/>
    <s v="Starter Kit"/>
    <n v="19835"/>
    <n v="3736"/>
    <n v="324"/>
    <n v="170.51"/>
    <n v="41238.720000000001"/>
    <n v="18.84"/>
    <n v="8.67"/>
    <n v="0.53"/>
    <n v="241.86"/>
    <n v="41068.21"/>
  </r>
  <r>
    <x v="125"/>
    <s v="Organic Search"/>
    <s v="Brand Awareness"/>
    <s v="Add-on Service"/>
    <n v="24086"/>
    <n v="1275"/>
    <n v="177"/>
    <n v="0"/>
    <n v="24974.49"/>
    <n v="5.29"/>
    <n v="13.88"/>
    <n v="0"/>
    <n v="0"/>
    <n v="24974.49"/>
  </r>
  <r>
    <x v="125"/>
    <s v="Display Ads"/>
    <s v="Product Launch"/>
    <s v="Basic Plan"/>
    <n v="25880"/>
    <n v="476"/>
    <n v="21"/>
    <n v="1256.93"/>
    <n v="2524.42"/>
    <n v="1.84"/>
    <n v="4.41"/>
    <n v="59.85"/>
    <n v="2.0099999999999998"/>
    <n v="1267.49"/>
  </r>
  <r>
    <x v="125"/>
    <s v="YouTube Ads"/>
    <s v="Flash Sale"/>
    <s v="Premium Plan"/>
    <n v="23514"/>
    <n v="463"/>
    <n v="30"/>
    <n v="1064.27"/>
    <n v="4395.76"/>
    <n v="1.97"/>
    <n v="6.48"/>
    <n v="35.479999999999997"/>
    <n v="4.13"/>
    <n v="3331.49"/>
  </r>
  <r>
    <x v="125"/>
    <s v="Twitter Ads"/>
    <s v="Brand Awareness"/>
    <s v="Enterprise Plan"/>
    <n v="12593"/>
    <n v="403"/>
    <n v="12"/>
    <n v="622.62"/>
    <n v="981.18"/>
    <n v="3.2"/>
    <n v="2.98"/>
    <n v="51.88"/>
    <n v="1.58"/>
    <n v="358.56"/>
  </r>
  <r>
    <x v="125"/>
    <s v="TikTok Ads"/>
    <s v="Lead Generation"/>
    <s v="Starter Kit"/>
    <n v="28308"/>
    <n v="801"/>
    <n v="49"/>
    <n v="672.18"/>
    <n v="4948.67"/>
    <n v="2.83"/>
    <n v="6.12"/>
    <n v="13.72"/>
    <n v="7.36"/>
    <n v="4276.49"/>
  </r>
  <r>
    <x v="125"/>
    <s v="Affiliate Marketing"/>
    <s v="Flash Sale"/>
    <s v="Basic Plan"/>
    <n v="9259"/>
    <n v="513"/>
    <n v="66"/>
    <n v="334.97"/>
    <n v="8535.19"/>
    <n v="5.54"/>
    <n v="12.87"/>
    <n v="5.08"/>
    <n v="25.48"/>
    <n v="8200.2199999999993"/>
  </r>
  <r>
    <x v="125"/>
    <s v="Referral"/>
    <s v="Flash Sale"/>
    <s v="Starter Kit"/>
    <n v="5237"/>
    <n v="397"/>
    <n v="49"/>
    <n v="178.87"/>
    <n v="6011.02"/>
    <n v="7.58"/>
    <n v="12.34"/>
    <n v="3.65"/>
    <n v="33.61"/>
    <n v="5832.15"/>
  </r>
  <r>
    <x v="126"/>
    <s v="Google Ads"/>
    <s v="Product Launch"/>
    <s v="Enterprise Plan"/>
    <n v="11554"/>
    <n v="401"/>
    <n v="35"/>
    <n v="1993.78"/>
    <n v="5686.45"/>
    <n v="3.47"/>
    <n v="8.73"/>
    <n v="56.97"/>
    <n v="2.85"/>
    <n v="3692.67"/>
  </r>
  <r>
    <x v="126"/>
    <s v="Facebook Ads"/>
    <s v="Brand Awareness"/>
    <s v="Premium Plan"/>
    <n v="26413"/>
    <n v="1007"/>
    <n v="78"/>
    <n v="1246.92"/>
    <n v="10937.98"/>
    <n v="3.81"/>
    <n v="7.75"/>
    <n v="15.99"/>
    <n v="8.77"/>
    <n v="9691.06"/>
  </r>
  <r>
    <x v="126"/>
    <s v="Instagram Ads"/>
    <s v="Brand Awareness"/>
    <s v="Enterprise Plan"/>
    <n v="20475"/>
    <n v="596"/>
    <n v="32"/>
    <n v="1051.75"/>
    <n v="3555.98"/>
    <n v="2.91"/>
    <n v="5.37"/>
    <n v="32.869999999999997"/>
    <n v="3.38"/>
    <n v="2504.23"/>
  </r>
  <r>
    <x v="126"/>
    <s v="LinkedIn Ads"/>
    <s v="Retargeting"/>
    <s v="Enterprise Plan"/>
    <n v="7195"/>
    <n v="189"/>
    <n v="22"/>
    <n v="1801.49"/>
    <n v="4338.32"/>
    <n v="2.63"/>
    <n v="11.64"/>
    <n v="81.89"/>
    <n v="2.41"/>
    <n v="2536.83"/>
  </r>
  <r>
    <x v="126"/>
    <s v="Email Marketing"/>
    <s v="Product Launch"/>
    <s v="Premium Plan"/>
    <n v="32401"/>
    <n v="7667"/>
    <n v="757"/>
    <n v="361.17"/>
    <n v="111771.59"/>
    <n v="23.66"/>
    <n v="9.8699999999999992"/>
    <n v="0.48"/>
    <n v="309.47000000000003"/>
    <n v="111410.42"/>
  </r>
  <r>
    <x v="126"/>
    <s v="Organic Search"/>
    <s v="Lead Generation"/>
    <s v="Premium Plan"/>
    <n v="32766"/>
    <n v="2483"/>
    <n v="340"/>
    <n v="0"/>
    <n v="40730.620000000003"/>
    <n v="7.58"/>
    <n v="13.69"/>
    <n v="0"/>
    <n v="0"/>
    <n v="40730.620000000003"/>
  </r>
  <r>
    <x v="126"/>
    <s v="Display Ads"/>
    <s v="Lead Generation"/>
    <s v="Starter Kit"/>
    <n v="50708"/>
    <n v="1009"/>
    <n v="42"/>
    <n v="1753.8"/>
    <n v="3729.73"/>
    <n v="1.99"/>
    <n v="4.16"/>
    <n v="41.76"/>
    <n v="2.13"/>
    <n v="1975.93"/>
  </r>
  <r>
    <x v="126"/>
    <s v="YouTube Ads"/>
    <s v="Retargeting"/>
    <s v="Add-on Service"/>
    <n v="27323"/>
    <n v="596"/>
    <n v="28"/>
    <n v="1944.09"/>
    <n v="2953.01"/>
    <n v="2.1800000000000002"/>
    <n v="4.7"/>
    <n v="69.430000000000007"/>
    <n v="1.52"/>
    <n v="1008.92"/>
  </r>
  <r>
    <x v="126"/>
    <s v="Twitter Ads"/>
    <s v="Seasonal Promotion"/>
    <s v="Add-on Service"/>
    <n v="17935"/>
    <n v="537"/>
    <n v="29"/>
    <n v="950.31"/>
    <n v="2719.25"/>
    <n v="2.99"/>
    <n v="5.4"/>
    <n v="32.770000000000003"/>
    <n v="2.86"/>
    <n v="1768.94"/>
  </r>
  <r>
    <x v="126"/>
    <s v="TikTok Ads"/>
    <s v="Retargeting"/>
    <s v="Premium Plan"/>
    <n v="26090"/>
    <n v="796"/>
    <n v="29"/>
    <n v="1437.11"/>
    <n v="2969.55"/>
    <n v="3.05"/>
    <n v="3.64"/>
    <n v="49.56"/>
    <n v="2.0699999999999998"/>
    <n v="1532.44"/>
  </r>
  <r>
    <x v="126"/>
    <s v="Affiliate Marketing"/>
    <s v="Brand Awareness"/>
    <s v="Premium Plan"/>
    <n v="8884"/>
    <n v="561"/>
    <n v="49"/>
    <n v="821.33"/>
    <n v="5120.28"/>
    <n v="6.31"/>
    <n v="8.73"/>
    <n v="16.760000000000002"/>
    <n v="6.23"/>
    <n v="4298.95"/>
  </r>
  <r>
    <x v="126"/>
    <s v="Referral"/>
    <s v="Product Launch"/>
    <s v="Add-on Service"/>
    <n v="7029"/>
    <n v="674"/>
    <n v="82"/>
    <n v="194.77"/>
    <n v="12464.54"/>
    <n v="9.59"/>
    <n v="12.17"/>
    <n v="2.38"/>
    <n v="64"/>
    <n v="12269.77"/>
  </r>
  <r>
    <x v="127"/>
    <s v="Google Ads"/>
    <s v="Brand Awareness"/>
    <s v="Add-on Service"/>
    <n v="11774"/>
    <n v="477"/>
    <n v="54"/>
    <n v="1225.53"/>
    <n v="9906.49"/>
    <n v="4.05"/>
    <n v="11.32"/>
    <n v="22.7"/>
    <n v="8.08"/>
    <n v="8680.9599999999991"/>
  </r>
  <r>
    <x v="127"/>
    <s v="Facebook Ads"/>
    <s v="Seasonal Promotion"/>
    <s v="Enterprise Plan"/>
    <n v="24010"/>
    <n v="508"/>
    <n v="39"/>
    <n v="1444.67"/>
    <n v="4887.3999999999996"/>
    <n v="2.12"/>
    <n v="7.68"/>
    <n v="37.04"/>
    <n v="3.38"/>
    <n v="3442.73"/>
  </r>
  <r>
    <x v="127"/>
    <s v="Instagram Ads"/>
    <s v="Retargeting"/>
    <s v="Premium Plan"/>
    <n v="18433"/>
    <n v="644"/>
    <n v="29"/>
    <n v="1051.43"/>
    <n v="3213.15"/>
    <n v="3.49"/>
    <n v="4.5"/>
    <n v="36.26"/>
    <n v="3.06"/>
    <n v="2161.7199999999998"/>
  </r>
  <r>
    <x v="127"/>
    <s v="LinkedIn Ads"/>
    <s v="Product Launch"/>
    <s v="Starter Kit"/>
    <n v="7470"/>
    <n v="165"/>
    <n v="19"/>
    <n v="1984.74"/>
    <n v="4557.37"/>
    <n v="2.21"/>
    <n v="11.52"/>
    <n v="104.46"/>
    <n v="2.2999999999999998"/>
    <n v="2572.63"/>
  </r>
  <r>
    <x v="127"/>
    <s v="Email Marketing"/>
    <s v="Retargeting"/>
    <s v="Premium Plan"/>
    <n v="23975"/>
    <n v="5633"/>
    <n v="732"/>
    <n v="207.15"/>
    <n v="103549.87"/>
    <n v="23.5"/>
    <n v="12.99"/>
    <n v="0.28000000000000003"/>
    <n v="499.88"/>
    <n v="103342.72"/>
  </r>
  <r>
    <x v="127"/>
    <s v="Organic Search"/>
    <s v="Flash Sale"/>
    <s v="Add-on Service"/>
    <n v="47054"/>
    <n v="2149"/>
    <n v="224"/>
    <n v="0"/>
    <n v="30455.24"/>
    <n v="4.57"/>
    <n v="10.42"/>
    <n v="0"/>
    <n v="0"/>
    <n v="30455.24"/>
  </r>
  <r>
    <x v="127"/>
    <s v="Display Ads"/>
    <s v="Lead Generation"/>
    <s v="Add-on Service"/>
    <n v="39607"/>
    <n v="572"/>
    <n v="11"/>
    <n v="1300.4100000000001"/>
    <n v="1360.11"/>
    <n v="1.44"/>
    <n v="1.92"/>
    <n v="118.22"/>
    <n v="1.05"/>
    <n v="59.7"/>
  </r>
  <r>
    <x v="127"/>
    <s v="YouTube Ads"/>
    <s v="Seasonal Promotion"/>
    <s v="Basic Plan"/>
    <n v="28781"/>
    <n v="454"/>
    <n v="30"/>
    <n v="1390.39"/>
    <n v="3178.73"/>
    <n v="1.58"/>
    <n v="6.61"/>
    <n v="46.35"/>
    <n v="2.29"/>
    <n v="1788.34"/>
  </r>
  <r>
    <x v="127"/>
    <s v="Twitter Ads"/>
    <s v="Flash Sale"/>
    <s v="Starter Kit"/>
    <n v="18618"/>
    <n v="501"/>
    <n v="25"/>
    <n v="668.52"/>
    <n v="2329.16"/>
    <n v="2.69"/>
    <n v="4.99"/>
    <n v="26.74"/>
    <n v="3.48"/>
    <n v="1660.64"/>
  </r>
  <r>
    <x v="127"/>
    <s v="TikTok Ads"/>
    <s v="Lead Generation"/>
    <s v="Basic Plan"/>
    <n v="37808"/>
    <n v="1405"/>
    <n v="56"/>
    <n v="880.65"/>
    <n v="5806.9"/>
    <n v="3.72"/>
    <n v="3.99"/>
    <n v="15.73"/>
    <n v="6.59"/>
    <n v="4926.25"/>
  </r>
  <r>
    <x v="127"/>
    <s v="Affiliate Marketing"/>
    <s v="Product Launch"/>
    <s v="Enterprise Plan"/>
    <n v="13839"/>
    <n v="729"/>
    <n v="77"/>
    <n v="493.19"/>
    <n v="10420.57"/>
    <n v="5.27"/>
    <n v="10.56"/>
    <n v="6.41"/>
    <n v="21.13"/>
    <n v="9927.3799999999992"/>
  </r>
  <r>
    <x v="127"/>
    <s v="Referral"/>
    <s v="Product Launch"/>
    <s v="Starter Kit"/>
    <n v="8925"/>
    <n v="659"/>
    <n v="102"/>
    <n v="137.66999999999999"/>
    <n v="12928.23"/>
    <n v="7.38"/>
    <n v="15.48"/>
    <n v="1.35"/>
    <n v="93.91"/>
    <n v="12790.56"/>
  </r>
  <r>
    <x v="128"/>
    <s v="Google Ads"/>
    <s v="Lead Generation"/>
    <s v="Premium Plan"/>
    <n v="16476"/>
    <n v="635"/>
    <n v="70"/>
    <n v="1438.68"/>
    <n v="10844.37"/>
    <n v="3.85"/>
    <n v="11.02"/>
    <n v="20.55"/>
    <n v="7.54"/>
    <n v="9405.69"/>
  </r>
  <r>
    <x v="128"/>
    <s v="Facebook Ads"/>
    <s v="Lead Generation"/>
    <s v="Starter Kit"/>
    <n v="25555"/>
    <n v="610"/>
    <n v="35"/>
    <n v="1279.32"/>
    <n v="3954.56"/>
    <n v="2.39"/>
    <n v="5.74"/>
    <n v="36.549999999999997"/>
    <n v="3.09"/>
    <n v="2675.24"/>
  </r>
  <r>
    <x v="128"/>
    <s v="Instagram Ads"/>
    <s v="Product Launch"/>
    <s v="Starter Kit"/>
    <n v="18040"/>
    <n v="624"/>
    <n v="28"/>
    <n v="984.31"/>
    <n v="2655.57"/>
    <n v="3.46"/>
    <n v="4.49"/>
    <n v="35.15"/>
    <n v="2.7"/>
    <n v="1671.26"/>
  </r>
  <r>
    <x v="128"/>
    <s v="LinkedIn Ads"/>
    <s v="Product Launch"/>
    <s v="Starter Kit"/>
    <n v="4414"/>
    <n v="75"/>
    <n v="7"/>
    <n v="1770.13"/>
    <n v="1983.02"/>
    <n v="1.7"/>
    <n v="9.33"/>
    <n v="252.88"/>
    <n v="1.1200000000000001"/>
    <n v="212.89"/>
  </r>
  <r>
    <x v="128"/>
    <s v="Email Marketing"/>
    <s v="Brand Awareness"/>
    <s v="Enterprise Plan"/>
    <n v="22064"/>
    <n v="3852"/>
    <n v="317"/>
    <n v="231.52"/>
    <n v="36824.21"/>
    <n v="17.46"/>
    <n v="8.23"/>
    <n v="0.73"/>
    <n v="159.05000000000001"/>
    <n v="36592.69"/>
  </r>
  <r>
    <x v="128"/>
    <s v="Organic Search"/>
    <s v="Product Launch"/>
    <s v="Basic Plan"/>
    <n v="45421"/>
    <n v="2149"/>
    <n v="308"/>
    <n v="0"/>
    <n v="43710.68"/>
    <n v="4.7300000000000004"/>
    <n v="14.33"/>
    <n v="0"/>
    <n v="0"/>
    <n v="43710.68"/>
  </r>
  <r>
    <x v="128"/>
    <s v="Display Ads"/>
    <s v="Flash Sale"/>
    <s v="Starter Kit"/>
    <n v="45542"/>
    <n v="645"/>
    <n v="19"/>
    <n v="1377.81"/>
    <n v="2299.3000000000002"/>
    <n v="1.42"/>
    <n v="2.95"/>
    <n v="72.52"/>
    <n v="1.67"/>
    <n v="921.49"/>
  </r>
  <r>
    <x v="128"/>
    <s v="YouTube Ads"/>
    <s v="Seasonal Promotion"/>
    <s v="Add-on Service"/>
    <n v="33366"/>
    <n v="628"/>
    <n v="33"/>
    <n v="1420.66"/>
    <n v="4133.6400000000003"/>
    <n v="1.88"/>
    <n v="5.25"/>
    <n v="43.05"/>
    <n v="2.91"/>
    <n v="2712.98"/>
  </r>
  <r>
    <x v="128"/>
    <s v="Twitter Ads"/>
    <s v="Lead Generation"/>
    <s v="Starter Kit"/>
    <n v="17066"/>
    <n v="474"/>
    <n v="14"/>
    <n v="1083.83"/>
    <n v="1346"/>
    <n v="2.78"/>
    <n v="2.95"/>
    <n v="77.42"/>
    <n v="1.24"/>
    <n v="262.17"/>
  </r>
  <r>
    <x v="128"/>
    <s v="TikTok Ads"/>
    <s v="Brand Awareness"/>
    <s v="Basic Plan"/>
    <n v="41252"/>
    <n v="1694"/>
    <n v="85"/>
    <n v="1268.02"/>
    <n v="9262.27"/>
    <n v="4.1100000000000003"/>
    <n v="5.0199999999999996"/>
    <n v="14.92"/>
    <n v="7.3"/>
    <n v="7994.25"/>
  </r>
  <r>
    <x v="128"/>
    <s v="Affiliate Marketing"/>
    <s v="Product Launch"/>
    <s v="Premium Plan"/>
    <n v="12657"/>
    <n v="753"/>
    <n v="71"/>
    <n v="577.14"/>
    <n v="10419.51"/>
    <n v="5.95"/>
    <n v="9.43"/>
    <n v="8.1300000000000008"/>
    <n v="18.05"/>
    <n v="9842.3700000000008"/>
  </r>
  <r>
    <x v="128"/>
    <s v="Referral"/>
    <s v="Retargeting"/>
    <s v="Enterprise Plan"/>
    <n v="4565"/>
    <n v="298"/>
    <n v="51"/>
    <n v="100.08"/>
    <n v="7766.76"/>
    <n v="6.53"/>
    <n v="17.11"/>
    <n v="1.96"/>
    <n v="77.61"/>
    <n v="7666.68"/>
  </r>
  <r>
    <x v="129"/>
    <s v="Google Ads"/>
    <s v="Seasonal Promotion"/>
    <s v="Starter Kit"/>
    <n v="12383"/>
    <n v="443"/>
    <n v="46"/>
    <n v="1636.16"/>
    <n v="6851.67"/>
    <n v="3.58"/>
    <n v="10.38"/>
    <n v="35.57"/>
    <n v="4.1900000000000004"/>
    <n v="5215.51"/>
  </r>
  <r>
    <x v="129"/>
    <s v="Facebook Ads"/>
    <s v="Product Launch"/>
    <s v="Starter Kit"/>
    <n v="16962"/>
    <n v="372"/>
    <n v="25"/>
    <n v="1597.98"/>
    <n v="3372.61"/>
    <n v="2.19"/>
    <n v="6.72"/>
    <n v="63.92"/>
    <n v="2.11"/>
    <n v="1774.63"/>
  </r>
  <r>
    <x v="129"/>
    <s v="Instagram Ads"/>
    <s v="Product Launch"/>
    <s v="Starter Kit"/>
    <n v="17845"/>
    <n v="737"/>
    <n v="44"/>
    <n v="737.74"/>
    <n v="4589.75"/>
    <n v="4.13"/>
    <n v="5.97"/>
    <n v="16.77"/>
    <n v="6.22"/>
    <n v="3852.01"/>
  </r>
  <r>
    <x v="129"/>
    <s v="LinkedIn Ads"/>
    <s v="Flash Sale"/>
    <s v="Add-on Service"/>
    <n v="6584"/>
    <n v="145"/>
    <n v="18"/>
    <n v="1938.73"/>
    <n v="5913.61"/>
    <n v="2.2000000000000002"/>
    <n v="12.41"/>
    <n v="107.71"/>
    <n v="3.05"/>
    <n v="3974.88"/>
  </r>
  <r>
    <x v="129"/>
    <s v="Email Marketing"/>
    <s v="Lead Generation"/>
    <s v="Enterprise Plan"/>
    <n v="24220"/>
    <n v="5331"/>
    <n v="674"/>
    <n v="392.39"/>
    <n v="78402.84"/>
    <n v="22.01"/>
    <n v="12.64"/>
    <n v="0.57999999999999996"/>
    <n v="199.81"/>
    <n v="78010.45"/>
  </r>
  <r>
    <x v="129"/>
    <s v="Organic Search"/>
    <s v="Product Launch"/>
    <s v="Add-on Service"/>
    <n v="31604"/>
    <n v="1597"/>
    <n v="233"/>
    <n v="0"/>
    <n v="30257.5"/>
    <n v="5.05"/>
    <n v="14.59"/>
    <n v="0"/>
    <n v="0"/>
    <n v="30257.5"/>
  </r>
  <r>
    <x v="129"/>
    <s v="Display Ads"/>
    <s v="Flash Sale"/>
    <s v="Basic Plan"/>
    <n v="41769"/>
    <n v="544"/>
    <n v="12"/>
    <n v="1705.51"/>
    <n v="1440.11"/>
    <n v="1.3"/>
    <n v="2.21"/>
    <n v="142.13"/>
    <n v="0.84"/>
    <n v="-265.39999999999998"/>
  </r>
  <r>
    <x v="129"/>
    <s v="YouTube Ads"/>
    <s v="Retargeting"/>
    <s v="Enterprise Plan"/>
    <n v="22152"/>
    <n v="424"/>
    <n v="29"/>
    <n v="1692.18"/>
    <n v="2736.75"/>
    <n v="1.91"/>
    <n v="6.84"/>
    <n v="58.35"/>
    <n v="1.62"/>
    <n v="1044.57"/>
  </r>
  <r>
    <x v="129"/>
    <s v="Twitter Ads"/>
    <s v="Lead Generation"/>
    <s v="Starter Kit"/>
    <n v="17158"/>
    <n v="574"/>
    <n v="19"/>
    <n v="975.67"/>
    <n v="1999.87"/>
    <n v="3.35"/>
    <n v="3.31"/>
    <n v="51.35"/>
    <n v="2.0499999999999998"/>
    <n v="1024.2"/>
  </r>
  <r>
    <x v="129"/>
    <s v="TikTok Ads"/>
    <s v="Product Launch"/>
    <s v="Enterprise Plan"/>
    <n v="26966"/>
    <n v="1027"/>
    <n v="61"/>
    <n v="921.63"/>
    <n v="5180.9399999999996"/>
    <n v="3.81"/>
    <n v="5.94"/>
    <n v="15.11"/>
    <n v="5.62"/>
    <n v="4259.3100000000004"/>
  </r>
  <r>
    <x v="129"/>
    <s v="Affiliate Marketing"/>
    <s v="Flash Sale"/>
    <s v="Starter Kit"/>
    <n v="11596"/>
    <n v="593"/>
    <n v="72"/>
    <n v="498.26"/>
    <n v="8827.1299999999992"/>
    <n v="5.1100000000000003"/>
    <n v="12.14"/>
    <n v="6.92"/>
    <n v="17.72"/>
    <n v="8328.8700000000008"/>
  </r>
  <r>
    <x v="129"/>
    <s v="Referral"/>
    <s v="Seasonal Promotion"/>
    <s v="Basic Plan"/>
    <n v="6914"/>
    <n v="614"/>
    <n v="92"/>
    <n v="210.48"/>
    <n v="11359.02"/>
    <n v="8.8800000000000008"/>
    <n v="14.98"/>
    <n v="2.29"/>
    <n v="53.97"/>
    <n v="11148.54"/>
  </r>
  <r>
    <x v="130"/>
    <s v="Google Ads"/>
    <s v="Product Launch"/>
    <s v="Starter Kit"/>
    <n v="13405"/>
    <n v="575"/>
    <n v="65"/>
    <n v="1409.76"/>
    <n v="8492.34"/>
    <n v="4.29"/>
    <n v="11.3"/>
    <n v="21.69"/>
    <n v="6.02"/>
    <n v="7082.58"/>
  </r>
  <r>
    <x v="130"/>
    <s v="Facebook Ads"/>
    <s v="Product Launch"/>
    <s v="Starter Kit"/>
    <n v="27234"/>
    <n v="989"/>
    <n v="81"/>
    <n v="1234.1400000000001"/>
    <n v="10156.49"/>
    <n v="3.63"/>
    <n v="8.19"/>
    <n v="15.24"/>
    <n v="8.23"/>
    <n v="8922.35"/>
  </r>
  <r>
    <x v="130"/>
    <s v="Instagram Ads"/>
    <s v="Product Launch"/>
    <s v="Premium Plan"/>
    <n v="15751"/>
    <n v="442"/>
    <n v="25"/>
    <n v="835.73"/>
    <n v="2364.83"/>
    <n v="2.81"/>
    <n v="5.66"/>
    <n v="33.43"/>
    <n v="2.83"/>
    <n v="1529.1"/>
  </r>
  <r>
    <x v="130"/>
    <s v="LinkedIn Ads"/>
    <s v="Seasonal Promotion"/>
    <s v="Basic Plan"/>
    <n v="7722"/>
    <n v="123"/>
    <n v="12"/>
    <n v="1847.78"/>
    <n v="4251.24"/>
    <n v="1.59"/>
    <n v="9.76"/>
    <n v="153.97999999999999"/>
    <n v="2.2999999999999998"/>
    <n v="2403.46"/>
  </r>
  <r>
    <x v="130"/>
    <s v="Email Marketing"/>
    <s v="Seasonal Promotion"/>
    <s v="Add-on Service"/>
    <n v="26451"/>
    <n v="4922"/>
    <n v="623"/>
    <n v="367.3"/>
    <n v="80275.14"/>
    <n v="18.61"/>
    <n v="12.66"/>
    <n v="0.59"/>
    <n v="218.55"/>
    <n v="79907.839999999997"/>
  </r>
  <r>
    <x v="130"/>
    <s v="Organic Search"/>
    <s v="Lead Generation"/>
    <s v="Add-on Service"/>
    <n v="48582"/>
    <n v="3848"/>
    <n v="534"/>
    <n v="0"/>
    <n v="79969.81"/>
    <n v="7.92"/>
    <n v="13.88"/>
    <n v="0"/>
    <n v="0"/>
    <n v="79969.81"/>
  </r>
  <r>
    <x v="130"/>
    <s v="Display Ads"/>
    <s v="Brand Awareness"/>
    <s v="Starter Kit"/>
    <n v="38368"/>
    <n v="711"/>
    <n v="29"/>
    <n v="1722.33"/>
    <n v="4024.51"/>
    <n v="1.85"/>
    <n v="4.08"/>
    <n v="59.39"/>
    <n v="2.34"/>
    <n v="2302.1799999999998"/>
  </r>
  <r>
    <x v="130"/>
    <s v="YouTube Ads"/>
    <s v="Flash Sale"/>
    <s v="Basic Plan"/>
    <n v="29159"/>
    <n v="779"/>
    <n v="32"/>
    <n v="1122"/>
    <n v="3608.19"/>
    <n v="2.67"/>
    <n v="4.1100000000000003"/>
    <n v="35.06"/>
    <n v="3.22"/>
    <n v="2486.19"/>
  </r>
  <r>
    <x v="130"/>
    <s v="Twitter Ads"/>
    <s v="Retargeting"/>
    <s v="Enterprise Plan"/>
    <n v="15980"/>
    <n v="354"/>
    <n v="11"/>
    <n v="763.13"/>
    <n v="841.09"/>
    <n v="2.2200000000000002"/>
    <n v="3.11"/>
    <n v="69.38"/>
    <n v="1.1000000000000001"/>
    <n v="77.959999999999994"/>
  </r>
  <r>
    <x v="130"/>
    <s v="TikTok Ads"/>
    <s v="Flash Sale"/>
    <s v="Premium Plan"/>
    <n v="25684"/>
    <n v="1146"/>
    <n v="50"/>
    <n v="1392.69"/>
    <n v="4392.8900000000003"/>
    <n v="4.46"/>
    <n v="4.3600000000000003"/>
    <n v="27.85"/>
    <n v="3.15"/>
    <n v="3000.2"/>
  </r>
  <r>
    <x v="130"/>
    <s v="Affiliate Marketing"/>
    <s v="Retargeting"/>
    <s v="Starter Kit"/>
    <n v="10840"/>
    <n v="673"/>
    <n v="81"/>
    <n v="533.30999999999995"/>
    <n v="9495.23"/>
    <n v="6.21"/>
    <n v="12.04"/>
    <n v="6.58"/>
    <n v="17.8"/>
    <n v="8961.92"/>
  </r>
  <r>
    <x v="130"/>
    <s v="Referral"/>
    <s v="Lead Generation"/>
    <s v="Enterprise Plan"/>
    <n v="4267"/>
    <n v="372"/>
    <n v="51"/>
    <n v="251.18"/>
    <n v="8169.11"/>
    <n v="8.7200000000000006"/>
    <n v="13.71"/>
    <n v="4.93"/>
    <n v="32.520000000000003"/>
    <n v="7917.93"/>
  </r>
  <r>
    <x v="131"/>
    <s v="Google Ads"/>
    <s v="Lead Generation"/>
    <s v="Enterprise Plan"/>
    <n v="14371"/>
    <n v="685"/>
    <n v="56"/>
    <n v="825.69"/>
    <n v="8418.18"/>
    <n v="4.7699999999999996"/>
    <n v="8.18"/>
    <n v="14.74"/>
    <n v="10.199999999999999"/>
    <n v="7592.49"/>
  </r>
  <r>
    <x v="131"/>
    <s v="Facebook Ads"/>
    <s v="Flash Sale"/>
    <s v="Basic Plan"/>
    <n v="16671"/>
    <n v="391"/>
    <n v="27"/>
    <n v="912.97"/>
    <n v="3137.08"/>
    <n v="2.35"/>
    <n v="6.91"/>
    <n v="33.81"/>
    <n v="3.44"/>
    <n v="2224.11"/>
  </r>
  <r>
    <x v="131"/>
    <s v="Instagram Ads"/>
    <s v="Flash Sale"/>
    <s v="Starter Kit"/>
    <n v="10457"/>
    <n v="434"/>
    <n v="22"/>
    <n v="502.72"/>
    <n v="2349.4"/>
    <n v="4.1500000000000004"/>
    <n v="5.07"/>
    <n v="22.85"/>
    <n v="4.67"/>
    <n v="1846.68"/>
  </r>
  <r>
    <x v="131"/>
    <s v="LinkedIn Ads"/>
    <s v="Retargeting"/>
    <s v="Premium Plan"/>
    <n v="4611"/>
    <n v="129"/>
    <n v="17"/>
    <n v="1244"/>
    <n v="5406.63"/>
    <n v="2.8"/>
    <n v="13.18"/>
    <n v="73.180000000000007"/>
    <n v="4.3499999999999996"/>
    <n v="4162.63"/>
  </r>
  <r>
    <x v="131"/>
    <s v="Email Marketing"/>
    <s v="Retargeting"/>
    <s v="Add-on Service"/>
    <n v="22674"/>
    <n v="5190"/>
    <n v="509"/>
    <n v="181.22"/>
    <n v="63741.67"/>
    <n v="22.89"/>
    <n v="9.81"/>
    <n v="0.36"/>
    <n v="351.74"/>
    <n v="63560.45"/>
  </r>
  <r>
    <x v="131"/>
    <s v="Organic Search"/>
    <s v="Retargeting"/>
    <s v="Add-on Service"/>
    <n v="22364"/>
    <n v="1716"/>
    <n v="256"/>
    <n v="0"/>
    <n v="35360.5"/>
    <n v="7.67"/>
    <n v="14.92"/>
    <n v="0"/>
    <n v="0"/>
    <n v="35360.5"/>
  </r>
  <r>
    <x v="131"/>
    <s v="Display Ads"/>
    <s v="Retargeting"/>
    <s v="Add-on Service"/>
    <n v="25335"/>
    <n v="470"/>
    <n v="14"/>
    <n v="891.72"/>
    <n v="1776.21"/>
    <n v="1.86"/>
    <n v="2.98"/>
    <n v="63.69"/>
    <n v="1.99"/>
    <n v="884.49"/>
  </r>
  <r>
    <x v="131"/>
    <s v="YouTube Ads"/>
    <s v="Seasonal Promotion"/>
    <s v="Starter Kit"/>
    <n v="23778"/>
    <n v="618"/>
    <n v="31"/>
    <n v="1166.92"/>
    <n v="4080.42"/>
    <n v="2.6"/>
    <n v="5.0199999999999996"/>
    <n v="37.64"/>
    <n v="3.5"/>
    <n v="2913.5"/>
  </r>
  <r>
    <x v="131"/>
    <s v="Twitter Ads"/>
    <s v="Seasonal Promotion"/>
    <s v="Premium Plan"/>
    <n v="8439"/>
    <n v="179"/>
    <n v="9"/>
    <n v="426.05"/>
    <n v="877.13"/>
    <n v="2.12"/>
    <n v="5.03"/>
    <n v="47.34"/>
    <n v="2.06"/>
    <n v="451.08"/>
  </r>
  <r>
    <x v="131"/>
    <s v="TikTok Ads"/>
    <s v="Product Launch"/>
    <s v="Add-on Service"/>
    <n v="26447"/>
    <n v="828"/>
    <n v="42"/>
    <n v="749.23"/>
    <n v="3810.77"/>
    <n v="3.13"/>
    <n v="5.07"/>
    <n v="17.84"/>
    <n v="5.09"/>
    <n v="3061.54"/>
  </r>
  <r>
    <x v="131"/>
    <s v="Affiliate Marketing"/>
    <s v="Seasonal Promotion"/>
    <s v="Premium Plan"/>
    <n v="7024"/>
    <n v="318"/>
    <n v="29"/>
    <n v="595.80999999999995"/>
    <n v="4249.51"/>
    <n v="4.53"/>
    <n v="9.1199999999999992"/>
    <n v="20.55"/>
    <n v="7.13"/>
    <n v="3653.7"/>
  </r>
  <r>
    <x v="131"/>
    <s v="Referral"/>
    <s v="Brand Awareness"/>
    <s v="Basic Plan"/>
    <n v="4928"/>
    <n v="293"/>
    <n v="39"/>
    <n v="76.56"/>
    <n v="4608.82"/>
    <n v="5.95"/>
    <n v="13.31"/>
    <n v="1.96"/>
    <n v="60.2"/>
    <n v="4532.26"/>
  </r>
  <r>
    <x v="132"/>
    <s v="Google Ads"/>
    <s v="Flash Sale"/>
    <s v="Enterprise Plan"/>
    <n v="8482"/>
    <n v="338"/>
    <n v="26"/>
    <n v="1237.3499999999999"/>
    <n v="4336.6000000000004"/>
    <n v="3.98"/>
    <n v="7.69"/>
    <n v="47.59"/>
    <n v="3.5"/>
    <n v="3099.25"/>
  </r>
  <r>
    <x v="132"/>
    <s v="Facebook Ads"/>
    <s v="Lead Generation"/>
    <s v="Add-on Service"/>
    <n v="17034"/>
    <n v="553"/>
    <n v="35"/>
    <n v="743.49"/>
    <n v="3468.53"/>
    <n v="3.25"/>
    <n v="6.33"/>
    <n v="21.24"/>
    <n v="4.67"/>
    <n v="2725.04"/>
  </r>
  <r>
    <x v="132"/>
    <s v="Instagram Ads"/>
    <s v="Brand Awareness"/>
    <s v="Add-on Service"/>
    <n v="15945"/>
    <n v="663"/>
    <n v="34"/>
    <n v="778.76"/>
    <n v="3405.06"/>
    <n v="4.16"/>
    <n v="5.13"/>
    <n v="22.9"/>
    <n v="4.37"/>
    <n v="2626.3"/>
  </r>
  <r>
    <x v="132"/>
    <s v="LinkedIn Ads"/>
    <s v="Flash Sale"/>
    <s v="Starter Kit"/>
    <n v="3827"/>
    <n v="104"/>
    <n v="10"/>
    <n v="1033.1199999999999"/>
    <n v="2151.62"/>
    <n v="2.72"/>
    <n v="9.6199999999999992"/>
    <n v="103.31"/>
    <n v="2.08"/>
    <n v="1118.5"/>
  </r>
  <r>
    <x v="132"/>
    <s v="Email Marketing"/>
    <s v="Product Launch"/>
    <s v="Starter Kit"/>
    <n v="24154"/>
    <n v="5502"/>
    <n v="731"/>
    <n v="129.13999999999999"/>
    <n v="100705.85"/>
    <n v="22.78"/>
    <n v="13.29"/>
    <n v="0.18"/>
    <n v="779.82"/>
    <n v="100576.71"/>
  </r>
  <r>
    <x v="132"/>
    <s v="Organic Search"/>
    <s v="Brand Awareness"/>
    <s v="Premium Plan"/>
    <n v="30503"/>
    <n v="1664"/>
    <n v="190"/>
    <n v="0"/>
    <n v="19604.400000000001"/>
    <n v="5.46"/>
    <n v="11.42"/>
    <n v="0"/>
    <n v="0"/>
    <n v="19604.400000000001"/>
  </r>
  <r>
    <x v="132"/>
    <s v="Display Ads"/>
    <s v="Brand Awareness"/>
    <s v="Enterprise Plan"/>
    <n v="38126"/>
    <n v="629"/>
    <n v="28"/>
    <n v="1108.3800000000001"/>
    <n v="2260.5"/>
    <n v="1.65"/>
    <n v="4.45"/>
    <n v="39.58"/>
    <n v="2.04"/>
    <n v="1152.1199999999999"/>
  </r>
  <r>
    <x v="132"/>
    <s v="YouTube Ads"/>
    <s v="Lead Generation"/>
    <s v="Add-on Service"/>
    <n v="14872"/>
    <n v="404"/>
    <n v="23"/>
    <n v="891.17"/>
    <n v="3463.97"/>
    <n v="2.72"/>
    <n v="5.69"/>
    <n v="38.75"/>
    <n v="3.89"/>
    <n v="2572.8000000000002"/>
  </r>
  <r>
    <x v="132"/>
    <s v="Twitter Ads"/>
    <s v="Flash Sale"/>
    <s v="Add-on Service"/>
    <n v="8159"/>
    <n v="179"/>
    <n v="9"/>
    <n v="484.73"/>
    <n v="762.93"/>
    <n v="2.19"/>
    <n v="5.03"/>
    <n v="53.86"/>
    <n v="1.57"/>
    <n v="278.2"/>
  </r>
  <r>
    <x v="132"/>
    <s v="TikTok Ads"/>
    <s v="Seasonal Promotion"/>
    <s v="Add-on Service"/>
    <n v="26989"/>
    <n v="749"/>
    <n v="38"/>
    <n v="803.99"/>
    <n v="3473.66"/>
    <n v="2.78"/>
    <n v="5.07"/>
    <n v="21.16"/>
    <n v="4.32"/>
    <n v="2669.67"/>
  </r>
  <r>
    <x v="132"/>
    <s v="Affiliate Marketing"/>
    <s v="Flash Sale"/>
    <s v="Add-on Service"/>
    <n v="5318"/>
    <n v="314"/>
    <n v="31"/>
    <n v="318.8"/>
    <n v="3585.21"/>
    <n v="5.9"/>
    <n v="9.8699999999999992"/>
    <n v="10.28"/>
    <n v="11.25"/>
    <n v="3266.41"/>
  </r>
  <r>
    <x v="132"/>
    <s v="Referral"/>
    <s v="Lead Generation"/>
    <s v="Starter Kit"/>
    <n v="3430"/>
    <n v="192"/>
    <n v="27"/>
    <n v="86.37"/>
    <n v="4427.95"/>
    <n v="5.6"/>
    <n v="14.06"/>
    <n v="3.2"/>
    <n v="51.27"/>
    <n v="4341.58"/>
  </r>
  <r>
    <x v="133"/>
    <s v="Google Ads"/>
    <s v="Product Launch"/>
    <s v="Starter Kit"/>
    <n v="18145"/>
    <n v="834"/>
    <n v="67"/>
    <n v="2025.81"/>
    <n v="9213.5400000000009"/>
    <n v="4.5999999999999996"/>
    <n v="8.0299999999999994"/>
    <n v="30.24"/>
    <n v="4.55"/>
    <n v="7187.73"/>
  </r>
  <r>
    <x v="133"/>
    <s v="Facebook Ads"/>
    <s v="Retargeting"/>
    <s v="Add-on Service"/>
    <n v="23247"/>
    <n v="576"/>
    <n v="44"/>
    <n v="857.21"/>
    <n v="5426.98"/>
    <n v="2.48"/>
    <n v="7.64"/>
    <n v="19.48"/>
    <n v="6.33"/>
    <n v="4569.7700000000004"/>
  </r>
  <r>
    <x v="133"/>
    <s v="Instagram Ads"/>
    <s v="Flash Sale"/>
    <s v="Add-on Service"/>
    <n v="14110"/>
    <n v="470"/>
    <n v="19"/>
    <n v="927.45"/>
    <n v="1448.46"/>
    <n v="3.33"/>
    <n v="4.04"/>
    <n v="48.81"/>
    <n v="1.56"/>
    <n v="521.01"/>
  </r>
  <r>
    <x v="133"/>
    <s v="LinkedIn Ads"/>
    <s v="Lead Generation"/>
    <s v="Enterprise Plan"/>
    <n v="7537"/>
    <n v="186"/>
    <n v="18"/>
    <n v="2016.47"/>
    <n v="5233.74"/>
    <n v="2.4700000000000002"/>
    <n v="9.68"/>
    <n v="112.03"/>
    <n v="2.6"/>
    <n v="3217.27"/>
  </r>
  <r>
    <x v="133"/>
    <s v="Email Marketing"/>
    <s v="Brand Awareness"/>
    <s v="Starter Kit"/>
    <n v="31548"/>
    <n v="5906"/>
    <n v="541"/>
    <n v="412.52"/>
    <n v="78894.070000000007"/>
    <n v="18.72"/>
    <n v="9.16"/>
    <n v="0.76"/>
    <n v="191.25"/>
    <n v="78481.55"/>
  </r>
  <r>
    <x v="133"/>
    <s v="Organic Search"/>
    <s v="Brand Awareness"/>
    <s v="Enterprise Plan"/>
    <n v="29390"/>
    <n v="1276"/>
    <n v="165"/>
    <n v="0"/>
    <n v="22808.880000000001"/>
    <n v="4.34"/>
    <n v="12.93"/>
    <n v="0"/>
    <n v="0"/>
    <n v="22808.880000000001"/>
  </r>
  <r>
    <x v="133"/>
    <s v="Display Ads"/>
    <s v="Retargeting"/>
    <s v="Premium Plan"/>
    <n v="35376"/>
    <n v="547"/>
    <n v="19"/>
    <n v="1469.39"/>
    <n v="1714.21"/>
    <n v="1.55"/>
    <n v="3.47"/>
    <n v="77.34"/>
    <n v="1.17"/>
    <n v="244.82"/>
  </r>
  <r>
    <x v="133"/>
    <s v="YouTube Ads"/>
    <s v="Brand Awareness"/>
    <s v="Basic Plan"/>
    <n v="28646"/>
    <n v="814"/>
    <n v="43"/>
    <n v="1400.77"/>
    <n v="5093.54"/>
    <n v="2.84"/>
    <n v="5.28"/>
    <n v="32.58"/>
    <n v="3.64"/>
    <n v="3692.77"/>
  </r>
  <r>
    <x v="133"/>
    <s v="Twitter Ads"/>
    <s v="Product Launch"/>
    <s v="Enterprise Plan"/>
    <n v="11512"/>
    <n v="347"/>
    <n v="18"/>
    <n v="878.82"/>
    <n v="1898.66"/>
    <n v="3.01"/>
    <n v="5.19"/>
    <n v="48.82"/>
    <n v="2.16"/>
    <n v="1019.84"/>
  </r>
  <r>
    <x v="133"/>
    <s v="TikTok Ads"/>
    <s v="Product Launch"/>
    <s v="Starter Kit"/>
    <n v="33357"/>
    <n v="841"/>
    <n v="37"/>
    <n v="1278.1500000000001"/>
    <n v="2679.84"/>
    <n v="2.52"/>
    <n v="4.4000000000000004"/>
    <n v="34.54"/>
    <n v="2.1"/>
    <n v="1401.69"/>
  </r>
  <r>
    <x v="133"/>
    <s v="Affiliate Marketing"/>
    <s v="Lead Generation"/>
    <s v="Add-on Service"/>
    <n v="10390"/>
    <n v="519"/>
    <n v="46"/>
    <n v="971.18"/>
    <n v="6587.43"/>
    <n v="5"/>
    <n v="8.86"/>
    <n v="21.11"/>
    <n v="6.78"/>
    <n v="5616.25"/>
  </r>
  <r>
    <x v="133"/>
    <s v="Referral"/>
    <s v="Retargeting"/>
    <s v="Enterprise Plan"/>
    <n v="9126"/>
    <n v="844"/>
    <n v="141"/>
    <n v="148.22"/>
    <n v="23812.49"/>
    <n v="9.25"/>
    <n v="16.71"/>
    <n v="1.05"/>
    <n v="160.66"/>
    <n v="23664.27"/>
  </r>
  <r>
    <x v="134"/>
    <s v="Google Ads"/>
    <s v="Retargeting"/>
    <s v="Premium Plan"/>
    <n v="13487"/>
    <n v="567"/>
    <n v="67"/>
    <n v="1817.87"/>
    <n v="8311.5499999999993"/>
    <n v="4.2"/>
    <n v="11.82"/>
    <n v="27.13"/>
    <n v="4.57"/>
    <n v="6493.68"/>
  </r>
  <r>
    <x v="134"/>
    <s v="Facebook Ads"/>
    <s v="Retargeting"/>
    <s v="Starter Kit"/>
    <n v="21144"/>
    <n v="530"/>
    <n v="36"/>
    <n v="1289.8"/>
    <n v="4773.9399999999996"/>
    <n v="2.5099999999999998"/>
    <n v="6.79"/>
    <n v="35.83"/>
    <n v="3.7"/>
    <n v="3484.14"/>
  </r>
  <r>
    <x v="134"/>
    <s v="Instagram Ads"/>
    <s v="Product Launch"/>
    <s v="Premium Plan"/>
    <n v="24704"/>
    <n v="652"/>
    <n v="35"/>
    <n v="1334.35"/>
    <n v="4151.4799999999996"/>
    <n v="2.64"/>
    <n v="5.37"/>
    <n v="38.119999999999997"/>
    <n v="3.11"/>
    <n v="2817.13"/>
  </r>
  <r>
    <x v="134"/>
    <s v="LinkedIn Ads"/>
    <s v="Product Launch"/>
    <s v="Premium Plan"/>
    <n v="4582"/>
    <n v="106"/>
    <n v="12"/>
    <n v="2362.85"/>
    <n v="2883.69"/>
    <n v="2.31"/>
    <n v="11.32"/>
    <n v="196.9"/>
    <n v="1.22"/>
    <n v="520.84"/>
  </r>
  <r>
    <x v="134"/>
    <s v="Email Marketing"/>
    <s v="Flash Sale"/>
    <s v="Premium Plan"/>
    <n v="31744"/>
    <n v="5626"/>
    <n v="579"/>
    <n v="146.12"/>
    <n v="83982.17"/>
    <n v="17.72"/>
    <n v="10.29"/>
    <n v="0.25"/>
    <n v="574.75"/>
    <n v="83836.05"/>
  </r>
  <r>
    <x v="134"/>
    <s v="Organic Search"/>
    <s v="Brand Awareness"/>
    <s v="Enterprise Plan"/>
    <n v="37902"/>
    <n v="2879"/>
    <n v="334"/>
    <n v="0"/>
    <n v="37757.35"/>
    <n v="7.6"/>
    <n v="11.6"/>
    <n v="0"/>
    <n v="0"/>
    <n v="37757.35"/>
  </r>
  <r>
    <x v="134"/>
    <s v="Display Ads"/>
    <s v="Flash Sale"/>
    <s v="Premium Plan"/>
    <n v="52938"/>
    <n v="652"/>
    <n v="22"/>
    <n v="1558.11"/>
    <n v="2428.16"/>
    <n v="1.23"/>
    <n v="3.37"/>
    <n v="70.819999999999993"/>
    <n v="1.56"/>
    <n v="870.05"/>
  </r>
  <r>
    <x v="134"/>
    <s v="YouTube Ads"/>
    <s v="Flash Sale"/>
    <s v="Basic Plan"/>
    <n v="31606"/>
    <n v="882"/>
    <n v="68"/>
    <n v="1643.76"/>
    <n v="6714.17"/>
    <n v="2.79"/>
    <n v="7.71"/>
    <n v="24.17"/>
    <n v="4.08"/>
    <n v="5070.41"/>
  </r>
  <r>
    <x v="134"/>
    <s v="Twitter Ads"/>
    <s v="Flash Sale"/>
    <s v="Basic Plan"/>
    <n v="18860"/>
    <n v="503"/>
    <n v="22"/>
    <n v="864.31"/>
    <n v="2240.3200000000002"/>
    <n v="2.67"/>
    <n v="4.37"/>
    <n v="39.29"/>
    <n v="2.59"/>
    <n v="1376.01"/>
  </r>
  <r>
    <x v="134"/>
    <s v="TikTok Ads"/>
    <s v="Seasonal Promotion"/>
    <s v="Basic Plan"/>
    <n v="41907"/>
    <n v="1166"/>
    <n v="53"/>
    <n v="1044.1199999999999"/>
    <n v="5567.22"/>
    <n v="2.78"/>
    <n v="4.55"/>
    <n v="19.7"/>
    <n v="5.33"/>
    <n v="4523.1000000000004"/>
  </r>
  <r>
    <x v="134"/>
    <s v="Affiliate Marketing"/>
    <s v="Seasonal Promotion"/>
    <s v="Basic Plan"/>
    <n v="13680"/>
    <n v="620"/>
    <n v="51"/>
    <n v="734.57"/>
    <n v="6707.23"/>
    <n v="4.53"/>
    <n v="8.23"/>
    <n v="14.4"/>
    <n v="9.1300000000000008"/>
    <n v="5972.66"/>
  </r>
  <r>
    <x v="134"/>
    <s v="Referral"/>
    <s v="Product Launch"/>
    <s v="Add-on Service"/>
    <n v="6552"/>
    <n v="337"/>
    <n v="39"/>
    <n v="276.58999999999997"/>
    <n v="5122.51"/>
    <n v="5.14"/>
    <n v="11.57"/>
    <n v="7.09"/>
    <n v="18.52"/>
    <n v="4845.92"/>
  </r>
  <r>
    <x v="135"/>
    <s v="Google Ads"/>
    <s v="Retargeting"/>
    <s v="Starter Kit"/>
    <n v="18807"/>
    <n v="911"/>
    <n v="93"/>
    <n v="2033.79"/>
    <n v="12551.69"/>
    <n v="4.84"/>
    <n v="10.210000000000001"/>
    <n v="21.87"/>
    <n v="6.17"/>
    <n v="10517.9"/>
  </r>
  <r>
    <x v="135"/>
    <s v="Facebook Ads"/>
    <s v="Lead Generation"/>
    <s v="Starter Kit"/>
    <n v="23350"/>
    <n v="869"/>
    <n v="60"/>
    <n v="1361.92"/>
    <n v="7972.44"/>
    <n v="3.72"/>
    <n v="6.9"/>
    <n v="22.7"/>
    <n v="5.85"/>
    <n v="6610.52"/>
  </r>
  <r>
    <x v="135"/>
    <s v="Instagram Ads"/>
    <s v="Flash Sale"/>
    <s v="Basic Plan"/>
    <n v="18817"/>
    <n v="733"/>
    <n v="36"/>
    <n v="1117.49"/>
    <n v="3008.63"/>
    <n v="3.9"/>
    <n v="4.91"/>
    <n v="31.04"/>
    <n v="2.69"/>
    <n v="1891.14"/>
  </r>
  <r>
    <x v="135"/>
    <s v="LinkedIn Ads"/>
    <s v="Lead Generation"/>
    <s v="Starter Kit"/>
    <n v="4869"/>
    <n v="144"/>
    <n v="16"/>
    <n v="2203.67"/>
    <n v="3455.67"/>
    <n v="2.96"/>
    <n v="11.11"/>
    <n v="137.72999999999999"/>
    <n v="1.57"/>
    <n v="1252"/>
  </r>
  <r>
    <x v="135"/>
    <s v="Email Marketing"/>
    <s v="Retargeting"/>
    <s v="Premium Plan"/>
    <n v="28497"/>
    <n v="4557"/>
    <n v="432"/>
    <n v="244.63"/>
    <n v="55624.959999999999"/>
    <n v="15.99"/>
    <n v="9.48"/>
    <n v="0.56999999999999995"/>
    <n v="227.38"/>
    <n v="55380.33"/>
  </r>
  <r>
    <x v="135"/>
    <s v="Organic Search"/>
    <s v="Flash Sale"/>
    <s v="Add-on Service"/>
    <n v="32391"/>
    <n v="2356"/>
    <n v="373"/>
    <n v="0"/>
    <n v="45704.14"/>
    <n v="7.27"/>
    <n v="15.83"/>
    <n v="0"/>
    <n v="0"/>
    <n v="45704.14"/>
  </r>
  <r>
    <x v="135"/>
    <s v="Display Ads"/>
    <s v="Lead Generation"/>
    <s v="Starter Kit"/>
    <n v="49697"/>
    <n v="761"/>
    <n v="25"/>
    <n v="1519.68"/>
    <n v="2421.1"/>
    <n v="1.53"/>
    <n v="3.29"/>
    <n v="60.79"/>
    <n v="1.59"/>
    <n v="901.42"/>
  </r>
  <r>
    <x v="135"/>
    <s v="YouTube Ads"/>
    <s v="Seasonal Promotion"/>
    <s v="Starter Kit"/>
    <n v="26710"/>
    <n v="688"/>
    <n v="49"/>
    <n v="1683.77"/>
    <n v="5643.86"/>
    <n v="2.58"/>
    <n v="7.12"/>
    <n v="34.36"/>
    <n v="3.35"/>
    <n v="3960.09"/>
  </r>
  <r>
    <x v="135"/>
    <s v="Twitter Ads"/>
    <s v="Retargeting"/>
    <s v="Premium Plan"/>
    <n v="18785"/>
    <n v="555"/>
    <n v="26"/>
    <n v="880.31"/>
    <n v="2599.96"/>
    <n v="2.95"/>
    <n v="4.68"/>
    <n v="33.86"/>
    <n v="2.95"/>
    <n v="1719.65"/>
  </r>
  <r>
    <x v="135"/>
    <s v="TikTok Ads"/>
    <s v="Flash Sale"/>
    <s v="Basic Plan"/>
    <n v="35670"/>
    <n v="1132"/>
    <n v="56"/>
    <n v="1268.8699999999999"/>
    <n v="4774.45"/>
    <n v="3.17"/>
    <n v="4.95"/>
    <n v="22.66"/>
    <n v="3.76"/>
    <n v="3505.58"/>
  </r>
  <r>
    <x v="135"/>
    <s v="Affiliate Marketing"/>
    <s v="Lead Generation"/>
    <s v="Enterprise Plan"/>
    <n v="10778"/>
    <n v="637"/>
    <n v="77"/>
    <n v="652.16"/>
    <n v="7702.82"/>
    <n v="5.91"/>
    <n v="12.09"/>
    <n v="8.4700000000000006"/>
    <n v="11.81"/>
    <n v="7050.66"/>
  </r>
  <r>
    <x v="135"/>
    <s v="Referral"/>
    <s v="Flash Sale"/>
    <s v="Premium Plan"/>
    <n v="4359"/>
    <n v="246"/>
    <n v="36"/>
    <n v="212.61"/>
    <n v="4776.43"/>
    <n v="5.64"/>
    <n v="14.63"/>
    <n v="5.91"/>
    <n v="22.47"/>
    <n v="4563.82"/>
  </r>
  <r>
    <x v="136"/>
    <s v="Google Ads"/>
    <s v="Seasonal Promotion"/>
    <s v="Premium Plan"/>
    <n v="11880"/>
    <n v="373"/>
    <n v="44"/>
    <n v="1787.43"/>
    <n v="6973.27"/>
    <n v="3.14"/>
    <n v="11.8"/>
    <n v="40.619999999999997"/>
    <n v="3.9"/>
    <n v="5185.84"/>
  </r>
  <r>
    <x v="136"/>
    <s v="Facebook Ads"/>
    <s v="Seasonal Promotion"/>
    <s v="Basic Plan"/>
    <n v="23044"/>
    <n v="513"/>
    <n v="33"/>
    <n v="1564.27"/>
    <n v="3379.82"/>
    <n v="2.23"/>
    <n v="6.43"/>
    <n v="47.4"/>
    <n v="2.16"/>
    <n v="1815.55"/>
  </r>
  <r>
    <x v="136"/>
    <s v="Instagram Ads"/>
    <s v="Product Launch"/>
    <s v="Enterprise Plan"/>
    <n v="15280"/>
    <n v="399"/>
    <n v="25"/>
    <n v="1329.38"/>
    <n v="2646.08"/>
    <n v="2.61"/>
    <n v="6.27"/>
    <n v="53.18"/>
    <n v="1.99"/>
    <n v="1316.7"/>
  </r>
  <r>
    <x v="136"/>
    <s v="LinkedIn Ads"/>
    <s v="Lead Generation"/>
    <s v="Starter Kit"/>
    <n v="6399"/>
    <n v="145"/>
    <n v="16"/>
    <n v="1529.76"/>
    <n v="4908.83"/>
    <n v="2.27"/>
    <n v="11.03"/>
    <n v="95.61"/>
    <n v="3.21"/>
    <n v="3379.07"/>
  </r>
  <r>
    <x v="136"/>
    <s v="Email Marketing"/>
    <s v="Brand Awareness"/>
    <s v="Enterprise Plan"/>
    <n v="31463"/>
    <n v="5822"/>
    <n v="539"/>
    <n v="253.88"/>
    <n v="80514.039999999994"/>
    <n v="18.5"/>
    <n v="9.26"/>
    <n v="0.47"/>
    <n v="317.13"/>
    <n v="80260.160000000003"/>
  </r>
  <r>
    <x v="136"/>
    <s v="Organic Search"/>
    <s v="Flash Sale"/>
    <s v="Starter Kit"/>
    <n v="39046"/>
    <n v="2703"/>
    <n v="288"/>
    <n v="0"/>
    <n v="40194.230000000003"/>
    <n v="6.92"/>
    <n v="10.65"/>
    <n v="0"/>
    <n v="0"/>
    <n v="40194.230000000003"/>
  </r>
  <r>
    <x v="136"/>
    <s v="Display Ads"/>
    <s v="Seasonal Promotion"/>
    <s v="Enterprise Plan"/>
    <n v="51004"/>
    <n v="578"/>
    <n v="12"/>
    <n v="1198"/>
    <n v="1315.45"/>
    <n v="1.1299999999999999"/>
    <n v="2.08"/>
    <n v="99.83"/>
    <n v="1.1000000000000001"/>
    <n v="117.45"/>
  </r>
  <r>
    <x v="136"/>
    <s v="YouTube Ads"/>
    <s v="Seasonal Promotion"/>
    <s v="Starter Kit"/>
    <n v="25009"/>
    <n v="541"/>
    <n v="36"/>
    <n v="1874.9"/>
    <n v="3275.25"/>
    <n v="2.16"/>
    <n v="6.65"/>
    <n v="52.08"/>
    <n v="1.75"/>
    <n v="1400.35"/>
  </r>
  <r>
    <x v="136"/>
    <s v="Twitter Ads"/>
    <s v="Seasonal Promotion"/>
    <s v="Starter Kit"/>
    <n v="15217"/>
    <n v="408"/>
    <n v="16"/>
    <n v="721.58"/>
    <n v="1980.79"/>
    <n v="2.68"/>
    <n v="3.92"/>
    <n v="45.1"/>
    <n v="2.75"/>
    <n v="1259.21"/>
  </r>
  <r>
    <x v="136"/>
    <s v="TikTok Ads"/>
    <s v="Seasonal Promotion"/>
    <s v="Premium Plan"/>
    <n v="29565"/>
    <n v="1325"/>
    <n v="42"/>
    <n v="1030.53"/>
    <n v="2873.21"/>
    <n v="4.4800000000000004"/>
    <n v="3.17"/>
    <n v="24.54"/>
    <n v="2.79"/>
    <n v="1842.68"/>
  </r>
  <r>
    <x v="136"/>
    <s v="Affiliate Marketing"/>
    <s v="Product Launch"/>
    <s v="Enterprise Plan"/>
    <n v="8761"/>
    <n v="554"/>
    <n v="65"/>
    <n v="464.38"/>
    <n v="9738.83"/>
    <n v="6.32"/>
    <n v="11.73"/>
    <n v="7.14"/>
    <n v="20.97"/>
    <n v="9274.4500000000007"/>
  </r>
  <r>
    <x v="136"/>
    <s v="Referral"/>
    <s v="Retargeting"/>
    <s v="Add-on Service"/>
    <n v="4270"/>
    <n v="222"/>
    <n v="33"/>
    <n v="190.46"/>
    <n v="4770.91"/>
    <n v="5.2"/>
    <n v="14.86"/>
    <n v="5.77"/>
    <n v="25.05"/>
    <n v="4580.45"/>
  </r>
  <r>
    <x v="137"/>
    <s v="Google Ads"/>
    <s v="Lead Generation"/>
    <s v="Enterprise Plan"/>
    <n v="11916"/>
    <n v="567"/>
    <n v="47"/>
    <n v="1842.07"/>
    <n v="7773.63"/>
    <n v="4.76"/>
    <n v="8.2899999999999991"/>
    <n v="39.19"/>
    <n v="4.22"/>
    <n v="5931.56"/>
  </r>
  <r>
    <x v="137"/>
    <s v="Facebook Ads"/>
    <s v="Seasonal Promotion"/>
    <s v="Add-on Service"/>
    <n v="25172"/>
    <n v="984"/>
    <n v="54"/>
    <n v="1388.34"/>
    <n v="6425.32"/>
    <n v="3.91"/>
    <n v="5.49"/>
    <n v="25.71"/>
    <n v="4.63"/>
    <n v="5036.9799999999996"/>
  </r>
  <r>
    <x v="137"/>
    <s v="Instagram Ads"/>
    <s v="Brand Awareness"/>
    <s v="Basic Plan"/>
    <n v="17347"/>
    <n v="721"/>
    <n v="28"/>
    <n v="1302.19"/>
    <n v="2164.6799999999998"/>
    <n v="4.16"/>
    <n v="3.88"/>
    <n v="46.51"/>
    <n v="1.66"/>
    <n v="862.49"/>
  </r>
  <r>
    <x v="137"/>
    <s v="LinkedIn Ads"/>
    <s v="Product Launch"/>
    <s v="Premium Plan"/>
    <n v="7475"/>
    <n v="214"/>
    <n v="30"/>
    <n v="1847.13"/>
    <n v="8893.43"/>
    <n v="2.86"/>
    <n v="14.02"/>
    <n v="61.57"/>
    <n v="4.8099999999999996"/>
    <n v="7046.3"/>
  </r>
  <r>
    <x v="137"/>
    <s v="Email Marketing"/>
    <s v="Lead Generation"/>
    <s v="Enterprise Plan"/>
    <n v="29420"/>
    <n v="7198"/>
    <n v="807"/>
    <n v="324.37"/>
    <n v="92645.99"/>
    <n v="24.47"/>
    <n v="11.21"/>
    <n v="0.4"/>
    <n v="285.62"/>
    <n v="92321.62"/>
  </r>
  <r>
    <x v="137"/>
    <s v="Organic Search"/>
    <s v="Brand Awareness"/>
    <s v="Basic Plan"/>
    <n v="31005"/>
    <n v="1486"/>
    <n v="233"/>
    <n v="0"/>
    <n v="32762.27"/>
    <n v="4.79"/>
    <n v="15.68"/>
    <n v="0"/>
    <n v="0"/>
    <n v="32762.27"/>
  </r>
  <r>
    <x v="137"/>
    <s v="Display Ads"/>
    <s v="Product Launch"/>
    <s v="Basic Plan"/>
    <n v="55727"/>
    <n v="662"/>
    <n v="25"/>
    <n v="1729.15"/>
    <n v="2365.4899999999998"/>
    <n v="1.19"/>
    <n v="3.78"/>
    <n v="69.17"/>
    <n v="1.37"/>
    <n v="636.34"/>
  </r>
  <r>
    <x v="137"/>
    <s v="YouTube Ads"/>
    <s v="Seasonal Promotion"/>
    <s v="Starter Kit"/>
    <n v="21953"/>
    <n v="558"/>
    <n v="22"/>
    <n v="1613.07"/>
    <n v="3266.97"/>
    <n v="2.54"/>
    <n v="3.94"/>
    <n v="73.319999999999993"/>
    <n v="2.0299999999999998"/>
    <n v="1653.9"/>
  </r>
  <r>
    <x v="137"/>
    <s v="Twitter Ads"/>
    <s v="Retargeting"/>
    <s v="Add-on Service"/>
    <n v="18247"/>
    <n v="431"/>
    <n v="12"/>
    <n v="802.52"/>
    <n v="1074.6099999999999"/>
    <n v="2.36"/>
    <n v="2.78"/>
    <n v="66.88"/>
    <n v="1.34"/>
    <n v="272.08999999999997"/>
  </r>
  <r>
    <x v="137"/>
    <s v="TikTok Ads"/>
    <s v="Lead Generation"/>
    <s v="Add-on Service"/>
    <n v="37853"/>
    <n v="1268"/>
    <n v="70"/>
    <n v="1538.59"/>
    <n v="5392.9"/>
    <n v="3.35"/>
    <n v="5.52"/>
    <n v="21.98"/>
    <n v="3.51"/>
    <n v="3854.31"/>
  </r>
  <r>
    <x v="137"/>
    <s v="Affiliate Marketing"/>
    <s v="Retargeting"/>
    <s v="Starter Kit"/>
    <n v="13477"/>
    <n v="861"/>
    <n v="95"/>
    <n v="860.16"/>
    <n v="12038.47"/>
    <n v="6.39"/>
    <n v="11.03"/>
    <n v="9.0500000000000007"/>
    <n v="14"/>
    <n v="11178.31"/>
  </r>
  <r>
    <x v="137"/>
    <s v="Referral"/>
    <s v="Lead Generation"/>
    <s v="Starter Kit"/>
    <n v="6392"/>
    <n v="414"/>
    <n v="53"/>
    <n v="274.97000000000003"/>
    <n v="7864.11"/>
    <n v="6.48"/>
    <n v="12.8"/>
    <n v="5.19"/>
    <n v="28.6"/>
    <n v="7589.14"/>
  </r>
  <r>
    <x v="138"/>
    <s v="Google Ads"/>
    <s v="Flash Sale"/>
    <s v="Add-on Service"/>
    <n v="11866"/>
    <n v="487"/>
    <n v="42"/>
    <n v="1378.17"/>
    <n v="5024.6000000000004"/>
    <n v="4.0999999999999996"/>
    <n v="8.6199999999999992"/>
    <n v="32.81"/>
    <n v="3.65"/>
    <n v="3646.43"/>
  </r>
  <r>
    <x v="138"/>
    <s v="Facebook Ads"/>
    <s v="Flash Sale"/>
    <s v="Basic Plan"/>
    <n v="18069"/>
    <n v="695"/>
    <n v="42"/>
    <n v="812.9"/>
    <n v="5468.48"/>
    <n v="3.85"/>
    <n v="6.04"/>
    <n v="19.350000000000001"/>
    <n v="6.73"/>
    <n v="4655.58"/>
  </r>
  <r>
    <x v="138"/>
    <s v="Instagram Ads"/>
    <s v="Seasonal Promotion"/>
    <s v="Basic Plan"/>
    <n v="15252"/>
    <n v="640"/>
    <n v="27"/>
    <n v="572.58000000000004"/>
    <n v="2285.67"/>
    <n v="4.2"/>
    <n v="4.22"/>
    <n v="21.21"/>
    <n v="3.99"/>
    <n v="1713.09"/>
  </r>
  <r>
    <x v="138"/>
    <s v="LinkedIn Ads"/>
    <s v="Retargeting"/>
    <s v="Enterprise Plan"/>
    <n v="4483"/>
    <n v="120"/>
    <n v="12"/>
    <n v="1531.14"/>
    <n v="2371.08"/>
    <n v="2.68"/>
    <n v="10"/>
    <n v="127.6"/>
    <n v="1.55"/>
    <n v="839.94"/>
  </r>
  <r>
    <x v="138"/>
    <s v="Email Marketing"/>
    <s v="Lead Generation"/>
    <s v="Basic Plan"/>
    <n v="16173"/>
    <n v="3867"/>
    <n v="521"/>
    <n v="134.88999999999999"/>
    <n v="69876.7"/>
    <n v="23.91"/>
    <n v="13.47"/>
    <n v="0.26"/>
    <n v="518.03"/>
    <n v="69741.81"/>
  </r>
  <r>
    <x v="138"/>
    <s v="Organic Search"/>
    <s v="Product Launch"/>
    <s v="Starter Kit"/>
    <n v="25915"/>
    <n v="1968"/>
    <n v="284"/>
    <n v="0"/>
    <n v="39866.76"/>
    <n v="7.59"/>
    <n v="14.43"/>
    <n v="0"/>
    <n v="0"/>
    <n v="39866.76"/>
  </r>
  <r>
    <x v="138"/>
    <s v="Display Ads"/>
    <s v="Seasonal Promotion"/>
    <s v="Premium Plan"/>
    <n v="30111"/>
    <n v="596"/>
    <n v="26"/>
    <n v="1223.6500000000001"/>
    <n v="2243.08"/>
    <n v="1.98"/>
    <n v="4.3600000000000003"/>
    <n v="47.06"/>
    <n v="1.83"/>
    <n v="1019.43"/>
  </r>
  <r>
    <x v="138"/>
    <s v="YouTube Ads"/>
    <s v="Product Launch"/>
    <s v="Premium Plan"/>
    <n v="24096"/>
    <n v="561"/>
    <n v="32"/>
    <n v="1119.69"/>
    <n v="4305.12"/>
    <n v="2.33"/>
    <n v="5.7"/>
    <n v="34.99"/>
    <n v="3.84"/>
    <n v="3185.43"/>
  </r>
  <r>
    <x v="138"/>
    <s v="Twitter Ads"/>
    <s v="Retargeting"/>
    <s v="Basic Plan"/>
    <n v="10651"/>
    <n v="286"/>
    <n v="16"/>
    <n v="625.13"/>
    <n v="1773.39"/>
    <n v="2.69"/>
    <n v="5.59"/>
    <n v="39.07"/>
    <n v="2.84"/>
    <n v="1148.26"/>
  </r>
  <r>
    <x v="138"/>
    <s v="TikTok Ads"/>
    <s v="Lead Generation"/>
    <s v="Starter Kit"/>
    <n v="19149"/>
    <n v="851"/>
    <n v="31"/>
    <n v="629"/>
    <n v="2462.42"/>
    <n v="4.4400000000000004"/>
    <n v="3.64"/>
    <n v="20.29"/>
    <n v="3.91"/>
    <n v="1833.42"/>
  </r>
  <r>
    <x v="138"/>
    <s v="Affiliate Marketing"/>
    <s v="Seasonal Promotion"/>
    <s v="Add-on Service"/>
    <n v="9396"/>
    <n v="382"/>
    <n v="34"/>
    <n v="527.6"/>
    <n v="5108.43"/>
    <n v="4.07"/>
    <n v="8.9"/>
    <n v="15.52"/>
    <n v="9.68"/>
    <n v="4580.83"/>
  </r>
  <r>
    <x v="138"/>
    <s v="Referral"/>
    <s v="Flash Sale"/>
    <s v="Starter Kit"/>
    <n v="4669"/>
    <n v="314"/>
    <n v="47"/>
    <n v="80.92"/>
    <n v="5848.44"/>
    <n v="6.73"/>
    <n v="14.97"/>
    <n v="1.72"/>
    <n v="72.27"/>
    <n v="5767.52"/>
  </r>
  <r>
    <x v="139"/>
    <s v="Google Ads"/>
    <s v="Retargeting"/>
    <s v="Starter Kit"/>
    <n v="14219"/>
    <n v="508"/>
    <n v="49"/>
    <n v="1082.55"/>
    <n v="6449.33"/>
    <n v="3.57"/>
    <n v="9.65"/>
    <n v="22.09"/>
    <n v="5.96"/>
    <n v="5366.78"/>
  </r>
  <r>
    <x v="139"/>
    <s v="Facebook Ads"/>
    <s v="Retargeting"/>
    <s v="Starter Kit"/>
    <n v="16629"/>
    <n v="636"/>
    <n v="35"/>
    <n v="612.30999999999995"/>
    <n v="5277.17"/>
    <n v="3.82"/>
    <n v="5.5"/>
    <n v="17.489999999999998"/>
    <n v="8.6199999999999992"/>
    <n v="4664.8599999999997"/>
  </r>
  <r>
    <x v="139"/>
    <s v="Instagram Ads"/>
    <s v="Retargeting"/>
    <s v="Basic Plan"/>
    <n v="15064"/>
    <n v="611"/>
    <n v="34"/>
    <n v="590.79999999999995"/>
    <n v="2836.17"/>
    <n v="4.0599999999999996"/>
    <n v="5.56"/>
    <n v="17.38"/>
    <n v="4.8"/>
    <n v="2245.37"/>
  </r>
  <r>
    <x v="139"/>
    <s v="LinkedIn Ads"/>
    <s v="Brand Awareness"/>
    <s v="Add-on Service"/>
    <n v="3710"/>
    <n v="110"/>
    <n v="15"/>
    <n v="1115.3699999999999"/>
    <n v="2826.62"/>
    <n v="2.96"/>
    <n v="13.64"/>
    <n v="74.36"/>
    <n v="2.5299999999999998"/>
    <n v="1711.25"/>
  </r>
  <r>
    <x v="139"/>
    <s v="Email Marketing"/>
    <s v="Brand Awareness"/>
    <s v="Basic Plan"/>
    <n v="16127"/>
    <n v="3339"/>
    <n v="367"/>
    <n v="142.74"/>
    <n v="48757.78"/>
    <n v="20.7"/>
    <n v="10.99"/>
    <n v="0.39"/>
    <n v="341.58"/>
    <n v="48615.040000000001"/>
  </r>
  <r>
    <x v="139"/>
    <s v="Organic Search"/>
    <s v="Product Launch"/>
    <s v="Premium Plan"/>
    <n v="32081"/>
    <n v="1720"/>
    <n v="248"/>
    <n v="0"/>
    <n v="24396.54"/>
    <n v="5.36"/>
    <n v="14.42"/>
    <n v="0"/>
    <n v="0"/>
    <n v="24396.54"/>
  </r>
  <r>
    <x v="139"/>
    <s v="Display Ads"/>
    <s v="Product Launch"/>
    <s v="Basic Plan"/>
    <n v="31258"/>
    <n v="415"/>
    <n v="18"/>
    <n v="701.76"/>
    <n v="1527.86"/>
    <n v="1.33"/>
    <n v="4.34"/>
    <n v="38.99"/>
    <n v="2.1800000000000002"/>
    <n v="826.1"/>
  </r>
  <r>
    <x v="139"/>
    <s v="YouTube Ads"/>
    <s v="Seasonal Promotion"/>
    <s v="Enterprise Plan"/>
    <n v="22430"/>
    <n v="414"/>
    <n v="27"/>
    <n v="1200.72"/>
    <n v="3785.35"/>
    <n v="1.85"/>
    <n v="6.52"/>
    <n v="44.47"/>
    <n v="3.15"/>
    <n v="2584.63"/>
  </r>
  <r>
    <x v="139"/>
    <s v="Twitter Ads"/>
    <s v="Lead Generation"/>
    <s v="Starter Kit"/>
    <n v="11415"/>
    <n v="248"/>
    <n v="11"/>
    <n v="514.79999999999995"/>
    <n v="1138.72"/>
    <n v="2.17"/>
    <n v="4.4400000000000004"/>
    <n v="46.8"/>
    <n v="2.21"/>
    <n v="623.91999999999996"/>
  </r>
  <r>
    <x v="139"/>
    <s v="TikTok Ads"/>
    <s v="Seasonal Promotion"/>
    <s v="Starter Kit"/>
    <n v="27889"/>
    <n v="813"/>
    <n v="32"/>
    <n v="636.85"/>
    <n v="2599.16"/>
    <n v="2.92"/>
    <n v="3.94"/>
    <n v="19.899999999999999"/>
    <n v="4.08"/>
    <n v="1962.31"/>
  </r>
  <r>
    <x v="139"/>
    <s v="Affiliate Marketing"/>
    <s v="Seasonal Promotion"/>
    <s v="Add-on Service"/>
    <n v="8830"/>
    <n v="580"/>
    <n v="50"/>
    <n v="309.06"/>
    <n v="5891.41"/>
    <n v="6.57"/>
    <n v="8.6199999999999992"/>
    <n v="6.18"/>
    <n v="19.059999999999999"/>
    <n v="5582.35"/>
  </r>
  <r>
    <x v="139"/>
    <s v="Referral"/>
    <s v="Brand Awareness"/>
    <s v="Add-on Service"/>
    <n v="3515"/>
    <n v="342"/>
    <n v="48"/>
    <n v="193.08"/>
    <n v="7380.25"/>
    <n v="9.73"/>
    <n v="14.04"/>
    <n v="4.0199999999999996"/>
    <n v="38.22"/>
    <n v="7187.17"/>
  </r>
  <r>
    <x v="140"/>
    <s v="Google Ads"/>
    <s v="Brand Awareness"/>
    <s v="Enterprise Plan"/>
    <n v="11733"/>
    <n v="456"/>
    <n v="49"/>
    <n v="1718.2"/>
    <n v="6175.66"/>
    <n v="3.89"/>
    <n v="10.75"/>
    <n v="35.07"/>
    <n v="3.59"/>
    <n v="4457.46"/>
  </r>
  <r>
    <x v="140"/>
    <s v="Facebook Ads"/>
    <s v="Seasonal Promotion"/>
    <s v="Enterprise Plan"/>
    <n v="25599"/>
    <n v="902"/>
    <n v="62"/>
    <n v="1549.16"/>
    <n v="6661.63"/>
    <n v="3.52"/>
    <n v="6.87"/>
    <n v="24.99"/>
    <n v="4.3"/>
    <n v="5112.47"/>
  </r>
  <r>
    <x v="140"/>
    <s v="Instagram Ads"/>
    <s v="Seasonal Promotion"/>
    <s v="Premium Plan"/>
    <n v="16099"/>
    <n v="503"/>
    <n v="29"/>
    <n v="968.83"/>
    <n v="3231.86"/>
    <n v="3.12"/>
    <n v="5.77"/>
    <n v="33.409999999999997"/>
    <n v="3.34"/>
    <n v="2263.0300000000002"/>
  </r>
  <r>
    <x v="140"/>
    <s v="LinkedIn Ads"/>
    <s v="Flash Sale"/>
    <s v="Starter Kit"/>
    <n v="4628"/>
    <n v="98"/>
    <n v="12"/>
    <n v="1371.15"/>
    <n v="2639.73"/>
    <n v="2.12"/>
    <n v="12.24"/>
    <n v="114.26"/>
    <n v="1.93"/>
    <n v="1268.58"/>
  </r>
  <r>
    <x v="140"/>
    <s v="Email Marketing"/>
    <s v="Seasonal Promotion"/>
    <s v="Basic Plan"/>
    <n v="34966"/>
    <n v="5583"/>
    <n v="557"/>
    <n v="227.68"/>
    <n v="72510.63"/>
    <n v="15.97"/>
    <n v="9.98"/>
    <n v="0.41"/>
    <n v="318.48"/>
    <n v="72282.95"/>
  </r>
  <r>
    <x v="140"/>
    <s v="Organic Search"/>
    <s v="Retargeting"/>
    <s v="Premium Plan"/>
    <n v="29397"/>
    <n v="2154"/>
    <n v="221"/>
    <n v="0"/>
    <n v="29841.73"/>
    <n v="7.33"/>
    <n v="10.26"/>
    <n v="0"/>
    <n v="0"/>
    <n v="29841.73"/>
  </r>
  <r>
    <x v="140"/>
    <s v="Display Ads"/>
    <s v="Flash Sale"/>
    <s v="Basic Plan"/>
    <n v="48498"/>
    <n v="799"/>
    <n v="37"/>
    <n v="1586.9"/>
    <n v="3572.17"/>
    <n v="1.65"/>
    <n v="4.63"/>
    <n v="42.89"/>
    <n v="2.25"/>
    <n v="1985.27"/>
  </r>
  <r>
    <x v="140"/>
    <s v="YouTube Ads"/>
    <s v="Product Launch"/>
    <s v="Premium Plan"/>
    <n v="23343"/>
    <n v="512"/>
    <n v="28"/>
    <n v="1525.55"/>
    <n v="3640.93"/>
    <n v="2.19"/>
    <n v="5.47"/>
    <n v="54.48"/>
    <n v="2.39"/>
    <n v="2115.38"/>
  </r>
  <r>
    <x v="140"/>
    <s v="Twitter Ads"/>
    <s v="Retargeting"/>
    <s v="Enterprise Plan"/>
    <n v="14627"/>
    <n v="443"/>
    <n v="25"/>
    <n v="691.8"/>
    <n v="2289.8200000000002"/>
    <n v="3.03"/>
    <n v="5.64"/>
    <n v="27.67"/>
    <n v="3.31"/>
    <n v="1598.02"/>
  </r>
  <r>
    <x v="140"/>
    <s v="TikTok Ads"/>
    <s v="Product Launch"/>
    <s v="Premium Plan"/>
    <n v="36124"/>
    <n v="1164"/>
    <n v="74"/>
    <n v="1256.17"/>
    <n v="6252.85"/>
    <n v="3.22"/>
    <n v="6.36"/>
    <n v="16.98"/>
    <n v="4.9800000000000004"/>
    <n v="4996.68"/>
  </r>
  <r>
    <x v="140"/>
    <s v="Affiliate Marketing"/>
    <s v="Retargeting"/>
    <s v="Premium Plan"/>
    <n v="11023"/>
    <n v="597"/>
    <n v="72"/>
    <n v="729.79"/>
    <n v="9301.58"/>
    <n v="5.42"/>
    <n v="12.06"/>
    <n v="10.14"/>
    <n v="12.75"/>
    <n v="8571.7900000000009"/>
  </r>
  <r>
    <x v="140"/>
    <s v="Referral"/>
    <s v="Lead Generation"/>
    <s v="Basic Plan"/>
    <n v="8048"/>
    <n v="585"/>
    <n v="103"/>
    <n v="168.89"/>
    <n v="14653.8"/>
    <n v="7.27"/>
    <n v="17.61"/>
    <n v="1.64"/>
    <n v="86.77"/>
    <n v="14484.91"/>
  </r>
  <r>
    <x v="141"/>
    <s v="Google Ads"/>
    <s v="Flash Sale"/>
    <s v="Add-on Service"/>
    <n v="16689"/>
    <n v="662"/>
    <n v="71"/>
    <n v="1325.57"/>
    <n v="9054.68"/>
    <n v="3.97"/>
    <n v="10.73"/>
    <n v="18.670000000000002"/>
    <n v="6.83"/>
    <n v="7729.11"/>
  </r>
  <r>
    <x v="141"/>
    <s v="Facebook Ads"/>
    <s v="Flash Sale"/>
    <s v="Enterprise Plan"/>
    <n v="25110"/>
    <n v="922"/>
    <n v="57"/>
    <n v="1390.92"/>
    <n v="6224.27"/>
    <n v="3.67"/>
    <n v="6.18"/>
    <n v="24.4"/>
    <n v="4.47"/>
    <n v="4833.3500000000004"/>
  </r>
  <r>
    <x v="141"/>
    <s v="Instagram Ads"/>
    <s v="Flash Sale"/>
    <s v="Add-on Service"/>
    <n v="21574"/>
    <n v="877"/>
    <n v="35"/>
    <n v="1263"/>
    <n v="3984.95"/>
    <n v="4.07"/>
    <n v="3.99"/>
    <n v="36.090000000000003"/>
    <n v="3.16"/>
    <n v="2721.95"/>
  </r>
  <r>
    <x v="141"/>
    <s v="LinkedIn Ads"/>
    <s v="Flash Sale"/>
    <s v="Starter Kit"/>
    <n v="6004"/>
    <n v="120"/>
    <n v="14"/>
    <n v="1487.14"/>
    <n v="3122.76"/>
    <n v="2"/>
    <n v="11.67"/>
    <n v="106.22"/>
    <n v="2.1"/>
    <n v="1635.62"/>
  </r>
  <r>
    <x v="141"/>
    <s v="Email Marketing"/>
    <s v="Lead Generation"/>
    <s v="Add-on Service"/>
    <n v="25891"/>
    <n v="4984"/>
    <n v="415"/>
    <n v="151.85"/>
    <n v="53564.82"/>
    <n v="19.25"/>
    <n v="8.33"/>
    <n v="0.37"/>
    <n v="352.75"/>
    <n v="53412.97"/>
  </r>
  <r>
    <x v="141"/>
    <s v="Organic Search"/>
    <s v="Lead Generation"/>
    <s v="Basic Plan"/>
    <n v="33976"/>
    <n v="2637"/>
    <n v="382"/>
    <n v="0"/>
    <n v="41726.9"/>
    <n v="7.76"/>
    <n v="14.49"/>
    <n v="0"/>
    <n v="0"/>
    <n v="41726.9"/>
  </r>
  <r>
    <x v="141"/>
    <s v="Display Ads"/>
    <s v="Lead Generation"/>
    <s v="Premium Plan"/>
    <n v="45691"/>
    <n v="833"/>
    <n v="16"/>
    <n v="1760.48"/>
    <n v="1824.78"/>
    <n v="1.82"/>
    <n v="1.92"/>
    <n v="110.03"/>
    <n v="1.04"/>
    <n v="64.3"/>
  </r>
  <r>
    <x v="141"/>
    <s v="YouTube Ads"/>
    <s v="Seasonal Promotion"/>
    <s v="Enterprise Plan"/>
    <n v="28508"/>
    <n v="512"/>
    <n v="23"/>
    <n v="1835"/>
    <n v="2088.86"/>
    <n v="1.8"/>
    <n v="4.49"/>
    <n v="79.78"/>
    <n v="1.1399999999999999"/>
    <n v="253.86"/>
  </r>
  <r>
    <x v="141"/>
    <s v="Twitter Ads"/>
    <s v="Seasonal Promotion"/>
    <s v="Enterprise Plan"/>
    <n v="16399"/>
    <n v="473"/>
    <n v="19"/>
    <n v="899.32"/>
    <n v="1848.89"/>
    <n v="2.88"/>
    <n v="4.0199999999999996"/>
    <n v="47.33"/>
    <n v="2.06"/>
    <n v="949.57"/>
  </r>
  <r>
    <x v="141"/>
    <s v="TikTok Ads"/>
    <s v="Seasonal Promotion"/>
    <s v="Add-on Service"/>
    <n v="25834"/>
    <n v="929"/>
    <n v="42"/>
    <n v="1150.82"/>
    <n v="3382.37"/>
    <n v="3.6"/>
    <n v="4.5199999999999996"/>
    <n v="27.4"/>
    <n v="2.94"/>
    <n v="2231.5500000000002"/>
  </r>
  <r>
    <x v="141"/>
    <s v="Affiliate Marketing"/>
    <s v="Lead Generation"/>
    <s v="Enterprise Plan"/>
    <n v="11293"/>
    <n v="474"/>
    <n v="37"/>
    <n v="568.91"/>
    <n v="4693.18"/>
    <n v="4.2"/>
    <n v="7.81"/>
    <n v="15.38"/>
    <n v="8.25"/>
    <n v="4124.2700000000004"/>
  </r>
  <r>
    <x v="141"/>
    <s v="Referral"/>
    <s v="Flash Sale"/>
    <s v="Enterprise Plan"/>
    <n v="7615"/>
    <n v="683"/>
    <n v="95"/>
    <n v="109.37"/>
    <n v="15410.49"/>
    <n v="8.9700000000000006"/>
    <n v="13.91"/>
    <n v="1.1499999999999999"/>
    <n v="140.9"/>
    <n v="15301.12"/>
  </r>
  <r>
    <x v="142"/>
    <s v="Google Ads"/>
    <s v="Product Launch"/>
    <s v="Add-on Service"/>
    <n v="19454"/>
    <n v="795"/>
    <n v="64"/>
    <n v="1124.97"/>
    <n v="8119.79"/>
    <n v="4.09"/>
    <n v="8.0500000000000007"/>
    <n v="17.579999999999998"/>
    <n v="7.22"/>
    <n v="6994.82"/>
  </r>
  <r>
    <x v="142"/>
    <s v="Facebook Ads"/>
    <s v="Product Launch"/>
    <s v="Add-on Service"/>
    <n v="20608"/>
    <n v="592"/>
    <n v="49"/>
    <n v="941.64"/>
    <n v="6051.04"/>
    <n v="2.87"/>
    <n v="8.2799999999999994"/>
    <n v="19.22"/>
    <n v="6.43"/>
    <n v="5109.3999999999996"/>
  </r>
  <r>
    <x v="142"/>
    <s v="Instagram Ads"/>
    <s v="Flash Sale"/>
    <s v="Premium Plan"/>
    <n v="20028"/>
    <n v="728"/>
    <n v="35"/>
    <n v="941.25"/>
    <n v="2910.65"/>
    <n v="3.63"/>
    <n v="4.8099999999999996"/>
    <n v="26.89"/>
    <n v="3.09"/>
    <n v="1969.4"/>
  </r>
  <r>
    <x v="142"/>
    <s v="LinkedIn Ads"/>
    <s v="Lead Generation"/>
    <s v="Starter Kit"/>
    <n v="7193"/>
    <n v="175"/>
    <n v="23"/>
    <n v="1579.59"/>
    <n v="4792.25"/>
    <n v="2.4300000000000002"/>
    <n v="13.14"/>
    <n v="68.680000000000007"/>
    <n v="3.03"/>
    <n v="3212.66"/>
  </r>
  <r>
    <x v="142"/>
    <s v="Email Marketing"/>
    <s v="Brand Awareness"/>
    <s v="Enterprise Plan"/>
    <n v="21198"/>
    <n v="4629"/>
    <n v="438"/>
    <n v="176.6"/>
    <n v="61825.8"/>
    <n v="21.84"/>
    <n v="9.4600000000000009"/>
    <n v="0.4"/>
    <n v="350.09"/>
    <n v="61649.2"/>
  </r>
  <r>
    <x v="142"/>
    <s v="Organic Search"/>
    <s v="Flash Sale"/>
    <s v="Basic Plan"/>
    <n v="36173"/>
    <n v="2500"/>
    <n v="396"/>
    <n v="0"/>
    <n v="56312.76"/>
    <n v="6.91"/>
    <n v="15.84"/>
    <n v="0"/>
    <n v="0"/>
    <n v="56312.76"/>
  </r>
  <r>
    <x v="142"/>
    <s v="Display Ads"/>
    <s v="Flash Sale"/>
    <s v="Basic Plan"/>
    <n v="47654"/>
    <n v="858"/>
    <n v="39"/>
    <n v="987.02"/>
    <n v="3414.93"/>
    <n v="1.8"/>
    <n v="4.55"/>
    <n v="25.31"/>
    <n v="3.46"/>
    <n v="2427.91"/>
  </r>
  <r>
    <x v="142"/>
    <s v="YouTube Ads"/>
    <s v="Lead Generation"/>
    <s v="Basic Plan"/>
    <n v="32495"/>
    <n v="732"/>
    <n v="53"/>
    <n v="1568.85"/>
    <n v="5323.26"/>
    <n v="2.25"/>
    <n v="7.24"/>
    <n v="29.6"/>
    <n v="3.39"/>
    <n v="3754.41"/>
  </r>
  <r>
    <x v="142"/>
    <s v="Twitter Ads"/>
    <s v="Flash Sale"/>
    <s v="Enterprise Plan"/>
    <n v="17546"/>
    <n v="404"/>
    <n v="22"/>
    <n v="693.26"/>
    <n v="1535.14"/>
    <n v="2.2999999999999998"/>
    <n v="5.45"/>
    <n v="31.51"/>
    <n v="2.21"/>
    <n v="841.88"/>
  </r>
  <r>
    <x v="142"/>
    <s v="TikTok Ads"/>
    <s v="Lead Generation"/>
    <s v="Starter Kit"/>
    <n v="34854"/>
    <n v="1236"/>
    <n v="81"/>
    <n v="1093.3599999999999"/>
    <n v="6575.36"/>
    <n v="3.55"/>
    <n v="6.55"/>
    <n v="13.5"/>
    <n v="6.01"/>
    <n v="5482"/>
  </r>
  <r>
    <x v="142"/>
    <s v="Affiliate Marketing"/>
    <s v="Retargeting"/>
    <s v="Basic Plan"/>
    <n v="13241"/>
    <n v="785"/>
    <n v="95"/>
    <n v="833.75"/>
    <n v="11220.52"/>
    <n v="5.93"/>
    <n v="12.1"/>
    <n v="8.7799999999999994"/>
    <n v="13.46"/>
    <n v="10386.77"/>
  </r>
  <r>
    <x v="142"/>
    <s v="Referral"/>
    <s v="Seasonal Promotion"/>
    <s v="Enterprise Plan"/>
    <n v="4685"/>
    <n v="392"/>
    <n v="62"/>
    <n v="193.23"/>
    <n v="7547.84"/>
    <n v="8.3699999999999992"/>
    <n v="15.82"/>
    <n v="3.12"/>
    <n v="39.06"/>
    <n v="7354.61"/>
  </r>
  <r>
    <x v="143"/>
    <s v="Google Ads"/>
    <s v="Flash Sale"/>
    <s v="Starter Kit"/>
    <n v="19930"/>
    <n v="834"/>
    <n v="91"/>
    <n v="1389.15"/>
    <n v="10798.7"/>
    <n v="4.18"/>
    <n v="10.91"/>
    <n v="15.27"/>
    <n v="7.77"/>
    <n v="9409.5499999999993"/>
  </r>
  <r>
    <x v="143"/>
    <s v="Facebook Ads"/>
    <s v="Retargeting"/>
    <s v="Starter Kit"/>
    <n v="22038"/>
    <n v="708"/>
    <n v="43"/>
    <n v="1659.64"/>
    <n v="4799.55"/>
    <n v="3.21"/>
    <n v="6.07"/>
    <n v="38.6"/>
    <n v="2.89"/>
    <n v="3139.91"/>
  </r>
  <r>
    <x v="143"/>
    <s v="Instagram Ads"/>
    <s v="Brand Awareness"/>
    <s v="Premium Plan"/>
    <n v="20626"/>
    <n v="653"/>
    <n v="28"/>
    <n v="840.35"/>
    <n v="2617.12"/>
    <n v="3.17"/>
    <n v="4.29"/>
    <n v="30.01"/>
    <n v="3.11"/>
    <n v="1776.77"/>
  </r>
  <r>
    <x v="143"/>
    <s v="LinkedIn Ads"/>
    <s v="Retargeting"/>
    <s v="Add-on Service"/>
    <n v="5734"/>
    <n v="128"/>
    <n v="15"/>
    <n v="2395.54"/>
    <n v="4106"/>
    <n v="2.23"/>
    <n v="11.72"/>
    <n v="159.69999999999999"/>
    <n v="1.71"/>
    <n v="1710.46"/>
  </r>
  <r>
    <x v="143"/>
    <s v="Email Marketing"/>
    <s v="Flash Sale"/>
    <s v="Enterprise Plan"/>
    <n v="30137"/>
    <n v="4802"/>
    <n v="652"/>
    <n v="253.16"/>
    <n v="78669.990000000005"/>
    <n v="15.93"/>
    <n v="13.58"/>
    <n v="0.39"/>
    <n v="310.75"/>
    <n v="78416.83"/>
  </r>
  <r>
    <x v="143"/>
    <s v="Organic Search"/>
    <s v="Flash Sale"/>
    <s v="Enterprise Plan"/>
    <n v="45246"/>
    <n v="3487"/>
    <n v="413"/>
    <n v="0"/>
    <n v="43124.87"/>
    <n v="7.71"/>
    <n v="11.84"/>
    <n v="0"/>
    <n v="0"/>
    <n v="43124.87"/>
  </r>
  <r>
    <x v="143"/>
    <s v="Display Ads"/>
    <s v="Retargeting"/>
    <s v="Starter Kit"/>
    <n v="48147"/>
    <n v="768"/>
    <n v="29"/>
    <n v="1030.58"/>
    <n v="2579.23"/>
    <n v="1.6"/>
    <n v="3.78"/>
    <n v="35.54"/>
    <n v="2.5"/>
    <n v="1548.65"/>
  </r>
  <r>
    <x v="143"/>
    <s v="YouTube Ads"/>
    <s v="Product Launch"/>
    <s v="Add-on Service"/>
    <n v="22314"/>
    <n v="425"/>
    <n v="18"/>
    <n v="1631.18"/>
    <n v="2129.9499999999998"/>
    <n v="1.9"/>
    <n v="4.24"/>
    <n v="90.62"/>
    <n v="1.31"/>
    <n v="498.77"/>
  </r>
  <r>
    <x v="143"/>
    <s v="Twitter Ads"/>
    <s v="Brand Awareness"/>
    <s v="Premium Plan"/>
    <n v="17596"/>
    <n v="596"/>
    <n v="26"/>
    <n v="1035.19"/>
    <n v="1848.22"/>
    <n v="3.39"/>
    <n v="4.3600000000000003"/>
    <n v="39.82"/>
    <n v="1.79"/>
    <n v="813.03"/>
  </r>
  <r>
    <x v="143"/>
    <s v="TikTok Ads"/>
    <s v="Flash Sale"/>
    <s v="Starter Kit"/>
    <n v="26356"/>
    <n v="805"/>
    <n v="39"/>
    <n v="1388.51"/>
    <n v="3385.58"/>
    <n v="3.05"/>
    <n v="4.84"/>
    <n v="35.6"/>
    <n v="2.44"/>
    <n v="1997.07"/>
  </r>
  <r>
    <x v="143"/>
    <s v="Affiliate Marketing"/>
    <s v="Flash Sale"/>
    <s v="Enterprise Plan"/>
    <n v="9438"/>
    <n v="628"/>
    <n v="57"/>
    <n v="565.79"/>
    <n v="6305.16"/>
    <n v="6.65"/>
    <n v="9.08"/>
    <n v="9.93"/>
    <n v="11.14"/>
    <n v="5739.37"/>
  </r>
  <r>
    <x v="143"/>
    <s v="Referral"/>
    <s v="Brand Awareness"/>
    <s v="Add-on Service"/>
    <n v="7550"/>
    <n v="558"/>
    <n v="96"/>
    <n v="76.41"/>
    <n v="15647.73"/>
    <n v="7.39"/>
    <n v="17.2"/>
    <n v="0.8"/>
    <n v="204.79"/>
    <n v="15571.32"/>
  </r>
  <r>
    <x v="144"/>
    <s v="Google Ads"/>
    <s v="Retargeting"/>
    <s v="Basic Plan"/>
    <n v="18026"/>
    <n v="809"/>
    <n v="77"/>
    <n v="1636.67"/>
    <n v="12564.43"/>
    <n v="4.49"/>
    <n v="9.52"/>
    <n v="21.26"/>
    <n v="7.68"/>
    <n v="10927.76"/>
  </r>
  <r>
    <x v="144"/>
    <s v="Facebook Ads"/>
    <s v="Retargeting"/>
    <s v="Basic Plan"/>
    <n v="19237"/>
    <n v="746"/>
    <n v="49"/>
    <n v="1008.51"/>
    <n v="4732.41"/>
    <n v="3.88"/>
    <n v="6.57"/>
    <n v="20.58"/>
    <n v="4.6900000000000004"/>
    <n v="3723.9"/>
  </r>
  <r>
    <x v="144"/>
    <s v="Instagram Ads"/>
    <s v="Retargeting"/>
    <s v="Enterprise Plan"/>
    <n v="21618"/>
    <n v="599"/>
    <n v="43"/>
    <n v="1254.26"/>
    <n v="4905.05"/>
    <n v="2.77"/>
    <n v="7.18"/>
    <n v="29.17"/>
    <n v="3.91"/>
    <n v="3650.79"/>
  </r>
  <r>
    <x v="144"/>
    <s v="LinkedIn Ads"/>
    <s v="Product Launch"/>
    <s v="Enterprise Plan"/>
    <n v="7629"/>
    <n v="165"/>
    <n v="15"/>
    <n v="2316.0500000000002"/>
    <n v="3453.51"/>
    <n v="2.16"/>
    <n v="9.09"/>
    <n v="154.4"/>
    <n v="1.49"/>
    <n v="1137.46"/>
  </r>
  <r>
    <x v="144"/>
    <s v="Email Marketing"/>
    <s v="Product Launch"/>
    <s v="Add-on Service"/>
    <n v="24600"/>
    <n v="4440"/>
    <n v="471"/>
    <n v="347.3"/>
    <n v="50049.760000000002"/>
    <n v="18.05"/>
    <n v="10.61"/>
    <n v="0.74"/>
    <n v="144.11000000000001"/>
    <n v="49702.46"/>
  </r>
  <r>
    <x v="144"/>
    <s v="Organic Search"/>
    <s v="Seasonal Promotion"/>
    <s v="Basic Plan"/>
    <n v="48426"/>
    <n v="3018"/>
    <n v="361"/>
    <n v="0"/>
    <n v="45373.18"/>
    <n v="6.23"/>
    <n v="11.96"/>
    <n v="0"/>
    <n v="0"/>
    <n v="45373.18"/>
  </r>
  <r>
    <x v="144"/>
    <s v="Display Ads"/>
    <s v="Seasonal Promotion"/>
    <s v="Starter Kit"/>
    <n v="54224"/>
    <n v="998"/>
    <n v="43"/>
    <n v="1539.5"/>
    <n v="4686.91"/>
    <n v="1.84"/>
    <n v="4.3099999999999996"/>
    <n v="35.799999999999997"/>
    <n v="3.04"/>
    <n v="3147.41"/>
  </r>
  <r>
    <x v="144"/>
    <s v="YouTube Ads"/>
    <s v="Product Launch"/>
    <s v="Premium Plan"/>
    <n v="23018"/>
    <n v="565"/>
    <n v="25"/>
    <n v="1686.98"/>
    <n v="3064.87"/>
    <n v="2.4500000000000002"/>
    <n v="4.42"/>
    <n v="67.48"/>
    <n v="1.82"/>
    <n v="1377.89"/>
  </r>
  <r>
    <x v="144"/>
    <s v="Twitter Ads"/>
    <s v="Brand Awareness"/>
    <s v="Premium Plan"/>
    <n v="15390"/>
    <n v="439"/>
    <n v="12"/>
    <n v="705.59"/>
    <n v="1332.4"/>
    <n v="2.85"/>
    <n v="2.73"/>
    <n v="58.8"/>
    <n v="1.89"/>
    <n v="626.80999999999995"/>
  </r>
  <r>
    <x v="144"/>
    <s v="TikTok Ads"/>
    <s v="Flash Sale"/>
    <s v="Starter Kit"/>
    <n v="37751"/>
    <n v="1085"/>
    <n v="68"/>
    <n v="1275.93"/>
    <n v="5543.99"/>
    <n v="2.87"/>
    <n v="6.27"/>
    <n v="18.760000000000002"/>
    <n v="4.3499999999999996"/>
    <n v="4268.0600000000004"/>
  </r>
  <r>
    <x v="144"/>
    <s v="Affiliate Marketing"/>
    <s v="Brand Awareness"/>
    <s v="Premium Plan"/>
    <n v="8474"/>
    <n v="368"/>
    <n v="40"/>
    <n v="907.33"/>
    <n v="4429.57"/>
    <n v="4.34"/>
    <n v="10.87"/>
    <n v="22.68"/>
    <n v="4.88"/>
    <n v="3522.24"/>
  </r>
  <r>
    <x v="144"/>
    <s v="Referral"/>
    <s v="Lead Generation"/>
    <s v="Starter Kit"/>
    <n v="7600"/>
    <n v="523"/>
    <n v="70"/>
    <n v="176.56"/>
    <n v="9759.8700000000008"/>
    <n v="6.88"/>
    <n v="13.38"/>
    <n v="2.52"/>
    <n v="55.28"/>
    <n v="9583.31"/>
  </r>
  <r>
    <x v="145"/>
    <s v="Google Ads"/>
    <s v="Retargeting"/>
    <s v="Premium Plan"/>
    <n v="10667"/>
    <n v="365"/>
    <n v="40"/>
    <n v="944.37"/>
    <n v="6588.55"/>
    <n v="3.42"/>
    <n v="10.96"/>
    <n v="23.61"/>
    <n v="6.98"/>
    <n v="5644.18"/>
  </r>
  <r>
    <x v="145"/>
    <s v="Facebook Ads"/>
    <s v="Retargeting"/>
    <s v="Basic Plan"/>
    <n v="18394"/>
    <n v="715"/>
    <n v="53"/>
    <n v="988.48"/>
    <n v="5030.53"/>
    <n v="3.89"/>
    <n v="7.41"/>
    <n v="18.649999999999999"/>
    <n v="5.09"/>
    <n v="4042.05"/>
  </r>
  <r>
    <x v="145"/>
    <s v="Instagram Ads"/>
    <s v="Flash Sale"/>
    <s v="Basic Plan"/>
    <n v="15581"/>
    <n v="455"/>
    <n v="18"/>
    <n v="786.18"/>
    <n v="1950.72"/>
    <n v="2.92"/>
    <n v="3.96"/>
    <n v="43.68"/>
    <n v="2.48"/>
    <n v="1164.54"/>
  </r>
  <r>
    <x v="145"/>
    <s v="LinkedIn Ads"/>
    <s v="Flash Sale"/>
    <s v="Enterprise Plan"/>
    <n v="5519"/>
    <n v="122"/>
    <n v="12"/>
    <n v="1683.45"/>
    <n v="3370.56"/>
    <n v="2.21"/>
    <n v="9.84"/>
    <n v="140.29"/>
    <n v="2"/>
    <n v="1687.11"/>
  </r>
  <r>
    <x v="145"/>
    <s v="Email Marketing"/>
    <s v="Lead Generation"/>
    <s v="Enterprise Plan"/>
    <n v="15135"/>
    <n v="2496"/>
    <n v="235"/>
    <n v="206.44"/>
    <n v="24988.93"/>
    <n v="16.489999999999998"/>
    <n v="9.42"/>
    <n v="0.88"/>
    <n v="121.05"/>
    <n v="24782.49"/>
  </r>
  <r>
    <x v="145"/>
    <s v="Organic Search"/>
    <s v="Brand Awareness"/>
    <s v="Enterprise Plan"/>
    <n v="31754"/>
    <n v="1780"/>
    <n v="284"/>
    <n v="0"/>
    <n v="33972.17"/>
    <n v="5.61"/>
    <n v="15.96"/>
    <n v="0"/>
    <n v="0"/>
    <n v="33972.17"/>
  </r>
  <r>
    <x v="145"/>
    <s v="Display Ads"/>
    <s v="Product Launch"/>
    <s v="Premium Plan"/>
    <n v="35547"/>
    <n v="431"/>
    <n v="11"/>
    <n v="925.09"/>
    <n v="1201.0999999999999"/>
    <n v="1.21"/>
    <n v="2.5499999999999998"/>
    <n v="84.1"/>
    <n v="1.3"/>
    <n v="276.01"/>
  </r>
  <r>
    <x v="145"/>
    <s v="YouTube Ads"/>
    <s v="Product Launch"/>
    <s v="Basic Plan"/>
    <n v="21850"/>
    <n v="532"/>
    <n v="30"/>
    <n v="910.11"/>
    <n v="3396.62"/>
    <n v="2.4300000000000002"/>
    <n v="5.64"/>
    <n v="30.34"/>
    <n v="3.73"/>
    <n v="2486.5100000000002"/>
  </r>
  <r>
    <x v="145"/>
    <s v="Twitter Ads"/>
    <s v="Brand Awareness"/>
    <s v="Starter Kit"/>
    <n v="9783"/>
    <n v="313"/>
    <n v="11"/>
    <n v="483.71"/>
    <n v="1119.9000000000001"/>
    <n v="3.2"/>
    <n v="3.51"/>
    <n v="43.97"/>
    <n v="2.3199999999999998"/>
    <n v="636.19000000000005"/>
  </r>
  <r>
    <x v="145"/>
    <s v="TikTok Ads"/>
    <s v="Flash Sale"/>
    <s v="Enterprise Plan"/>
    <n v="21380"/>
    <n v="791"/>
    <n v="54"/>
    <n v="1005.19"/>
    <n v="3876.76"/>
    <n v="3.7"/>
    <n v="6.83"/>
    <n v="18.61"/>
    <n v="3.86"/>
    <n v="2871.57"/>
  </r>
  <r>
    <x v="145"/>
    <s v="Affiliate Marketing"/>
    <s v="Flash Sale"/>
    <s v="Basic Plan"/>
    <n v="6161"/>
    <n v="335"/>
    <n v="38"/>
    <n v="305.5"/>
    <n v="4197.82"/>
    <n v="5.44"/>
    <n v="11.34"/>
    <n v="8.0399999999999991"/>
    <n v="13.74"/>
    <n v="3892.32"/>
  </r>
  <r>
    <x v="145"/>
    <s v="Referral"/>
    <s v="Retargeting"/>
    <s v="Premium Plan"/>
    <n v="5570"/>
    <n v="500"/>
    <n v="70"/>
    <n v="93.83"/>
    <n v="11148.98"/>
    <n v="8.98"/>
    <n v="14"/>
    <n v="1.34"/>
    <n v="118.82"/>
    <n v="11055.15"/>
  </r>
  <r>
    <x v="146"/>
    <s v="Google Ads"/>
    <s v="Flash Sale"/>
    <s v="Premium Plan"/>
    <n v="12968"/>
    <n v="555"/>
    <n v="53"/>
    <n v="789.36"/>
    <n v="8461.24"/>
    <n v="4.28"/>
    <n v="9.5500000000000007"/>
    <n v="14.89"/>
    <n v="10.72"/>
    <n v="7671.88"/>
  </r>
  <r>
    <x v="146"/>
    <s v="Facebook Ads"/>
    <s v="Brand Awareness"/>
    <s v="Basic Plan"/>
    <n v="17425"/>
    <n v="539"/>
    <n v="33"/>
    <n v="1027.1099999999999"/>
    <n v="4087.69"/>
    <n v="3.09"/>
    <n v="6.12"/>
    <n v="31.12"/>
    <n v="3.98"/>
    <n v="3060.58"/>
  </r>
  <r>
    <x v="146"/>
    <s v="Instagram Ads"/>
    <s v="Retargeting"/>
    <s v="Premium Plan"/>
    <n v="16354"/>
    <n v="733"/>
    <n v="46"/>
    <n v="621.67999999999995"/>
    <n v="4662.4799999999996"/>
    <n v="4.4800000000000004"/>
    <n v="6.28"/>
    <n v="13.51"/>
    <n v="7.5"/>
    <n v="4040.8"/>
  </r>
  <r>
    <x v="146"/>
    <s v="LinkedIn Ads"/>
    <s v="Lead Generation"/>
    <s v="Add-on Service"/>
    <n v="5100"/>
    <n v="82"/>
    <n v="9"/>
    <n v="1122.23"/>
    <n v="2360.29"/>
    <n v="1.61"/>
    <n v="10.98"/>
    <n v="124.69"/>
    <n v="2.1"/>
    <n v="1238.06"/>
  </r>
  <r>
    <x v="146"/>
    <s v="Email Marketing"/>
    <s v="Lead Generation"/>
    <s v="Add-on Service"/>
    <n v="24157"/>
    <n v="3811"/>
    <n v="323"/>
    <n v="212.15"/>
    <n v="50358.06"/>
    <n v="15.78"/>
    <n v="8.48"/>
    <n v="0.66"/>
    <n v="237.37"/>
    <n v="50145.91"/>
  </r>
  <r>
    <x v="146"/>
    <s v="Organic Search"/>
    <s v="Flash Sale"/>
    <s v="Starter Kit"/>
    <n v="30934"/>
    <n v="1599"/>
    <n v="232"/>
    <n v="0"/>
    <n v="31565.66"/>
    <n v="5.17"/>
    <n v="14.51"/>
    <n v="0"/>
    <n v="0"/>
    <n v="31565.66"/>
  </r>
  <r>
    <x v="146"/>
    <s v="Display Ads"/>
    <s v="Brand Awareness"/>
    <s v="Premium Plan"/>
    <n v="30512"/>
    <n v="490"/>
    <n v="12"/>
    <n v="1006.49"/>
    <n v="1284.5899999999999"/>
    <n v="1.61"/>
    <n v="2.4500000000000002"/>
    <n v="83.87"/>
    <n v="1.28"/>
    <n v="278.10000000000002"/>
  </r>
  <r>
    <x v="146"/>
    <s v="YouTube Ads"/>
    <s v="Flash Sale"/>
    <s v="Enterprise Plan"/>
    <n v="23490"/>
    <n v="658"/>
    <n v="26"/>
    <n v="1085.68"/>
    <n v="2356.81"/>
    <n v="2.8"/>
    <n v="3.95"/>
    <n v="41.76"/>
    <n v="2.17"/>
    <n v="1271.1300000000001"/>
  </r>
  <r>
    <x v="146"/>
    <s v="Twitter Ads"/>
    <s v="Brand Awareness"/>
    <s v="Starter Kit"/>
    <n v="10265"/>
    <n v="247"/>
    <n v="8"/>
    <n v="728.76"/>
    <n v="631.46"/>
    <n v="2.41"/>
    <n v="3.24"/>
    <n v="91.1"/>
    <n v="0.87"/>
    <n v="-97.3"/>
  </r>
  <r>
    <x v="146"/>
    <s v="TikTok Ads"/>
    <s v="Flash Sale"/>
    <s v="Basic Plan"/>
    <n v="29110"/>
    <n v="1270"/>
    <n v="43"/>
    <n v="650.62"/>
    <n v="4434.95"/>
    <n v="4.3600000000000003"/>
    <n v="3.39"/>
    <n v="15.13"/>
    <n v="6.82"/>
    <n v="3784.33"/>
  </r>
  <r>
    <x v="146"/>
    <s v="Affiliate Marketing"/>
    <s v="Retargeting"/>
    <s v="Premium Plan"/>
    <n v="9669"/>
    <n v="416"/>
    <n v="35"/>
    <n v="554.64"/>
    <n v="4056.34"/>
    <n v="4.3"/>
    <n v="8.41"/>
    <n v="15.85"/>
    <n v="7.31"/>
    <n v="3501.7"/>
  </r>
  <r>
    <x v="146"/>
    <s v="Referral"/>
    <s v="Lead Generation"/>
    <s v="Starter Kit"/>
    <n v="3138"/>
    <n v="258"/>
    <n v="45"/>
    <n v="80.08"/>
    <n v="6300.65"/>
    <n v="8.2200000000000006"/>
    <n v="17.440000000000001"/>
    <n v="1.78"/>
    <n v="78.680000000000007"/>
    <n v="6220.57"/>
  </r>
  <r>
    <x v="147"/>
    <s v="Google Ads"/>
    <s v="Brand Awareness"/>
    <s v="Premium Plan"/>
    <n v="13178"/>
    <n v="413"/>
    <n v="32"/>
    <n v="1892.49"/>
    <n v="4467.1400000000003"/>
    <n v="3.13"/>
    <n v="7.75"/>
    <n v="59.14"/>
    <n v="2.36"/>
    <n v="2574.65"/>
  </r>
  <r>
    <x v="147"/>
    <s v="Facebook Ads"/>
    <s v="Brand Awareness"/>
    <s v="Enterprise Plan"/>
    <n v="25995"/>
    <n v="520"/>
    <n v="40"/>
    <n v="1385.84"/>
    <n v="3856.63"/>
    <n v="2"/>
    <n v="7.69"/>
    <n v="34.65"/>
    <n v="2.78"/>
    <n v="2470.79"/>
  </r>
  <r>
    <x v="147"/>
    <s v="Instagram Ads"/>
    <s v="Product Launch"/>
    <s v="Enterprise Plan"/>
    <n v="24698"/>
    <n v="942"/>
    <n v="46"/>
    <n v="1147.47"/>
    <n v="4650.82"/>
    <n v="3.81"/>
    <n v="4.88"/>
    <n v="24.94"/>
    <n v="4.05"/>
    <n v="3503.35"/>
  </r>
  <r>
    <x v="147"/>
    <s v="LinkedIn Ads"/>
    <s v="Lead Generation"/>
    <s v="Starter Kit"/>
    <n v="8295"/>
    <n v="226"/>
    <n v="28"/>
    <n v="1458.86"/>
    <n v="8235.68"/>
    <n v="2.72"/>
    <n v="12.39"/>
    <n v="52.1"/>
    <n v="5.65"/>
    <n v="6776.82"/>
  </r>
  <r>
    <x v="147"/>
    <s v="Email Marketing"/>
    <s v="Lead Generation"/>
    <s v="Basic Plan"/>
    <n v="30006"/>
    <n v="6167"/>
    <n v="551"/>
    <n v="289.2"/>
    <n v="66035.48"/>
    <n v="20.55"/>
    <n v="8.93"/>
    <n v="0.52"/>
    <n v="228.34"/>
    <n v="65746.28"/>
  </r>
  <r>
    <x v="147"/>
    <s v="Organic Search"/>
    <s v="Brand Awareness"/>
    <s v="Add-on Service"/>
    <n v="30850"/>
    <n v="1817"/>
    <n v="260"/>
    <n v="0"/>
    <n v="27172.94"/>
    <n v="5.89"/>
    <n v="14.31"/>
    <n v="0"/>
    <n v="0"/>
    <n v="27172.94"/>
  </r>
  <r>
    <x v="147"/>
    <s v="Display Ads"/>
    <s v="Seasonal Promotion"/>
    <s v="Premium Plan"/>
    <n v="55596"/>
    <n v="1100"/>
    <n v="35"/>
    <n v="1271.83"/>
    <n v="3087.45"/>
    <n v="1.98"/>
    <n v="3.18"/>
    <n v="36.340000000000003"/>
    <n v="2.4300000000000002"/>
    <n v="1815.62"/>
  </r>
  <r>
    <x v="147"/>
    <s v="YouTube Ads"/>
    <s v="Seasonal Promotion"/>
    <s v="Basic Plan"/>
    <n v="21232"/>
    <n v="606"/>
    <n v="37"/>
    <n v="1179.72"/>
    <n v="5392.86"/>
    <n v="2.85"/>
    <n v="6.11"/>
    <n v="31.88"/>
    <n v="4.57"/>
    <n v="4213.1400000000003"/>
  </r>
  <r>
    <x v="147"/>
    <s v="Twitter Ads"/>
    <s v="Retargeting"/>
    <s v="Enterprise Plan"/>
    <n v="11319"/>
    <n v="275"/>
    <n v="7"/>
    <n v="715.47"/>
    <n v="735.85"/>
    <n v="2.4300000000000002"/>
    <n v="2.5499999999999998"/>
    <n v="102.21"/>
    <n v="1.03"/>
    <n v="20.38"/>
  </r>
  <r>
    <x v="147"/>
    <s v="TikTok Ads"/>
    <s v="Flash Sale"/>
    <s v="Basic Plan"/>
    <n v="25902"/>
    <n v="743"/>
    <n v="47"/>
    <n v="1197.32"/>
    <n v="4368.4399999999996"/>
    <n v="2.87"/>
    <n v="6.33"/>
    <n v="25.47"/>
    <n v="3.65"/>
    <n v="3171.12"/>
  </r>
  <r>
    <x v="147"/>
    <s v="Affiliate Marketing"/>
    <s v="Flash Sale"/>
    <s v="Basic Plan"/>
    <n v="11526"/>
    <n v="634"/>
    <n v="61"/>
    <n v="923.56"/>
    <n v="7374.08"/>
    <n v="5.5"/>
    <n v="9.6199999999999992"/>
    <n v="15.14"/>
    <n v="7.98"/>
    <n v="6450.52"/>
  </r>
  <r>
    <x v="147"/>
    <s v="Referral"/>
    <s v="Retargeting"/>
    <s v="Add-on Service"/>
    <n v="5495"/>
    <n v="543"/>
    <n v="93"/>
    <n v="74.05"/>
    <n v="15985.24"/>
    <n v="9.8800000000000008"/>
    <n v="17.13"/>
    <n v="0.8"/>
    <n v="215.87"/>
    <n v="15911.19"/>
  </r>
  <r>
    <x v="148"/>
    <s v="Google Ads"/>
    <s v="Flash Sale"/>
    <s v="Starter Kit"/>
    <n v="16870"/>
    <n v="796"/>
    <n v="92"/>
    <n v="1501.08"/>
    <n v="10658.54"/>
    <n v="4.72"/>
    <n v="11.56"/>
    <n v="16.32"/>
    <n v="7.1"/>
    <n v="9157.4599999999991"/>
  </r>
  <r>
    <x v="148"/>
    <s v="Facebook Ads"/>
    <s v="Lead Generation"/>
    <s v="Premium Plan"/>
    <n v="26192"/>
    <n v="609"/>
    <n v="44"/>
    <n v="1238.52"/>
    <n v="5258.63"/>
    <n v="2.33"/>
    <n v="7.22"/>
    <n v="28.15"/>
    <n v="4.25"/>
    <n v="4020.11"/>
  </r>
  <r>
    <x v="148"/>
    <s v="Instagram Ads"/>
    <s v="Brand Awareness"/>
    <s v="Basic Plan"/>
    <n v="17928"/>
    <n v="639"/>
    <n v="26"/>
    <n v="900.12"/>
    <n v="3275.13"/>
    <n v="3.56"/>
    <n v="4.07"/>
    <n v="34.619999999999997"/>
    <n v="3.64"/>
    <n v="2375.0100000000002"/>
  </r>
  <r>
    <x v="148"/>
    <s v="LinkedIn Ads"/>
    <s v="Brand Awareness"/>
    <s v="Add-on Service"/>
    <n v="5488"/>
    <n v="152"/>
    <n v="18"/>
    <n v="2395.06"/>
    <n v="5140.05"/>
    <n v="2.77"/>
    <n v="11.84"/>
    <n v="133.06"/>
    <n v="2.15"/>
    <n v="2744.99"/>
  </r>
  <r>
    <x v="148"/>
    <s v="Email Marketing"/>
    <s v="Flash Sale"/>
    <s v="Starter Kit"/>
    <n v="31268"/>
    <n v="5861"/>
    <n v="515"/>
    <n v="395.51"/>
    <n v="65936.02"/>
    <n v="18.739999999999998"/>
    <n v="8.7899999999999991"/>
    <n v="0.77"/>
    <n v="166.71"/>
    <n v="65540.509999999995"/>
  </r>
  <r>
    <x v="148"/>
    <s v="Organic Search"/>
    <s v="Product Launch"/>
    <s v="Starter Kit"/>
    <n v="44665"/>
    <n v="2580"/>
    <n v="320"/>
    <n v="0"/>
    <n v="37480.85"/>
    <n v="5.78"/>
    <n v="12.4"/>
    <n v="0"/>
    <n v="0"/>
    <n v="37480.85"/>
  </r>
  <r>
    <x v="148"/>
    <s v="Display Ads"/>
    <s v="Product Launch"/>
    <s v="Basic Plan"/>
    <n v="37207"/>
    <n v="561"/>
    <n v="16"/>
    <n v="1237.2"/>
    <n v="2047.27"/>
    <n v="1.51"/>
    <n v="2.85"/>
    <n v="77.319999999999993"/>
    <n v="1.65"/>
    <n v="810.07"/>
  </r>
  <r>
    <x v="148"/>
    <s v="YouTube Ads"/>
    <s v="Lead Generation"/>
    <s v="Enterprise Plan"/>
    <n v="30679"/>
    <n v="777"/>
    <n v="36"/>
    <n v="1467.86"/>
    <n v="5358.48"/>
    <n v="2.5299999999999998"/>
    <n v="4.63"/>
    <n v="40.770000000000003"/>
    <n v="3.65"/>
    <n v="3890.62"/>
  </r>
  <r>
    <x v="148"/>
    <s v="Twitter Ads"/>
    <s v="Flash Sale"/>
    <s v="Premium Plan"/>
    <n v="17330"/>
    <n v="443"/>
    <n v="16"/>
    <n v="718.78"/>
    <n v="1578.97"/>
    <n v="2.56"/>
    <n v="3.61"/>
    <n v="44.92"/>
    <n v="2.2000000000000002"/>
    <n v="860.19"/>
  </r>
  <r>
    <x v="148"/>
    <s v="TikTok Ads"/>
    <s v="Lead Generation"/>
    <s v="Add-on Service"/>
    <n v="29765"/>
    <n v="928"/>
    <n v="64"/>
    <n v="1039.3499999999999"/>
    <n v="4676.4399999999996"/>
    <n v="3.12"/>
    <n v="6.9"/>
    <n v="16.239999999999998"/>
    <n v="4.5"/>
    <n v="3637.09"/>
  </r>
  <r>
    <x v="148"/>
    <s v="Affiliate Marketing"/>
    <s v="Seasonal Promotion"/>
    <s v="Add-on Service"/>
    <n v="10546"/>
    <n v="621"/>
    <n v="53"/>
    <n v="820.05"/>
    <n v="6196.54"/>
    <n v="5.89"/>
    <n v="8.5299999999999994"/>
    <n v="15.47"/>
    <n v="7.56"/>
    <n v="5376.49"/>
  </r>
  <r>
    <x v="148"/>
    <s v="Referral"/>
    <s v="Flash Sale"/>
    <s v="Add-on Service"/>
    <n v="5489"/>
    <n v="456"/>
    <n v="56"/>
    <n v="128.58000000000001"/>
    <n v="8293.2199999999993"/>
    <n v="8.31"/>
    <n v="12.28"/>
    <n v="2.2999999999999998"/>
    <n v="64.5"/>
    <n v="8164.64"/>
  </r>
  <r>
    <x v="149"/>
    <s v="Google Ads"/>
    <s v="Product Launch"/>
    <s v="Premium Plan"/>
    <n v="14926"/>
    <n v="543"/>
    <n v="53"/>
    <n v="2002.86"/>
    <n v="7622.99"/>
    <n v="3.64"/>
    <n v="9.76"/>
    <n v="37.79"/>
    <n v="3.81"/>
    <n v="5620.13"/>
  </r>
  <r>
    <x v="149"/>
    <s v="Facebook Ads"/>
    <s v="Flash Sale"/>
    <s v="Enterprise Plan"/>
    <n v="23345"/>
    <n v="466"/>
    <n v="37"/>
    <n v="1017.43"/>
    <n v="3353.76"/>
    <n v="2"/>
    <n v="7.94"/>
    <n v="27.5"/>
    <n v="3.3"/>
    <n v="2336.33"/>
  </r>
  <r>
    <x v="149"/>
    <s v="Instagram Ads"/>
    <s v="Lead Generation"/>
    <s v="Add-on Service"/>
    <n v="25156"/>
    <n v="1096"/>
    <n v="85"/>
    <n v="750.73"/>
    <n v="6602.63"/>
    <n v="4.3600000000000003"/>
    <n v="7.76"/>
    <n v="8.83"/>
    <n v="8.7899999999999991"/>
    <n v="5851.9"/>
  </r>
  <r>
    <x v="149"/>
    <s v="LinkedIn Ads"/>
    <s v="Seasonal Promotion"/>
    <s v="Add-on Service"/>
    <n v="5906"/>
    <n v="170"/>
    <n v="19"/>
    <n v="2472.39"/>
    <n v="6262.06"/>
    <n v="2.88"/>
    <n v="11.18"/>
    <n v="130.13"/>
    <n v="2.5299999999999998"/>
    <n v="3789.67"/>
  </r>
  <r>
    <x v="149"/>
    <s v="Email Marketing"/>
    <s v="Lead Generation"/>
    <s v="Starter Kit"/>
    <n v="33499"/>
    <n v="5037"/>
    <n v="452"/>
    <n v="233.75"/>
    <n v="54117.24"/>
    <n v="15.04"/>
    <n v="8.9700000000000006"/>
    <n v="0.52"/>
    <n v="231.52"/>
    <n v="53883.49"/>
  </r>
  <r>
    <x v="149"/>
    <s v="Organic Search"/>
    <s v="Product Launch"/>
    <s v="Premium Plan"/>
    <n v="31540"/>
    <n v="1846"/>
    <n v="197"/>
    <n v="0"/>
    <n v="19916.36"/>
    <n v="5.85"/>
    <n v="10.67"/>
    <n v="0"/>
    <n v="0"/>
    <n v="19916.36"/>
  </r>
  <r>
    <x v="149"/>
    <s v="Display Ads"/>
    <s v="Lead Generation"/>
    <s v="Starter Kit"/>
    <n v="55892"/>
    <n v="996"/>
    <n v="22"/>
    <n v="1762.82"/>
    <n v="2163.65"/>
    <n v="1.78"/>
    <n v="2.21"/>
    <n v="80.13"/>
    <n v="1.23"/>
    <n v="400.83"/>
  </r>
  <r>
    <x v="149"/>
    <s v="YouTube Ads"/>
    <s v="Retargeting"/>
    <s v="Premium Plan"/>
    <n v="23079"/>
    <n v="355"/>
    <n v="19"/>
    <n v="1173.78"/>
    <n v="2412.58"/>
    <n v="1.54"/>
    <n v="5.35"/>
    <n v="61.78"/>
    <n v="2.06"/>
    <n v="1238.8"/>
  </r>
  <r>
    <x v="149"/>
    <s v="Twitter Ads"/>
    <s v="Lead Generation"/>
    <s v="Starter Kit"/>
    <n v="13055"/>
    <n v="421"/>
    <n v="12"/>
    <n v="848.7"/>
    <n v="1319.72"/>
    <n v="3.22"/>
    <n v="2.85"/>
    <n v="70.73"/>
    <n v="1.55"/>
    <n v="471.02"/>
  </r>
  <r>
    <x v="149"/>
    <s v="TikTok Ads"/>
    <s v="Flash Sale"/>
    <s v="Add-on Service"/>
    <n v="41206"/>
    <n v="1759"/>
    <n v="75"/>
    <n v="1403.41"/>
    <n v="5467.63"/>
    <n v="4.2699999999999996"/>
    <n v="4.26"/>
    <n v="18.71"/>
    <n v="3.9"/>
    <n v="4064.22"/>
  </r>
  <r>
    <x v="149"/>
    <s v="Affiliate Marketing"/>
    <s v="Brand Awareness"/>
    <s v="Add-on Service"/>
    <n v="7674"/>
    <n v="495"/>
    <n v="44"/>
    <n v="595.79999999999995"/>
    <n v="5221.3500000000004"/>
    <n v="6.45"/>
    <n v="8.89"/>
    <n v="13.54"/>
    <n v="8.76"/>
    <n v="4625.55"/>
  </r>
  <r>
    <x v="149"/>
    <s v="Referral"/>
    <s v="Brand Awareness"/>
    <s v="Enterprise Plan"/>
    <n v="8363"/>
    <n v="656"/>
    <n v="95"/>
    <n v="108.47"/>
    <n v="12923.15"/>
    <n v="7.84"/>
    <n v="14.48"/>
    <n v="1.1399999999999999"/>
    <n v="119.14"/>
    <n v="12814.68"/>
  </r>
  <r>
    <x v="150"/>
    <s v="Google Ads"/>
    <s v="Product Launch"/>
    <s v="Basic Plan"/>
    <n v="14440"/>
    <n v="574"/>
    <n v="50"/>
    <n v="1549.19"/>
    <n v="8119.7"/>
    <n v="3.98"/>
    <n v="8.7100000000000009"/>
    <n v="30.98"/>
    <n v="5.24"/>
    <n v="6570.51"/>
  </r>
  <r>
    <x v="150"/>
    <s v="Facebook Ads"/>
    <s v="Retargeting"/>
    <s v="Add-on Service"/>
    <n v="22062"/>
    <n v="837"/>
    <n v="44"/>
    <n v="1575.88"/>
    <n v="4255.01"/>
    <n v="3.79"/>
    <n v="5.26"/>
    <n v="35.82"/>
    <n v="2.7"/>
    <n v="2679.13"/>
  </r>
  <r>
    <x v="150"/>
    <s v="Instagram Ads"/>
    <s v="Retargeting"/>
    <s v="Enterprise Plan"/>
    <n v="21371"/>
    <n v="565"/>
    <n v="28"/>
    <n v="1356.99"/>
    <n v="3171.69"/>
    <n v="2.64"/>
    <n v="4.96"/>
    <n v="48.46"/>
    <n v="2.34"/>
    <n v="1814.7"/>
  </r>
  <r>
    <x v="150"/>
    <s v="LinkedIn Ads"/>
    <s v="Seasonal Promotion"/>
    <s v="Basic Plan"/>
    <n v="4674"/>
    <n v="84"/>
    <n v="9"/>
    <n v="2388.1799999999998"/>
    <n v="1855.2"/>
    <n v="1.8"/>
    <n v="10.71"/>
    <n v="265.35000000000002"/>
    <n v="0.78"/>
    <n v="-532.98"/>
  </r>
  <r>
    <x v="150"/>
    <s v="Email Marketing"/>
    <s v="Retargeting"/>
    <s v="Premium Plan"/>
    <n v="28158"/>
    <n v="5833"/>
    <n v="579"/>
    <n v="354.02"/>
    <n v="73660.77"/>
    <n v="20.72"/>
    <n v="9.93"/>
    <n v="0.61"/>
    <n v="208.07"/>
    <n v="73306.75"/>
  </r>
  <r>
    <x v="150"/>
    <s v="Organic Search"/>
    <s v="Brand Awareness"/>
    <s v="Add-on Service"/>
    <n v="38563"/>
    <n v="3003"/>
    <n v="407"/>
    <n v="0"/>
    <n v="48337.58"/>
    <n v="7.79"/>
    <n v="13.55"/>
    <n v="0"/>
    <n v="0"/>
    <n v="48337.58"/>
  </r>
  <r>
    <x v="150"/>
    <s v="Display Ads"/>
    <s v="Brand Awareness"/>
    <s v="Premium Plan"/>
    <n v="37731"/>
    <n v="688"/>
    <n v="14"/>
    <n v="1350.44"/>
    <n v="1835.76"/>
    <n v="1.82"/>
    <n v="2.0299999999999998"/>
    <n v="96.46"/>
    <n v="1.36"/>
    <n v="485.32"/>
  </r>
  <r>
    <x v="150"/>
    <s v="YouTube Ads"/>
    <s v="Product Launch"/>
    <s v="Basic Plan"/>
    <n v="30826"/>
    <n v="518"/>
    <n v="32"/>
    <n v="1792.83"/>
    <n v="2939.83"/>
    <n v="1.68"/>
    <n v="6.18"/>
    <n v="56.03"/>
    <n v="1.64"/>
    <n v="1147"/>
  </r>
  <r>
    <x v="150"/>
    <s v="Twitter Ads"/>
    <s v="Brand Awareness"/>
    <s v="Premium Plan"/>
    <n v="14011"/>
    <n v="413"/>
    <n v="16"/>
    <n v="803"/>
    <n v="1571.2"/>
    <n v="2.95"/>
    <n v="3.87"/>
    <n v="50.19"/>
    <n v="1.96"/>
    <n v="768.2"/>
  </r>
  <r>
    <x v="150"/>
    <s v="TikTok Ads"/>
    <s v="Retargeting"/>
    <s v="Add-on Service"/>
    <n v="32849"/>
    <n v="1097"/>
    <n v="70"/>
    <n v="943.37"/>
    <n v="7281.37"/>
    <n v="3.34"/>
    <n v="6.38"/>
    <n v="13.48"/>
    <n v="7.72"/>
    <n v="6338"/>
  </r>
  <r>
    <x v="150"/>
    <s v="Affiliate Marketing"/>
    <s v="Product Launch"/>
    <s v="Add-on Service"/>
    <n v="9387"/>
    <n v="474"/>
    <n v="60"/>
    <n v="551.55999999999995"/>
    <n v="6343.04"/>
    <n v="5.05"/>
    <n v="12.66"/>
    <n v="9.19"/>
    <n v="11.5"/>
    <n v="5791.48"/>
  </r>
  <r>
    <x v="150"/>
    <s v="Referral"/>
    <s v="Retargeting"/>
    <s v="Starter Kit"/>
    <n v="8548"/>
    <n v="676"/>
    <n v="98"/>
    <n v="170.16"/>
    <n v="17234.3"/>
    <n v="7.91"/>
    <n v="14.5"/>
    <n v="1.74"/>
    <n v="101.28"/>
    <n v="17064.14"/>
  </r>
  <r>
    <x v="151"/>
    <s v="Google Ads"/>
    <s v="Flash Sale"/>
    <s v="Starter Kit"/>
    <n v="15860"/>
    <n v="684"/>
    <n v="74"/>
    <n v="1390.07"/>
    <n v="10363.27"/>
    <n v="4.3099999999999996"/>
    <n v="10.82"/>
    <n v="18.78"/>
    <n v="7.46"/>
    <n v="8973.2000000000007"/>
  </r>
  <r>
    <x v="151"/>
    <s v="Facebook Ads"/>
    <s v="Brand Awareness"/>
    <s v="Add-on Service"/>
    <n v="27458"/>
    <n v="600"/>
    <n v="40"/>
    <n v="1178.0999999999999"/>
    <n v="4663.1400000000003"/>
    <n v="2.19"/>
    <n v="6.67"/>
    <n v="29.45"/>
    <n v="3.96"/>
    <n v="3485.04"/>
  </r>
  <r>
    <x v="151"/>
    <s v="Instagram Ads"/>
    <s v="Seasonal Promotion"/>
    <s v="Add-on Service"/>
    <n v="20676"/>
    <n v="865"/>
    <n v="44"/>
    <n v="1032.56"/>
    <n v="3735.02"/>
    <n v="4.18"/>
    <n v="5.09"/>
    <n v="23.47"/>
    <n v="3.62"/>
    <n v="2702.46"/>
  </r>
  <r>
    <x v="151"/>
    <s v="LinkedIn Ads"/>
    <s v="Lead Generation"/>
    <s v="Enterprise Plan"/>
    <n v="4587"/>
    <n v="71"/>
    <n v="9"/>
    <n v="2282.0700000000002"/>
    <n v="2739.15"/>
    <n v="1.55"/>
    <n v="12.68"/>
    <n v="253.56"/>
    <n v="1.2"/>
    <n v="457.08"/>
  </r>
  <r>
    <x v="151"/>
    <s v="Email Marketing"/>
    <s v="Brand Awareness"/>
    <s v="Enterprise Plan"/>
    <n v="34778"/>
    <n v="7426"/>
    <n v="607"/>
    <n v="203.84"/>
    <n v="75700.36"/>
    <n v="21.35"/>
    <n v="8.17"/>
    <n v="0.34"/>
    <n v="371.37"/>
    <n v="75496.52"/>
  </r>
  <r>
    <x v="151"/>
    <s v="Organic Search"/>
    <s v="Brand Awareness"/>
    <s v="Add-on Service"/>
    <n v="44926"/>
    <n v="2186"/>
    <n v="330"/>
    <n v="0"/>
    <n v="44456.83"/>
    <n v="4.87"/>
    <n v="15.1"/>
    <n v="0"/>
    <n v="0"/>
    <n v="44456.83"/>
  </r>
  <r>
    <x v="151"/>
    <s v="Display Ads"/>
    <s v="Lead Generation"/>
    <s v="Basic Plan"/>
    <n v="37576"/>
    <n v="489"/>
    <n v="12"/>
    <n v="1388.38"/>
    <n v="1575.8"/>
    <n v="1.3"/>
    <n v="2.4500000000000002"/>
    <n v="115.7"/>
    <n v="1.1299999999999999"/>
    <n v="187.42"/>
  </r>
  <r>
    <x v="151"/>
    <s v="YouTube Ads"/>
    <s v="Seasonal Promotion"/>
    <s v="Enterprise Plan"/>
    <n v="23473"/>
    <n v="665"/>
    <n v="28"/>
    <n v="1164.49"/>
    <n v="3802.62"/>
    <n v="2.83"/>
    <n v="4.21"/>
    <n v="41.59"/>
    <n v="3.27"/>
    <n v="2638.13"/>
  </r>
  <r>
    <x v="151"/>
    <s v="Twitter Ads"/>
    <s v="Retargeting"/>
    <s v="Add-on Service"/>
    <n v="11876"/>
    <n v="285"/>
    <n v="15"/>
    <n v="606.29999999999995"/>
    <n v="1405.24"/>
    <n v="2.4"/>
    <n v="5.26"/>
    <n v="40.42"/>
    <n v="2.3199999999999998"/>
    <n v="798.94"/>
  </r>
  <r>
    <x v="151"/>
    <s v="TikTok Ads"/>
    <s v="Flash Sale"/>
    <s v="Premium Plan"/>
    <n v="26481"/>
    <n v="1171"/>
    <n v="46"/>
    <n v="1086.5899999999999"/>
    <n v="3884.23"/>
    <n v="4.42"/>
    <n v="3.93"/>
    <n v="23.62"/>
    <n v="3.57"/>
    <n v="2797.64"/>
  </r>
  <r>
    <x v="151"/>
    <s v="Affiliate Marketing"/>
    <s v="Product Launch"/>
    <s v="Starter Kit"/>
    <n v="10502"/>
    <n v="655"/>
    <n v="78"/>
    <n v="689.39"/>
    <n v="9711.2000000000007"/>
    <n v="6.24"/>
    <n v="11.91"/>
    <n v="8.84"/>
    <n v="14.09"/>
    <n v="9021.81"/>
  </r>
  <r>
    <x v="151"/>
    <s v="Referral"/>
    <s v="Flash Sale"/>
    <s v="Basic Plan"/>
    <n v="9784"/>
    <n v="496"/>
    <n v="81"/>
    <n v="142.88"/>
    <n v="11915.46"/>
    <n v="5.07"/>
    <n v="16.329999999999998"/>
    <n v="1.76"/>
    <n v="83.39"/>
    <n v="11772.58"/>
  </r>
  <r>
    <x v="152"/>
    <s v="Google Ads"/>
    <s v="Brand Awareness"/>
    <s v="Basic Plan"/>
    <n v="9477"/>
    <n v="384"/>
    <n v="30"/>
    <n v="1290.51"/>
    <n v="3824.1"/>
    <n v="4.05"/>
    <n v="7.81"/>
    <n v="43.02"/>
    <n v="2.96"/>
    <n v="2533.59"/>
  </r>
  <r>
    <x v="152"/>
    <s v="Facebook Ads"/>
    <s v="Brand Awareness"/>
    <s v="Starter Kit"/>
    <n v="19392"/>
    <n v="430"/>
    <n v="29"/>
    <n v="777.08"/>
    <n v="4283.97"/>
    <n v="2.2200000000000002"/>
    <n v="6.74"/>
    <n v="26.8"/>
    <n v="5.51"/>
    <n v="3506.89"/>
  </r>
  <r>
    <x v="152"/>
    <s v="Instagram Ads"/>
    <s v="Brand Awareness"/>
    <s v="Starter Kit"/>
    <n v="15312"/>
    <n v="582"/>
    <n v="35"/>
    <n v="673.83"/>
    <n v="4484.75"/>
    <n v="3.8"/>
    <n v="6.01"/>
    <n v="19.25"/>
    <n v="6.66"/>
    <n v="3810.92"/>
  </r>
  <r>
    <x v="152"/>
    <s v="LinkedIn Ads"/>
    <s v="Seasonal Promotion"/>
    <s v="Add-on Service"/>
    <n v="3693"/>
    <n v="66"/>
    <n v="8"/>
    <n v="1149.21"/>
    <n v="2128.7399999999998"/>
    <n v="1.79"/>
    <n v="12.12"/>
    <n v="143.65"/>
    <n v="1.85"/>
    <n v="979.53"/>
  </r>
  <r>
    <x v="152"/>
    <s v="Email Marketing"/>
    <s v="Brand Awareness"/>
    <s v="Enterprise Plan"/>
    <n v="17221"/>
    <n v="3857"/>
    <n v="400"/>
    <n v="277.93"/>
    <n v="54575.4"/>
    <n v="22.4"/>
    <n v="10.37"/>
    <n v="0.69"/>
    <n v="196.36"/>
    <n v="54297.47"/>
  </r>
  <r>
    <x v="152"/>
    <s v="Organic Search"/>
    <s v="Flash Sale"/>
    <s v="Basic Plan"/>
    <n v="21691"/>
    <n v="932"/>
    <n v="121"/>
    <n v="0"/>
    <n v="14275.73"/>
    <n v="4.3"/>
    <n v="12.98"/>
    <n v="0"/>
    <n v="0"/>
    <n v="14275.73"/>
  </r>
  <r>
    <x v="152"/>
    <s v="Display Ads"/>
    <s v="Brand Awareness"/>
    <s v="Premium Plan"/>
    <n v="29559"/>
    <n v="323"/>
    <n v="11"/>
    <n v="1213.46"/>
    <n v="960.93"/>
    <n v="1.0900000000000001"/>
    <n v="3.41"/>
    <n v="110.31"/>
    <n v="0.79"/>
    <n v="-252.53"/>
  </r>
  <r>
    <x v="152"/>
    <s v="YouTube Ads"/>
    <s v="Flash Sale"/>
    <s v="Basic Plan"/>
    <n v="22721"/>
    <n v="392"/>
    <n v="17"/>
    <n v="1011.69"/>
    <n v="2443.61"/>
    <n v="1.73"/>
    <n v="4.34"/>
    <n v="59.51"/>
    <n v="2.42"/>
    <n v="1431.92"/>
  </r>
  <r>
    <x v="152"/>
    <s v="Twitter Ads"/>
    <s v="Flash Sale"/>
    <s v="Premium Plan"/>
    <n v="13258"/>
    <n v="427"/>
    <n v="15"/>
    <n v="662.12"/>
    <n v="1394.84"/>
    <n v="3.22"/>
    <n v="3.51"/>
    <n v="44.14"/>
    <n v="2.11"/>
    <n v="732.72"/>
  </r>
  <r>
    <x v="152"/>
    <s v="TikTok Ads"/>
    <s v="Lead Generation"/>
    <s v="Starter Kit"/>
    <n v="22981"/>
    <n v="953"/>
    <n v="53"/>
    <n v="786.69"/>
    <n v="5052.13"/>
    <n v="4.1500000000000004"/>
    <n v="5.56"/>
    <n v="14.84"/>
    <n v="6.42"/>
    <n v="4265.4399999999996"/>
  </r>
  <r>
    <x v="152"/>
    <s v="Affiliate Marketing"/>
    <s v="Product Launch"/>
    <s v="Add-on Service"/>
    <n v="8753"/>
    <n v="544"/>
    <n v="54"/>
    <n v="551.16"/>
    <n v="7847.46"/>
    <n v="6.22"/>
    <n v="9.93"/>
    <n v="10.210000000000001"/>
    <n v="14.24"/>
    <n v="7296.3"/>
  </r>
  <r>
    <x v="152"/>
    <s v="Referral"/>
    <s v="Seasonal Promotion"/>
    <s v="Enterprise Plan"/>
    <n v="4001"/>
    <n v="222"/>
    <n v="32"/>
    <n v="101"/>
    <n v="4252.99"/>
    <n v="5.55"/>
    <n v="14.41"/>
    <n v="3.16"/>
    <n v="42.11"/>
    <n v="4151.99"/>
  </r>
  <r>
    <x v="153"/>
    <s v="Google Ads"/>
    <s v="Lead Generation"/>
    <s v="Enterprise Plan"/>
    <n v="13995"/>
    <n v="427"/>
    <n v="45"/>
    <n v="895.62"/>
    <n v="5851.92"/>
    <n v="3.05"/>
    <n v="10.54"/>
    <n v="19.899999999999999"/>
    <n v="6.53"/>
    <n v="4956.3"/>
  </r>
  <r>
    <x v="153"/>
    <s v="Facebook Ads"/>
    <s v="Lead Generation"/>
    <s v="Enterprise Plan"/>
    <n v="13876"/>
    <n v="287"/>
    <n v="17"/>
    <n v="813.15"/>
    <n v="1987.35"/>
    <n v="2.0699999999999998"/>
    <n v="5.92"/>
    <n v="47.83"/>
    <n v="2.44"/>
    <n v="1174.2"/>
  </r>
  <r>
    <x v="153"/>
    <s v="Instagram Ads"/>
    <s v="Flash Sale"/>
    <s v="Premium Plan"/>
    <n v="16599"/>
    <n v="668"/>
    <n v="32"/>
    <n v="688.63"/>
    <n v="2783.98"/>
    <n v="4.0199999999999996"/>
    <n v="4.79"/>
    <n v="21.52"/>
    <n v="4.04"/>
    <n v="2095.35"/>
  </r>
  <r>
    <x v="153"/>
    <s v="LinkedIn Ads"/>
    <s v="Brand Awareness"/>
    <s v="Enterprise Plan"/>
    <n v="5057"/>
    <n v="114"/>
    <n v="13"/>
    <n v="1688.66"/>
    <n v="3829.32"/>
    <n v="2.25"/>
    <n v="11.4"/>
    <n v="129.9"/>
    <n v="2.27"/>
    <n v="2140.66"/>
  </r>
  <r>
    <x v="153"/>
    <s v="Email Marketing"/>
    <s v="Retargeting"/>
    <s v="Enterprise Plan"/>
    <n v="22460"/>
    <n v="5362"/>
    <n v="739"/>
    <n v="185.52"/>
    <n v="102433.68"/>
    <n v="23.87"/>
    <n v="13.78"/>
    <n v="0.25"/>
    <n v="552.14"/>
    <n v="102248.16"/>
  </r>
  <r>
    <x v="153"/>
    <s v="Organic Search"/>
    <s v="Seasonal Promotion"/>
    <s v="Premium Plan"/>
    <n v="32563"/>
    <n v="2098"/>
    <n v="241"/>
    <n v="0"/>
    <n v="31302.7"/>
    <n v="6.44"/>
    <n v="11.49"/>
    <n v="0"/>
    <n v="0"/>
    <n v="31302.7"/>
  </r>
  <r>
    <x v="153"/>
    <s v="Display Ads"/>
    <s v="Product Launch"/>
    <s v="Add-on Service"/>
    <n v="30416"/>
    <n v="399"/>
    <n v="11"/>
    <n v="868.05"/>
    <n v="968.53"/>
    <n v="1.31"/>
    <n v="2.76"/>
    <n v="78.91"/>
    <n v="1.1200000000000001"/>
    <n v="100.48"/>
  </r>
  <r>
    <x v="153"/>
    <s v="YouTube Ads"/>
    <s v="Flash Sale"/>
    <s v="Premium Plan"/>
    <n v="15270"/>
    <n v="412"/>
    <n v="26"/>
    <n v="895.62"/>
    <n v="2742.54"/>
    <n v="2.7"/>
    <n v="6.31"/>
    <n v="34.450000000000003"/>
    <n v="3.06"/>
    <n v="1846.92"/>
  </r>
  <r>
    <x v="153"/>
    <s v="Twitter Ads"/>
    <s v="Retargeting"/>
    <s v="Starter Kit"/>
    <n v="10147"/>
    <n v="295"/>
    <n v="12"/>
    <n v="762.81"/>
    <n v="1130.0999999999999"/>
    <n v="2.91"/>
    <n v="4.07"/>
    <n v="63.57"/>
    <n v="1.48"/>
    <n v="367.29"/>
  </r>
  <r>
    <x v="153"/>
    <s v="TikTok Ads"/>
    <s v="Seasonal Promotion"/>
    <s v="Enterprise Plan"/>
    <n v="20414"/>
    <n v="622"/>
    <n v="43"/>
    <n v="701.07"/>
    <n v="3235.23"/>
    <n v="3.05"/>
    <n v="6.91"/>
    <n v="16.3"/>
    <n v="4.6100000000000003"/>
    <n v="2534.16"/>
  </r>
  <r>
    <x v="153"/>
    <s v="Affiliate Marketing"/>
    <s v="Brand Awareness"/>
    <s v="Starter Kit"/>
    <n v="8627"/>
    <n v="505"/>
    <n v="48"/>
    <n v="634.9"/>
    <n v="7568.07"/>
    <n v="5.85"/>
    <n v="9.5"/>
    <n v="13.23"/>
    <n v="11.92"/>
    <n v="6933.17"/>
  </r>
  <r>
    <x v="153"/>
    <s v="Referral"/>
    <s v="Seasonal Promotion"/>
    <s v="Basic Plan"/>
    <n v="3859"/>
    <n v="201"/>
    <n v="23"/>
    <n v="163.35"/>
    <n v="3556.53"/>
    <n v="5.21"/>
    <n v="11.44"/>
    <n v="7.1"/>
    <n v="21.77"/>
    <n v="3393.18"/>
  </r>
  <r>
    <x v="154"/>
    <s v="Google Ads"/>
    <s v="Product Launch"/>
    <s v="Basic Plan"/>
    <n v="18705"/>
    <n v="686"/>
    <n v="60"/>
    <n v="2039.41"/>
    <n v="10625.71"/>
    <n v="3.67"/>
    <n v="8.75"/>
    <n v="33.99"/>
    <n v="5.21"/>
    <n v="8586.2999999999993"/>
  </r>
  <r>
    <x v="154"/>
    <s v="Facebook Ads"/>
    <s v="Product Launch"/>
    <s v="Premium Plan"/>
    <n v="23531"/>
    <n v="732"/>
    <n v="58"/>
    <n v="1248.4000000000001"/>
    <n v="6099.33"/>
    <n v="3.11"/>
    <n v="7.92"/>
    <n v="21.52"/>
    <n v="4.8899999999999997"/>
    <n v="4850.93"/>
  </r>
  <r>
    <x v="154"/>
    <s v="Instagram Ads"/>
    <s v="Seasonal Promotion"/>
    <s v="Premium Plan"/>
    <n v="24425"/>
    <n v="1065"/>
    <n v="47"/>
    <n v="818.65"/>
    <n v="5031.79"/>
    <n v="4.3600000000000003"/>
    <n v="4.41"/>
    <n v="17.420000000000002"/>
    <n v="6.15"/>
    <n v="4213.1400000000003"/>
  </r>
  <r>
    <x v="154"/>
    <s v="LinkedIn Ads"/>
    <s v="Lead Generation"/>
    <s v="Add-on Service"/>
    <n v="8380"/>
    <n v="156"/>
    <n v="19"/>
    <n v="1777.68"/>
    <n v="4830.8999999999996"/>
    <n v="1.86"/>
    <n v="12.18"/>
    <n v="93.56"/>
    <n v="2.72"/>
    <n v="3053.22"/>
  </r>
  <r>
    <x v="154"/>
    <s v="Email Marketing"/>
    <s v="Brand Awareness"/>
    <s v="Premium Plan"/>
    <n v="24584"/>
    <n v="4848"/>
    <n v="510"/>
    <n v="193.56"/>
    <n v="54650.73"/>
    <n v="19.72"/>
    <n v="10.52"/>
    <n v="0.38"/>
    <n v="282.35000000000002"/>
    <n v="54457.17"/>
  </r>
  <r>
    <x v="154"/>
    <s v="Organic Search"/>
    <s v="Brand Awareness"/>
    <s v="Basic Plan"/>
    <n v="38645"/>
    <n v="2913"/>
    <n v="456"/>
    <n v="0"/>
    <n v="52570.76"/>
    <n v="7.54"/>
    <n v="15.65"/>
    <n v="0"/>
    <n v="0"/>
    <n v="52570.76"/>
  </r>
  <r>
    <x v="154"/>
    <s v="Display Ads"/>
    <s v="Brand Awareness"/>
    <s v="Starter Kit"/>
    <n v="41388"/>
    <n v="446"/>
    <n v="16"/>
    <n v="1144.48"/>
    <n v="1927.73"/>
    <n v="1.08"/>
    <n v="3.59"/>
    <n v="71.53"/>
    <n v="1.68"/>
    <n v="783.25"/>
  </r>
  <r>
    <x v="154"/>
    <s v="YouTube Ads"/>
    <s v="Product Launch"/>
    <s v="Starter Kit"/>
    <n v="21670"/>
    <n v="628"/>
    <n v="29"/>
    <n v="1927.62"/>
    <n v="2880.05"/>
    <n v="2.9"/>
    <n v="4.62"/>
    <n v="66.47"/>
    <n v="1.49"/>
    <n v="952.43"/>
  </r>
  <r>
    <x v="154"/>
    <s v="Twitter Ads"/>
    <s v="Lead Generation"/>
    <s v="Basic Plan"/>
    <n v="16601"/>
    <n v="400"/>
    <n v="14"/>
    <n v="894.56"/>
    <n v="1000.2"/>
    <n v="2.41"/>
    <n v="3.5"/>
    <n v="63.9"/>
    <n v="1.1200000000000001"/>
    <n v="105.64"/>
  </r>
  <r>
    <x v="154"/>
    <s v="TikTok Ads"/>
    <s v="Brand Awareness"/>
    <s v="Add-on Service"/>
    <n v="35588"/>
    <n v="1405"/>
    <n v="60"/>
    <n v="1153.06"/>
    <n v="5267.9"/>
    <n v="3.95"/>
    <n v="4.2699999999999996"/>
    <n v="19.22"/>
    <n v="4.57"/>
    <n v="4114.84"/>
  </r>
  <r>
    <x v="154"/>
    <s v="Affiliate Marketing"/>
    <s v="Flash Sale"/>
    <s v="Starter Kit"/>
    <n v="9798"/>
    <n v="434"/>
    <n v="50"/>
    <n v="615.22"/>
    <n v="5244.26"/>
    <n v="4.43"/>
    <n v="11.52"/>
    <n v="12.3"/>
    <n v="8.52"/>
    <n v="4629.04"/>
  </r>
  <r>
    <x v="154"/>
    <s v="Referral"/>
    <s v="Lead Generation"/>
    <s v="Enterprise Plan"/>
    <n v="6875"/>
    <n v="489"/>
    <n v="78"/>
    <n v="243.45"/>
    <n v="10535.53"/>
    <n v="7.11"/>
    <n v="15.95"/>
    <n v="3.12"/>
    <n v="43.28"/>
    <n v="10292.08"/>
  </r>
  <r>
    <x v="155"/>
    <s v="Google Ads"/>
    <s v="Lead Generation"/>
    <s v="Starter Kit"/>
    <n v="16322"/>
    <n v="518"/>
    <n v="54"/>
    <n v="1680.83"/>
    <n v="7755.16"/>
    <n v="3.17"/>
    <n v="10.42"/>
    <n v="31.13"/>
    <n v="4.6100000000000003"/>
    <n v="6074.33"/>
  </r>
  <r>
    <x v="155"/>
    <s v="Facebook Ads"/>
    <s v="Flash Sale"/>
    <s v="Enterprise Plan"/>
    <n v="19115"/>
    <n v="503"/>
    <n v="30"/>
    <n v="1023.96"/>
    <n v="3004.87"/>
    <n v="2.63"/>
    <n v="5.96"/>
    <n v="34.130000000000003"/>
    <n v="2.93"/>
    <n v="1980.91"/>
  </r>
  <r>
    <x v="155"/>
    <s v="Instagram Ads"/>
    <s v="Product Launch"/>
    <s v="Premium Plan"/>
    <n v="22967"/>
    <n v="1012"/>
    <n v="60"/>
    <n v="1037.93"/>
    <n v="6160.35"/>
    <n v="4.41"/>
    <n v="5.93"/>
    <n v="17.3"/>
    <n v="5.94"/>
    <n v="5122.42"/>
  </r>
  <r>
    <x v="155"/>
    <s v="LinkedIn Ads"/>
    <s v="Seasonal Promotion"/>
    <s v="Enterprise Plan"/>
    <n v="5856"/>
    <n v="142"/>
    <n v="16"/>
    <n v="2001.94"/>
    <n v="3982.96"/>
    <n v="2.42"/>
    <n v="11.27"/>
    <n v="125.12"/>
    <n v="1.99"/>
    <n v="1981.02"/>
  </r>
  <r>
    <x v="155"/>
    <s v="Email Marketing"/>
    <s v="Brand Awareness"/>
    <s v="Add-on Service"/>
    <n v="21987"/>
    <n v="3987"/>
    <n v="461"/>
    <n v="200.14"/>
    <n v="60249.919999999998"/>
    <n v="18.13"/>
    <n v="11.56"/>
    <n v="0.43"/>
    <n v="301.04000000000002"/>
    <n v="60049.78"/>
  </r>
  <r>
    <x v="155"/>
    <s v="Organic Search"/>
    <s v="Flash Sale"/>
    <s v="Premium Plan"/>
    <n v="29044"/>
    <n v="2238"/>
    <n v="275"/>
    <n v="0"/>
    <n v="27645.05"/>
    <n v="7.71"/>
    <n v="12.29"/>
    <n v="0"/>
    <n v="0"/>
    <n v="27645.05"/>
  </r>
  <r>
    <x v="155"/>
    <s v="Display Ads"/>
    <s v="Lead Generation"/>
    <s v="Basic Plan"/>
    <n v="38906"/>
    <n v="548"/>
    <n v="11"/>
    <n v="1765.45"/>
    <n v="1001.89"/>
    <n v="1.41"/>
    <n v="2.0099999999999998"/>
    <n v="160.5"/>
    <n v="0.56999999999999995"/>
    <n v="-763.56"/>
  </r>
  <r>
    <x v="155"/>
    <s v="YouTube Ads"/>
    <s v="Seasonal Promotion"/>
    <s v="Premium Plan"/>
    <n v="23595"/>
    <n v="461"/>
    <n v="25"/>
    <n v="1553.49"/>
    <n v="2594.96"/>
    <n v="1.95"/>
    <n v="5.42"/>
    <n v="62.14"/>
    <n v="1.67"/>
    <n v="1041.47"/>
  </r>
  <r>
    <x v="155"/>
    <s v="Twitter Ads"/>
    <s v="Retargeting"/>
    <s v="Premium Plan"/>
    <n v="19244"/>
    <n v="582"/>
    <n v="22"/>
    <n v="769.33"/>
    <n v="2050.1"/>
    <n v="3.02"/>
    <n v="3.78"/>
    <n v="34.97"/>
    <n v="2.66"/>
    <n v="1280.77"/>
  </r>
  <r>
    <x v="155"/>
    <s v="TikTok Ads"/>
    <s v="Retargeting"/>
    <s v="Enterprise Plan"/>
    <n v="26538"/>
    <n v="914"/>
    <n v="26"/>
    <n v="1490.32"/>
    <n v="1898.9"/>
    <n v="3.44"/>
    <n v="2.84"/>
    <n v="57.32"/>
    <n v="1.27"/>
    <n v="408.58"/>
  </r>
  <r>
    <x v="155"/>
    <s v="Affiliate Marketing"/>
    <s v="Product Launch"/>
    <s v="Enterprise Plan"/>
    <n v="10736"/>
    <n v="725"/>
    <n v="91"/>
    <n v="455"/>
    <n v="11021.27"/>
    <n v="6.75"/>
    <n v="12.55"/>
    <n v="5"/>
    <n v="24.22"/>
    <n v="10566.27"/>
  </r>
  <r>
    <x v="155"/>
    <s v="Referral"/>
    <s v="Brand Awareness"/>
    <s v="Add-on Service"/>
    <n v="4811"/>
    <n v="417"/>
    <n v="67"/>
    <n v="160.38999999999999"/>
    <n v="8573.48"/>
    <n v="8.67"/>
    <n v="16.07"/>
    <n v="2.39"/>
    <n v="53.45"/>
    <n v="8413.09"/>
  </r>
  <r>
    <x v="156"/>
    <s v="Google Ads"/>
    <s v="Retargeting"/>
    <s v="Premium Plan"/>
    <n v="14419"/>
    <n v="673"/>
    <n v="71"/>
    <n v="1419.21"/>
    <n v="9644.9500000000007"/>
    <n v="4.67"/>
    <n v="10.55"/>
    <n v="19.989999999999998"/>
    <n v="6.8"/>
    <n v="8225.74"/>
  </r>
  <r>
    <x v="156"/>
    <s v="Facebook Ads"/>
    <s v="Product Launch"/>
    <s v="Basic Plan"/>
    <n v="17623"/>
    <n v="658"/>
    <n v="35"/>
    <n v="1524.79"/>
    <n v="4637.13"/>
    <n v="3.73"/>
    <n v="5.32"/>
    <n v="43.57"/>
    <n v="3.04"/>
    <n v="3112.34"/>
  </r>
  <r>
    <x v="156"/>
    <s v="Instagram Ads"/>
    <s v="Product Launch"/>
    <s v="Add-on Service"/>
    <n v="18111"/>
    <n v="489"/>
    <n v="35"/>
    <n v="819.55"/>
    <n v="4340.49"/>
    <n v="2.7"/>
    <n v="7.16"/>
    <n v="23.42"/>
    <n v="5.3"/>
    <n v="3520.94"/>
  </r>
  <r>
    <x v="156"/>
    <s v="LinkedIn Ads"/>
    <s v="Product Launch"/>
    <s v="Add-on Service"/>
    <n v="4418"/>
    <n v="72"/>
    <n v="9"/>
    <n v="2505.2600000000002"/>
    <n v="2892.98"/>
    <n v="1.63"/>
    <n v="12.5"/>
    <n v="278.36"/>
    <n v="1.1499999999999999"/>
    <n v="387.72"/>
  </r>
  <r>
    <x v="156"/>
    <s v="Email Marketing"/>
    <s v="Lead Generation"/>
    <s v="Starter Kit"/>
    <n v="25097"/>
    <n v="5994"/>
    <n v="730"/>
    <n v="349.69"/>
    <n v="110530.21"/>
    <n v="23.88"/>
    <n v="12.18"/>
    <n v="0.48"/>
    <n v="316.08"/>
    <n v="110180.52"/>
  </r>
  <r>
    <x v="156"/>
    <s v="Organic Search"/>
    <s v="Product Launch"/>
    <s v="Add-on Service"/>
    <n v="36601"/>
    <n v="2069"/>
    <n v="303"/>
    <n v="0"/>
    <n v="31837.87"/>
    <n v="5.65"/>
    <n v="14.64"/>
    <n v="0"/>
    <n v="0"/>
    <n v="31837.87"/>
  </r>
  <r>
    <x v="156"/>
    <s v="Display Ads"/>
    <s v="Retargeting"/>
    <s v="Basic Plan"/>
    <n v="37524"/>
    <n v="737"/>
    <n v="32"/>
    <n v="1157.2"/>
    <n v="3556.02"/>
    <n v="1.96"/>
    <n v="4.34"/>
    <n v="36.159999999999997"/>
    <n v="3.07"/>
    <n v="2398.8200000000002"/>
  </r>
  <r>
    <x v="156"/>
    <s v="YouTube Ads"/>
    <s v="Flash Sale"/>
    <s v="Add-on Service"/>
    <n v="24131"/>
    <n v="623"/>
    <n v="43"/>
    <n v="1579.56"/>
    <n v="4337.3599999999997"/>
    <n v="2.58"/>
    <n v="6.9"/>
    <n v="36.729999999999997"/>
    <n v="2.75"/>
    <n v="2757.8"/>
  </r>
  <r>
    <x v="156"/>
    <s v="Twitter Ads"/>
    <s v="Lead Generation"/>
    <s v="Basic Plan"/>
    <n v="19469"/>
    <n v="565"/>
    <n v="23"/>
    <n v="915.65"/>
    <n v="2725.56"/>
    <n v="2.9"/>
    <n v="4.07"/>
    <n v="39.81"/>
    <n v="2.98"/>
    <n v="1809.91"/>
  </r>
  <r>
    <x v="156"/>
    <s v="TikTok Ads"/>
    <s v="Brand Awareness"/>
    <s v="Starter Kit"/>
    <n v="26133"/>
    <n v="946"/>
    <n v="32"/>
    <n v="1102.56"/>
    <n v="2711.76"/>
    <n v="3.62"/>
    <n v="3.38"/>
    <n v="34.46"/>
    <n v="2.46"/>
    <n v="1609.2"/>
  </r>
  <r>
    <x v="156"/>
    <s v="Affiliate Marketing"/>
    <s v="Brand Awareness"/>
    <s v="Basic Plan"/>
    <n v="7459"/>
    <n v="338"/>
    <n v="37"/>
    <n v="427.48"/>
    <n v="5091.34"/>
    <n v="4.53"/>
    <n v="10.95"/>
    <n v="11.55"/>
    <n v="11.91"/>
    <n v="4663.8599999999997"/>
  </r>
  <r>
    <x v="156"/>
    <s v="Referral"/>
    <s v="Seasonal Promotion"/>
    <s v="Enterprise Plan"/>
    <n v="7154"/>
    <n v="659"/>
    <n v="88"/>
    <n v="249.72"/>
    <n v="12652.11"/>
    <n v="9.2100000000000009"/>
    <n v="13.35"/>
    <n v="2.84"/>
    <n v="50.67"/>
    <n v="12402.39"/>
  </r>
  <r>
    <x v="157"/>
    <s v="Google Ads"/>
    <s v="Flash Sale"/>
    <s v="Premium Plan"/>
    <n v="18481"/>
    <n v="852"/>
    <n v="95"/>
    <n v="1324.46"/>
    <n v="11808.18"/>
    <n v="4.6100000000000003"/>
    <n v="11.15"/>
    <n v="13.94"/>
    <n v="8.92"/>
    <n v="10483.719999999999"/>
  </r>
  <r>
    <x v="157"/>
    <s v="Facebook Ads"/>
    <s v="Product Launch"/>
    <s v="Premium Plan"/>
    <n v="17417"/>
    <n v="609"/>
    <n v="32"/>
    <n v="1101.8499999999999"/>
    <n v="3618.26"/>
    <n v="3.5"/>
    <n v="5.25"/>
    <n v="34.43"/>
    <n v="3.28"/>
    <n v="2516.41"/>
  </r>
  <r>
    <x v="157"/>
    <s v="Instagram Ads"/>
    <s v="Flash Sale"/>
    <s v="Starter Kit"/>
    <n v="18830"/>
    <n v="546"/>
    <n v="36"/>
    <n v="850.51"/>
    <n v="4016.03"/>
    <n v="2.9"/>
    <n v="6.59"/>
    <n v="23.63"/>
    <n v="4.72"/>
    <n v="3165.52"/>
  </r>
  <r>
    <x v="157"/>
    <s v="LinkedIn Ads"/>
    <s v="Flash Sale"/>
    <s v="Enterprise Plan"/>
    <n v="4719"/>
    <n v="107"/>
    <n v="11"/>
    <n v="1544.97"/>
    <n v="2702.42"/>
    <n v="2.27"/>
    <n v="10.28"/>
    <n v="140.44999999999999"/>
    <n v="1.75"/>
    <n v="1157.45"/>
  </r>
  <r>
    <x v="157"/>
    <s v="Email Marketing"/>
    <s v="Brand Awareness"/>
    <s v="Basic Plan"/>
    <n v="26698"/>
    <n v="5348"/>
    <n v="487"/>
    <n v="204.79"/>
    <n v="75725.97"/>
    <n v="20.03"/>
    <n v="9.11"/>
    <n v="0.42"/>
    <n v="369.77"/>
    <n v="75521.179999999993"/>
  </r>
  <r>
    <x v="157"/>
    <s v="Organic Search"/>
    <s v="Seasonal Promotion"/>
    <s v="Basic Plan"/>
    <n v="48294"/>
    <n v="3618"/>
    <n v="463"/>
    <n v="0"/>
    <n v="62163.42"/>
    <n v="7.49"/>
    <n v="12.8"/>
    <n v="0"/>
    <n v="0"/>
    <n v="62163.42"/>
  </r>
  <r>
    <x v="157"/>
    <s v="Display Ads"/>
    <s v="Retargeting"/>
    <s v="Starter Kit"/>
    <n v="40892"/>
    <n v="448"/>
    <n v="14"/>
    <n v="1788.11"/>
    <n v="1607.7"/>
    <n v="1.1000000000000001"/>
    <n v="3.12"/>
    <n v="127.72"/>
    <n v="0.9"/>
    <n v="-180.41"/>
  </r>
  <r>
    <x v="157"/>
    <s v="YouTube Ads"/>
    <s v="Brand Awareness"/>
    <s v="Basic Plan"/>
    <n v="28026"/>
    <n v="557"/>
    <n v="42"/>
    <n v="1270.5999999999999"/>
    <n v="5430.32"/>
    <n v="1.99"/>
    <n v="7.54"/>
    <n v="30.25"/>
    <n v="4.2699999999999996"/>
    <n v="4159.72"/>
  </r>
  <r>
    <x v="157"/>
    <s v="Twitter Ads"/>
    <s v="Flash Sale"/>
    <s v="Enterprise Plan"/>
    <n v="14134"/>
    <n v="456"/>
    <n v="15"/>
    <n v="997.05"/>
    <n v="1071.6199999999999"/>
    <n v="3.23"/>
    <n v="3.29"/>
    <n v="66.47"/>
    <n v="1.07"/>
    <n v="74.569999999999993"/>
  </r>
  <r>
    <x v="157"/>
    <s v="TikTok Ads"/>
    <s v="Brand Awareness"/>
    <s v="Premium Plan"/>
    <n v="27216"/>
    <n v="817"/>
    <n v="26"/>
    <n v="1347.23"/>
    <n v="1967.97"/>
    <n v="3"/>
    <n v="3.18"/>
    <n v="51.82"/>
    <n v="1.46"/>
    <n v="620.74"/>
  </r>
  <r>
    <x v="157"/>
    <s v="Affiliate Marketing"/>
    <s v="Lead Generation"/>
    <s v="Add-on Service"/>
    <n v="8570"/>
    <n v="484"/>
    <n v="57"/>
    <n v="939.16"/>
    <n v="7108.95"/>
    <n v="5.65"/>
    <n v="11.78"/>
    <n v="16.48"/>
    <n v="7.57"/>
    <n v="6169.79"/>
  </r>
  <r>
    <x v="157"/>
    <s v="Referral"/>
    <s v="Retargeting"/>
    <s v="Enterprise Plan"/>
    <n v="4326"/>
    <n v="249"/>
    <n v="40"/>
    <n v="186.64"/>
    <n v="6898.98"/>
    <n v="5.76"/>
    <n v="16.059999999999999"/>
    <n v="4.67"/>
    <n v="36.96"/>
    <n v="6712.34"/>
  </r>
  <r>
    <x v="158"/>
    <s v="Google Ads"/>
    <s v="Retargeting"/>
    <s v="Premium Plan"/>
    <n v="16584"/>
    <n v="725"/>
    <n v="67"/>
    <n v="1563.34"/>
    <n v="11228.86"/>
    <n v="4.37"/>
    <n v="9.24"/>
    <n v="23.33"/>
    <n v="7.18"/>
    <n v="9665.52"/>
  </r>
  <r>
    <x v="158"/>
    <s v="Facebook Ads"/>
    <s v="Seasonal Promotion"/>
    <s v="Premium Plan"/>
    <n v="25762"/>
    <n v="582"/>
    <n v="33"/>
    <n v="957.46"/>
    <n v="3524.66"/>
    <n v="2.2599999999999998"/>
    <n v="5.67"/>
    <n v="29.01"/>
    <n v="3.68"/>
    <n v="2567.1999999999998"/>
  </r>
  <r>
    <x v="158"/>
    <s v="Instagram Ads"/>
    <s v="Seasonal Promotion"/>
    <s v="Basic Plan"/>
    <n v="20654"/>
    <n v="793"/>
    <n v="47"/>
    <n v="1081.9100000000001"/>
    <n v="5361.93"/>
    <n v="3.84"/>
    <n v="5.93"/>
    <n v="23.02"/>
    <n v="4.96"/>
    <n v="4280.0200000000004"/>
  </r>
  <r>
    <x v="158"/>
    <s v="LinkedIn Ads"/>
    <s v="Flash Sale"/>
    <s v="Starter Kit"/>
    <n v="5607"/>
    <n v="154"/>
    <n v="22"/>
    <n v="2343.62"/>
    <n v="6792.23"/>
    <n v="2.75"/>
    <n v="14.29"/>
    <n v="106.53"/>
    <n v="2.9"/>
    <n v="4448.6099999999997"/>
  </r>
  <r>
    <x v="158"/>
    <s v="Email Marketing"/>
    <s v="Brand Awareness"/>
    <s v="Add-on Service"/>
    <n v="28373"/>
    <n v="6651"/>
    <n v="602"/>
    <n v="306.02"/>
    <n v="82127.31"/>
    <n v="23.44"/>
    <n v="9.0500000000000007"/>
    <n v="0.51"/>
    <n v="268.37"/>
    <n v="81821.289999999994"/>
  </r>
  <r>
    <x v="158"/>
    <s v="Organic Search"/>
    <s v="Seasonal Promotion"/>
    <s v="Premium Plan"/>
    <n v="39139"/>
    <n v="1612"/>
    <n v="217"/>
    <n v="0"/>
    <n v="22830.83"/>
    <n v="4.12"/>
    <n v="13.46"/>
    <n v="0"/>
    <n v="0"/>
    <n v="22830.83"/>
  </r>
  <r>
    <x v="158"/>
    <s v="Display Ads"/>
    <s v="Retargeting"/>
    <s v="Basic Plan"/>
    <n v="51101"/>
    <n v="672"/>
    <n v="19"/>
    <n v="1409.68"/>
    <n v="2563.17"/>
    <n v="1.32"/>
    <n v="2.83"/>
    <n v="74.19"/>
    <n v="1.82"/>
    <n v="1153.49"/>
  </r>
  <r>
    <x v="158"/>
    <s v="YouTube Ads"/>
    <s v="Lead Generation"/>
    <s v="Enterprise Plan"/>
    <n v="27206"/>
    <n v="743"/>
    <n v="42"/>
    <n v="1742.15"/>
    <n v="5084.55"/>
    <n v="2.73"/>
    <n v="5.65"/>
    <n v="41.48"/>
    <n v="2.92"/>
    <n v="3342.4"/>
  </r>
  <r>
    <x v="158"/>
    <s v="Twitter Ads"/>
    <s v="Product Launch"/>
    <s v="Enterprise Plan"/>
    <n v="12787"/>
    <n v="362"/>
    <n v="19"/>
    <n v="571.05999999999995"/>
    <n v="1650.18"/>
    <n v="2.83"/>
    <n v="5.25"/>
    <n v="30.06"/>
    <n v="2.89"/>
    <n v="1079.1199999999999"/>
  </r>
  <r>
    <x v="158"/>
    <s v="TikTok Ads"/>
    <s v="Retargeting"/>
    <s v="Enterprise Plan"/>
    <n v="38264"/>
    <n v="1607"/>
    <n v="109"/>
    <n v="883.48"/>
    <n v="8987.08"/>
    <n v="4.2"/>
    <n v="6.78"/>
    <n v="8.11"/>
    <n v="10.17"/>
    <n v="8103.6"/>
  </r>
  <r>
    <x v="158"/>
    <s v="Affiliate Marketing"/>
    <s v="Product Launch"/>
    <s v="Starter Kit"/>
    <n v="9469"/>
    <n v="446"/>
    <n v="56"/>
    <n v="672.24"/>
    <n v="7273.79"/>
    <n v="4.71"/>
    <n v="12.56"/>
    <n v="12"/>
    <n v="10.82"/>
    <n v="6601.55"/>
  </r>
  <r>
    <x v="158"/>
    <s v="Referral"/>
    <s v="Product Launch"/>
    <s v="Basic Plan"/>
    <n v="7856"/>
    <n v="579"/>
    <n v="91"/>
    <n v="136.18"/>
    <n v="14691.98"/>
    <n v="7.37"/>
    <n v="15.72"/>
    <n v="1.5"/>
    <n v="107.89"/>
    <n v="14555.8"/>
  </r>
  <r>
    <x v="159"/>
    <s v="Google Ads"/>
    <s v="Brand Awareness"/>
    <s v="Basic Plan"/>
    <n v="8617"/>
    <n v="317"/>
    <n v="25"/>
    <n v="810.15"/>
    <n v="4035.5"/>
    <n v="3.68"/>
    <n v="7.89"/>
    <n v="32.409999999999997"/>
    <n v="4.9800000000000004"/>
    <n v="3225.35"/>
  </r>
  <r>
    <x v="159"/>
    <s v="Facebook Ads"/>
    <s v="Lead Generation"/>
    <s v="Add-on Service"/>
    <n v="14273"/>
    <n v="394"/>
    <n v="21"/>
    <n v="897.97"/>
    <n v="2152.4699999999998"/>
    <n v="2.76"/>
    <n v="5.33"/>
    <n v="42.76"/>
    <n v="2.4"/>
    <n v="1254.5"/>
  </r>
  <r>
    <x v="159"/>
    <s v="Instagram Ads"/>
    <s v="Brand Awareness"/>
    <s v="Basic Plan"/>
    <n v="11657"/>
    <n v="345"/>
    <n v="27"/>
    <n v="880.22"/>
    <n v="2781.37"/>
    <n v="2.96"/>
    <n v="7.83"/>
    <n v="32.6"/>
    <n v="3.16"/>
    <n v="1901.15"/>
  </r>
  <r>
    <x v="159"/>
    <s v="LinkedIn Ads"/>
    <s v="Brand Awareness"/>
    <s v="Basic Plan"/>
    <n v="5252"/>
    <n v="122"/>
    <n v="16"/>
    <n v="1471.48"/>
    <n v="4446.7299999999996"/>
    <n v="2.3199999999999998"/>
    <n v="13.11"/>
    <n v="91.97"/>
    <n v="3.02"/>
    <n v="2975.25"/>
  </r>
  <r>
    <x v="159"/>
    <s v="Email Marketing"/>
    <s v="Retargeting"/>
    <s v="Starter Kit"/>
    <n v="15888"/>
    <n v="2819"/>
    <n v="238"/>
    <n v="250.88"/>
    <n v="28964.799999999999"/>
    <n v="17.739999999999998"/>
    <n v="8.44"/>
    <n v="1.05"/>
    <n v="115.45"/>
    <n v="28713.919999999998"/>
  </r>
  <r>
    <x v="159"/>
    <s v="Organic Search"/>
    <s v="Product Launch"/>
    <s v="Starter Kit"/>
    <n v="25943"/>
    <n v="1322"/>
    <n v="166"/>
    <n v="0"/>
    <n v="20449.48"/>
    <n v="5.0999999999999996"/>
    <n v="12.56"/>
    <n v="0"/>
    <n v="0"/>
    <n v="20449.48"/>
  </r>
  <r>
    <x v="159"/>
    <s v="Display Ads"/>
    <s v="Brand Awareness"/>
    <s v="Add-on Service"/>
    <n v="31409"/>
    <n v="605"/>
    <n v="17"/>
    <n v="1035.77"/>
    <n v="1732.3"/>
    <n v="1.93"/>
    <n v="2.81"/>
    <n v="60.93"/>
    <n v="1.67"/>
    <n v="696.53"/>
  </r>
  <r>
    <x v="159"/>
    <s v="YouTube Ads"/>
    <s v="Product Launch"/>
    <s v="Basic Plan"/>
    <n v="18886"/>
    <n v="288"/>
    <n v="20"/>
    <n v="1218.9000000000001"/>
    <n v="1927.94"/>
    <n v="1.52"/>
    <n v="6.94"/>
    <n v="60.95"/>
    <n v="1.58"/>
    <n v="709.04"/>
  </r>
  <r>
    <x v="159"/>
    <s v="Twitter Ads"/>
    <s v="Retargeting"/>
    <s v="Enterprise Plan"/>
    <n v="11009"/>
    <n v="285"/>
    <n v="13"/>
    <n v="606.22"/>
    <n v="1231.43"/>
    <n v="2.59"/>
    <n v="4.5599999999999996"/>
    <n v="46.63"/>
    <n v="2.0299999999999998"/>
    <n v="625.21"/>
  </r>
  <r>
    <x v="159"/>
    <s v="TikTok Ads"/>
    <s v="Retargeting"/>
    <s v="Enterprise Plan"/>
    <n v="18220"/>
    <n v="799"/>
    <n v="51"/>
    <n v="687.03"/>
    <n v="5375.22"/>
    <n v="4.3899999999999997"/>
    <n v="6.38"/>
    <n v="13.47"/>
    <n v="7.82"/>
    <n v="4688.1899999999996"/>
  </r>
  <r>
    <x v="159"/>
    <s v="Affiliate Marketing"/>
    <s v="Brand Awareness"/>
    <s v="Premium Plan"/>
    <n v="8268"/>
    <n v="422"/>
    <n v="41"/>
    <n v="646.39"/>
    <n v="5761.16"/>
    <n v="5.0999999999999996"/>
    <n v="9.7200000000000006"/>
    <n v="15.77"/>
    <n v="8.91"/>
    <n v="5114.7700000000004"/>
  </r>
  <r>
    <x v="159"/>
    <s v="Referral"/>
    <s v="Lead Generation"/>
    <s v="Enterprise Plan"/>
    <n v="5537"/>
    <n v="330"/>
    <n v="41"/>
    <n v="188.59"/>
    <n v="6039.76"/>
    <n v="5.96"/>
    <n v="12.42"/>
    <n v="4.5999999999999996"/>
    <n v="32.03"/>
    <n v="5851.17"/>
  </r>
  <r>
    <x v="160"/>
    <s v="Google Ads"/>
    <s v="Flash Sale"/>
    <s v="Add-on Service"/>
    <n v="11934"/>
    <n v="457"/>
    <n v="53"/>
    <n v="864.46"/>
    <n v="8355.81"/>
    <n v="3.83"/>
    <n v="11.6"/>
    <n v="16.309999999999999"/>
    <n v="9.67"/>
    <n v="7491.35"/>
  </r>
  <r>
    <x v="160"/>
    <s v="Facebook Ads"/>
    <s v="Brand Awareness"/>
    <s v="Basic Plan"/>
    <n v="12867"/>
    <n v="381"/>
    <n v="24"/>
    <n v="1120.51"/>
    <n v="3428.12"/>
    <n v="2.96"/>
    <n v="6.3"/>
    <n v="46.69"/>
    <n v="3.06"/>
    <n v="2307.61"/>
  </r>
  <r>
    <x v="160"/>
    <s v="Instagram Ads"/>
    <s v="Product Launch"/>
    <s v="Basic Plan"/>
    <n v="10007"/>
    <n v="256"/>
    <n v="11"/>
    <n v="757.65"/>
    <n v="1180.74"/>
    <n v="2.56"/>
    <n v="4.3"/>
    <n v="68.88"/>
    <n v="1.56"/>
    <n v="423.09"/>
  </r>
  <r>
    <x v="160"/>
    <s v="LinkedIn Ads"/>
    <s v="Brand Awareness"/>
    <s v="Basic Plan"/>
    <n v="5231"/>
    <n v="96"/>
    <n v="11"/>
    <n v="1271.75"/>
    <n v="2685.91"/>
    <n v="1.84"/>
    <n v="11.46"/>
    <n v="115.61"/>
    <n v="2.11"/>
    <n v="1414.16"/>
  </r>
  <r>
    <x v="160"/>
    <s v="Email Marketing"/>
    <s v="Product Launch"/>
    <s v="Starter Kit"/>
    <n v="18009"/>
    <n v="4408"/>
    <n v="417"/>
    <n v="178.95"/>
    <n v="63468.5"/>
    <n v="24.48"/>
    <n v="9.4600000000000009"/>
    <n v="0.43"/>
    <n v="354.67"/>
    <n v="63289.55"/>
  </r>
  <r>
    <x v="160"/>
    <s v="Organic Search"/>
    <s v="Seasonal Promotion"/>
    <s v="Premium Plan"/>
    <n v="20594"/>
    <n v="1012"/>
    <n v="126"/>
    <n v="0"/>
    <n v="17626.32"/>
    <n v="4.91"/>
    <n v="12.45"/>
    <n v="0"/>
    <n v="0"/>
    <n v="17626.32"/>
  </r>
  <r>
    <x v="160"/>
    <s v="Display Ads"/>
    <s v="Flash Sale"/>
    <s v="Enterprise Plan"/>
    <n v="37696"/>
    <n v="546"/>
    <n v="23"/>
    <n v="1123.3499999999999"/>
    <n v="2306.84"/>
    <n v="1.45"/>
    <n v="4.21"/>
    <n v="48.84"/>
    <n v="2.0499999999999998"/>
    <n v="1183.49"/>
  </r>
  <r>
    <x v="160"/>
    <s v="YouTube Ads"/>
    <s v="Product Launch"/>
    <s v="Basic Plan"/>
    <n v="22431"/>
    <n v="544"/>
    <n v="36"/>
    <n v="1092.8699999999999"/>
    <n v="5108.1099999999997"/>
    <n v="2.4300000000000002"/>
    <n v="6.62"/>
    <n v="30.36"/>
    <n v="4.67"/>
    <n v="4015.24"/>
  </r>
  <r>
    <x v="160"/>
    <s v="Twitter Ads"/>
    <s v="Brand Awareness"/>
    <s v="Starter Kit"/>
    <n v="10709"/>
    <n v="330"/>
    <n v="9"/>
    <n v="517.80999999999995"/>
    <n v="911.58"/>
    <n v="3.08"/>
    <n v="2.73"/>
    <n v="57.53"/>
    <n v="1.76"/>
    <n v="393.77"/>
  </r>
  <r>
    <x v="160"/>
    <s v="TikTok Ads"/>
    <s v="Retargeting"/>
    <s v="Add-on Service"/>
    <n v="29238"/>
    <n v="1197"/>
    <n v="56"/>
    <n v="1071.8"/>
    <n v="4097.79"/>
    <n v="4.09"/>
    <n v="4.68"/>
    <n v="19.14"/>
    <n v="3.82"/>
    <n v="3025.99"/>
  </r>
  <r>
    <x v="160"/>
    <s v="Affiliate Marketing"/>
    <s v="Flash Sale"/>
    <s v="Add-on Service"/>
    <n v="7228"/>
    <n v="444"/>
    <n v="52"/>
    <n v="574.34"/>
    <n v="7156.15"/>
    <n v="6.14"/>
    <n v="11.71"/>
    <n v="11.04"/>
    <n v="12.46"/>
    <n v="6581.81"/>
  </r>
  <r>
    <x v="160"/>
    <s v="Referral"/>
    <s v="Lead Generation"/>
    <s v="Premium Plan"/>
    <n v="6074"/>
    <n v="503"/>
    <n v="82"/>
    <n v="168.95"/>
    <n v="12467.31"/>
    <n v="8.2799999999999994"/>
    <n v="16.3"/>
    <n v="2.06"/>
    <n v="73.790000000000006"/>
    <n v="12298.36"/>
  </r>
  <r>
    <x v="161"/>
    <s v="Google Ads"/>
    <s v="Retargeting"/>
    <s v="Premium Plan"/>
    <n v="13209"/>
    <n v="599"/>
    <n v="58"/>
    <n v="1300.58"/>
    <n v="7927.57"/>
    <n v="4.53"/>
    <n v="9.68"/>
    <n v="22.42"/>
    <n v="6.1"/>
    <n v="6626.99"/>
  </r>
  <r>
    <x v="161"/>
    <s v="Facebook Ads"/>
    <s v="Lead Generation"/>
    <s v="Premium Plan"/>
    <n v="23417"/>
    <n v="768"/>
    <n v="42"/>
    <n v="1344.7"/>
    <n v="4852.16"/>
    <n v="3.28"/>
    <n v="5.47"/>
    <n v="32.020000000000003"/>
    <n v="3.61"/>
    <n v="3507.46"/>
  </r>
  <r>
    <x v="161"/>
    <s v="Instagram Ads"/>
    <s v="Brand Awareness"/>
    <s v="Premium Plan"/>
    <n v="23228"/>
    <n v="942"/>
    <n v="53"/>
    <n v="1310.27"/>
    <n v="4296.62"/>
    <n v="4.0599999999999996"/>
    <n v="5.63"/>
    <n v="24.72"/>
    <n v="3.28"/>
    <n v="2986.35"/>
  </r>
  <r>
    <x v="161"/>
    <s v="LinkedIn Ads"/>
    <s v="Lead Generation"/>
    <s v="Basic Plan"/>
    <n v="6676"/>
    <n v="147"/>
    <n v="19"/>
    <n v="1836.34"/>
    <n v="4603.3999999999996"/>
    <n v="2.2000000000000002"/>
    <n v="12.93"/>
    <n v="96.65"/>
    <n v="2.5099999999999998"/>
    <n v="2767.06"/>
  </r>
  <r>
    <x v="161"/>
    <s v="Email Marketing"/>
    <s v="Lead Generation"/>
    <s v="Starter Kit"/>
    <n v="34671"/>
    <n v="7207"/>
    <n v="704"/>
    <n v="220.7"/>
    <n v="86617.95"/>
    <n v="20.79"/>
    <n v="9.77"/>
    <n v="0.31"/>
    <n v="392.47"/>
    <n v="86397.25"/>
  </r>
  <r>
    <x v="161"/>
    <s v="Organic Search"/>
    <s v="Product Launch"/>
    <s v="Premium Plan"/>
    <n v="29523"/>
    <n v="1481"/>
    <n v="156"/>
    <n v="0"/>
    <n v="15943.43"/>
    <n v="5.0199999999999996"/>
    <n v="10.53"/>
    <n v="0"/>
    <n v="0"/>
    <n v="15943.43"/>
  </r>
  <r>
    <x v="161"/>
    <s v="Display Ads"/>
    <s v="Seasonal Promotion"/>
    <s v="Add-on Service"/>
    <n v="41195"/>
    <n v="742"/>
    <n v="25"/>
    <n v="1404.34"/>
    <n v="2276.2399999999998"/>
    <n v="1.8"/>
    <n v="3.37"/>
    <n v="56.17"/>
    <n v="1.62"/>
    <n v="871.9"/>
  </r>
  <r>
    <x v="161"/>
    <s v="YouTube Ads"/>
    <s v="Product Launch"/>
    <s v="Premium Plan"/>
    <n v="31126"/>
    <n v="550"/>
    <n v="22"/>
    <n v="1381.3"/>
    <n v="2921.87"/>
    <n v="1.77"/>
    <n v="4"/>
    <n v="62.79"/>
    <n v="2.12"/>
    <n v="1540.57"/>
  </r>
  <r>
    <x v="161"/>
    <s v="Twitter Ads"/>
    <s v="Brand Awareness"/>
    <s v="Premium Plan"/>
    <n v="18097"/>
    <n v="480"/>
    <n v="18"/>
    <n v="1072.31"/>
    <n v="1983.84"/>
    <n v="2.65"/>
    <n v="3.75"/>
    <n v="59.57"/>
    <n v="1.85"/>
    <n v="911.53"/>
  </r>
  <r>
    <x v="161"/>
    <s v="TikTok Ads"/>
    <s v="Lead Generation"/>
    <s v="Starter Kit"/>
    <n v="37203"/>
    <n v="1192"/>
    <n v="70"/>
    <n v="1315.62"/>
    <n v="6884.96"/>
    <n v="3.2"/>
    <n v="5.87"/>
    <n v="18.79"/>
    <n v="5.23"/>
    <n v="5569.34"/>
  </r>
  <r>
    <x v="161"/>
    <s v="Affiliate Marketing"/>
    <s v="Lead Generation"/>
    <s v="Premium Plan"/>
    <n v="7919"/>
    <n v="461"/>
    <n v="46"/>
    <n v="612.55999999999995"/>
    <n v="5842.34"/>
    <n v="5.82"/>
    <n v="9.98"/>
    <n v="13.32"/>
    <n v="9.5399999999999991"/>
    <n v="5229.78"/>
  </r>
  <r>
    <x v="161"/>
    <s v="Referral"/>
    <s v="Product Launch"/>
    <s v="Premium Plan"/>
    <n v="7656"/>
    <n v="401"/>
    <n v="50"/>
    <n v="104.68"/>
    <n v="7447.23"/>
    <n v="5.24"/>
    <n v="12.47"/>
    <n v="2.09"/>
    <n v="71.14"/>
    <n v="7342.55"/>
  </r>
  <r>
    <x v="162"/>
    <s v="Google Ads"/>
    <s v="Brand Awareness"/>
    <s v="Starter Kit"/>
    <n v="20848"/>
    <n v="914"/>
    <n v="85"/>
    <n v="1581.44"/>
    <n v="10745.55"/>
    <n v="4.38"/>
    <n v="9.3000000000000007"/>
    <n v="18.61"/>
    <n v="6.79"/>
    <n v="9164.11"/>
  </r>
  <r>
    <x v="162"/>
    <s v="Facebook Ads"/>
    <s v="Brand Awareness"/>
    <s v="Basic Plan"/>
    <n v="22223"/>
    <n v="543"/>
    <n v="36"/>
    <n v="1239.6099999999999"/>
    <n v="5338.7"/>
    <n v="2.44"/>
    <n v="6.63"/>
    <n v="34.43"/>
    <n v="4.3099999999999996"/>
    <n v="4099.09"/>
  </r>
  <r>
    <x v="162"/>
    <s v="Instagram Ads"/>
    <s v="Seasonal Promotion"/>
    <s v="Starter Kit"/>
    <n v="20190"/>
    <n v="842"/>
    <n v="51"/>
    <n v="1050.6500000000001"/>
    <n v="4671.8"/>
    <n v="4.17"/>
    <n v="6.06"/>
    <n v="20.6"/>
    <n v="4.45"/>
    <n v="3621.15"/>
  </r>
  <r>
    <x v="162"/>
    <s v="LinkedIn Ads"/>
    <s v="Flash Sale"/>
    <s v="Starter Kit"/>
    <n v="5542"/>
    <n v="124"/>
    <n v="18"/>
    <n v="2005.68"/>
    <n v="3530.42"/>
    <n v="2.2400000000000002"/>
    <n v="14.52"/>
    <n v="111.43"/>
    <n v="1.76"/>
    <n v="1524.74"/>
  </r>
  <r>
    <x v="162"/>
    <s v="Email Marketing"/>
    <s v="Retargeting"/>
    <s v="Premium Plan"/>
    <n v="30361"/>
    <n v="4701"/>
    <n v="489"/>
    <n v="335.97"/>
    <n v="77689.38"/>
    <n v="15.48"/>
    <n v="10.4"/>
    <n v="0.69"/>
    <n v="231.24"/>
    <n v="77353.41"/>
  </r>
  <r>
    <x v="162"/>
    <s v="Organic Search"/>
    <s v="Retargeting"/>
    <s v="Starter Kit"/>
    <n v="36314"/>
    <n v="2777"/>
    <n v="441"/>
    <n v="0"/>
    <n v="44174.99"/>
    <n v="7.65"/>
    <n v="15.88"/>
    <n v="0"/>
    <n v="0"/>
    <n v="44174.99"/>
  </r>
  <r>
    <x v="162"/>
    <s v="Display Ads"/>
    <s v="Lead Generation"/>
    <s v="Enterprise Plan"/>
    <n v="44364"/>
    <n v="709"/>
    <n v="29"/>
    <n v="1694.21"/>
    <n v="2367.5"/>
    <n v="1.6"/>
    <n v="4.09"/>
    <n v="58.42"/>
    <n v="1.4"/>
    <n v="673.29"/>
  </r>
  <r>
    <x v="162"/>
    <s v="YouTube Ads"/>
    <s v="Lead Generation"/>
    <s v="Basic Plan"/>
    <n v="21571"/>
    <n v="424"/>
    <n v="29"/>
    <n v="1460.14"/>
    <n v="3731.2"/>
    <n v="1.97"/>
    <n v="6.84"/>
    <n v="50.35"/>
    <n v="2.56"/>
    <n v="2271.06"/>
  </r>
  <r>
    <x v="162"/>
    <s v="Twitter Ads"/>
    <s v="Product Launch"/>
    <s v="Enterprise Plan"/>
    <n v="15399"/>
    <n v="333"/>
    <n v="18"/>
    <n v="1113.0899999999999"/>
    <n v="1399.83"/>
    <n v="2.16"/>
    <n v="5.41"/>
    <n v="61.84"/>
    <n v="1.26"/>
    <n v="286.74"/>
  </r>
  <r>
    <x v="162"/>
    <s v="TikTok Ads"/>
    <s v="Retargeting"/>
    <s v="Basic Plan"/>
    <n v="40222"/>
    <n v="1073"/>
    <n v="67"/>
    <n v="1315.34"/>
    <n v="5880.1"/>
    <n v="2.67"/>
    <n v="6.24"/>
    <n v="19.63"/>
    <n v="4.47"/>
    <n v="4564.76"/>
  </r>
  <r>
    <x v="162"/>
    <s v="Affiliate Marketing"/>
    <s v="Brand Awareness"/>
    <s v="Add-on Service"/>
    <n v="8559"/>
    <n v="536"/>
    <n v="68"/>
    <n v="457.32"/>
    <n v="8454.1"/>
    <n v="6.26"/>
    <n v="12.69"/>
    <n v="6.73"/>
    <n v="18.489999999999998"/>
    <n v="7996.78"/>
  </r>
  <r>
    <x v="162"/>
    <s v="Referral"/>
    <s v="Seasonal Promotion"/>
    <s v="Add-on Service"/>
    <n v="8405"/>
    <n v="691"/>
    <n v="114"/>
    <n v="105.39"/>
    <n v="19024.62"/>
    <n v="8.2200000000000006"/>
    <n v="16.5"/>
    <n v="0.92"/>
    <n v="180.52"/>
    <n v="18919.23"/>
  </r>
  <r>
    <x v="163"/>
    <s v="Google Ads"/>
    <s v="Lead Generation"/>
    <s v="Enterprise Plan"/>
    <n v="17819"/>
    <n v="599"/>
    <n v="53"/>
    <n v="1502.09"/>
    <n v="10274.030000000001"/>
    <n v="3.36"/>
    <n v="8.85"/>
    <n v="28.34"/>
    <n v="6.84"/>
    <n v="8771.94"/>
  </r>
  <r>
    <x v="163"/>
    <s v="Facebook Ads"/>
    <s v="Retargeting"/>
    <s v="Starter Kit"/>
    <n v="25530"/>
    <n v="814"/>
    <n v="62"/>
    <n v="1095.69"/>
    <n v="8149.3"/>
    <n v="3.19"/>
    <n v="7.62"/>
    <n v="17.670000000000002"/>
    <n v="7.44"/>
    <n v="7053.61"/>
  </r>
  <r>
    <x v="163"/>
    <s v="Instagram Ads"/>
    <s v="Seasonal Promotion"/>
    <s v="Starter Kit"/>
    <n v="24266"/>
    <n v="806"/>
    <n v="36"/>
    <n v="782.73"/>
    <n v="3017.65"/>
    <n v="3.32"/>
    <n v="4.47"/>
    <n v="21.74"/>
    <n v="3.86"/>
    <n v="2234.92"/>
  </r>
  <r>
    <x v="163"/>
    <s v="LinkedIn Ads"/>
    <s v="Brand Awareness"/>
    <s v="Premium Plan"/>
    <n v="7571"/>
    <n v="184"/>
    <n v="21"/>
    <n v="1716.85"/>
    <n v="5833.17"/>
    <n v="2.4300000000000002"/>
    <n v="11.41"/>
    <n v="81.75"/>
    <n v="3.4"/>
    <n v="4116.32"/>
  </r>
  <r>
    <x v="163"/>
    <s v="Email Marketing"/>
    <s v="Product Launch"/>
    <s v="Starter Kit"/>
    <n v="26089"/>
    <n v="5136"/>
    <n v="485"/>
    <n v="403.6"/>
    <n v="58523.68"/>
    <n v="19.690000000000001"/>
    <n v="9.44"/>
    <n v="0.83"/>
    <n v="145"/>
    <n v="58120.08"/>
  </r>
  <r>
    <x v="163"/>
    <s v="Organic Search"/>
    <s v="Lead Generation"/>
    <s v="Starter Kit"/>
    <n v="35610"/>
    <n v="1667"/>
    <n v="218"/>
    <n v="0"/>
    <n v="25619.71"/>
    <n v="4.68"/>
    <n v="13.08"/>
    <n v="0"/>
    <n v="0"/>
    <n v="25619.71"/>
  </r>
  <r>
    <x v="163"/>
    <s v="Display Ads"/>
    <s v="Lead Generation"/>
    <s v="Add-on Service"/>
    <n v="43993"/>
    <n v="709"/>
    <n v="32"/>
    <n v="1168.1199999999999"/>
    <n v="3793.36"/>
    <n v="1.61"/>
    <n v="4.51"/>
    <n v="36.5"/>
    <n v="3.25"/>
    <n v="2625.24"/>
  </r>
  <r>
    <x v="163"/>
    <s v="YouTube Ads"/>
    <s v="Lead Generation"/>
    <s v="Add-on Service"/>
    <n v="27603"/>
    <n v="754"/>
    <n v="57"/>
    <n v="1185.5899999999999"/>
    <n v="8115.28"/>
    <n v="2.73"/>
    <n v="7.56"/>
    <n v="20.8"/>
    <n v="6.84"/>
    <n v="6929.69"/>
  </r>
  <r>
    <x v="163"/>
    <s v="Twitter Ads"/>
    <s v="Brand Awareness"/>
    <s v="Starter Kit"/>
    <n v="16134"/>
    <n v="539"/>
    <n v="26"/>
    <n v="898.22"/>
    <n v="2099.65"/>
    <n v="3.34"/>
    <n v="4.82"/>
    <n v="34.549999999999997"/>
    <n v="2.34"/>
    <n v="1201.43"/>
  </r>
  <r>
    <x v="163"/>
    <s v="TikTok Ads"/>
    <s v="Flash Sale"/>
    <s v="Enterprise Plan"/>
    <n v="31581"/>
    <n v="1419"/>
    <n v="81"/>
    <n v="1082.6500000000001"/>
    <n v="9025.14"/>
    <n v="4.49"/>
    <n v="5.71"/>
    <n v="13.37"/>
    <n v="8.34"/>
    <n v="7942.49"/>
  </r>
  <r>
    <x v="163"/>
    <s v="Affiliate Marketing"/>
    <s v="Retargeting"/>
    <s v="Add-on Service"/>
    <n v="9966"/>
    <n v="662"/>
    <n v="57"/>
    <n v="877.07"/>
    <n v="8305.4500000000007"/>
    <n v="6.64"/>
    <n v="8.61"/>
    <n v="15.39"/>
    <n v="9.4700000000000006"/>
    <n v="7428.38"/>
  </r>
  <r>
    <x v="163"/>
    <s v="Referral"/>
    <s v="Retargeting"/>
    <s v="Enterprise Plan"/>
    <n v="6162"/>
    <n v="604"/>
    <n v="77"/>
    <n v="74.81"/>
    <n v="12198.33"/>
    <n v="9.8000000000000007"/>
    <n v="12.75"/>
    <n v="0.97"/>
    <n v="163.06"/>
    <n v="12123.52"/>
  </r>
  <r>
    <x v="164"/>
    <s v="Google Ads"/>
    <s v="Seasonal Promotion"/>
    <s v="Add-on Service"/>
    <n v="18211"/>
    <n v="593"/>
    <n v="54"/>
    <n v="1849.47"/>
    <n v="7125.52"/>
    <n v="3.26"/>
    <n v="9.11"/>
    <n v="34.25"/>
    <n v="3.85"/>
    <n v="5276.05"/>
  </r>
  <r>
    <x v="164"/>
    <s v="Facebook Ads"/>
    <s v="Product Launch"/>
    <s v="Starter Kit"/>
    <n v="17463"/>
    <n v="546"/>
    <n v="36"/>
    <n v="1644.21"/>
    <n v="3691.02"/>
    <n v="3.13"/>
    <n v="6.59"/>
    <n v="45.67"/>
    <n v="2.2400000000000002"/>
    <n v="2046.81"/>
  </r>
  <r>
    <x v="164"/>
    <s v="Instagram Ads"/>
    <s v="Product Launch"/>
    <s v="Basic Plan"/>
    <n v="16055"/>
    <n v="425"/>
    <n v="18"/>
    <n v="1023.43"/>
    <n v="2132.85"/>
    <n v="2.65"/>
    <n v="4.24"/>
    <n v="56.86"/>
    <n v="2.08"/>
    <n v="1109.42"/>
  </r>
  <r>
    <x v="164"/>
    <s v="LinkedIn Ads"/>
    <s v="Brand Awareness"/>
    <s v="Enterprise Plan"/>
    <n v="6976"/>
    <n v="151"/>
    <n v="21"/>
    <n v="1499.16"/>
    <n v="6555.42"/>
    <n v="2.16"/>
    <n v="13.91"/>
    <n v="71.39"/>
    <n v="4.37"/>
    <n v="5056.26"/>
  </r>
  <r>
    <x v="164"/>
    <s v="Email Marketing"/>
    <s v="Seasonal Promotion"/>
    <s v="Basic Plan"/>
    <n v="27883"/>
    <n v="5402"/>
    <n v="453"/>
    <n v="263.38"/>
    <n v="57768.41"/>
    <n v="19.37"/>
    <n v="8.39"/>
    <n v="0.57999999999999996"/>
    <n v="219.33"/>
    <n v="57505.03"/>
  </r>
  <r>
    <x v="164"/>
    <s v="Organic Search"/>
    <s v="Brand Awareness"/>
    <s v="Enterprise Plan"/>
    <n v="29273"/>
    <n v="1847"/>
    <n v="205"/>
    <n v="0"/>
    <n v="30781.73"/>
    <n v="6.31"/>
    <n v="11.1"/>
    <n v="0"/>
    <n v="0"/>
    <n v="30781.73"/>
  </r>
  <r>
    <x v="164"/>
    <s v="Display Ads"/>
    <s v="Brand Awareness"/>
    <s v="Starter Kit"/>
    <n v="46694"/>
    <n v="637"/>
    <n v="23"/>
    <n v="1814.25"/>
    <n v="2107.1999999999998"/>
    <n v="1.36"/>
    <n v="3.61"/>
    <n v="78.88"/>
    <n v="1.1599999999999999"/>
    <n v="292.95"/>
  </r>
  <r>
    <x v="164"/>
    <s v="YouTube Ads"/>
    <s v="Seasonal Promotion"/>
    <s v="Enterprise Plan"/>
    <n v="31256"/>
    <n v="806"/>
    <n v="36"/>
    <n v="1744.63"/>
    <n v="3999.03"/>
    <n v="2.58"/>
    <n v="4.47"/>
    <n v="48.46"/>
    <n v="2.29"/>
    <n v="2254.4"/>
  </r>
  <r>
    <x v="164"/>
    <s v="Twitter Ads"/>
    <s v="Seasonal Promotion"/>
    <s v="Basic Plan"/>
    <n v="17507"/>
    <n v="400"/>
    <n v="14"/>
    <n v="1001.05"/>
    <n v="1454.71"/>
    <n v="2.2799999999999998"/>
    <n v="3.5"/>
    <n v="71.5"/>
    <n v="1.45"/>
    <n v="453.66"/>
  </r>
  <r>
    <x v="164"/>
    <s v="TikTok Ads"/>
    <s v="Lead Generation"/>
    <s v="Premium Plan"/>
    <n v="31527"/>
    <n v="1013"/>
    <n v="47"/>
    <n v="1113.03"/>
    <n v="4695.24"/>
    <n v="3.21"/>
    <n v="4.6399999999999997"/>
    <n v="23.68"/>
    <n v="4.22"/>
    <n v="3582.21"/>
  </r>
  <r>
    <x v="164"/>
    <s v="Affiliate Marketing"/>
    <s v="Lead Generation"/>
    <s v="Basic Plan"/>
    <n v="7033"/>
    <n v="334"/>
    <n v="32"/>
    <n v="831.03"/>
    <n v="3825.67"/>
    <n v="4.75"/>
    <n v="9.58"/>
    <n v="25.97"/>
    <n v="4.5999999999999996"/>
    <n v="2994.64"/>
  </r>
  <r>
    <x v="164"/>
    <s v="Referral"/>
    <s v="Product Launch"/>
    <s v="Add-on Service"/>
    <n v="9720"/>
    <n v="756"/>
    <n v="134"/>
    <n v="230.42"/>
    <n v="25043.360000000001"/>
    <n v="7.78"/>
    <n v="17.72"/>
    <n v="1.72"/>
    <n v="108.69"/>
    <n v="24812.94"/>
  </r>
  <r>
    <x v="165"/>
    <s v="Google Ads"/>
    <s v="Flash Sale"/>
    <s v="Premium Plan"/>
    <n v="15748"/>
    <n v="515"/>
    <n v="50"/>
    <n v="1594.84"/>
    <n v="6329.75"/>
    <n v="3.27"/>
    <n v="9.7100000000000009"/>
    <n v="31.9"/>
    <n v="3.97"/>
    <n v="4734.91"/>
  </r>
  <r>
    <x v="165"/>
    <s v="Facebook Ads"/>
    <s v="Lead Generation"/>
    <s v="Add-on Service"/>
    <n v="21127"/>
    <n v="691"/>
    <n v="50"/>
    <n v="1517.49"/>
    <n v="6018.25"/>
    <n v="3.27"/>
    <n v="7.24"/>
    <n v="30.35"/>
    <n v="3.97"/>
    <n v="4500.76"/>
  </r>
  <r>
    <x v="165"/>
    <s v="Instagram Ads"/>
    <s v="Retargeting"/>
    <s v="Enterprise Plan"/>
    <n v="22234"/>
    <n v="901"/>
    <n v="58"/>
    <n v="868.54"/>
    <n v="6443.13"/>
    <n v="4.05"/>
    <n v="6.44"/>
    <n v="14.97"/>
    <n v="7.42"/>
    <n v="5574.59"/>
  </r>
  <r>
    <x v="165"/>
    <s v="LinkedIn Ads"/>
    <s v="Lead Generation"/>
    <s v="Basic Plan"/>
    <n v="6812"/>
    <n v="149"/>
    <n v="21"/>
    <n v="1551.15"/>
    <n v="7225"/>
    <n v="2.19"/>
    <n v="14.09"/>
    <n v="73.86"/>
    <n v="4.66"/>
    <n v="5673.85"/>
  </r>
  <r>
    <x v="165"/>
    <s v="Email Marketing"/>
    <s v="Lead Generation"/>
    <s v="Add-on Service"/>
    <n v="26128"/>
    <n v="5084"/>
    <n v="477"/>
    <n v="155.32"/>
    <n v="56296.55"/>
    <n v="19.46"/>
    <n v="9.3800000000000008"/>
    <n v="0.33"/>
    <n v="362.46"/>
    <n v="56141.23"/>
  </r>
  <r>
    <x v="165"/>
    <s v="Organic Search"/>
    <s v="Product Launch"/>
    <s v="Enterprise Plan"/>
    <n v="33910"/>
    <n v="2093"/>
    <n v="215"/>
    <n v="0"/>
    <n v="22725.45"/>
    <n v="6.17"/>
    <n v="10.27"/>
    <n v="0"/>
    <n v="0"/>
    <n v="22725.45"/>
  </r>
  <r>
    <x v="165"/>
    <s v="Display Ads"/>
    <s v="Seasonal Promotion"/>
    <s v="Premium Plan"/>
    <n v="49533"/>
    <n v="974"/>
    <n v="26"/>
    <n v="1389.7"/>
    <n v="2986.72"/>
    <n v="1.97"/>
    <n v="2.67"/>
    <n v="53.45"/>
    <n v="2.15"/>
    <n v="1597.02"/>
  </r>
  <r>
    <x v="165"/>
    <s v="YouTube Ads"/>
    <s v="Flash Sale"/>
    <s v="Enterprise Plan"/>
    <n v="25891"/>
    <n v="484"/>
    <n v="26"/>
    <n v="1396.85"/>
    <n v="3275.02"/>
    <n v="1.87"/>
    <n v="5.37"/>
    <n v="53.72"/>
    <n v="2.34"/>
    <n v="1878.17"/>
  </r>
  <r>
    <x v="165"/>
    <s v="Twitter Ads"/>
    <s v="Seasonal Promotion"/>
    <s v="Add-on Service"/>
    <n v="11904"/>
    <n v="284"/>
    <n v="11"/>
    <n v="1048.52"/>
    <n v="1062.8"/>
    <n v="2.39"/>
    <n v="3.87"/>
    <n v="95.32"/>
    <n v="1.01"/>
    <n v="14.28"/>
  </r>
  <r>
    <x v="165"/>
    <s v="TikTok Ads"/>
    <s v="Lead Generation"/>
    <s v="Add-on Service"/>
    <n v="25222"/>
    <n v="1080"/>
    <n v="72"/>
    <n v="847.32"/>
    <n v="7927"/>
    <n v="4.28"/>
    <n v="6.67"/>
    <n v="11.77"/>
    <n v="9.36"/>
    <n v="7079.68"/>
  </r>
  <r>
    <x v="165"/>
    <s v="Affiliate Marketing"/>
    <s v="Lead Generation"/>
    <s v="Starter Kit"/>
    <n v="11631"/>
    <n v="774"/>
    <n v="92"/>
    <n v="646.15"/>
    <n v="11767.37"/>
    <n v="6.65"/>
    <n v="11.89"/>
    <n v="7.02"/>
    <n v="18.21"/>
    <n v="11121.22"/>
  </r>
  <r>
    <x v="165"/>
    <s v="Referral"/>
    <s v="Seasonal Promotion"/>
    <s v="Enterprise Plan"/>
    <n v="8629"/>
    <n v="443"/>
    <n v="64"/>
    <n v="274.73"/>
    <n v="11003.5"/>
    <n v="5.13"/>
    <n v="14.45"/>
    <n v="4.29"/>
    <n v="40.049999999999997"/>
    <n v="10728.77"/>
  </r>
  <r>
    <x v="166"/>
    <s v="Google Ads"/>
    <s v="Lead Generation"/>
    <s v="Starter Kit"/>
    <n v="10017"/>
    <n v="459"/>
    <n v="44"/>
    <n v="797.6"/>
    <n v="7886.83"/>
    <n v="4.58"/>
    <n v="9.59"/>
    <n v="18.13"/>
    <n v="9.89"/>
    <n v="7089.23"/>
  </r>
  <r>
    <x v="166"/>
    <s v="Facebook Ads"/>
    <s v="Brand Awareness"/>
    <s v="Premium Plan"/>
    <n v="17504"/>
    <n v="440"/>
    <n v="29"/>
    <n v="863.75"/>
    <n v="4261.83"/>
    <n v="2.5099999999999998"/>
    <n v="6.59"/>
    <n v="29.78"/>
    <n v="4.93"/>
    <n v="3398.08"/>
  </r>
  <r>
    <x v="166"/>
    <s v="Instagram Ads"/>
    <s v="Brand Awareness"/>
    <s v="Basic Plan"/>
    <n v="16640"/>
    <n v="677"/>
    <n v="32"/>
    <n v="535.02"/>
    <n v="3952.42"/>
    <n v="4.07"/>
    <n v="4.7300000000000004"/>
    <n v="16.72"/>
    <n v="7.39"/>
    <n v="3417.4"/>
  </r>
  <r>
    <x v="166"/>
    <s v="LinkedIn Ads"/>
    <s v="Seasonal Promotion"/>
    <s v="Basic Plan"/>
    <n v="2949"/>
    <n v="59"/>
    <n v="6"/>
    <n v="1214.8900000000001"/>
    <n v="2043.54"/>
    <n v="2"/>
    <n v="10.17"/>
    <n v="202.48"/>
    <n v="1.68"/>
    <n v="828.65"/>
  </r>
  <r>
    <x v="166"/>
    <s v="Email Marketing"/>
    <s v="Brand Awareness"/>
    <s v="Add-on Service"/>
    <n v="19173"/>
    <n v="4625"/>
    <n v="390"/>
    <n v="212.41"/>
    <n v="48376.26"/>
    <n v="24.12"/>
    <n v="8.43"/>
    <n v="0.54"/>
    <n v="227.75"/>
    <n v="48163.85"/>
  </r>
  <r>
    <x v="166"/>
    <s v="Organic Search"/>
    <s v="Retargeting"/>
    <s v="Premium Plan"/>
    <n v="33639"/>
    <n v="2641"/>
    <n v="295"/>
    <n v="0"/>
    <n v="44392.71"/>
    <n v="7.85"/>
    <n v="11.17"/>
    <n v="0"/>
    <n v="0"/>
    <n v="44392.71"/>
  </r>
  <r>
    <x v="166"/>
    <s v="Display Ads"/>
    <s v="Product Launch"/>
    <s v="Add-on Service"/>
    <n v="26452"/>
    <n v="389"/>
    <n v="18"/>
    <n v="782.03"/>
    <n v="2006.57"/>
    <n v="1.47"/>
    <n v="4.63"/>
    <n v="43.45"/>
    <n v="2.57"/>
    <n v="1224.54"/>
  </r>
  <r>
    <x v="166"/>
    <s v="YouTube Ads"/>
    <s v="Lead Generation"/>
    <s v="Basic Plan"/>
    <n v="20320"/>
    <n v="342"/>
    <n v="22"/>
    <n v="940.77"/>
    <n v="2434.2800000000002"/>
    <n v="1.68"/>
    <n v="6.43"/>
    <n v="42.76"/>
    <n v="2.59"/>
    <n v="1493.51"/>
  </r>
  <r>
    <x v="166"/>
    <s v="Twitter Ads"/>
    <s v="Product Launch"/>
    <s v="Basic Plan"/>
    <n v="10661"/>
    <n v="307"/>
    <n v="13"/>
    <n v="476.99"/>
    <n v="1262.68"/>
    <n v="2.88"/>
    <n v="4.2300000000000004"/>
    <n v="36.69"/>
    <n v="2.65"/>
    <n v="785.69"/>
  </r>
  <r>
    <x v="166"/>
    <s v="TikTok Ads"/>
    <s v="Product Launch"/>
    <s v="Premium Plan"/>
    <n v="24488"/>
    <n v="627"/>
    <n v="38"/>
    <n v="918.57"/>
    <n v="3362.06"/>
    <n v="2.56"/>
    <n v="6.06"/>
    <n v="24.17"/>
    <n v="3.66"/>
    <n v="2443.4899999999998"/>
  </r>
  <r>
    <x v="166"/>
    <s v="Affiliate Marketing"/>
    <s v="Brand Awareness"/>
    <s v="Basic Plan"/>
    <n v="8628"/>
    <n v="432"/>
    <n v="41"/>
    <n v="486.18"/>
    <n v="6458.79"/>
    <n v="5.01"/>
    <n v="9.49"/>
    <n v="11.86"/>
    <n v="13.28"/>
    <n v="5972.61"/>
  </r>
  <r>
    <x v="166"/>
    <s v="Referral"/>
    <s v="Seasonal Promotion"/>
    <s v="Basic Plan"/>
    <n v="4527"/>
    <n v="316"/>
    <n v="45"/>
    <n v="51.54"/>
    <n v="5366.12"/>
    <n v="6.98"/>
    <n v="14.24"/>
    <n v="1.1499999999999999"/>
    <n v="104.12"/>
    <n v="5314.58"/>
  </r>
  <r>
    <x v="167"/>
    <s v="Google Ads"/>
    <s v="Brand Awareness"/>
    <s v="Add-on Service"/>
    <n v="13263"/>
    <n v="606"/>
    <n v="63"/>
    <n v="877.96"/>
    <n v="9691.2800000000007"/>
    <n v="4.57"/>
    <n v="10.4"/>
    <n v="13.94"/>
    <n v="11.04"/>
    <n v="8813.32"/>
  </r>
  <r>
    <x v="167"/>
    <s v="Facebook Ads"/>
    <s v="Product Launch"/>
    <s v="Premium Plan"/>
    <n v="18957"/>
    <n v="737"/>
    <n v="64"/>
    <n v="969.81"/>
    <n v="5426.51"/>
    <n v="3.89"/>
    <n v="8.68"/>
    <n v="15.15"/>
    <n v="5.6"/>
    <n v="4456.7"/>
  </r>
  <r>
    <x v="167"/>
    <s v="Instagram Ads"/>
    <s v="Product Launch"/>
    <s v="Starter Kit"/>
    <n v="15481"/>
    <n v="663"/>
    <n v="44"/>
    <n v="623.74"/>
    <n v="3798.68"/>
    <n v="4.28"/>
    <n v="6.64"/>
    <n v="14.18"/>
    <n v="6.09"/>
    <n v="3174.94"/>
  </r>
  <r>
    <x v="167"/>
    <s v="LinkedIn Ads"/>
    <s v="Seasonal Promotion"/>
    <s v="Premium Plan"/>
    <n v="5284"/>
    <n v="136"/>
    <n v="17"/>
    <n v="1442.42"/>
    <n v="4412.38"/>
    <n v="2.57"/>
    <n v="12.5"/>
    <n v="84.85"/>
    <n v="3.06"/>
    <n v="2969.96"/>
  </r>
  <r>
    <x v="167"/>
    <s v="Email Marketing"/>
    <s v="Product Launch"/>
    <s v="Enterprise Plan"/>
    <n v="19759"/>
    <n v="3709"/>
    <n v="307"/>
    <n v="276.68"/>
    <n v="35016.61"/>
    <n v="18.77"/>
    <n v="8.2799999999999994"/>
    <n v="0.9"/>
    <n v="126.56"/>
    <n v="34739.93"/>
  </r>
  <r>
    <x v="167"/>
    <s v="Organic Search"/>
    <s v="Product Launch"/>
    <s v="Basic Plan"/>
    <n v="34075"/>
    <n v="2242"/>
    <n v="293"/>
    <n v="0"/>
    <n v="47700.08"/>
    <n v="6.58"/>
    <n v="13.07"/>
    <n v="0"/>
    <n v="0"/>
    <n v="47700.08"/>
  </r>
  <r>
    <x v="167"/>
    <s v="Display Ads"/>
    <s v="Lead Generation"/>
    <s v="Starter Kit"/>
    <n v="26664"/>
    <n v="465"/>
    <n v="12"/>
    <n v="1207.9100000000001"/>
    <n v="997.13"/>
    <n v="1.74"/>
    <n v="2.58"/>
    <n v="100.66"/>
    <n v="0.83"/>
    <n v="-210.78"/>
  </r>
  <r>
    <x v="167"/>
    <s v="YouTube Ads"/>
    <s v="Flash Sale"/>
    <s v="Starter Kit"/>
    <n v="20498"/>
    <n v="404"/>
    <n v="16"/>
    <n v="947.98"/>
    <n v="2177.12"/>
    <n v="1.97"/>
    <n v="3.96"/>
    <n v="59.25"/>
    <n v="2.2999999999999998"/>
    <n v="1229.1400000000001"/>
  </r>
  <r>
    <x v="167"/>
    <s v="Twitter Ads"/>
    <s v="Flash Sale"/>
    <s v="Enterprise Plan"/>
    <n v="9407"/>
    <n v="286"/>
    <n v="15"/>
    <n v="488.77"/>
    <n v="1268.24"/>
    <n v="3.04"/>
    <n v="5.24"/>
    <n v="32.58"/>
    <n v="2.59"/>
    <n v="779.47"/>
  </r>
  <r>
    <x v="167"/>
    <s v="TikTok Ads"/>
    <s v="Lead Generation"/>
    <s v="Add-on Service"/>
    <n v="29259"/>
    <n v="853"/>
    <n v="51"/>
    <n v="627.79"/>
    <n v="5626.18"/>
    <n v="2.92"/>
    <n v="5.98"/>
    <n v="12.31"/>
    <n v="8.9600000000000009"/>
    <n v="4998.3900000000003"/>
  </r>
  <r>
    <x v="167"/>
    <s v="Affiliate Marketing"/>
    <s v="Flash Sale"/>
    <s v="Add-on Service"/>
    <n v="7787"/>
    <n v="360"/>
    <n v="46"/>
    <n v="552.55999999999995"/>
    <n v="5369.51"/>
    <n v="4.62"/>
    <n v="12.78"/>
    <n v="12.01"/>
    <n v="9.7200000000000006"/>
    <n v="4816.95"/>
  </r>
  <r>
    <x v="167"/>
    <s v="Referral"/>
    <s v="Product Launch"/>
    <s v="Basic Plan"/>
    <n v="4842"/>
    <n v="244"/>
    <n v="33"/>
    <n v="125.78"/>
    <n v="4387.43"/>
    <n v="5.04"/>
    <n v="13.52"/>
    <n v="3.81"/>
    <n v="34.880000000000003"/>
    <n v="4261.6499999999996"/>
  </r>
  <r>
    <x v="168"/>
    <s v="Google Ads"/>
    <s v="Flash Sale"/>
    <s v="Add-on Service"/>
    <n v="13962"/>
    <n v="484"/>
    <n v="44"/>
    <n v="1832.25"/>
    <n v="4997.18"/>
    <n v="3.47"/>
    <n v="9.09"/>
    <n v="41.64"/>
    <n v="2.73"/>
    <n v="3164.93"/>
  </r>
  <r>
    <x v="168"/>
    <s v="Facebook Ads"/>
    <s v="Lead Generation"/>
    <s v="Starter Kit"/>
    <n v="18943"/>
    <n v="628"/>
    <n v="53"/>
    <n v="1651.36"/>
    <n v="6438.55"/>
    <n v="3.32"/>
    <n v="8.44"/>
    <n v="31.16"/>
    <n v="3.9"/>
    <n v="4787.1899999999996"/>
  </r>
  <r>
    <x v="168"/>
    <s v="Instagram Ads"/>
    <s v="Product Launch"/>
    <s v="Enterprise Plan"/>
    <n v="17640"/>
    <n v="733"/>
    <n v="30"/>
    <n v="1365.98"/>
    <n v="2348.56"/>
    <n v="4.16"/>
    <n v="4.09"/>
    <n v="45.53"/>
    <n v="1.72"/>
    <n v="982.58"/>
  </r>
  <r>
    <x v="168"/>
    <s v="LinkedIn Ads"/>
    <s v="Lead Generation"/>
    <s v="Basic Plan"/>
    <n v="6665"/>
    <n v="193"/>
    <n v="22"/>
    <n v="1459.06"/>
    <n v="6840.56"/>
    <n v="2.9"/>
    <n v="11.4"/>
    <n v="66.319999999999993"/>
    <n v="4.6900000000000004"/>
    <n v="5381.5"/>
  </r>
  <r>
    <x v="168"/>
    <s v="Email Marketing"/>
    <s v="Flash Sale"/>
    <s v="Premium Plan"/>
    <n v="29383"/>
    <n v="7032"/>
    <n v="891"/>
    <n v="319.56"/>
    <n v="106501.36"/>
    <n v="23.93"/>
    <n v="12.67"/>
    <n v="0.36"/>
    <n v="333.28"/>
    <n v="106181.8"/>
  </r>
  <r>
    <x v="168"/>
    <s v="Organic Search"/>
    <s v="Flash Sale"/>
    <s v="Add-on Service"/>
    <n v="33497"/>
    <n v="2534"/>
    <n v="343"/>
    <n v="0"/>
    <n v="39053.769999999997"/>
    <n v="7.56"/>
    <n v="13.54"/>
    <n v="0"/>
    <n v="0"/>
    <n v="39053.769999999997"/>
  </r>
  <r>
    <x v="168"/>
    <s v="Display Ads"/>
    <s v="Retargeting"/>
    <s v="Add-on Service"/>
    <n v="43741"/>
    <n v="865"/>
    <n v="22"/>
    <n v="1501.71"/>
    <n v="2301.04"/>
    <n v="1.98"/>
    <n v="2.54"/>
    <n v="68.260000000000005"/>
    <n v="1.53"/>
    <n v="799.33"/>
  </r>
  <r>
    <x v="168"/>
    <s v="YouTube Ads"/>
    <s v="Brand Awareness"/>
    <s v="Basic Plan"/>
    <n v="25389"/>
    <n v="530"/>
    <n v="21"/>
    <n v="1226.8"/>
    <n v="2897.34"/>
    <n v="2.09"/>
    <n v="3.96"/>
    <n v="58.42"/>
    <n v="2.36"/>
    <n v="1670.54"/>
  </r>
  <r>
    <x v="168"/>
    <s v="Twitter Ads"/>
    <s v="Seasonal Promotion"/>
    <s v="Enterprise Plan"/>
    <n v="11369"/>
    <n v="389"/>
    <n v="14"/>
    <n v="1014.91"/>
    <n v="1110.1300000000001"/>
    <n v="3.42"/>
    <n v="3.6"/>
    <n v="72.489999999999995"/>
    <n v="1.0900000000000001"/>
    <n v="95.22"/>
  </r>
  <r>
    <x v="168"/>
    <s v="TikTok Ads"/>
    <s v="Seasonal Promotion"/>
    <s v="Basic Plan"/>
    <n v="41967"/>
    <n v="1278"/>
    <n v="64"/>
    <n v="1103.1099999999999"/>
    <n v="6114.73"/>
    <n v="3.05"/>
    <n v="5.01"/>
    <n v="17.239999999999998"/>
    <n v="5.54"/>
    <n v="5011.62"/>
  </r>
  <r>
    <x v="168"/>
    <s v="Affiliate Marketing"/>
    <s v="Flash Sale"/>
    <s v="Add-on Service"/>
    <n v="11417"/>
    <n v="686"/>
    <n v="68"/>
    <n v="592.34"/>
    <n v="8571.1"/>
    <n v="6.01"/>
    <n v="9.91"/>
    <n v="8.7100000000000009"/>
    <n v="14.47"/>
    <n v="7978.76"/>
  </r>
  <r>
    <x v="168"/>
    <s v="Referral"/>
    <s v="Brand Awareness"/>
    <s v="Starter Kit"/>
    <n v="6399"/>
    <n v="495"/>
    <n v="65"/>
    <n v="128.66"/>
    <n v="10585.66"/>
    <n v="7.74"/>
    <n v="13.13"/>
    <n v="1.98"/>
    <n v="82.28"/>
    <n v="10457"/>
  </r>
  <r>
    <x v="169"/>
    <s v="Google Ads"/>
    <s v="Lead Generation"/>
    <s v="Enterprise Plan"/>
    <n v="16069"/>
    <n v="546"/>
    <n v="49"/>
    <n v="2064.94"/>
    <n v="5620.21"/>
    <n v="3.4"/>
    <n v="8.9700000000000006"/>
    <n v="42.14"/>
    <n v="2.72"/>
    <n v="3555.27"/>
  </r>
  <r>
    <x v="169"/>
    <s v="Facebook Ads"/>
    <s v="Flash Sale"/>
    <s v="Premium Plan"/>
    <n v="26507"/>
    <n v="826"/>
    <n v="49"/>
    <n v="1196.1300000000001"/>
    <n v="5006.62"/>
    <n v="3.12"/>
    <n v="5.93"/>
    <n v="24.41"/>
    <n v="4.1900000000000004"/>
    <n v="3810.49"/>
  </r>
  <r>
    <x v="169"/>
    <s v="Instagram Ads"/>
    <s v="Lead Generation"/>
    <s v="Enterprise Plan"/>
    <n v="20910"/>
    <n v="537"/>
    <n v="42"/>
    <n v="1372.67"/>
    <n v="3203.83"/>
    <n v="2.57"/>
    <n v="7.82"/>
    <n v="32.68"/>
    <n v="2.33"/>
    <n v="1831.16"/>
  </r>
  <r>
    <x v="169"/>
    <s v="LinkedIn Ads"/>
    <s v="Product Launch"/>
    <s v="Basic Plan"/>
    <n v="5923"/>
    <n v="155"/>
    <n v="19"/>
    <n v="1817.82"/>
    <n v="5606.97"/>
    <n v="2.62"/>
    <n v="12.26"/>
    <n v="95.67"/>
    <n v="3.08"/>
    <n v="3789.15"/>
  </r>
  <r>
    <x v="169"/>
    <s v="Email Marketing"/>
    <s v="Flash Sale"/>
    <s v="Premium Plan"/>
    <n v="28970"/>
    <n v="6041"/>
    <n v="749"/>
    <n v="403.73"/>
    <n v="80365.149999999994"/>
    <n v="20.85"/>
    <n v="12.4"/>
    <n v="0.54"/>
    <n v="199.06"/>
    <n v="79961.42"/>
  </r>
  <r>
    <x v="169"/>
    <s v="Organic Search"/>
    <s v="Flash Sale"/>
    <s v="Enterprise Plan"/>
    <n v="44948"/>
    <n v="2403"/>
    <n v="322"/>
    <n v="0"/>
    <n v="30833.13"/>
    <n v="5.35"/>
    <n v="13.4"/>
    <n v="0"/>
    <n v="0"/>
    <n v="30833.13"/>
  </r>
  <r>
    <x v="169"/>
    <s v="Display Ads"/>
    <s v="Retargeting"/>
    <s v="Premium Plan"/>
    <n v="38292"/>
    <n v="408"/>
    <n v="16"/>
    <n v="1485.77"/>
    <n v="2133.35"/>
    <n v="1.07"/>
    <n v="3.92"/>
    <n v="92.86"/>
    <n v="1.44"/>
    <n v="647.58000000000004"/>
  </r>
  <r>
    <x v="169"/>
    <s v="YouTube Ads"/>
    <s v="Product Launch"/>
    <s v="Basic Plan"/>
    <n v="27917"/>
    <n v="831"/>
    <n v="53"/>
    <n v="1507.1"/>
    <n v="6368.61"/>
    <n v="2.98"/>
    <n v="6.38"/>
    <n v="28.44"/>
    <n v="4.2300000000000004"/>
    <n v="4861.51"/>
  </r>
  <r>
    <x v="169"/>
    <s v="Twitter Ads"/>
    <s v="Lead Generation"/>
    <s v="Premium Plan"/>
    <n v="13379"/>
    <n v="361"/>
    <n v="21"/>
    <n v="639.88"/>
    <n v="1578.34"/>
    <n v="2.7"/>
    <n v="5.82"/>
    <n v="30.47"/>
    <n v="2.4700000000000002"/>
    <n v="938.46"/>
  </r>
  <r>
    <x v="169"/>
    <s v="TikTok Ads"/>
    <s v="Product Launch"/>
    <s v="Enterprise Plan"/>
    <n v="35670"/>
    <n v="1372"/>
    <n v="51"/>
    <n v="880.89"/>
    <n v="5230.1899999999996"/>
    <n v="3.85"/>
    <n v="3.72"/>
    <n v="17.27"/>
    <n v="5.94"/>
    <n v="4349.3"/>
  </r>
  <r>
    <x v="169"/>
    <s v="Affiliate Marketing"/>
    <s v="Brand Awareness"/>
    <s v="Premium Plan"/>
    <n v="10533"/>
    <n v="438"/>
    <n v="46"/>
    <n v="944.17"/>
    <n v="5321.45"/>
    <n v="4.16"/>
    <n v="10.5"/>
    <n v="20.53"/>
    <n v="5.64"/>
    <n v="4377.28"/>
  </r>
  <r>
    <x v="169"/>
    <s v="Referral"/>
    <s v="Brand Awareness"/>
    <s v="Starter Kit"/>
    <n v="6196"/>
    <n v="565"/>
    <n v="67"/>
    <n v="152.01"/>
    <n v="11863.59"/>
    <n v="9.1199999999999992"/>
    <n v="11.86"/>
    <n v="2.27"/>
    <n v="78.040000000000006"/>
    <n v="11711.58"/>
  </r>
  <r>
    <x v="170"/>
    <s v="Google Ads"/>
    <s v="Retargeting"/>
    <s v="Starter Kit"/>
    <n v="20475"/>
    <n v="730"/>
    <n v="81"/>
    <n v="1279.02"/>
    <n v="10198.02"/>
    <n v="3.57"/>
    <n v="11.1"/>
    <n v="15.79"/>
    <n v="7.97"/>
    <n v="8919"/>
  </r>
  <r>
    <x v="170"/>
    <s v="Facebook Ads"/>
    <s v="Lead Generation"/>
    <s v="Starter Kit"/>
    <n v="18519"/>
    <n v="719"/>
    <n v="37"/>
    <n v="1141.18"/>
    <n v="3789.2"/>
    <n v="3.88"/>
    <n v="5.15"/>
    <n v="30.84"/>
    <n v="3.32"/>
    <n v="2648.02"/>
  </r>
  <r>
    <x v="170"/>
    <s v="Instagram Ads"/>
    <s v="Retargeting"/>
    <s v="Starter Kit"/>
    <n v="21092"/>
    <n v="792"/>
    <n v="43"/>
    <n v="793.41"/>
    <n v="3385.06"/>
    <n v="3.75"/>
    <n v="5.43"/>
    <n v="18.45"/>
    <n v="4.2699999999999996"/>
    <n v="2591.65"/>
  </r>
  <r>
    <x v="170"/>
    <s v="LinkedIn Ads"/>
    <s v="Product Launch"/>
    <s v="Add-on Service"/>
    <n v="8083"/>
    <n v="142"/>
    <n v="15"/>
    <n v="1386.37"/>
    <n v="4151.16"/>
    <n v="1.76"/>
    <n v="10.56"/>
    <n v="92.42"/>
    <n v="2.99"/>
    <n v="2764.79"/>
  </r>
  <r>
    <x v="170"/>
    <s v="Email Marketing"/>
    <s v="Retargeting"/>
    <s v="Premium Plan"/>
    <n v="30970"/>
    <n v="5035"/>
    <n v="457"/>
    <n v="404.22"/>
    <n v="57165.49"/>
    <n v="16.260000000000002"/>
    <n v="9.08"/>
    <n v="0.88"/>
    <n v="141.41999999999999"/>
    <n v="56761.27"/>
  </r>
  <r>
    <x v="170"/>
    <s v="Organic Search"/>
    <s v="Retargeting"/>
    <s v="Add-on Service"/>
    <n v="48937"/>
    <n v="3529"/>
    <n v="477"/>
    <n v="0"/>
    <n v="52493.84"/>
    <n v="7.21"/>
    <n v="13.52"/>
    <n v="0"/>
    <n v="0"/>
    <n v="52493.84"/>
  </r>
  <r>
    <x v="170"/>
    <s v="Display Ads"/>
    <s v="Flash Sale"/>
    <s v="Basic Plan"/>
    <n v="44534"/>
    <n v="495"/>
    <n v="22"/>
    <n v="1359.5"/>
    <n v="2374.5100000000002"/>
    <n v="1.1100000000000001"/>
    <n v="4.4400000000000004"/>
    <n v="61.8"/>
    <n v="1.75"/>
    <n v="1015.01"/>
  </r>
  <r>
    <x v="170"/>
    <s v="YouTube Ads"/>
    <s v="Lead Generation"/>
    <s v="Starter Kit"/>
    <n v="27298"/>
    <n v="449"/>
    <n v="21"/>
    <n v="1570.5"/>
    <n v="2581.5700000000002"/>
    <n v="1.64"/>
    <n v="4.68"/>
    <n v="74.790000000000006"/>
    <n v="1.64"/>
    <n v="1011.07"/>
  </r>
  <r>
    <x v="170"/>
    <s v="Twitter Ads"/>
    <s v="Brand Awareness"/>
    <s v="Premium Plan"/>
    <n v="18208"/>
    <n v="459"/>
    <n v="22"/>
    <n v="734.94"/>
    <n v="2060.8200000000002"/>
    <n v="2.52"/>
    <n v="4.79"/>
    <n v="33.409999999999997"/>
    <n v="2.8"/>
    <n v="1325.88"/>
  </r>
  <r>
    <x v="170"/>
    <s v="TikTok Ads"/>
    <s v="Product Launch"/>
    <s v="Premium Plan"/>
    <n v="36832"/>
    <n v="970"/>
    <n v="51"/>
    <n v="938.71"/>
    <n v="4015.81"/>
    <n v="2.63"/>
    <n v="5.26"/>
    <n v="18.41"/>
    <n v="4.28"/>
    <n v="3077.1"/>
  </r>
  <r>
    <x v="170"/>
    <s v="Affiliate Marketing"/>
    <s v="Product Launch"/>
    <s v="Enterprise Plan"/>
    <n v="8730"/>
    <n v="589"/>
    <n v="54"/>
    <n v="944.15"/>
    <n v="7304.05"/>
    <n v="6.75"/>
    <n v="9.17"/>
    <n v="17.48"/>
    <n v="7.74"/>
    <n v="6359.9"/>
  </r>
  <r>
    <x v="170"/>
    <s v="Referral"/>
    <s v="Brand Awareness"/>
    <s v="Premium Plan"/>
    <n v="5849"/>
    <n v="442"/>
    <n v="74"/>
    <n v="178.97"/>
    <n v="10345.24"/>
    <n v="7.56"/>
    <n v="16.739999999999998"/>
    <n v="2.42"/>
    <n v="57.8"/>
    <n v="10166.27"/>
  </r>
  <r>
    <x v="171"/>
    <s v="Google Ads"/>
    <s v="Product Launch"/>
    <s v="Basic Plan"/>
    <n v="20725"/>
    <n v="728"/>
    <n v="77"/>
    <n v="2050.98"/>
    <n v="13105.41"/>
    <n v="3.51"/>
    <n v="10.58"/>
    <n v="26.64"/>
    <n v="6.39"/>
    <n v="11054.43"/>
  </r>
  <r>
    <x v="171"/>
    <s v="Facebook Ads"/>
    <s v="Retargeting"/>
    <s v="Basic Plan"/>
    <n v="18408"/>
    <n v="610"/>
    <n v="42"/>
    <n v="1331"/>
    <n v="4270.05"/>
    <n v="3.31"/>
    <n v="6.89"/>
    <n v="31.69"/>
    <n v="3.21"/>
    <n v="2939.05"/>
  </r>
  <r>
    <x v="171"/>
    <s v="Instagram Ads"/>
    <s v="Flash Sale"/>
    <s v="Premium Plan"/>
    <n v="22850"/>
    <n v="897"/>
    <n v="42"/>
    <n v="1110.79"/>
    <n v="3837.2"/>
    <n v="3.93"/>
    <n v="4.68"/>
    <n v="26.45"/>
    <n v="3.45"/>
    <n v="2726.41"/>
  </r>
  <r>
    <x v="171"/>
    <s v="LinkedIn Ads"/>
    <s v="Seasonal Promotion"/>
    <s v="Premium Plan"/>
    <n v="6393"/>
    <n v="148"/>
    <n v="15"/>
    <n v="1476.5"/>
    <n v="4663.12"/>
    <n v="2.3199999999999998"/>
    <n v="10.14"/>
    <n v="98.43"/>
    <n v="3.16"/>
    <n v="3186.62"/>
  </r>
  <r>
    <x v="171"/>
    <s v="Email Marketing"/>
    <s v="Product Launch"/>
    <s v="Add-on Service"/>
    <n v="21260"/>
    <n v="4897"/>
    <n v="604"/>
    <n v="347.83"/>
    <n v="79263.509999999995"/>
    <n v="23.03"/>
    <n v="12.33"/>
    <n v="0.57999999999999996"/>
    <n v="227.88"/>
    <n v="78915.679999999993"/>
  </r>
  <r>
    <x v="171"/>
    <s v="Organic Search"/>
    <s v="Seasonal Promotion"/>
    <s v="Starter Kit"/>
    <n v="38400"/>
    <n v="2937"/>
    <n v="460"/>
    <n v="0"/>
    <n v="69374.44"/>
    <n v="7.65"/>
    <n v="15.66"/>
    <n v="0"/>
    <n v="0"/>
    <n v="69374.44"/>
  </r>
  <r>
    <x v="171"/>
    <s v="Display Ads"/>
    <s v="Flash Sale"/>
    <s v="Premium Plan"/>
    <n v="46691"/>
    <n v="789"/>
    <n v="18"/>
    <n v="1692.54"/>
    <n v="2282.67"/>
    <n v="1.69"/>
    <n v="2.2799999999999998"/>
    <n v="94.03"/>
    <n v="1.35"/>
    <n v="590.13"/>
  </r>
  <r>
    <x v="171"/>
    <s v="YouTube Ads"/>
    <s v="Retargeting"/>
    <s v="Basic Plan"/>
    <n v="29453"/>
    <n v="453"/>
    <n v="18"/>
    <n v="1208.3699999999999"/>
    <n v="1837.21"/>
    <n v="1.54"/>
    <n v="3.97"/>
    <n v="67.13"/>
    <n v="1.52"/>
    <n v="628.84"/>
  </r>
  <r>
    <x v="171"/>
    <s v="Twitter Ads"/>
    <s v="Seasonal Promotion"/>
    <s v="Starter Kit"/>
    <n v="18485"/>
    <n v="527"/>
    <n v="22"/>
    <n v="670.43"/>
    <n v="2476.7800000000002"/>
    <n v="2.85"/>
    <n v="4.17"/>
    <n v="30.47"/>
    <n v="3.69"/>
    <n v="1806.35"/>
  </r>
  <r>
    <x v="171"/>
    <s v="TikTok Ads"/>
    <s v="Lead Generation"/>
    <s v="Premium Plan"/>
    <n v="39986"/>
    <n v="1059"/>
    <n v="56"/>
    <n v="1059.98"/>
    <n v="6201.49"/>
    <n v="2.65"/>
    <n v="5.29"/>
    <n v="18.93"/>
    <n v="5.85"/>
    <n v="5141.51"/>
  </r>
  <r>
    <x v="171"/>
    <s v="Affiliate Marketing"/>
    <s v="Brand Awareness"/>
    <s v="Enterprise Plan"/>
    <n v="11466"/>
    <n v="477"/>
    <n v="57"/>
    <n v="718.25"/>
    <n v="6595.79"/>
    <n v="4.16"/>
    <n v="11.95"/>
    <n v="12.6"/>
    <n v="9.18"/>
    <n v="5877.54"/>
  </r>
  <r>
    <x v="171"/>
    <s v="Referral"/>
    <s v="Lead Generation"/>
    <s v="Basic Plan"/>
    <n v="5090"/>
    <n v="303"/>
    <n v="50"/>
    <n v="134.19"/>
    <n v="8206.8700000000008"/>
    <n v="5.95"/>
    <n v="16.5"/>
    <n v="2.68"/>
    <n v="61.16"/>
    <n v="8072.68"/>
  </r>
  <r>
    <x v="172"/>
    <s v="Google Ads"/>
    <s v="Retargeting"/>
    <s v="Add-on Service"/>
    <n v="14930"/>
    <n v="625"/>
    <n v="54"/>
    <n v="1122.73"/>
    <n v="7307.09"/>
    <n v="4.1900000000000004"/>
    <n v="8.64"/>
    <n v="20.79"/>
    <n v="6.51"/>
    <n v="6184.36"/>
  </r>
  <r>
    <x v="172"/>
    <s v="Facebook Ads"/>
    <s v="Flash Sale"/>
    <s v="Add-on Service"/>
    <n v="17628"/>
    <n v="495"/>
    <n v="42"/>
    <n v="1323.7"/>
    <n v="4146.1400000000003"/>
    <n v="2.81"/>
    <n v="8.48"/>
    <n v="31.52"/>
    <n v="3.13"/>
    <n v="2822.44"/>
  </r>
  <r>
    <x v="172"/>
    <s v="Instagram Ads"/>
    <s v="Product Launch"/>
    <s v="Enterprise Plan"/>
    <n v="22643"/>
    <n v="740"/>
    <n v="32"/>
    <n v="1321.71"/>
    <n v="3641.62"/>
    <n v="3.27"/>
    <n v="4.32"/>
    <n v="41.3"/>
    <n v="2.76"/>
    <n v="2319.91"/>
  </r>
  <r>
    <x v="172"/>
    <s v="LinkedIn Ads"/>
    <s v="Product Launch"/>
    <s v="Basic Plan"/>
    <n v="6461"/>
    <n v="137"/>
    <n v="16"/>
    <n v="1459.23"/>
    <n v="4463.04"/>
    <n v="2.12"/>
    <n v="11.68"/>
    <n v="91.2"/>
    <n v="3.06"/>
    <n v="3003.81"/>
  </r>
  <r>
    <x v="172"/>
    <s v="Email Marketing"/>
    <s v="Brand Awareness"/>
    <s v="Premium Plan"/>
    <n v="33387"/>
    <n v="5832"/>
    <n v="547"/>
    <n v="191.81"/>
    <n v="70793.539999999994"/>
    <n v="17.47"/>
    <n v="9.3800000000000008"/>
    <n v="0.35"/>
    <n v="369.08"/>
    <n v="70601.73"/>
  </r>
  <r>
    <x v="172"/>
    <s v="Organic Search"/>
    <s v="Retargeting"/>
    <s v="Add-on Service"/>
    <n v="30435"/>
    <n v="2231"/>
    <n v="285"/>
    <n v="0"/>
    <n v="34343"/>
    <n v="7.33"/>
    <n v="12.77"/>
    <n v="0"/>
    <n v="0"/>
    <n v="34343"/>
  </r>
  <r>
    <x v="172"/>
    <s v="Display Ads"/>
    <s v="Seasonal Promotion"/>
    <s v="Starter Kit"/>
    <n v="36848"/>
    <n v="564"/>
    <n v="21"/>
    <n v="1405.17"/>
    <n v="2344.87"/>
    <n v="1.53"/>
    <n v="3.72"/>
    <n v="66.91"/>
    <n v="1.67"/>
    <n v="939.7"/>
  </r>
  <r>
    <x v="172"/>
    <s v="YouTube Ads"/>
    <s v="Lead Generation"/>
    <s v="Premium Plan"/>
    <n v="32842"/>
    <n v="827"/>
    <n v="49"/>
    <n v="1684.75"/>
    <n v="5008.08"/>
    <n v="2.52"/>
    <n v="5.93"/>
    <n v="34.380000000000003"/>
    <n v="2.97"/>
    <n v="3323.33"/>
  </r>
  <r>
    <x v="172"/>
    <s v="Twitter Ads"/>
    <s v="Product Launch"/>
    <s v="Premium Plan"/>
    <n v="12338"/>
    <n v="309"/>
    <n v="14"/>
    <n v="687.93"/>
    <n v="1581.39"/>
    <n v="2.5"/>
    <n v="4.53"/>
    <n v="49.14"/>
    <n v="2.2999999999999998"/>
    <n v="893.46"/>
  </r>
  <r>
    <x v="172"/>
    <s v="TikTok Ads"/>
    <s v="Retargeting"/>
    <s v="Premium Plan"/>
    <n v="32321"/>
    <n v="1227"/>
    <n v="44"/>
    <n v="1206.8"/>
    <n v="3316.59"/>
    <n v="3.8"/>
    <n v="3.59"/>
    <n v="27.43"/>
    <n v="2.75"/>
    <n v="2109.79"/>
  </r>
  <r>
    <x v="172"/>
    <s v="Affiliate Marketing"/>
    <s v="Product Launch"/>
    <s v="Add-on Service"/>
    <n v="8300"/>
    <n v="561"/>
    <n v="50"/>
    <n v="720.51"/>
    <n v="5885.4"/>
    <n v="6.76"/>
    <n v="8.91"/>
    <n v="14.41"/>
    <n v="8.17"/>
    <n v="5164.8900000000003"/>
  </r>
  <r>
    <x v="172"/>
    <s v="Referral"/>
    <s v="Retargeting"/>
    <s v="Basic Plan"/>
    <n v="7296"/>
    <n v="365"/>
    <n v="50"/>
    <n v="89.83"/>
    <n v="7845.85"/>
    <n v="5"/>
    <n v="13.7"/>
    <n v="1.8"/>
    <n v="87.34"/>
    <n v="7756.02"/>
  </r>
  <r>
    <x v="173"/>
    <s v="Google Ads"/>
    <s v="Brand Awareness"/>
    <s v="Premium Plan"/>
    <n v="14017"/>
    <n v="654"/>
    <n v="68"/>
    <n v="1117.22"/>
    <n v="10891.57"/>
    <n v="4.67"/>
    <n v="10.4"/>
    <n v="16.43"/>
    <n v="9.75"/>
    <n v="9774.35"/>
  </r>
  <r>
    <x v="173"/>
    <s v="Facebook Ads"/>
    <s v="Lead Generation"/>
    <s v="Basic Plan"/>
    <n v="11946"/>
    <n v="424"/>
    <n v="32"/>
    <n v="683.38"/>
    <n v="3720.47"/>
    <n v="3.55"/>
    <n v="7.55"/>
    <n v="21.36"/>
    <n v="5.44"/>
    <n v="3037.09"/>
  </r>
  <r>
    <x v="173"/>
    <s v="Instagram Ads"/>
    <s v="Flash Sale"/>
    <s v="Enterprise Plan"/>
    <n v="15657"/>
    <n v="678"/>
    <n v="52"/>
    <n v="976.14"/>
    <n v="4605.32"/>
    <n v="4.33"/>
    <n v="7.67"/>
    <n v="18.77"/>
    <n v="4.72"/>
    <n v="3629.18"/>
  </r>
  <r>
    <x v="173"/>
    <s v="LinkedIn Ads"/>
    <s v="Brand Awareness"/>
    <s v="Starter Kit"/>
    <n v="4174"/>
    <n v="76"/>
    <n v="9"/>
    <n v="1010.73"/>
    <n v="2258.0300000000002"/>
    <n v="1.82"/>
    <n v="11.84"/>
    <n v="112.3"/>
    <n v="2.23"/>
    <n v="1247.3"/>
  </r>
  <r>
    <x v="173"/>
    <s v="Email Marketing"/>
    <s v="Brand Awareness"/>
    <s v="Enterprise Plan"/>
    <n v="16611"/>
    <n v="3713"/>
    <n v="488"/>
    <n v="222.93"/>
    <n v="76311.73"/>
    <n v="22.35"/>
    <n v="13.14"/>
    <n v="0.46"/>
    <n v="342.31"/>
    <n v="76088.800000000003"/>
  </r>
  <r>
    <x v="173"/>
    <s v="Organic Search"/>
    <s v="Retargeting"/>
    <s v="Starter Kit"/>
    <n v="30691"/>
    <n v="1266"/>
    <n v="164"/>
    <n v="0"/>
    <n v="24374.06"/>
    <n v="4.12"/>
    <n v="12.95"/>
    <n v="0"/>
    <n v="0"/>
    <n v="24374.06"/>
  </r>
  <r>
    <x v="173"/>
    <s v="Display Ads"/>
    <s v="Retargeting"/>
    <s v="Enterprise Plan"/>
    <n v="34308"/>
    <n v="470"/>
    <n v="10"/>
    <n v="1080.19"/>
    <n v="1070.17"/>
    <n v="1.37"/>
    <n v="2.13"/>
    <n v="108.02"/>
    <n v="0.99"/>
    <n v="-10.02"/>
  </r>
  <r>
    <x v="173"/>
    <s v="YouTube Ads"/>
    <s v="Brand Awareness"/>
    <s v="Add-on Service"/>
    <n v="17091"/>
    <n v="449"/>
    <n v="26"/>
    <n v="971.35"/>
    <n v="2825.02"/>
    <n v="2.63"/>
    <n v="5.79"/>
    <n v="37.36"/>
    <n v="2.91"/>
    <n v="1853.67"/>
  </r>
  <r>
    <x v="173"/>
    <s v="Twitter Ads"/>
    <s v="Retargeting"/>
    <s v="Basic Plan"/>
    <n v="9847"/>
    <n v="221"/>
    <n v="6"/>
    <n v="437.15"/>
    <n v="486.68"/>
    <n v="2.2400000000000002"/>
    <n v="2.71"/>
    <n v="72.86"/>
    <n v="1.1100000000000001"/>
    <n v="49.53"/>
  </r>
  <r>
    <x v="173"/>
    <s v="TikTok Ads"/>
    <s v="Product Launch"/>
    <s v="Starter Kit"/>
    <n v="19892"/>
    <n v="874"/>
    <n v="40"/>
    <n v="978.36"/>
    <n v="2646.36"/>
    <n v="4.3899999999999997"/>
    <n v="4.58"/>
    <n v="24.46"/>
    <n v="2.7"/>
    <n v="1668"/>
  </r>
  <r>
    <x v="173"/>
    <s v="Affiliate Marketing"/>
    <s v="Product Launch"/>
    <s v="Basic Plan"/>
    <n v="5681"/>
    <n v="333"/>
    <n v="42"/>
    <n v="573.48"/>
    <n v="5762.93"/>
    <n v="5.86"/>
    <n v="12.61"/>
    <n v="13.65"/>
    <n v="10.050000000000001"/>
    <n v="5189.45"/>
  </r>
  <r>
    <x v="173"/>
    <s v="Referral"/>
    <s v="Retargeting"/>
    <s v="Premium Plan"/>
    <n v="3975"/>
    <n v="206"/>
    <n v="24"/>
    <n v="79.36"/>
    <n v="3905.33"/>
    <n v="5.18"/>
    <n v="11.65"/>
    <n v="3.31"/>
    <n v="49.21"/>
    <n v="3825.97"/>
  </r>
  <r>
    <x v="174"/>
    <s v="Google Ads"/>
    <s v="Product Launch"/>
    <s v="Starter Kit"/>
    <n v="14461"/>
    <n v="531"/>
    <n v="43"/>
    <n v="1284.52"/>
    <n v="5335.97"/>
    <n v="3.67"/>
    <n v="8.1"/>
    <n v="29.87"/>
    <n v="4.1500000000000004"/>
    <n v="4051.45"/>
  </r>
  <r>
    <x v="174"/>
    <s v="Facebook Ads"/>
    <s v="Retargeting"/>
    <s v="Enterprise Plan"/>
    <n v="16466"/>
    <n v="445"/>
    <n v="25"/>
    <n v="1002.66"/>
    <n v="3545.34"/>
    <n v="2.7"/>
    <n v="5.62"/>
    <n v="40.11"/>
    <n v="3.54"/>
    <n v="2542.6799999999998"/>
  </r>
  <r>
    <x v="174"/>
    <s v="Instagram Ads"/>
    <s v="Lead Generation"/>
    <s v="Enterprise Plan"/>
    <n v="12310"/>
    <n v="319"/>
    <n v="21"/>
    <n v="786.9"/>
    <n v="1876.73"/>
    <n v="2.59"/>
    <n v="6.58"/>
    <n v="37.47"/>
    <n v="2.38"/>
    <n v="1089.83"/>
  </r>
  <r>
    <x v="174"/>
    <s v="LinkedIn Ads"/>
    <s v="Seasonal Promotion"/>
    <s v="Premium Plan"/>
    <n v="4558"/>
    <n v="126"/>
    <n v="11"/>
    <n v="1049.3800000000001"/>
    <n v="3484.37"/>
    <n v="2.76"/>
    <n v="8.73"/>
    <n v="95.4"/>
    <n v="3.32"/>
    <n v="2434.9899999999998"/>
  </r>
  <r>
    <x v="174"/>
    <s v="Email Marketing"/>
    <s v="Lead Generation"/>
    <s v="Premium Plan"/>
    <n v="16528"/>
    <n v="2495"/>
    <n v="339"/>
    <n v="164.74"/>
    <n v="39602.089999999997"/>
    <n v="15.1"/>
    <n v="13.59"/>
    <n v="0.49"/>
    <n v="240.39"/>
    <n v="39437.35"/>
  </r>
  <r>
    <x v="174"/>
    <s v="Organic Search"/>
    <s v="Brand Awareness"/>
    <s v="Enterprise Plan"/>
    <n v="24695"/>
    <n v="1907"/>
    <n v="297"/>
    <n v="0"/>
    <n v="39099.56"/>
    <n v="7.72"/>
    <n v="15.57"/>
    <n v="0"/>
    <n v="0"/>
    <n v="39099.56"/>
  </r>
  <r>
    <x v="174"/>
    <s v="Display Ads"/>
    <s v="Seasonal Promotion"/>
    <s v="Starter Kit"/>
    <n v="34259"/>
    <n v="515"/>
    <n v="22"/>
    <n v="1075.81"/>
    <n v="3033.29"/>
    <n v="1.5"/>
    <n v="4.2699999999999996"/>
    <n v="48.9"/>
    <n v="2.82"/>
    <n v="1957.48"/>
  </r>
  <r>
    <x v="174"/>
    <s v="YouTube Ads"/>
    <s v="Seasonal Promotion"/>
    <s v="Basic Plan"/>
    <n v="22200"/>
    <n v="563"/>
    <n v="26"/>
    <n v="1274.3499999999999"/>
    <n v="2604.64"/>
    <n v="2.54"/>
    <n v="4.62"/>
    <n v="49.01"/>
    <n v="2.04"/>
    <n v="1330.29"/>
  </r>
  <r>
    <x v="174"/>
    <s v="Twitter Ads"/>
    <s v="Seasonal Promotion"/>
    <s v="Premium Plan"/>
    <n v="13070"/>
    <n v="364"/>
    <n v="10"/>
    <n v="409.48"/>
    <n v="1084.3599999999999"/>
    <n v="2.79"/>
    <n v="2.75"/>
    <n v="40.950000000000003"/>
    <n v="2.65"/>
    <n v="674.88"/>
  </r>
  <r>
    <x v="174"/>
    <s v="TikTok Ads"/>
    <s v="Retargeting"/>
    <s v="Add-on Service"/>
    <n v="19077"/>
    <n v="634"/>
    <n v="19"/>
    <n v="931.94"/>
    <n v="1550.14"/>
    <n v="3.32"/>
    <n v="3"/>
    <n v="49.05"/>
    <n v="1.66"/>
    <n v="618.20000000000005"/>
  </r>
  <r>
    <x v="174"/>
    <s v="Affiliate Marketing"/>
    <s v="Retargeting"/>
    <s v="Add-on Service"/>
    <n v="8868"/>
    <n v="455"/>
    <n v="49"/>
    <n v="515.69000000000005"/>
    <n v="7104.57"/>
    <n v="5.13"/>
    <n v="10.77"/>
    <n v="10.52"/>
    <n v="13.78"/>
    <n v="6588.88"/>
  </r>
  <r>
    <x v="174"/>
    <s v="Referral"/>
    <s v="Flash Sale"/>
    <s v="Starter Kit"/>
    <n v="6058"/>
    <n v="315"/>
    <n v="49"/>
    <n v="98.6"/>
    <n v="8824.08"/>
    <n v="5.2"/>
    <n v="15.56"/>
    <n v="2.0099999999999998"/>
    <n v="89.49"/>
    <n v="8725.48"/>
  </r>
  <r>
    <x v="175"/>
    <s v="Google Ads"/>
    <s v="Seasonal Promotion"/>
    <s v="Basic Plan"/>
    <n v="20035"/>
    <n v="810"/>
    <n v="89"/>
    <n v="1173.9100000000001"/>
    <n v="13478.57"/>
    <n v="4.04"/>
    <n v="10.99"/>
    <n v="13.19"/>
    <n v="11.48"/>
    <n v="12304.66"/>
  </r>
  <r>
    <x v="175"/>
    <s v="Facebook Ads"/>
    <s v="Retargeting"/>
    <s v="Enterprise Plan"/>
    <n v="26180"/>
    <n v="753"/>
    <n v="51"/>
    <n v="1651.11"/>
    <n v="5293.75"/>
    <n v="2.88"/>
    <n v="6.77"/>
    <n v="32.369999999999997"/>
    <n v="3.21"/>
    <n v="3642.64"/>
  </r>
  <r>
    <x v="175"/>
    <s v="Instagram Ads"/>
    <s v="Brand Awareness"/>
    <s v="Starter Kit"/>
    <n v="23608"/>
    <n v="1047"/>
    <n v="60"/>
    <n v="1273.69"/>
    <n v="5367.67"/>
    <n v="4.43"/>
    <n v="5.73"/>
    <n v="21.23"/>
    <n v="4.21"/>
    <n v="4093.98"/>
  </r>
  <r>
    <x v="175"/>
    <s v="LinkedIn Ads"/>
    <s v="Flash Sale"/>
    <s v="Premium Plan"/>
    <n v="7649"/>
    <n v="117"/>
    <n v="14"/>
    <n v="1856"/>
    <n v="4729.83"/>
    <n v="1.53"/>
    <n v="11.97"/>
    <n v="132.57"/>
    <n v="2.5499999999999998"/>
    <n v="2873.83"/>
  </r>
  <r>
    <x v="175"/>
    <s v="Email Marketing"/>
    <s v="Seasonal Promotion"/>
    <s v="Add-on Service"/>
    <n v="26684"/>
    <n v="6164"/>
    <n v="611"/>
    <n v="156.97999999999999"/>
    <n v="94143.05"/>
    <n v="23.1"/>
    <n v="9.91"/>
    <n v="0.26"/>
    <n v="599.71"/>
    <n v="93986.07"/>
  </r>
  <r>
    <x v="175"/>
    <s v="Organic Search"/>
    <s v="Seasonal Promotion"/>
    <s v="Add-on Service"/>
    <n v="45001"/>
    <n v="1992"/>
    <n v="250"/>
    <n v="0"/>
    <n v="27825.35"/>
    <n v="4.43"/>
    <n v="12.55"/>
    <n v="0"/>
    <n v="0"/>
    <n v="27825.35"/>
  </r>
  <r>
    <x v="175"/>
    <s v="Display Ads"/>
    <s v="Flash Sale"/>
    <s v="Add-on Service"/>
    <n v="36171"/>
    <n v="662"/>
    <n v="28"/>
    <n v="1804.42"/>
    <n v="2294.8200000000002"/>
    <n v="1.83"/>
    <n v="4.2300000000000004"/>
    <n v="64.44"/>
    <n v="1.27"/>
    <n v="490.4"/>
  </r>
  <r>
    <x v="175"/>
    <s v="YouTube Ads"/>
    <s v="Lead Generation"/>
    <s v="Premium Plan"/>
    <n v="32267"/>
    <n v="704"/>
    <n v="50"/>
    <n v="1711.52"/>
    <n v="5183.3599999999997"/>
    <n v="2.1800000000000002"/>
    <n v="7.1"/>
    <n v="34.229999999999997"/>
    <n v="3.03"/>
    <n v="3471.84"/>
  </r>
  <r>
    <x v="175"/>
    <s v="Twitter Ads"/>
    <s v="Retargeting"/>
    <s v="Basic Plan"/>
    <n v="17039"/>
    <n v="480"/>
    <n v="21"/>
    <n v="643.05999999999995"/>
    <n v="2080.66"/>
    <n v="2.82"/>
    <n v="4.38"/>
    <n v="30.62"/>
    <n v="3.24"/>
    <n v="1437.6"/>
  </r>
  <r>
    <x v="175"/>
    <s v="TikTok Ads"/>
    <s v="Lead Generation"/>
    <s v="Basic Plan"/>
    <n v="37889"/>
    <n v="1276"/>
    <n v="51"/>
    <n v="1311.8"/>
    <n v="4997.58"/>
    <n v="3.37"/>
    <n v="4"/>
    <n v="25.72"/>
    <n v="3.81"/>
    <n v="3685.78"/>
  </r>
  <r>
    <x v="175"/>
    <s v="Affiliate Marketing"/>
    <s v="Lead Generation"/>
    <s v="Basic Plan"/>
    <n v="12160"/>
    <n v="749"/>
    <n v="67"/>
    <n v="760.18"/>
    <n v="7138.38"/>
    <n v="6.16"/>
    <n v="8.9499999999999993"/>
    <n v="11.35"/>
    <n v="9.39"/>
    <n v="6378.2"/>
  </r>
  <r>
    <x v="175"/>
    <s v="Referral"/>
    <s v="Brand Awareness"/>
    <s v="Starter Kit"/>
    <n v="7869"/>
    <n v="582"/>
    <n v="91"/>
    <n v="183.29"/>
    <n v="10752.94"/>
    <n v="7.4"/>
    <n v="15.64"/>
    <n v="2.0099999999999998"/>
    <n v="58.67"/>
    <n v="10569.65"/>
  </r>
  <r>
    <x v="176"/>
    <s v="Google Ads"/>
    <s v="Brand Awareness"/>
    <s v="Starter Kit"/>
    <n v="20074"/>
    <n v="764"/>
    <n v="75"/>
    <n v="1857.62"/>
    <n v="8955.42"/>
    <n v="3.81"/>
    <n v="9.82"/>
    <n v="24.77"/>
    <n v="4.82"/>
    <n v="7097.8"/>
  </r>
  <r>
    <x v="176"/>
    <s v="Facebook Ads"/>
    <s v="Lead Generation"/>
    <s v="Basic Plan"/>
    <n v="21919"/>
    <n v="736"/>
    <n v="50"/>
    <n v="1565.41"/>
    <n v="5597.06"/>
    <n v="3.36"/>
    <n v="6.79"/>
    <n v="31.31"/>
    <n v="3.58"/>
    <n v="4031.65"/>
  </r>
  <r>
    <x v="176"/>
    <s v="Instagram Ads"/>
    <s v="Seasonal Promotion"/>
    <s v="Enterprise Plan"/>
    <n v="20682"/>
    <n v="652"/>
    <n v="28"/>
    <n v="1020.42"/>
    <n v="2986.15"/>
    <n v="3.15"/>
    <n v="4.29"/>
    <n v="36.44"/>
    <n v="2.93"/>
    <n v="1965.73"/>
  </r>
  <r>
    <x v="176"/>
    <s v="LinkedIn Ads"/>
    <s v="Product Launch"/>
    <s v="Premium Plan"/>
    <n v="8161"/>
    <n v="124"/>
    <n v="16"/>
    <n v="1470.74"/>
    <n v="3690.85"/>
    <n v="1.52"/>
    <n v="12.9"/>
    <n v="91.92"/>
    <n v="2.5099999999999998"/>
    <n v="2220.11"/>
  </r>
  <r>
    <x v="176"/>
    <s v="Email Marketing"/>
    <s v="Brand Awareness"/>
    <s v="Starter Kit"/>
    <n v="31599"/>
    <n v="5213"/>
    <n v="649"/>
    <n v="397.4"/>
    <n v="85148.43"/>
    <n v="16.5"/>
    <n v="12.45"/>
    <n v="0.61"/>
    <n v="214.26"/>
    <n v="84751.03"/>
  </r>
  <r>
    <x v="176"/>
    <s v="Organic Search"/>
    <s v="Seasonal Promotion"/>
    <s v="Starter Kit"/>
    <n v="33222"/>
    <n v="1338"/>
    <n v="170"/>
    <n v="0"/>
    <n v="24665.73"/>
    <n v="4.03"/>
    <n v="12.71"/>
    <n v="0"/>
    <n v="0"/>
    <n v="24665.73"/>
  </r>
  <r>
    <x v="176"/>
    <s v="Display Ads"/>
    <s v="Seasonal Promotion"/>
    <s v="Enterprise Plan"/>
    <n v="44814"/>
    <n v="810"/>
    <n v="25"/>
    <n v="1293.9000000000001"/>
    <n v="3003.2"/>
    <n v="1.81"/>
    <n v="3.09"/>
    <n v="51.76"/>
    <n v="2.3199999999999998"/>
    <n v="1709.3"/>
  </r>
  <r>
    <x v="176"/>
    <s v="YouTube Ads"/>
    <s v="Product Launch"/>
    <s v="Add-on Service"/>
    <n v="33923"/>
    <n v="721"/>
    <n v="32"/>
    <n v="1823.29"/>
    <n v="3190.01"/>
    <n v="2.13"/>
    <n v="4.4400000000000004"/>
    <n v="56.98"/>
    <n v="1.75"/>
    <n v="1366.72"/>
  </r>
  <r>
    <x v="176"/>
    <s v="Twitter Ads"/>
    <s v="Retargeting"/>
    <s v="Premium Plan"/>
    <n v="15472"/>
    <n v="421"/>
    <n v="21"/>
    <n v="1005.99"/>
    <n v="1907.86"/>
    <n v="2.72"/>
    <n v="4.99"/>
    <n v="47.9"/>
    <n v="1.9"/>
    <n v="901.87"/>
  </r>
  <r>
    <x v="176"/>
    <s v="TikTok Ads"/>
    <s v="Flash Sale"/>
    <s v="Add-on Service"/>
    <n v="36657"/>
    <n v="1338"/>
    <n v="86"/>
    <n v="866.55"/>
    <n v="6591.01"/>
    <n v="3.65"/>
    <n v="6.43"/>
    <n v="10.08"/>
    <n v="7.61"/>
    <n v="5724.46"/>
  </r>
  <r>
    <x v="176"/>
    <s v="Affiliate Marketing"/>
    <s v="Seasonal Promotion"/>
    <s v="Add-on Service"/>
    <n v="13995"/>
    <n v="716"/>
    <n v="89"/>
    <n v="704.63"/>
    <n v="9261.49"/>
    <n v="5.12"/>
    <n v="12.43"/>
    <n v="7.92"/>
    <n v="13.14"/>
    <n v="8556.86"/>
  </r>
  <r>
    <x v="176"/>
    <s v="Referral"/>
    <s v="Retargeting"/>
    <s v="Premium Plan"/>
    <n v="6448"/>
    <n v="489"/>
    <n v="60"/>
    <n v="210.56"/>
    <n v="8412.42"/>
    <n v="7.58"/>
    <n v="12.27"/>
    <n v="3.51"/>
    <n v="39.950000000000003"/>
    <n v="8201.86"/>
  </r>
  <r>
    <x v="177"/>
    <s v="Google Ads"/>
    <s v="Retargeting"/>
    <s v="Basic Plan"/>
    <n v="15992"/>
    <n v="673"/>
    <n v="71"/>
    <n v="1688.57"/>
    <n v="11786.54"/>
    <n v="4.21"/>
    <n v="10.55"/>
    <n v="23.78"/>
    <n v="6.98"/>
    <n v="10097.969999999999"/>
  </r>
  <r>
    <x v="177"/>
    <s v="Facebook Ads"/>
    <s v="Lead Generation"/>
    <s v="Add-on Service"/>
    <n v="21614"/>
    <n v="862"/>
    <n v="58"/>
    <n v="876.41"/>
    <n v="7697.85"/>
    <n v="3.99"/>
    <n v="6.73"/>
    <n v="15.11"/>
    <n v="8.7799999999999994"/>
    <n v="6821.44"/>
  </r>
  <r>
    <x v="177"/>
    <s v="Instagram Ads"/>
    <s v="Seasonal Promotion"/>
    <s v="Add-on Service"/>
    <n v="18125"/>
    <n v="501"/>
    <n v="32"/>
    <n v="1241.54"/>
    <n v="3527.04"/>
    <n v="2.76"/>
    <n v="6.39"/>
    <n v="38.799999999999997"/>
    <n v="2.84"/>
    <n v="2285.5"/>
  </r>
  <r>
    <x v="177"/>
    <s v="LinkedIn Ads"/>
    <s v="Brand Awareness"/>
    <s v="Premium Plan"/>
    <n v="6476"/>
    <n v="172"/>
    <n v="25"/>
    <n v="1831.8"/>
    <n v="6229.43"/>
    <n v="2.66"/>
    <n v="14.53"/>
    <n v="73.27"/>
    <n v="3.4"/>
    <n v="4397.63"/>
  </r>
  <r>
    <x v="177"/>
    <s v="Email Marketing"/>
    <s v="Seasonal Promotion"/>
    <s v="Premium Plan"/>
    <n v="22106"/>
    <n v="5268"/>
    <n v="446"/>
    <n v="224.39"/>
    <n v="54856.9"/>
    <n v="23.83"/>
    <n v="8.4700000000000006"/>
    <n v="0.5"/>
    <n v="244.47"/>
    <n v="54632.51"/>
  </r>
  <r>
    <x v="177"/>
    <s v="Organic Search"/>
    <s v="Product Launch"/>
    <s v="Add-on Service"/>
    <n v="40231"/>
    <n v="2434"/>
    <n v="350"/>
    <n v="0"/>
    <n v="49780.25"/>
    <n v="6.05"/>
    <n v="14.38"/>
    <n v="0"/>
    <n v="0"/>
    <n v="49780.25"/>
  </r>
  <r>
    <x v="177"/>
    <s v="Display Ads"/>
    <s v="Product Launch"/>
    <s v="Starter Kit"/>
    <n v="54296"/>
    <n v="963"/>
    <n v="43"/>
    <n v="1173.92"/>
    <n v="4687.7700000000004"/>
    <n v="1.77"/>
    <n v="4.47"/>
    <n v="27.3"/>
    <n v="3.99"/>
    <n v="3513.85"/>
  </r>
  <r>
    <x v="177"/>
    <s v="YouTube Ads"/>
    <s v="Product Launch"/>
    <s v="Starter Kit"/>
    <n v="24593"/>
    <n v="449"/>
    <n v="33"/>
    <n v="1215.9000000000001"/>
    <n v="4279.34"/>
    <n v="1.83"/>
    <n v="7.35"/>
    <n v="36.85"/>
    <n v="3.52"/>
    <n v="3063.44"/>
  </r>
  <r>
    <x v="177"/>
    <s v="Twitter Ads"/>
    <s v="Flash Sale"/>
    <s v="Starter Kit"/>
    <n v="13178"/>
    <n v="379"/>
    <n v="16"/>
    <n v="826.94"/>
    <n v="1960.74"/>
    <n v="2.88"/>
    <n v="4.22"/>
    <n v="51.68"/>
    <n v="2.37"/>
    <n v="1133.8"/>
  </r>
  <r>
    <x v="177"/>
    <s v="TikTok Ads"/>
    <s v="Seasonal Promotion"/>
    <s v="Add-on Service"/>
    <n v="30970"/>
    <n v="1390"/>
    <n v="88"/>
    <n v="863.68"/>
    <n v="8283.06"/>
    <n v="4.49"/>
    <n v="6.33"/>
    <n v="9.81"/>
    <n v="9.59"/>
    <n v="7419.38"/>
  </r>
  <r>
    <x v="177"/>
    <s v="Affiliate Marketing"/>
    <s v="Retargeting"/>
    <s v="Premium Plan"/>
    <n v="11579"/>
    <n v="726"/>
    <n v="60"/>
    <n v="645.21"/>
    <n v="9155.2199999999993"/>
    <n v="6.27"/>
    <n v="8.26"/>
    <n v="10.75"/>
    <n v="14.19"/>
    <n v="8510.01"/>
  </r>
  <r>
    <x v="177"/>
    <s v="Referral"/>
    <s v="Lead Generation"/>
    <s v="Enterprise Plan"/>
    <n v="8838"/>
    <n v="809"/>
    <n v="140"/>
    <n v="79.709999999999994"/>
    <n v="18666.080000000002"/>
    <n v="9.15"/>
    <n v="17.309999999999999"/>
    <n v="0.56999999999999995"/>
    <n v="234.17"/>
    <n v="18586.37"/>
  </r>
  <r>
    <x v="178"/>
    <s v="Google Ads"/>
    <s v="Retargeting"/>
    <s v="Basic Plan"/>
    <n v="11515"/>
    <n v="539"/>
    <n v="56"/>
    <n v="1250.07"/>
    <n v="8458.08"/>
    <n v="4.68"/>
    <n v="10.39"/>
    <n v="22.32"/>
    <n v="6.77"/>
    <n v="7208.01"/>
  </r>
  <r>
    <x v="178"/>
    <s v="Facebook Ads"/>
    <s v="Seasonal Promotion"/>
    <s v="Add-on Service"/>
    <n v="26763"/>
    <n v="1005"/>
    <n v="62"/>
    <n v="1584.37"/>
    <n v="8369.5"/>
    <n v="3.76"/>
    <n v="6.17"/>
    <n v="25.55"/>
    <n v="5.28"/>
    <n v="6785.13"/>
  </r>
  <r>
    <x v="178"/>
    <s v="Instagram Ads"/>
    <s v="Flash Sale"/>
    <s v="Starter Kit"/>
    <n v="22241"/>
    <n v="942"/>
    <n v="61"/>
    <n v="1294.08"/>
    <n v="5388.49"/>
    <n v="4.24"/>
    <n v="6.48"/>
    <n v="21.21"/>
    <n v="4.16"/>
    <n v="4094.41"/>
  </r>
  <r>
    <x v="178"/>
    <s v="LinkedIn Ads"/>
    <s v="Brand Awareness"/>
    <s v="Starter Kit"/>
    <n v="4919"/>
    <n v="125"/>
    <n v="15"/>
    <n v="1992.32"/>
    <n v="4716.76"/>
    <n v="2.54"/>
    <n v="12"/>
    <n v="132.82"/>
    <n v="2.37"/>
    <n v="2724.44"/>
  </r>
  <r>
    <x v="178"/>
    <s v="Email Marketing"/>
    <s v="Product Launch"/>
    <s v="Basic Plan"/>
    <n v="30619"/>
    <n v="4866"/>
    <n v="457"/>
    <n v="301.94"/>
    <n v="71649.45"/>
    <n v="15.89"/>
    <n v="9.39"/>
    <n v="0.66"/>
    <n v="237.3"/>
    <n v="71347.509999999995"/>
  </r>
  <r>
    <x v="178"/>
    <s v="Organic Search"/>
    <s v="Brand Awareness"/>
    <s v="Starter Kit"/>
    <n v="43783"/>
    <n v="1873"/>
    <n v="285"/>
    <n v="0"/>
    <n v="27915.360000000001"/>
    <n v="4.28"/>
    <n v="15.22"/>
    <n v="0"/>
    <n v="0"/>
    <n v="27915.360000000001"/>
  </r>
  <r>
    <x v="178"/>
    <s v="Display Ads"/>
    <s v="Product Launch"/>
    <s v="Enterprise Plan"/>
    <n v="51374"/>
    <n v="634"/>
    <n v="16"/>
    <n v="1334.15"/>
    <n v="1930.4"/>
    <n v="1.23"/>
    <n v="2.52"/>
    <n v="83.38"/>
    <n v="1.45"/>
    <n v="596.25"/>
  </r>
  <r>
    <x v="178"/>
    <s v="YouTube Ads"/>
    <s v="Brand Awareness"/>
    <s v="Enterprise Plan"/>
    <n v="22766"/>
    <n v="658"/>
    <n v="47"/>
    <n v="1397.24"/>
    <n v="5645.91"/>
    <n v="2.89"/>
    <n v="7.14"/>
    <n v="29.73"/>
    <n v="4.04"/>
    <n v="4248.67"/>
  </r>
  <r>
    <x v="178"/>
    <s v="Twitter Ads"/>
    <s v="Product Launch"/>
    <s v="Enterprise Plan"/>
    <n v="19285"/>
    <n v="653"/>
    <n v="29"/>
    <n v="870.74"/>
    <n v="2218.7600000000002"/>
    <n v="3.39"/>
    <n v="4.4400000000000004"/>
    <n v="30.03"/>
    <n v="2.5499999999999998"/>
    <n v="1348.02"/>
  </r>
  <r>
    <x v="178"/>
    <s v="TikTok Ads"/>
    <s v="Product Launch"/>
    <s v="Starter Kit"/>
    <n v="32080"/>
    <n v="1439"/>
    <n v="54"/>
    <n v="1239.29"/>
    <n v="4993.67"/>
    <n v="4.49"/>
    <n v="3.75"/>
    <n v="22.95"/>
    <n v="4.03"/>
    <n v="3754.38"/>
  </r>
  <r>
    <x v="178"/>
    <s v="Affiliate Marketing"/>
    <s v="Flash Sale"/>
    <s v="Premium Plan"/>
    <n v="11215"/>
    <n v="508"/>
    <n v="60"/>
    <n v="744.02"/>
    <n v="6979.29"/>
    <n v="4.53"/>
    <n v="11.81"/>
    <n v="12.4"/>
    <n v="9.3800000000000008"/>
    <n v="6235.27"/>
  </r>
  <r>
    <x v="178"/>
    <s v="Referral"/>
    <s v="Lead Generation"/>
    <s v="Basic Plan"/>
    <n v="8748"/>
    <n v="533"/>
    <n v="82"/>
    <n v="168.08"/>
    <n v="10069.42"/>
    <n v="6.09"/>
    <n v="15.38"/>
    <n v="2.0499999999999998"/>
    <n v="59.91"/>
    <n v="9901.34"/>
  </r>
  <r>
    <x v="179"/>
    <s v="Google Ads"/>
    <s v="Product Launch"/>
    <s v="Starter Kit"/>
    <n v="17271"/>
    <n v="758"/>
    <n v="77"/>
    <n v="1637.69"/>
    <n v="13204.35"/>
    <n v="4.3899999999999997"/>
    <n v="10.16"/>
    <n v="21.27"/>
    <n v="8.06"/>
    <n v="11566.66"/>
  </r>
  <r>
    <x v="179"/>
    <s v="Facebook Ads"/>
    <s v="Product Launch"/>
    <s v="Enterprise Plan"/>
    <n v="17362"/>
    <n v="438"/>
    <n v="25"/>
    <n v="1071.0899999999999"/>
    <n v="3238.55"/>
    <n v="2.52"/>
    <n v="5.71"/>
    <n v="42.84"/>
    <n v="3.02"/>
    <n v="2167.46"/>
  </r>
  <r>
    <x v="179"/>
    <s v="Instagram Ads"/>
    <s v="Flash Sale"/>
    <s v="Starter Kit"/>
    <n v="17554"/>
    <n v="742"/>
    <n v="32"/>
    <n v="1326.65"/>
    <n v="3402.49"/>
    <n v="4.2300000000000004"/>
    <n v="4.3099999999999996"/>
    <n v="41.46"/>
    <n v="2.56"/>
    <n v="2075.84"/>
  </r>
  <r>
    <x v="179"/>
    <s v="LinkedIn Ads"/>
    <s v="Seasonal Promotion"/>
    <s v="Premium Plan"/>
    <n v="5864"/>
    <n v="125"/>
    <n v="15"/>
    <n v="2358.0700000000002"/>
    <n v="3824.45"/>
    <n v="2.13"/>
    <n v="12"/>
    <n v="157.19999999999999"/>
    <n v="1.62"/>
    <n v="1466.38"/>
  </r>
  <r>
    <x v="179"/>
    <s v="Email Marketing"/>
    <s v="Lead Generation"/>
    <s v="Starter Kit"/>
    <n v="21308"/>
    <n v="3651"/>
    <n v="393"/>
    <n v="312.16000000000003"/>
    <n v="49091.59"/>
    <n v="17.13"/>
    <n v="10.76"/>
    <n v="0.79"/>
    <n v="157.26"/>
    <n v="48779.43"/>
  </r>
  <r>
    <x v="179"/>
    <s v="Organic Search"/>
    <s v="Lead Generation"/>
    <s v="Starter Kit"/>
    <n v="34483"/>
    <n v="2051"/>
    <n v="295"/>
    <n v="0"/>
    <n v="34161.410000000003"/>
    <n v="5.95"/>
    <n v="14.38"/>
    <n v="0"/>
    <n v="0"/>
    <n v="34161.410000000003"/>
  </r>
  <r>
    <x v="179"/>
    <s v="Display Ads"/>
    <s v="Flash Sale"/>
    <s v="Starter Kit"/>
    <n v="42950"/>
    <n v="446"/>
    <n v="12"/>
    <n v="1688.13"/>
    <n v="1394.15"/>
    <n v="1.04"/>
    <n v="2.69"/>
    <n v="140.68"/>
    <n v="0.83"/>
    <n v="-293.98"/>
  </r>
  <r>
    <x v="179"/>
    <s v="YouTube Ads"/>
    <s v="Seasonal Promotion"/>
    <s v="Enterprise Plan"/>
    <n v="34182"/>
    <n v="922"/>
    <n v="51"/>
    <n v="1516.68"/>
    <n v="6538.34"/>
    <n v="2.7"/>
    <n v="5.53"/>
    <n v="29.74"/>
    <n v="4.3099999999999996"/>
    <n v="5021.66"/>
  </r>
  <r>
    <x v="179"/>
    <s v="Twitter Ads"/>
    <s v="Brand Awareness"/>
    <s v="Add-on Service"/>
    <n v="17549"/>
    <n v="393"/>
    <n v="21"/>
    <n v="909.33"/>
    <n v="1518.97"/>
    <n v="2.2400000000000002"/>
    <n v="5.34"/>
    <n v="43.3"/>
    <n v="1.67"/>
    <n v="609.64"/>
  </r>
  <r>
    <x v="179"/>
    <s v="TikTok Ads"/>
    <s v="Lead Generation"/>
    <s v="Premium Plan"/>
    <n v="39218"/>
    <n v="989"/>
    <n v="67"/>
    <n v="1000.21"/>
    <n v="5081.5600000000004"/>
    <n v="2.52"/>
    <n v="6.77"/>
    <n v="14.93"/>
    <n v="5.08"/>
    <n v="4081.35"/>
  </r>
  <r>
    <x v="179"/>
    <s v="Affiliate Marketing"/>
    <s v="Product Launch"/>
    <s v="Add-on Service"/>
    <n v="13602"/>
    <n v="742"/>
    <n v="93"/>
    <n v="643.01"/>
    <n v="13862.66"/>
    <n v="5.46"/>
    <n v="12.53"/>
    <n v="6.91"/>
    <n v="21.56"/>
    <n v="13219.65"/>
  </r>
  <r>
    <x v="179"/>
    <s v="Referral"/>
    <s v="Retargeting"/>
    <s v="Basic Plan"/>
    <n v="8720"/>
    <n v="793"/>
    <n v="99"/>
    <n v="228.55"/>
    <n v="11383.93"/>
    <n v="9.09"/>
    <n v="12.48"/>
    <n v="2.31"/>
    <n v="49.81"/>
    <n v="11155.38"/>
  </r>
  <r>
    <x v="180"/>
    <s v="Google Ads"/>
    <s v="Seasonal Promotion"/>
    <s v="Add-on Service"/>
    <n v="14194"/>
    <n v="654"/>
    <n v="73"/>
    <n v="1081.45"/>
    <n v="9787.34"/>
    <n v="4.6100000000000003"/>
    <n v="11.16"/>
    <n v="14.81"/>
    <n v="9.0500000000000007"/>
    <n v="8705.89"/>
  </r>
  <r>
    <x v="180"/>
    <s v="Facebook Ads"/>
    <s v="Brand Awareness"/>
    <s v="Basic Plan"/>
    <n v="18103"/>
    <n v="475"/>
    <n v="26"/>
    <n v="741.61"/>
    <n v="3825.82"/>
    <n v="2.62"/>
    <n v="5.47"/>
    <n v="28.52"/>
    <n v="5.16"/>
    <n v="3084.21"/>
  </r>
  <r>
    <x v="180"/>
    <s v="Instagram Ads"/>
    <s v="Lead Generation"/>
    <s v="Basic Plan"/>
    <n v="13693"/>
    <n v="498"/>
    <n v="36"/>
    <n v="791.18"/>
    <n v="2748.27"/>
    <n v="3.64"/>
    <n v="7.23"/>
    <n v="21.98"/>
    <n v="3.47"/>
    <n v="1957.09"/>
  </r>
  <r>
    <x v="180"/>
    <s v="LinkedIn Ads"/>
    <s v="Brand Awareness"/>
    <s v="Basic Plan"/>
    <n v="2966"/>
    <n v="61"/>
    <n v="5"/>
    <n v="1728.28"/>
    <n v="1125.54"/>
    <n v="2.06"/>
    <n v="8.1999999999999993"/>
    <n v="345.66"/>
    <n v="0.65"/>
    <n v="-602.74"/>
  </r>
  <r>
    <x v="180"/>
    <s v="Email Marketing"/>
    <s v="Brand Awareness"/>
    <s v="Starter Kit"/>
    <n v="19347"/>
    <n v="3759"/>
    <n v="517"/>
    <n v="217.01"/>
    <n v="83009.649999999994"/>
    <n v="19.43"/>
    <n v="13.75"/>
    <n v="0.42"/>
    <n v="382.52"/>
    <n v="82792.639999999999"/>
  </r>
  <r>
    <x v="180"/>
    <s v="Organic Search"/>
    <s v="Brand Awareness"/>
    <s v="Enterprise Plan"/>
    <n v="30281"/>
    <n v="1430"/>
    <n v="161"/>
    <n v="0"/>
    <n v="19799.98"/>
    <n v="4.72"/>
    <n v="11.26"/>
    <n v="0"/>
    <n v="0"/>
    <n v="19799.98"/>
  </r>
  <r>
    <x v="180"/>
    <s v="Display Ads"/>
    <s v="Flash Sale"/>
    <s v="Basic Plan"/>
    <n v="34788"/>
    <n v="654"/>
    <n v="15"/>
    <n v="728.2"/>
    <n v="1988.2"/>
    <n v="1.88"/>
    <n v="2.29"/>
    <n v="48.55"/>
    <n v="2.73"/>
    <n v="1260"/>
  </r>
  <r>
    <x v="180"/>
    <s v="YouTube Ads"/>
    <s v="Product Launch"/>
    <s v="Enterprise Plan"/>
    <n v="16164"/>
    <n v="259"/>
    <n v="9"/>
    <n v="788.2"/>
    <n v="941.05"/>
    <n v="1.6"/>
    <n v="3.47"/>
    <n v="87.58"/>
    <n v="1.19"/>
    <n v="152.85"/>
  </r>
  <r>
    <x v="180"/>
    <s v="Twitter Ads"/>
    <s v="Retargeting"/>
    <s v="Add-on Service"/>
    <n v="8798"/>
    <n v="285"/>
    <n v="9"/>
    <n v="686.65"/>
    <n v="862.37"/>
    <n v="3.24"/>
    <n v="3.16"/>
    <n v="76.290000000000006"/>
    <n v="1.26"/>
    <n v="175.72"/>
  </r>
  <r>
    <x v="180"/>
    <s v="TikTok Ads"/>
    <s v="Retargeting"/>
    <s v="Premium Plan"/>
    <n v="17921"/>
    <n v="676"/>
    <n v="42"/>
    <n v="897.09"/>
    <n v="3191.26"/>
    <n v="3.77"/>
    <n v="6.21"/>
    <n v="21.36"/>
    <n v="3.56"/>
    <n v="2294.17"/>
  </r>
  <r>
    <x v="180"/>
    <s v="Affiliate Marketing"/>
    <s v="Flash Sale"/>
    <s v="Premium Plan"/>
    <n v="6547"/>
    <n v="442"/>
    <n v="51"/>
    <n v="500.46"/>
    <n v="5101.8100000000004"/>
    <n v="6.75"/>
    <n v="11.54"/>
    <n v="9.81"/>
    <n v="10.19"/>
    <n v="4601.3500000000004"/>
  </r>
  <r>
    <x v="180"/>
    <s v="Referral"/>
    <s v="Lead Generation"/>
    <s v="Enterprise Plan"/>
    <n v="4215"/>
    <n v="321"/>
    <n v="40"/>
    <n v="100.42"/>
    <n v="7012.89"/>
    <n v="7.62"/>
    <n v="12.46"/>
    <n v="2.5099999999999998"/>
    <n v="69.84"/>
    <n v="6912.47"/>
  </r>
  <r>
    <x v="181"/>
    <s v="Google Ads"/>
    <s v="Retargeting"/>
    <s v="Add-on Service"/>
    <n v="8704"/>
    <n v="322"/>
    <n v="36"/>
    <n v="1453.59"/>
    <n v="4932.24"/>
    <n v="3.7"/>
    <n v="11.18"/>
    <n v="40.380000000000003"/>
    <n v="3.39"/>
    <n v="3478.65"/>
  </r>
  <r>
    <x v="181"/>
    <s v="Facebook Ads"/>
    <s v="Retargeting"/>
    <s v="Basic Plan"/>
    <n v="11984"/>
    <n v="467"/>
    <n v="40"/>
    <n v="749.5"/>
    <n v="4634.1400000000003"/>
    <n v="3.9"/>
    <n v="8.57"/>
    <n v="18.739999999999998"/>
    <n v="6.18"/>
    <n v="3884.64"/>
  </r>
  <r>
    <x v="181"/>
    <s v="Instagram Ads"/>
    <s v="Retargeting"/>
    <s v="Add-on Service"/>
    <n v="10207"/>
    <n v="344"/>
    <n v="16"/>
    <n v="938.83"/>
    <n v="1658.41"/>
    <n v="3.37"/>
    <n v="4.6500000000000004"/>
    <n v="58.68"/>
    <n v="1.77"/>
    <n v="719.58"/>
  </r>
  <r>
    <x v="181"/>
    <s v="LinkedIn Ads"/>
    <s v="Seasonal Promotion"/>
    <s v="Enterprise Plan"/>
    <n v="3103"/>
    <n v="72"/>
    <n v="8"/>
    <n v="999.52"/>
    <n v="2748.01"/>
    <n v="2.3199999999999998"/>
    <n v="11.11"/>
    <n v="124.94"/>
    <n v="2.75"/>
    <n v="1748.49"/>
  </r>
  <r>
    <x v="181"/>
    <s v="Email Marketing"/>
    <s v="Product Launch"/>
    <s v="Basic Plan"/>
    <n v="15755"/>
    <n v="3596"/>
    <n v="306"/>
    <n v="150.77000000000001"/>
    <n v="38826.980000000003"/>
    <n v="22.82"/>
    <n v="8.51"/>
    <n v="0.49"/>
    <n v="257.52"/>
    <n v="38676.21"/>
  </r>
  <r>
    <x v="181"/>
    <s v="Organic Search"/>
    <s v="Product Launch"/>
    <s v="Premium Plan"/>
    <n v="24196"/>
    <n v="1806"/>
    <n v="224"/>
    <n v="0"/>
    <n v="30338.79"/>
    <n v="7.46"/>
    <n v="12.4"/>
    <n v="0"/>
    <n v="0"/>
    <n v="30338.79"/>
  </r>
  <r>
    <x v="181"/>
    <s v="Display Ads"/>
    <s v="Product Launch"/>
    <s v="Premium Plan"/>
    <n v="37969"/>
    <n v="698"/>
    <n v="31"/>
    <n v="1117.96"/>
    <n v="2596.7399999999998"/>
    <n v="1.84"/>
    <n v="4.4400000000000004"/>
    <n v="36.06"/>
    <n v="2.3199999999999998"/>
    <n v="1478.78"/>
  </r>
  <r>
    <x v="181"/>
    <s v="YouTube Ads"/>
    <s v="Retargeting"/>
    <s v="Premium Plan"/>
    <n v="15360"/>
    <n v="456"/>
    <n v="33"/>
    <n v="826.02"/>
    <n v="4993.45"/>
    <n v="2.97"/>
    <n v="7.24"/>
    <n v="25.03"/>
    <n v="6.05"/>
    <n v="4167.43"/>
  </r>
  <r>
    <x v="181"/>
    <s v="Twitter Ads"/>
    <s v="Lead Generation"/>
    <s v="Add-on Service"/>
    <n v="11677"/>
    <n v="247"/>
    <n v="7"/>
    <n v="476.95"/>
    <n v="697.59"/>
    <n v="2.12"/>
    <n v="2.83"/>
    <n v="68.14"/>
    <n v="1.46"/>
    <n v="220.64"/>
  </r>
  <r>
    <x v="181"/>
    <s v="TikTok Ads"/>
    <s v="Lead Generation"/>
    <s v="Basic Plan"/>
    <n v="26802"/>
    <n v="748"/>
    <n v="27"/>
    <n v="635.64"/>
    <n v="2320.4299999999998"/>
    <n v="2.79"/>
    <n v="3.61"/>
    <n v="23.54"/>
    <n v="3.65"/>
    <n v="1684.79"/>
  </r>
  <r>
    <x v="181"/>
    <s v="Affiliate Marketing"/>
    <s v="Flash Sale"/>
    <s v="Basic Plan"/>
    <n v="8172"/>
    <n v="484"/>
    <n v="54"/>
    <n v="338.32"/>
    <n v="5947.63"/>
    <n v="5.92"/>
    <n v="11.16"/>
    <n v="6.27"/>
    <n v="17.579999999999998"/>
    <n v="5609.31"/>
  </r>
  <r>
    <x v="181"/>
    <s v="Referral"/>
    <s v="Flash Sale"/>
    <s v="Basic Plan"/>
    <n v="5732"/>
    <n v="446"/>
    <n v="59"/>
    <n v="92.37"/>
    <n v="7939.85"/>
    <n v="7.78"/>
    <n v="13.23"/>
    <n v="1.57"/>
    <n v="85.96"/>
    <n v="7847.48"/>
  </r>
  <r>
    <x v="182"/>
    <s v="Google Ads"/>
    <s v="Product Launch"/>
    <s v="Starter Kit"/>
    <n v="20878"/>
    <n v="859"/>
    <n v="77"/>
    <n v="1722.01"/>
    <n v="13165.43"/>
    <n v="4.1100000000000003"/>
    <n v="8.9600000000000009"/>
    <n v="22.36"/>
    <n v="7.65"/>
    <n v="11443.42"/>
  </r>
  <r>
    <x v="182"/>
    <s v="Facebook Ads"/>
    <s v="Seasonal Promotion"/>
    <s v="Premium Plan"/>
    <n v="24648"/>
    <n v="674"/>
    <n v="36"/>
    <n v="1298.32"/>
    <n v="4508.55"/>
    <n v="2.73"/>
    <n v="5.34"/>
    <n v="36.06"/>
    <n v="3.47"/>
    <n v="3210.23"/>
  </r>
  <r>
    <x v="182"/>
    <s v="Instagram Ads"/>
    <s v="Flash Sale"/>
    <s v="Premium Plan"/>
    <n v="22345"/>
    <n v="579"/>
    <n v="39"/>
    <n v="1186.58"/>
    <n v="3027.23"/>
    <n v="2.59"/>
    <n v="6.74"/>
    <n v="30.43"/>
    <n v="2.5499999999999998"/>
    <n v="1840.65"/>
  </r>
  <r>
    <x v="182"/>
    <s v="LinkedIn Ads"/>
    <s v="Retargeting"/>
    <s v="Basic Plan"/>
    <n v="5203"/>
    <n v="124"/>
    <n v="12"/>
    <n v="1466.41"/>
    <n v="3767.32"/>
    <n v="2.38"/>
    <n v="9.68"/>
    <n v="122.2"/>
    <n v="2.57"/>
    <n v="2300.91"/>
  </r>
  <r>
    <x v="182"/>
    <s v="Email Marketing"/>
    <s v="Flash Sale"/>
    <s v="Basic Plan"/>
    <n v="23717"/>
    <n v="3770"/>
    <n v="340"/>
    <n v="260.81"/>
    <n v="52905.23"/>
    <n v="15.9"/>
    <n v="9.02"/>
    <n v="0.77"/>
    <n v="202.85"/>
    <n v="52644.42"/>
  </r>
  <r>
    <x v="182"/>
    <s v="Organic Search"/>
    <s v="Seasonal Promotion"/>
    <s v="Premium Plan"/>
    <n v="39792"/>
    <n v="2178"/>
    <n v="302"/>
    <n v="0"/>
    <n v="32958.47"/>
    <n v="5.47"/>
    <n v="13.87"/>
    <n v="0"/>
    <n v="0"/>
    <n v="32958.47"/>
  </r>
  <r>
    <x v="182"/>
    <s v="Display Ads"/>
    <s v="Lead Generation"/>
    <s v="Enterprise Plan"/>
    <n v="49343"/>
    <n v="551"/>
    <n v="11"/>
    <n v="1348.1"/>
    <n v="1098.8499999999999"/>
    <n v="1.1200000000000001"/>
    <n v="2"/>
    <n v="122.55"/>
    <n v="0.82"/>
    <n v="-249.25"/>
  </r>
  <r>
    <x v="182"/>
    <s v="YouTube Ads"/>
    <s v="Seasonal Promotion"/>
    <s v="Enterprise Plan"/>
    <n v="21238"/>
    <n v="463"/>
    <n v="19"/>
    <n v="1498.19"/>
    <n v="2155.41"/>
    <n v="2.1800000000000002"/>
    <n v="4.0999999999999996"/>
    <n v="78.849999999999994"/>
    <n v="1.44"/>
    <n v="657.22"/>
  </r>
  <r>
    <x v="182"/>
    <s v="Twitter Ads"/>
    <s v="Flash Sale"/>
    <s v="Enterprise Plan"/>
    <n v="11594"/>
    <n v="312"/>
    <n v="9"/>
    <n v="1034.3699999999999"/>
    <n v="984.82"/>
    <n v="2.69"/>
    <n v="2.88"/>
    <n v="114.93"/>
    <n v="0.95"/>
    <n v="-49.55"/>
  </r>
  <r>
    <x v="182"/>
    <s v="TikTok Ads"/>
    <s v="Retargeting"/>
    <s v="Starter Kit"/>
    <n v="38217"/>
    <n v="981"/>
    <n v="62"/>
    <n v="1508.65"/>
    <n v="4733.9799999999996"/>
    <n v="2.57"/>
    <n v="6.32"/>
    <n v="24.33"/>
    <n v="3.14"/>
    <n v="3225.33"/>
  </r>
  <r>
    <x v="182"/>
    <s v="Affiliate Marketing"/>
    <s v="Product Launch"/>
    <s v="Starter Kit"/>
    <n v="12206"/>
    <n v="708"/>
    <n v="74"/>
    <n v="722.37"/>
    <n v="9397.76"/>
    <n v="5.8"/>
    <n v="10.45"/>
    <n v="9.76"/>
    <n v="13.01"/>
    <n v="8675.39"/>
  </r>
  <r>
    <x v="182"/>
    <s v="Referral"/>
    <s v="Product Launch"/>
    <s v="Basic Plan"/>
    <n v="6792"/>
    <n v="392"/>
    <n v="64"/>
    <n v="72.14"/>
    <n v="10365.36"/>
    <n v="5.77"/>
    <n v="16.329999999999998"/>
    <n v="1.1299999999999999"/>
    <n v="143.68"/>
    <n v="10293.219999999999"/>
  </r>
  <r>
    <x v="183"/>
    <s v="Google Ads"/>
    <s v="Retargeting"/>
    <s v="Enterprise Plan"/>
    <n v="19189"/>
    <n v="926"/>
    <n v="95"/>
    <n v="1747.61"/>
    <n v="11865.95"/>
    <n v="4.83"/>
    <n v="10.26"/>
    <n v="18.399999999999999"/>
    <n v="6.79"/>
    <n v="10118.34"/>
  </r>
  <r>
    <x v="183"/>
    <s v="Facebook Ads"/>
    <s v="Flash Sale"/>
    <s v="Add-on Service"/>
    <n v="21666"/>
    <n v="807"/>
    <n v="70"/>
    <n v="1452.11"/>
    <n v="6475.52"/>
    <n v="3.72"/>
    <n v="8.67"/>
    <n v="20.74"/>
    <n v="4.46"/>
    <n v="5023.41"/>
  </r>
  <r>
    <x v="183"/>
    <s v="Instagram Ads"/>
    <s v="Seasonal Promotion"/>
    <s v="Starter Kit"/>
    <n v="19789"/>
    <n v="656"/>
    <n v="29"/>
    <n v="1371.75"/>
    <n v="3087.27"/>
    <n v="3.31"/>
    <n v="4.42"/>
    <n v="47.3"/>
    <n v="2.25"/>
    <n v="1715.52"/>
  </r>
  <r>
    <x v="183"/>
    <s v="LinkedIn Ads"/>
    <s v="Seasonal Promotion"/>
    <s v="Premium Plan"/>
    <n v="7790"/>
    <n v="197"/>
    <n v="19"/>
    <n v="1781.99"/>
    <n v="6838.07"/>
    <n v="2.5299999999999998"/>
    <n v="9.64"/>
    <n v="93.79"/>
    <n v="3.84"/>
    <n v="5056.08"/>
  </r>
  <r>
    <x v="183"/>
    <s v="Email Marketing"/>
    <s v="Brand Awareness"/>
    <s v="Add-on Service"/>
    <n v="28837"/>
    <n v="5378"/>
    <n v="557"/>
    <n v="357.16"/>
    <n v="79004.800000000003"/>
    <n v="18.649999999999999"/>
    <n v="10.36"/>
    <n v="0.64"/>
    <n v="221.2"/>
    <n v="78647.64"/>
  </r>
  <r>
    <x v="183"/>
    <s v="Organic Search"/>
    <s v="Flash Sale"/>
    <s v="Enterprise Plan"/>
    <n v="35445"/>
    <n v="2641"/>
    <n v="396"/>
    <n v="0"/>
    <n v="58507.25"/>
    <n v="7.45"/>
    <n v="14.99"/>
    <n v="0"/>
    <n v="0"/>
    <n v="58507.25"/>
  </r>
  <r>
    <x v="183"/>
    <s v="Display Ads"/>
    <s v="Seasonal Promotion"/>
    <s v="Add-on Service"/>
    <n v="40276"/>
    <n v="406"/>
    <n v="18"/>
    <n v="1752.06"/>
    <n v="1945.57"/>
    <n v="1.01"/>
    <n v="4.43"/>
    <n v="97.34"/>
    <n v="1.1100000000000001"/>
    <n v="193.51"/>
  </r>
  <r>
    <x v="183"/>
    <s v="YouTube Ads"/>
    <s v="Seasonal Promotion"/>
    <s v="Enterprise Plan"/>
    <n v="21877"/>
    <n v="529"/>
    <n v="32"/>
    <n v="1829.1"/>
    <n v="3657.09"/>
    <n v="2.42"/>
    <n v="6.05"/>
    <n v="57.16"/>
    <n v="2"/>
    <n v="1827.99"/>
  </r>
  <r>
    <x v="183"/>
    <s v="Twitter Ads"/>
    <s v="Product Launch"/>
    <s v="Premium Plan"/>
    <n v="16923"/>
    <n v="434"/>
    <n v="18"/>
    <n v="756.49"/>
    <n v="1735.54"/>
    <n v="2.56"/>
    <n v="4.1500000000000004"/>
    <n v="42.03"/>
    <n v="2.29"/>
    <n v="979.05"/>
  </r>
  <r>
    <x v="183"/>
    <s v="TikTok Ads"/>
    <s v="Retargeting"/>
    <s v="Premium Plan"/>
    <n v="28221"/>
    <n v="991"/>
    <n v="43"/>
    <n v="983.53"/>
    <n v="4500.3900000000003"/>
    <n v="3.51"/>
    <n v="4.34"/>
    <n v="22.87"/>
    <n v="4.58"/>
    <n v="3516.86"/>
  </r>
  <r>
    <x v="183"/>
    <s v="Affiliate Marketing"/>
    <s v="Product Launch"/>
    <s v="Enterprise Plan"/>
    <n v="9184"/>
    <n v="537"/>
    <n v="53"/>
    <n v="541.26"/>
    <n v="6657.54"/>
    <n v="5.85"/>
    <n v="9.8699999999999992"/>
    <n v="10.210000000000001"/>
    <n v="12.3"/>
    <n v="6116.28"/>
  </r>
  <r>
    <x v="183"/>
    <s v="Referral"/>
    <s v="Flash Sale"/>
    <s v="Enterprise Plan"/>
    <n v="5160"/>
    <n v="457"/>
    <n v="70"/>
    <n v="143.38"/>
    <n v="9419.31"/>
    <n v="8.86"/>
    <n v="15.32"/>
    <n v="2.0499999999999998"/>
    <n v="65.69"/>
    <n v="9275.93"/>
  </r>
  <r>
    <x v="184"/>
    <s v="Google Ads"/>
    <s v="Product Launch"/>
    <s v="Enterprise Plan"/>
    <n v="16912"/>
    <n v="547"/>
    <n v="49"/>
    <n v="1734.72"/>
    <n v="8077.58"/>
    <n v="3.23"/>
    <n v="8.9600000000000009"/>
    <n v="35.4"/>
    <n v="4.66"/>
    <n v="6342.86"/>
  </r>
  <r>
    <x v="184"/>
    <s v="Facebook Ads"/>
    <s v="Flash Sale"/>
    <s v="Enterprise Plan"/>
    <n v="16153"/>
    <n v="560"/>
    <n v="32"/>
    <n v="1009.85"/>
    <n v="4009.94"/>
    <n v="3.47"/>
    <n v="5.71"/>
    <n v="31.56"/>
    <n v="3.97"/>
    <n v="3000.09"/>
  </r>
  <r>
    <x v="184"/>
    <s v="Instagram Ads"/>
    <s v="Lead Generation"/>
    <s v="Basic Plan"/>
    <n v="21529"/>
    <n v="723"/>
    <n v="42"/>
    <n v="766.45"/>
    <n v="3838.92"/>
    <n v="3.36"/>
    <n v="5.81"/>
    <n v="18.25"/>
    <n v="5.01"/>
    <n v="3072.47"/>
  </r>
  <r>
    <x v="184"/>
    <s v="LinkedIn Ads"/>
    <s v="Seasonal Promotion"/>
    <s v="Basic Plan"/>
    <n v="4558"/>
    <n v="78"/>
    <n v="10"/>
    <n v="1203.1300000000001"/>
    <n v="3358.52"/>
    <n v="1.71"/>
    <n v="12.82"/>
    <n v="120.31"/>
    <n v="2.79"/>
    <n v="2155.39"/>
  </r>
  <r>
    <x v="184"/>
    <s v="Email Marketing"/>
    <s v="Brand Awareness"/>
    <s v="Add-on Service"/>
    <n v="25177"/>
    <n v="4773"/>
    <n v="524"/>
    <n v="128.74"/>
    <n v="55818.12"/>
    <n v="18.96"/>
    <n v="10.98"/>
    <n v="0.25"/>
    <n v="433.57"/>
    <n v="55689.38"/>
  </r>
  <r>
    <x v="184"/>
    <s v="Organic Search"/>
    <s v="Retargeting"/>
    <s v="Enterprise Plan"/>
    <n v="34552"/>
    <n v="2691"/>
    <n v="382"/>
    <n v="0"/>
    <n v="52230.080000000002"/>
    <n v="7.79"/>
    <n v="14.2"/>
    <n v="0"/>
    <n v="0"/>
    <n v="52230.080000000002"/>
  </r>
  <r>
    <x v="184"/>
    <s v="Display Ads"/>
    <s v="Flash Sale"/>
    <s v="Basic Plan"/>
    <n v="42771"/>
    <n v="735"/>
    <n v="30"/>
    <n v="1209.95"/>
    <n v="3179.98"/>
    <n v="1.72"/>
    <n v="4.08"/>
    <n v="40.33"/>
    <n v="2.63"/>
    <n v="1970.03"/>
  </r>
  <r>
    <x v="184"/>
    <s v="YouTube Ads"/>
    <s v="Flash Sale"/>
    <s v="Premium Plan"/>
    <n v="20858"/>
    <n v="372"/>
    <n v="21"/>
    <n v="1651.9"/>
    <n v="1941.4"/>
    <n v="1.78"/>
    <n v="5.65"/>
    <n v="78.66"/>
    <n v="1.18"/>
    <n v="289.5"/>
  </r>
  <r>
    <x v="184"/>
    <s v="Twitter Ads"/>
    <s v="Flash Sale"/>
    <s v="Starter Kit"/>
    <n v="14637"/>
    <n v="345"/>
    <n v="13"/>
    <n v="852.92"/>
    <n v="1056.08"/>
    <n v="2.36"/>
    <n v="3.77"/>
    <n v="65.61"/>
    <n v="1.24"/>
    <n v="203.16"/>
  </r>
  <r>
    <x v="184"/>
    <s v="TikTok Ads"/>
    <s v="Product Launch"/>
    <s v="Enterprise Plan"/>
    <n v="35992"/>
    <n v="1399"/>
    <n v="74"/>
    <n v="907.71"/>
    <n v="7454.03"/>
    <n v="3.89"/>
    <n v="5.29"/>
    <n v="12.27"/>
    <n v="8.2100000000000009"/>
    <n v="6546.32"/>
  </r>
  <r>
    <x v="184"/>
    <s v="Affiliate Marketing"/>
    <s v="Retargeting"/>
    <s v="Starter Kit"/>
    <n v="9934"/>
    <n v="613"/>
    <n v="60"/>
    <n v="387.86"/>
    <n v="7395.66"/>
    <n v="6.17"/>
    <n v="9.7899999999999991"/>
    <n v="6.46"/>
    <n v="19.07"/>
    <n v="7007.8"/>
  </r>
  <r>
    <x v="184"/>
    <s v="Referral"/>
    <s v="Retargeting"/>
    <s v="Premium Plan"/>
    <n v="7897"/>
    <n v="452"/>
    <n v="67"/>
    <n v="236.25"/>
    <n v="9577.8799999999992"/>
    <n v="5.72"/>
    <n v="14.82"/>
    <n v="3.53"/>
    <n v="40.54"/>
    <n v="9341.6299999999992"/>
  </r>
  <r>
    <x v="185"/>
    <s v="Google Ads"/>
    <s v="Seasonal Promotion"/>
    <s v="Add-on Service"/>
    <n v="16414"/>
    <n v="721"/>
    <n v="76"/>
    <n v="1462.86"/>
    <n v="12378.4"/>
    <n v="4.3899999999999997"/>
    <n v="10.54"/>
    <n v="19.25"/>
    <n v="8.4600000000000009"/>
    <n v="10915.54"/>
  </r>
  <r>
    <x v="185"/>
    <s v="Facebook Ads"/>
    <s v="Lead Generation"/>
    <s v="Enterprise Plan"/>
    <n v="16026"/>
    <n v="603"/>
    <n v="52"/>
    <n v="833.47"/>
    <n v="6472.29"/>
    <n v="3.76"/>
    <n v="8.6199999999999992"/>
    <n v="16.03"/>
    <n v="7.77"/>
    <n v="5638.82"/>
  </r>
  <r>
    <x v="185"/>
    <s v="Instagram Ads"/>
    <s v="Flash Sale"/>
    <s v="Basic Plan"/>
    <n v="15969"/>
    <n v="602"/>
    <n v="38"/>
    <n v="1174.1400000000001"/>
    <n v="3223.03"/>
    <n v="3.77"/>
    <n v="6.31"/>
    <n v="30.9"/>
    <n v="2.75"/>
    <n v="2048.89"/>
  </r>
  <r>
    <x v="185"/>
    <s v="LinkedIn Ads"/>
    <s v="Flash Sale"/>
    <s v="Add-on Service"/>
    <n v="4333"/>
    <n v="121"/>
    <n v="15"/>
    <n v="1892.42"/>
    <n v="2968.1"/>
    <n v="2.79"/>
    <n v="12.4"/>
    <n v="126.16"/>
    <n v="1.57"/>
    <n v="1075.68"/>
  </r>
  <r>
    <x v="185"/>
    <s v="Email Marketing"/>
    <s v="Flash Sale"/>
    <s v="Starter Kit"/>
    <n v="29962"/>
    <n v="6063"/>
    <n v="748"/>
    <n v="309.5"/>
    <n v="108318.72"/>
    <n v="20.239999999999998"/>
    <n v="12.34"/>
    <n v="0.41"/>
    <n v="349.98"/>
    <n v="108009.22"/>
  </r>
  <r>
    <x v="185"/>
    <s v="Organic Search"/>
    <s v="Flash Sale"/>
    <s v="Enterprise Plan"/>
    <n v="38167"/>
    <n v="2918"/>
    <n v="399"/>
    <n v="0"/>
    <n v="47650.91"/>
    <n v="7.65"/>
    <n v="13.67"/>
    <n v="0"/>
    <n v="0"/>
    <n v="47650.91"/>
  </r>
  <r>
    <x v="185"/>
    <s v="Display Ads"/>
    <s v="Seasonal Promotion"/>
    <s v="Enterprise Plan"/>
    <n v="38642"/>
    <n v="751"/>
    <n v="21"/>
    <n v="859.72"/>
    <n v="2339.16"/>
    <n v="1.94"/>
    <n v="2.8"/>
    <n v="40.94"/>
    <n v="2.72"/>
    <n v="1479.44"/>
  </r>
  <r>
    <x v="185"/>
    <s v="YouTube Ads"/>
    <s v="Lead Generation"/>
    <s v="Add-on Service"/>
    <n v="29474"/>
    <n v="567"/>
    <n v="43"/>
    <n v="1318.81"/>
    <n v="4985.75"/>
    <n v="1.92"/>
    <n v="7.58"/>
    <n v="30.67"/>
    <n v="3.78"/>
    <n v="3666.94"/>
  </r>
  <r>
    <x v="185"/>
    <s v="Twitter Ads"/>
    <s v="Lead Generation"/>
    <s v="Enterprise Plan"/>
    <n v="11234"/>
    <n v="226"/>
    <n v="10"/>
    <n v="824.6"/>
    <n v="1122.98"/>
    <n v="2.0099999999999998"/>
    <n v="4.42"/>
    <n v="82.46"/>
    <n v="1.36"/>
    <n v="298.38"/>
  </r>
  <r>
    <x v="185"/>
    <s v="TikTok Ads"/>
    <s v="Brand Awareness"/>
    <s v="Starter Kit"/>
    <n v="25819"/>
    <n v="1042"/>
    <n v="37"/>
    <n v="924.69"/>
    <n v="3226.66"/>
    <n v="4.04"/>
    <n v="3.55"/>
    <n v="24.99"/>
    <n v="3.49"/>
    <n v="2301.9699999999998"/>
  </r>
  <r>
    <x v="185"/>
    <s v="Affiliate Marketing"/>
    <s v="Lead Generation"/>
    <s v="Enterprise Plan"/>
    <n v="10779"/>
    <n v="612"/>
    <n v="73"/>
    <n v="697.57"/>
    <n v="7917.66"/>
    <n v="5.68"/>
    <n v="11.93"/>
    <n v="9.56"/>
    <n v="11.35"/>
    <n v="7220.09"/>
  </r>
  <r>
    <x v="185"/>
    <s v="Referral"/>
    <s v="Flash Sale"/>
    <s v="Add-on Service"/>
    <n v="4401"/>
    <n v="434"/>
    <n v="74"/>
    <n v="223.14"/>
    <n v="9949.84"/>
    <n v="9.86"/>
    <n v="17.05"/>
    <n v="3.02"/>
    <n v="44.59"/>
    <n v="9726.7000000000007"/>
  </r>
  <r>
    <x v="186"/>
    <s v="Google Ads"/>
    <s v="Lead Generation"/>
    <s v="Enterprise Plan"/>
    <n v="11887"/>
    <n v="508"/>
    <n v="55"/>
    <n v="1534.42"/>
    <n v="9109.4"/>
    <n v="4.2699999999999996"/>
    <n v="10.83"/>
    <n v="27.9"/>
    <n v="5.94"/>
    <n v="7574.98"/>
  </r>
  <r>
    <x v="186"/>
    <s v="Facebook Ads"/>
    <s v="Flash Sale"/>
    <s v="Premium Plan"/>
    <n v="19497"/>
    <n v="453"/>
    <n v="26"/>
    <n v="899.17"/>
    <n v="3178.41"/>
    <n v="2.3199999999999998"/>
    <n v="5.74"/>
    <n v="34.58"/>
    <n v="3.53"/>
    <n v="2279.2399999999998"/>
  </r>
  <r>
    <x v="186"/>
    <s v="Instagram Ads"/>
    <s v="Lead Generation"/>
    <s v="Enterprise Plan"/>
    <n v="19570"/>
    <n v="758"/>
    <n v="46"/>
    <n v="955.16"/>
    <n v="4184.38"/>
    <n v="3.87"/>
    <n v="6.07"/>
    <n v="20.76"/>
    <n v="4.38"/>
    <n v="3229.22"/>
  </r>
  <r>
    <x v="186"/>
    <s v="LinkedIn Ads"/>
    <s v="Lead Generation"/>
    <s v="Enterprise Plan"/>
    <n v="4267"/>
    <n v="69"/>
    <n v="7"/>
    <n v="2080.42"/>
    <n v="2199.46"/>
    <n v="1.62"/>
    <n v="10.14"/>
    <n v="297.2"/>
    <n v="1.06"/>
    <n v="119.04"/>
  </r>
  <r>
    <x v="186"/>
    <s v="Email Marketing"/>
    <s v="Retargeting"/>
    <s v="Enterprise Plan"/>
    <n v="21974"/>
    <n v="5013"/>
    <n v="520"/>
    <n v="244.24"/>
    <n v="58922.3"/>
    <n v="22.81"/>
    <n v="10.37"/>
    <n v="0.47"/>
    <n v="241.25"/>
    <n v="58678.06"/>
  </r>
  <r>
    <x v="186"/>
    <s v="Organic Search"/>
    <s v="Product Launch"/>
    <s v="Enterprise Plan"/>
    <n v="29961"/>
    <n v="1206"/>
    <n v="162"/>
    <n v="0"/>
    <n v="16459.5"/>
    <n v="4.03"/>
    <n v="13.43"/>
    <n v="0"/>
    <n v="0"/>
    <n v="16459.5"/>
  </r>
  <r>
    <x v="186"/>
    <s v="Display Ads"/>
    <s v="Seasonal Promotion"/>
    <s v="Enterprise Plan"/>
    <n v="37737"/>
    <n v="537"/>
    <n v="10"/>
    <n v="1545.1"/>
    <n v="1122.42"/>
    <n v="1.42"/>
    <n v="1.86"/>
    <n v="154.51"/>
    <n v="0.73"/>
    <n v="-422.68"/>
  </r>
  <r>
    <x v="186"/>
    <s v="YouTube Ads"/>
    <s v="Retargeting"/>
    <s v="Premium Plan"/>
    <n v="25785"/>
    <n v="720"/>
    <n v="39"/>
    <n v="1107.23"/>
    <n v="5038.26"/>
    <n v="2.79"/>
    <n v="5.42"/>
    <n v="28.39"/>
    <n v="4.55"/>
    <n v="3931.03"/>
  </r>
  <r>
    <x v="186"/>
    <s v="Twitter Ads"/>
    <s v="Retargeting"/>
    <s v="Premium Plan"/>
    <n v="10768"/>
    <n v="258"/>
    <n v="8"/>
    <n v="955.19"/>
    <n v="767.75"/>
    <n v="2.4"/>
    <n v="3.1"/>
    <n v="119.4"/>
    <n v="0.8"/>
    <n v="-187.44"/>
  </r>
  <r>
    <x v="186"/>
    <s v="TikTok Ads"/>
    <s v="Flash Sale"/>
    <s v="Add-on Service"/>
    <n v="31012"/>
    <n v="1359"/>
    <n v="46"/>
    <n v="1028.0999999999999"/>
    <n v="3700.06"/>
    <n v="4.38"/>
    <n v="3.38"/>
    <n v="22.35"/>
    <n v="3.6"/>
    <n v="2671.96"/>
  </r>
  <r>
    <x v="186"/>
    <s v="Affiliate Marketing"/>
    <s v="Seasonal Promotion"/>
    <s v="Add-on Service"/>
    <n v="7341"/>
    <n v="429"/>
    <n v="46"/>
    <n v="574.52"/>
    <n v="6190.82"/>
    <n v="5.84"/>
    <n v="10.72"/>
    <n v="12.49"/>
    <n v="10.78"/>
    <n v="5616.3"/>
  </r>
  <r>
    <x v="186"/>
    <s v="Referral"/>
    <s v="Brand Awareness"/>
    <s v="Starter Kit"/>
    <n v="8354"/>
    <n v="561"/>
    <n v="69"/>
    <n v="90.1"/>
    <n v="10578.2"/>
    <n v="6.72"/>
    <n v="12.3"/>
    <n v="1.31"/>
    <n v="117.41"/>
    <n v="10488.1"/>
  </r>
  <r>
    <x v="187"/>
    <s v="Google Ads"/>
    <s v="Lead Generation"/>
    <s v="Add-on Service"/>
    <n v="8694"/>
    <n v="432"/>
    <n v="42"/>
    <n v="895.89"/>
    <n v="5674.07"/>
    <n v="4.97"/>
    <n v="9.7200000000000006"/>
    <n v="21.33"/>
    <n v="6.33"/>
    <n v="4778.18"/>
  </r>
  <r>
    <x v="187"/>
    <s v="Facebook Ads"/>
    <s v="Brand Awareness"/>
    <s v="Starter Kit"/>
    <n v="14185"/>
    <n v="386"/>
    <n v="26"/>
    <n v="936.65"/>
    <n v="2699.62"/>
    <n v="2.72"/>
    <n v="6.74"/>
    <n v="36.020000000000003"/>
    <n v="2.88"/>
    <n v="1762.97"/>
  </r>
  <r>
    <x v="187"/>
    <s v="Instagram Ads"/>
    <s v="Seasonal Promotion"/>
    <s v="Enterprise Plan"/>
    <n v="10715"/>
    <n v="414"/>
    <n v="21"/>
    <n v="632.66"/>
    <n v="2124.31"/>
    <n v="3.86"/>
    <n v="5.07"/>
    <n v="30.13"/>
    <n v="3.36"/>
    <n v="1491.65"/>
  </r>
  <r>
    <x v="187"/>
    <s v="LinkedIn Ads"/>
    <s v="Retargeting"/>
    <s v="Premium Plan"/>
    <n v="3804"/>
    <n v="82"/>
    <n v="10"/>
    <n v="986.01"/>
    <n v="2871.74"/>
    <n v="2.16"/>
    <n v="12.2"/>
    <n v="98.6"/>
    <n v="2.91"/>
    <n v="1885.73"/>
  </r>
  <r>
    <x v="187"/>
    <s v="Email Marketing"/>
    <s v="Lead Generation"/>
    <s v="Basic Plan"/>
    <n v="12873"/>
    <n v="3045"/>
    <n v="388"/>
    <n v="182.47"/>
    <n v="54011.77"/>
    <n v="23.65"/>
    <n v="12.74"/>
    <n v="0.47"/>
    <n v="296"/>
    <n v="53829.3"/>
  </r>
  <r>
    <x v="187"/>
    <s v="Organic Search"/>
    <s v="Lead Generation"/>
    <s v="Enterprise Plan"/>
    <n v="23666"/>
    <n v="1795"/>
    <n v="209"/>
    <n v="0"/>
    <n v="22650.02"/>
    <n v="7.58"/>
    <n v="11.64"/>
    <n v="0"/>
    <n v="0"/>
    <n v="22650.02"/>
  </r>
  <r>
    <x v="187"/>
    <s v="Display Ads"/>
    <s v="Retargeting"/>
    <s v="Add-on Service"/>
    <n v="23178"/>
    <n v="320"/>
    <n v="9"/>
    <n v="919.4"/>
    <n v="925.42"/>
    <n v="1.38"/>
    <n v="2.81"/>
    <n v="102.16"/>
    <n v="1.01"/>
    <n v="6.02"/>
  </r>
  <r>
    <x v="187"/>
    <s v="YouTube Ads"/>
    <s v="Retargeting"/>
    <s v="Basic Plan"/>
    <n v="13788"/>
    <n v="275"/>
    <n v="14"/>
    <n v="975.8"/>
    <n v="1413.94"/>
    <n v="1.99"/>
    <n v="5.09"/>
    <n v="69.7"/>
    <n v="1.45"/>
    <n v="438.14"/>
  </r>
  <r>
    <x v="187"/>
    <s v="Twitter Ads"/>
    <s v="Product Launch"/>
    <s v="Basic Plan"/>
    <n v="11729"/>
    <n v="392"/>
    <n v="21"/>
    <n v="649.62"/>
    <n v="1990.09"/>
    <n v="3.34"/>
    <n v="5.36"/>
    <n v="30.93"/>
    <n v="3.06"/>
    <n v="1340.47"/>
  </r>
  <r>
    <x v="187"/>
    <s v="TikTok Ads"/>
    <s v="Brand Awareness"/>
    <s v="Starter Kit"/>
    <n v="15554"/>
    <n v="459"/>
    <n v="20"/>
    <n v="698.81"/>
    <n v="1521.48"/>
    <n v="2.95"/>
    <n v="4.3600000000000003"/>
    <n v="34.94"/>
    <n v="2.1800000000000002"/>
    <n v="822.67"/>
  </r>
  <r>
    <x v="187"/>
    <s v="Affiliate Marketing"/>
    <s v="Product Launch"/>
    <s v="Basic Plan"/>
    <n v="5264"/>
    <n v="246"/>
    <n v="30"/>
    <n v="309.01"/>
    <n v="3711.25"/>
    <n v="4.67"/>
    <n v="12.2"/>
    <n v="10.3"/>
    <n v="12.01"/>
    <n v="3402.24"/>
  </r>
  <r>
    <x v="187"/>
    <s v="Referral"/>
    <s v="Product Launch"/>
    <s v="Premium Plan"/>
    <n v="4448"/>
    <n v="438"/>
    <n v="78"/>
    <n v="154.74"/>
    <n v="10773.83"/>
    <n v="9.85"/>
    <n v="17.809999999999999"/>
    <n v="1.98"/>
    <n v="69.63"/>
    <n v="10619.09"/>
  </r>
  <r>
    <x v="188"/>
    <s v="Google Ads"/>
    <s v="Brand Awareness"/>
    <s v="Starter Kit"/>
    <n v="9800"/>
    <n v="469"/>
    <n v="54"/>
    <n v="1246.1300000000001"/>
    <n v="7969.5"/>
    <n v="4.79"/>
    <n v="11.51"/>
    <n v="23.08"/>
    <n v="6.4"/>
    <n v="6723.37"/>
  </r>
  <r>
    <x v="188"/>
    <s v="Facebook Ads"/>
    <s v="Product Launch"/>
    <s v="Basic Plan"/>
    <n v="13666"/>
    <n v="474"/>
    <n v="39"/>
    <n v="833.91"/>
    <n v="4275.88"/>
    <n v="3.47"/>
    <n v="8.23"/>
    <n v="21.38"/>
    <n v="5.13"/>
    <n v="3441.97"/>
  </r>
  <r>
    <x v="188"/>
    <s v="Instagram Ads"/>
    <s v="Lead Generation"/>
    <s v="Add-on Service"/>
    <n v="11661"/>
    <n v="366"/>
    <n v="27"/>
    <n v="817.72"/>
    <n v="2182.58"/>
    <n v="3.14"/>
    <n v="7.38"/>
    <n v="30.29"/>
    <n v="2.67"/>
    <n v="1364.86"/>
  </r>
  <r>
    <x v="188"/>
    <s v="LinkedIn Ads"/>
    <s v="Lead Generation"/>
    <s v="Starter Kit"/>
    <n v="3359"/>
    <n v="99"/>
    <n v="12"/>
    <n v="1471.69"/>
    <n v="2309.65"/>
    <n v="2.95"/>
    <n v="12.12"/>
    <n v="122.64"/>
    <n v="1.57"/>
    <n v="837.96"/>
  </r>
  <r>
    <x v="188"/>
    <s v="Email Marketing"/>
    <s v="Brand Awareness"/>
    <s v="Basic Plan"/>
    <n v="20734"/>
    <n v="4319"/>
    <n v="598"/>
    <n v="169.98"/>
    <n v="84803.58"/>
    <n v="20.83"/>
    <n v="13.85"/>
    <n v="0.28000000000000003"/>
    <n v="498.9"/>
    <n v="84633.600000000006"/>
  </r>
  <r>
    <x v="188"/>
    <s v="Organic Search"/>
    <s v="Seasonal Promotion"/>
    <s v="Starter Kit"/>
    <n v="18946"/>
    <n v="934"/>
    <n v="94"/>
    <n v="0"/>
    <n v="9506.5"/>
    <n v="4.93"/>
    <n v="10.06"/>
    <n v="0"/>
    <n v="0"/>
    <n v="9506.5"/>
  </r>
  <r>
    <x v="188"/>
    <s v="Display Ads"/>
    <s v="Flash Sale"/>
    <s v="Starter Kit"/>
    <n v="21042"/>
    <n v="342"/>
    <n v="8"/>
    <n v="1082.48"/>
    <n v="923.15"/>
    <n v="1.63"/>
    <n v="2.34"/>
    <n v="135.31"/>
    <n v="0.85"/>
    <n v="-159.33000000000001"/>
  </r>
  <r>
    <x v="188"/>
    <s v="YouTube Ads"/>
    <s v="Retargeting"/>
    <s v="Starter Kit"/>
    <n v="14541"/>
    <n v="417"/>
    <n v="20"/>
    <n v="783.98"/>
    <n v="2409.6799999999998"/>
    <n v="2.87"/>
    <n v="4.8"/>
    <n v="39.200000000000003"/>
    <n v="3.07"/>
    <n v="1625.7"/>
  </r>
  <r>
    <x v="188"/>
    <s v="Twitter Ads"/>
    <s v="Retargeting"/>
    <s v="Starter Kit"/>
    <n v="8044"/>
    <n v="274"/>
    <n v="10"/>
    <n v="577.13"/>
    <n v="1081.8900000000001"/>
    <n v="3.41"/>
    <n v="3.65"/>
    <n v="57.71"/>
    <n v="1.87"/>
    <n v="504.76"/>
  </r>
  <r>
    <x v="188"/>
    <s v="TikTok Ads"/>
    <s v="Brand Awareness"/>
    <s v="Premium Plan"/>
    <n v="17766"/>
    <n v="734"/>
    <n v="36"/>
    <n v="703.09"/>
    <n v="2918.05"/>
    <n v="4.13"/>
    <n v="4.9000000000000004"/>
    <n v="19.53"/>
    <n v="4.1500000000000004"/>
    <n v="2214.96"/>
  </r>
  <r>
    <x v="188"/>
    <s v="Affiliate Marketing"/>
    <s v="Seasonal Promotion"/>
    <s v="Basic Plan"/>
    <n v="5265"/>
    <n v="220"/>
    <n v="26"/>
    <n v="321.05"/>
    <n v="3609.33"/>
    <n v="4.18"/>
    <n v="11.82"/>
    <n v="12.35"/>
    <n v="11.24"/>
    <n v="3288.28"/>
  </r>
  <r>
    <x v="188"/>
    <s v="Referral"/>
    <s v="Flash Sale"/>
    <s v="Enterprise Plan"/>
    <n v="4818"/>
    <n v="251"/>
    <n v="36"/>
    <n v="48.96"/>
    <n v="5276.02"/>
    <n v="5.21"/>
    <n v="14.34"/>
    <n v="1.36"/>
    <n v="107.76"/>
    <n v="5227.0600000000004"/>
  </r>
  <r>
    <x v="189"/>
    <s v="Google Ads"/>
    <s v="Brand Awareness"/>
    <s v="Enterprise Plan"/>
    <n v="12289"/>
    <n v="447"/>
    <n v="48"/>
    <n v="1585.2"/>
    <n v="8088.89"/>
    <n v="3.64"/>
    <n v="10.74"/>
    <n v="33.020000000000003"/>
    <n v="5.0999999999999996"/>
    <n v="6503.69"/>
  </r>
  <r>
    <x v="189"/>
    <s v="Facebook Ads"/>
    <s v="Seasonal Promotion"/>
    <s v="Basic Plan"/>
    <n v="20012"/>
    <n v="600"/>
    <n v="34"/>
    <n v="1439.58"/>
    <n v="3237.29"/>
    <n v="3"/>
    <n v="5.67"/>
    <n v="42.34"/>
    <n v="2.25"/>
    <n v="1797.71"/>
  </r>
  <r>
    <x v="189"/>
    <s v="Instagram Ads"/>
    <s v="Brand Awareness"/>
    <s v="Premium Plan"/>
    <n v="21432"/>
    <n v="628"/>
    <n v="31"/>
    <n v="1161.72"/>
    <n v="2631.57"/>
    <n v="2.93"/>
    <n v="4.9400000000000004"/>
    <n v="37.47"/>
    <n v="2.27"/>
    <n v="1469.85"/>
  </r>
  <r>
    <x v="189"/>
    <s v="LinkedIn Ads"/>
    <s v="Flash Sale"/>
    <s v="Basic Plan"/>
    <n v="6826"/>
    <n v="188"/>
    <n v="20"/>
    <n v="1293.23"/>
    <n v="4280.16"/>
    <n v="2.75"/>
    <n v="10.64"/>
    <n v="64.66"/>
    <n v="3.31"/>
    <n v="2986.93"/>
  </r>
  <r>
    <x v="189"/>
    <s v="Email Marketing"/>
    <s v="Lead Generation"/>
    <s v="Enterprise Plan"/>
    <n v="25878"/>
    <n v="6397"/>
    <n v="763"/>
    <n v="125.08"/>
    <n v="96957.21"/>
    <n v="24.72"/>
    <n v="11.93"/>
    <n v="0.16"/>
    <n v="775.16"/>
    <n v="96832.13"/>
  </r>
  <r>
    <x v="189"/>
    <s v="Organic Search"/>
    <s v="Product Launch"/>
    <s v="Basic Plan"/>
    <n v="40568"/>
    <n v="2376"/>
    <n v="318"/>
    <n v="0"/>
    <n v="39984.1"/>
    <n v="5.86"/>
    <n v="13.38"/>
    <n v="0"/>
    <n v="0"/>
    <n v="39984.1"/>
  </r>
  <r>
    <x v="189"/>
    <s v="Display Ads"/>
    <s v="Brand Awareness"/>
    <s v="Starter Kit"/>
    <n v="33540"/>
    <n v="394"/>
    <n v="18"/>
    <n v="1242.28"/>
    <n v="2118.84"/>
    <n v="1.17"/>
    <n v="4.57"/>
    <n v="69.02"/>
    <n v="1.71"/>
    <n v="876.56"/>
  </r>
  <r>
    <x v="189"/>
    <s v="YouTube Ads"/>
    <s v="Seasonal Promotion"/>
    <s v="Add-on Service"/>
    <n v="28762"/>
    <n v="708"/>
    <n v="40"/>
    <n v="1140.47"/>
    <n v="5276.6"/>
    <n v="2.46"/>
    <n v="5.65"/>
    <n v="28.51"/>
    <n v="4.63"/>
    <n v="4136.13"/>
  </r>
  <r>
    <x v="189"/>
    <s v="Twitter Ads"/>
    <s v="Product Launch"/>
    <s v="Basic Plan"/>
    <n v="10614"/>
    <n v="345"/>
    <n v="15"/>
    <n v="530.6"/>
    <n v="1728.54"/>
    <n v="3.25"/>
    <n v="4.3499999999999996"/>
    <n v="35.369999999999997"/>
    <n v="3.26"/>
    <n v="1197.94"/>
  </r>
  <r>
    <x v="189"/>
    <s v="TikTok Ads"/>
    <s v="Brand Awareness"/>
    <s v="Premium Plan"/>
    <n v="32828"/>
    <n v="932"/>
    <n v="44"/>
    <n v="1011.56"/>
    <n v="3154.05"/>
    <n v="2.84"/>
    <n v="4.72"/>
    <n v="22.99"/>
    <n v="3.12"/>
    <n v="2142.4899999999998"/>
  </r>
  <r>
    <x v="189"/>
    <s v="Affiliate Marketing"/>
    <s v="Product Launch"/>
    <s v="Enterprise Plan"/>
    <n v="7464"/>
    <n v="496"/>
    <n v="43"/>
    <n v="365.55"/>
    <n v="4619.88"/>
    <n v="6.65"/>
    <n v="8.67"/>
    <n v="8.5"/>
    <n v="12.64"/>
    <n v="4254.33"/>
  </r>
  <r>
    <x v="189"/>
    <s v="Referral"/>
    <s v="Retargeting"/>
    <s v="Add-on Service"/>
    <n v="7389"/>
    <n v="720"/>
    <n v="105"/>
    <n v="61.83"/>
    <n v="13024.83"/>
    <n v="9.74"/>
    <n v="14.58"/>
    <n v="0.59"/>
    <n v="210.66"/>
    <n v="12963"/>
  </r>
  <r>
    <x v="190"/>
    <s v="Google Ads"/>
    <s v="Seasonal Promotion"/>
    <s v="Add-on Service"/>
    <n v="17966"/>
    <n v="847"/>
    <n v="93"/>
    <n v="1175.01"/>
    <n v="14429.43"/>
    <n v="4.71"/>
    <n v="10.98"/>
    <n v="12.63"/>
    <n v="12.28"/>
    <n v="13254.42"/>
  </r>
  <r>
    <x v="190"/>
    <s v="Facebook Ads"/>
    <s v="Product Launch"/>
    <s v="Starter Kit"/>
    <n v="19576"/>
    <n v="402"/>
    <n v="32"/>
    <n v="1323.75"/>
    <n v="3123.3"/>
    <n v="2.0499999999999998"/>
    <n v="7.96"/>
    <n v="41.37"/>
    <n v="2.36"/>
    <n v="1799.55"/>
  </r>
  <r>
    <x v="190"/>
    <s v="Instagram Ads"/>
    <s v="Flash Sale"/>
    <s v="Basic Plan"/>
    <n v="18561"/>
    <n v="664"/>
    <n v="40"/>
    <n v="715.09"/>
    <n v="3752.54"/>
    <n v="3.58"/>
    <n v="6.02"/>
    <n v="17.88"/>
    <n v="5.25"/>
    <n v="3037.45"/>
  </r>
  <r>
    <x v="190"/>
    <s v="LinkedIn Ads"/>
    <s v="Product Launch"/>
    <s v="Starter Kit"/>
    <n v="3692"/>
    <n v="60"/>
    <n v="8"/>
    <n v="1695.6"/>
    <n v="1506.15"/>
    <n v="1.63"/>
    <n v="13.33"/>
    <n v="211.95"/>
    <n v="0.89"/>
    <n v="-189.45"/>
  </r>
  <r>
    <x v="190"/>
    <s v="Email Marketing"/>
    <s v="Product Launch"/>
    <s v="Basic Plan"/>
    <n v="25153"/>
    <n v="3926"/>
    <n v="512"/>
    <n v="224.06"/>
    <n v="81064.759999999995"/>
    <n v="15.61"/>
    <n v="13.04"/>
    <n v="0.44"/>
    <n v="361.8"/>
    <n v="80840.7"/>
  </r>
  <r>
    <x v="190"/>
    <s v="Organic Search"/>
    <s v="Lead Generation"/>
    <s v="Starter Kit"/>
    <n v="35020"/>
    <n v="1450"/>
    <n v="218"/>
    <n v="0"/>
    <n v="23950.85"/>
    <n v="4.1399999999999997"/>
    <n v="15.03"/>
    <n v="0"/>
    <n v="0"/>
    <n v="23950.85"/>
  </r>
  <r>
    <x v="190"/>
    <s v="Display Ads"/>
    <s v="Brand Awareness"/>
    <s v="Basic Plan"/>
    <n v="39787"/>
    <n v="536"/>
    <n v="14"/>
    <n v="1044.02"/>
    <n v="1376.2"/>
    <n v="1.35"/>
    <n v="2.61"/>
    <n v="74.569999999999993"/>
    <n v="1.32"/>
    <n v="332.18"/>
  </r>
  <r>
    <x v="190"/>
    <s v="YouTube Ads"/>
    <s v="Lead Generation"/>
    <s v="Basic Plan"/>
    <n v="27704"/>
    <n v="440"/>
    <n v="19"/>
    <n v="1667.29"/>
    <n v="2516.98"/>
    <n v="1.59"/>
    <n v="4.32"/>
    <n v="87.75"/>
    <n v="1.51"/>
    <n v="849.69"/>
  </r>
  <r>
    <x v="190"/>
    <s v="Twitter Ads"/>
    <s v="Lead Generation"/>
    <s v="Premium Plan"/>
    <n v="11578"/>
    <n v="366"/>
    <n v="15"/>
    <n v="658.13"/>
    <n v="1218.53"/>
    <n v="3.16"/>
    <n v="4.0999999999999996"/>
    <n v="43.88"/>
    <n v="1.85"/>
    <n v="560.4"/>
  </r>
  <r>
    <x v="190"/>
    <s v="TikTok Ads"/>
    <s v="Seasonal Promotion"/>
    <s v="Add-on Service"/>
    <n v="30860"/>
    <n v="974"/>
    <n v="49"/>
    <n v="819.07"/>
    <n v="3706.12"/>
    <n v="3.16"/>
    <n v="5.03"/>
    <n v="16.72"/>
    <n v="4.5199999999999996"/>
    <n v="2887.05"/>
  </r>
  <r>
    <x v="190"/>
    <s v="Affiliate Marketing"/>
    <s v="Lead Generation"/>
    <s v="Premium Plan"/>
    <n v="6620"/>
    <n v="444"/>
    <n v="38"/>
    <n v="550.84"/>
    <n v="3729.42"/>
    <n v="6.71"/>
    <n v="8.56"/>
    <n v="14.5"/>
    <n v="6.77"/>
    <n v="3178.58"/>
  </r>
  <r>
    <x v="190"/>
    <s v="Referral"/>
    <s v="Product Launch"/>
    <s v="Premium Plan"/>
    <n v="3724"/>
    <n v="333"/>
    <n v="56"/>
    <n v="210.52"/>
    <n v="10718.91"/>
    <n v="8.94"/>
    <n v="16.82"/>
    <n v="3.76"/>
    <n v="50.92"/>
    <n v="10508.39"/>
  </r>
  <r>
    <x v="191"/>
    <s v="Google Ads"/>
    <s v="Retargeting"/>
    <s v="Enterprise Plan"/>
    <n v="14136"/>
    <n v="536"/>
    <n v="54"/>
    <n v="1178.04"/>
    <n v="6321.79"/>
    <n v="3.79"/>
    <n v="10.07"/>
    <n v="21.82"/>
    <n v="5.37"/>
    <n v="5143.75"/>
  </r>
  <r>
    <x v="191"/>
    <s v="Facebook Ads"/>
    <s v="Seasonal Promotion"/>
    <s v="Add-on Service"/>
    <n v="16717"/>
    <n v="337"/>
    <n v="16"/>
    <n v="1194.44"/>
    <n v="1755.83"/>
    <n v="2.02"/>
    <n v="4.75"/>
    <n v="74.650000000000006"/>
    <n v="1.47"/>
    <n v="561.39"/>
  </r>
  <r>
    <x v="191"/>
    <s v="Instagram Ads"/>
    <s v="Brand Awareness"/>
    <s v="Add-on Service"/>
    <n v="16705"/>
    <n v="442"/>
    <n v="30"/>
    <n v="1067.19"/>
    <n v="2443.66"/>
    <n v="2.65"/>
    <n v="6.79"/>
    <n v="35.57"/>
    <n v="2.29"/>
    <n v="1376.47"/>
  </r>
  <r>
    <x v="191"/>
    <s v="LinkedIn Ads"/>
    <s v="Brand Awareness"/>
    <s v="Premium Plan"/>
    <n v="6272"/>
    <n v="97"/>
    <n v="9"/>
    <n v="1833.02"/>
    <n v="2536.84"/>
    <n v="1.55"/>
    <n v="9.2799999999999994"/>
    <n v="203.67"/>
    <n v="1.38"/>
    <n v="703.82"/>
  </r>
  <r>
    <x v="191"/>
    <s v="Email Marketing"/>
    <s v="Flash Sale"/>
    <s v="Premium Plan"/>
    <n v="26559"/>
    <n v="4588"/>
    <n v="390"/>
    <n v="345.5"/>
    <n v="50108.61"/>
    <n v="17.27"/>
    <n v="8.5"/>
    <n v="0.89"/>
    <n v="145.03"/>
    <n v="49763.11"/>
  </r>
  <r>
    <x v="191"/>
    <s v="Organic Search"/>
    <s v="Brand Awareness"/>
    <s v="Premium Plan"/>
    <n v="33543"/>
    <n v="2254"/>
    <n v="360"/>
    <n v="0"/>
    <n v="51356.55"/>
    <n v="6.72"/>
    <n v="15.97"/>
    <n v="0"/>
    <n v="0"/>
    <n v="51356.55"/>
  </r>
  <r>
    <x v="191"/>
    <s v="Display Ads"/>
    <s v="Retargeting"/>
    <s v="Starter Kit"/>
    <n v="40453"/>
    <n v="573"/>
    <n v="14"/>
    <n v="1426.3"/>
    <n v="1577.89"/>
    <n v="1.42"/>
    <n v="2.44"/>
    <n v="101.88"/>
    <n v="1.1100000000000001"/>
    <n v="151.59"/>
  </r>
  <r>
    <x v="191"/>
    <s v="YouTube Ads"/>
    <s v="Retargeting"/>
    <s v="Premium Plan"/>
    <n v="25070"/>
    <n v="704"/>
    <n v="37"/>
    <n v="1112.23"/>
    <n v="4057.43"/>
    <n v="2.81"/>
    <n v="5.26"/>
    <n v="30.06"/>
    <n v="3.65"/>
    <n v="2945.2"/>
  </r>
  <r>
    <x v="191"/>
    <s v="Twitter Ads"/>
    <s v="Seasonal Promotion"/>
    <s v="Enterprise Plan"/>
    <n v="15654"/>
    <n v="415"/>
    <n v="21"/>
    <n v="679.55"/>
    <n v="2254.7800000000002"/>
    <n v="2.65"/>
    <n v="5.0599999999999996"/>
    <n v="32.36"/>
    <n v="3.32"/>
    <n v="1575.23"/>
  </r>
  <r>
    <x v="191"/>
    <s v="TikTok Ads"/>
    <s v="Retargeting"/>
    <s v="Basic Plan"/>
    <n v="32834"/>
    <n v="1444"/>
    <n v="97"/>
    <n v="1255.07"/>
    <n v="7082.16"/>
    <n v="4.4000000000000004"/>
    <n v="6.72"/>
    <n v="12.94"/>
    <n v="5.64"/>
    <n v="5827.09"/>
  </r>
  <r>
    <x v="191"/>
    <s v="Affiliate Marketing"/>
    <s v="Lead Generation"/>
    <s v="Premium Plan"/>
    <n v="6351"/>
    <n v="255"/>
    <n v="28"/>
    <n v="783.64"/>
    <n v="3320.93"/>
    <n v="4.0199999999999996"/>
    <n v="10.98"/>
    <n v="27.99"/>
    <n v="4.24"/>
    <n v="2537.29"/>
  </r>
  <r>
    <x v="191"/>
    <s v="Referral"/>
    <s v="Product Launch"/>
    <s v="Starter Kit"/>
    <n v="7405"/>
    <n v="448"/>
    <n v="62"/>
    <n v="89.77"/>
    <n v="7449.33"/>
    <n v="6.05"/>
    <n v="13.84"/>
    <n v="1.45"/>
    <n v="82.98"/>
    <n v="7359.56"/>
  </r>
  <r>
    <x v="192"/>
    <s v="Google Ads"/>
    <s v="Flash Sale"/>
    <s v="Premium Plan"/>
    <n v="9892"/>
    <n v="448"/>
    <n v="45"/>
    <n v="1343.27"/>
    <n v="6851.08"/>
    <n v="4.53"/>
    <n v="10.039999999999999"/>
    <n v="29.85"/>
    <n v="5.0999999999999996"/>
    <n v="5507.81"/>
  </r>
  <r>
    <x v="192"/>
    <s v="Facebook Ads"/>
    <s v="Flash Sale"/>
    <s v="Add-on Service"/>
    <n v="23932"/>
    <n v="782"/>
    <n v="61"/>
    <n v="1192.96"/>
    <n v="7809.2"/>
    <n v="3.27"/>
    <n v="7.8"/>
    <n v="19.559999999999999"/>
    <n v="6.55"/>
    <n v="6616.24"/>
  </r>
  <r>
    <x v="192"/>
    <s v="Instagram Ads"/>
    <s v="Product Launch"/>
    <s v="Add-on Service"/>
    <n v="19225"/>
    <n v="680"/>
    <n v="51"/>
    <n v="1187.8699999999999"/>
    <n v="5682.18"/>
    <n v="3.54"/>
    <n v="7.5"/>
    <n v="23.29"/>
    <n v="4.78"/>
    <n v="4494.3100000000004"/>
  </r>
  <r>
    <x v="192"/>
    <s v="LinkedIn Ads"/>
    <s v="Seasonal Promotion"/>
    <s v="Basic Plan"/>
    <n v="6139"/>
    <n v="133"/>
    <n v="15"/>
    <n v="1461.03"/>
    <n v="3333.12"/>
    <n v="2.17"/>
    <n v="11.28"/>
    <n v="97.4"/>
    <n v="2.2799999999999998"/>
    <n v="1872.09"/>
  </r>
  <r>
    <x v="192"/>
    <s v="Email Marketing"/>
    <s v="Retargeting"/>
    <s v="Premium Plan"/>
    <n v="29250"/>
    <n v="6924"/>
    <n v="729"/>
    <n v="292.10000000000002"/>
    <n v="100195.9"/>
    <n v="23.67"/>
    <n v="10.53"/>
    <n v="0.4"/>
    <n v="343.02"/>
    <n v="99903.8"/>
  </r>
  <r>
    <x v="192"/>
    <s v="Organic Search"/>
    <s v="Seasonal Promotion"/>
    <s v="Add-on Service"/>
    <n v="31597"/>
    <n v="2097"/>
    <n v="250"/>
    <n v="0"/>
    <n v="36424.42"/>
    <n v="6.64"/>
    <n v="11.92"/>
    <n v="0"/>
    <n v="0"/>
    <n v="36424.42"/>
  </r>
  <r>
    <x v="192"/>
    <s v="Display Ads"/>
    <s v="Brand Awareness"/>
    <s v="Enterprise Plan"/>
    <n v="40389"/>
    <n v="475"/>
    <n v="21"/>
    <n v="1381.92"/>
    <n v="2173.62"/>
    <n v="1.18"/>
    <n v="4.42"/>
    <n v="65.81"/>
    <n v="1.57"/>
    <n v="791.7"/>
  </r>
  <r>
    <x v="192"/>
    <s v="YouTube Ads"/>
    <s v="Brand Awareness"/>
    <s v="Premium Plan"/>
    <n v="18888"/>
    <n v="444"/>
    <n v="27"/>
    <n v="1203.9000000000001"/>
    <n v="3399.47"/>
    <n v="2.35"/>
    <n v="6.08"/>
    <n v="44.59"/>
    <n v="2.82"/>
    <n v="2195.5700000000002"/>
  </r>
  <r>
    <x v="192"/>
    <s v="Twitter Ads"/>
    <s v="Retargeting"/>
    <s v="Basic Plan"/>
    <n v="14038"/>
    <n v="436"/>
    <n v="16"/>
    <n v="785.93"/>
    <n v="1468.56"/>
    <n v="3.11"/>
    <n v="3.67"/>
    <n v="49.12"/>
    <n v="1.87"/>
    <n v="682.63"/>
  </r>
  <r>
    <x v="192"/>
    <s v="TikTok Ads"/>
    <s v="Seasonal Promotion"/>
    <s v="Basic Plan"/>
    <n v="24458"/>
    <n v="981"/>
    <n v="61"/>
    <n v="789.81"/>
    <n v="5189.97"/>
    <n v="4.01"/>
    <n v="6.22"/>
    <n v="12.95"/>
    <n v="6.57"/>
    <n v="4400.16"/>
  </r>
  <r>
    <x v="192"/>
    <s v="Affiliate Marketing"/>
    <s v="Product Launch"/>
    <s v="Add-on Service"/>
    <n v="10503"/>
    <n v="535"/>
    <n v="67"/>
    <n v="515.87"/>
    <n v="6898.89"/>
    <n v="5.09"/>
    <n v="12.52"/>
    <n v="7.7"/>
    <n v="13.37"/>
    <n v="6383.02"/>
  </r>
  <r>
    <x v="192"/>
    <s v="Referral"/>
    <s v="Lead Generation"/>
    <s v="Enterprise Plan"/>
    <n v="4561"/>
    <n v="400"/>
    <n v="63"/>
    <n v="144.69"/>
    <n v="8849.14"/>
    <n v="8.77"/>
    <n v="15.75"/>
    <n v="2.2999999999999998"/>
    <n v="61.16"/>
    <n v="8704.4500000000007"/>
  </r>
  <r>
    <x v="193"/>
    <s v="Google Ads"/>
    <s v="Flash Sale"/>
    <s v="Starter Kit"/>
    <n v="16510"/>
    <n v="787"/>
    <n v="92"/>
    <n v="1003.97"/>
    <n v="15535.23"/>
    <n v="4.7699999999999996"/>
    <n v="11.69"/>
    <n v="10.91"/>
    <n v="15.47"/>
    <n v="14531.26"/>
  </r>
  <r>
    <x v="193"/>
    <s v="Facebook Ads"/>
    <s v="Product Launch"/>
    <s v="Basic Plan"/>
    <n v="16960"/>
    <n v="430"/>
    <n v="27"/>
    <n v="984.9"/>
    <n v="2438.41"/>
    <n v="2.54"/>
    <n v="6.28"/>
    <n v="36.479999999999997"/>
    <n v="2.48"/>
    <n v="1453.51"/>
  </r>
  <r>
    <x v="193"/>
    <s v="Instagram Ads"/>
    <s v="Brand Awareness"/>
    <s v="Add-on Service"/>
    <n v="16075"/>
    <n v="470"/>
    <n v="36"/>
    <n v="997.13"/>
    <n v="3005.13"/>
    <n v="2.92"/>
    <n v="7.66"/>
    <n v="27.7"/>
    <n v="3.01"/>
    <n v="2008"/>
  </r>
  <r>
    <x v="193"/>
    <s v="LinkedIn Ads"/>
    <s v="Retargeting"/>
    <s v="Basic Plan"/>
    <n v="5134"/>
    <n v="152"/>
    <n v="18"/>
    <n v="2100.12"/>
    <n v="4710.67"/>
    <n v="2.96"/>
    <n v="11.84"/>
    <n v="116.67"/>
    <n v="2.2400000000000002"/>
    <n v="2610.5500000000002"/>
  </r>
  <r>
    <x v="193"/>
    <s v="Email Marketing"/>
    <s v="Flash Sale"/>
    <s v="Starter Kit"/>
    <n v="23767"/>
    <n v="3769"/>
    <n v="318"/>
    <n v="296.44"/>
    <n v="39534.9"/>
    <n v="15.86"/>
    <n v="8.44"/>
    <n v="0.93"/>
    <n v="133.37"/>
    <n v="39238.46"/>
  </r>
  <r>
    <x v="193"/>
    <s v="Organic Search"/>
    <s v="Product Launch"/>
    <s v="Basic Plan"/>
    <n v="29368"/>
    <n v="1888"/>
    <n v="258"/>
    <n v="0"/>
    <n v="28019.41"/>
    <n v="6.43"/>
    <n v="13.67"/>
    <n v="0"/>
    <n v="0"/>
    <n v="28019.41"/>
  </r>
  <r>
    <x v="193"/>
    <s v="Display Ads"/>
    <s v="Brand Awareness"/>
    <s v="Premium Plan"/>
    <n v="35116"/>
    <n v="361"/>
    <n v="12"/>
    <n v="1116.0999999999999"/>
    <n v="1233.5999999999999"/>
    <n v="1.03"/>
    <n v="3.32"/>
    <n v="93.01"/>
    <n v="1.1100000000000001"/>
    <n v="117.5"/>
  </r>
  <r>
    <x v="193"/>
    <s v="YouTube Ads"/>
    <s v="Flash Sale"/>
    <s v="Premium Plan"/>
    <n v="19521"/>
    <n v="399"/>
    <n v="24"/>
    <n v="1224.81"/>
    <n v="3237.5"/>
    <n v="2.04"/>
    <n v="6.02"/>
    <n v="51.03"/>
    <n v="2.64"/>
    <n v="2012.69"/>
  </r>
  <r>
    <x v="193"/>
    <s v="Twitter Ads"/>
    <s v="Brand Awareness"/>
    <s v="Add-on Service"/>
    <n v="9738"/>
    <n v="326"/>
    <n v="19"/>
    <n v="867.48"/>
    <n v="1642.17"/>
    <n v="3.35"/>
    <n v="5.83"/>
    <n v="45.66"/>
    <n v="1.89"/>
    <n v="774.69"/>
  </r>
  <r>
    <x v="193"/>
    <s v="TikTok Ads"/>
    <s v="Flash Sale"/>
    <s v="Starter Kit"/>
    <n v="35966"/>
    <n v="1195"/>
    <n v="56"/>
    <n v="842.17"/>
    <n v="4516.8500000000004"/>
    <n v="3.32"/>
    <n v="4.6900000000000004"/>
    <n v="15.04"/>
    <n v="5.36"/>
    <n v="3674.68"/>
  </r>
  <r>
    <x v="193"/>
    <s v="Affiliate Marketing"/>
    <s v="Lead Generation"/>
    <s v="Premium Plan"/>
    <n v="7552"/>
    <n v="420"/>
    <n v="45"/>
    <n v="622.33000000000004"/>
    <n v="5025.6000000000004"/>
    <n v="5.56"/>
    <n v="10.71"/>
    <n v="13.83"/>
    <n v="8.08"/>
    <n v="4403.2700000000004"/>
  </r>
  <r>
    <x v="193"/>
    <s v="Referral"/>
    <s v="Seasonal Promotion"/>
    <s v="Premium Plan"/>
    <n v="7142"/>
    <n v="640"/>
    <n v="111"/>
    <n v="70.48"/>
    <n v="16578.75"/>
    <n v="8.9600000000000009"/>
    <n v="17.34"/>
    <n v="0.63"/>
    <n v="235.23"/>
    <n v="16508.27"/>
  </r>
  <r>
    <x v="194"/>
    <s v="Google Ads"/>
    <s v="Flash Sale"/>
    <s v="Premium Plan"/>
    <n v="9618"/>
    <n v="391"/>
    <n v="35"/>
    <n v="1021.28"/>
    <n v="6111.93"/>
    <n v="4.07"/>
    <n v="8.9499999999999993"/>
    <n v="29.18"/>
    <n v="5.98"/>
    <n v="5090.6499999999996"/>
  </r>
  <r>
    <x v="194"/>
    <s v="Facebook Ads"/>
    <s v="Product Launch"/>
    <s v="Basic Plan"/>
    <n v="13605"/>
    <n v="387"/>
    <n v="27"/>
    <n v="602.21"/>
    <n v="2559.7399999999998"/>
    <n v="2.84"/>
    <n v="6.98"/>
    <n v="22.3"/>
    <n v="4.25"/>
    <n v="1957.53"/>
  </r>
  <r>
    <x v="194"/>
    <s v="Instagram Ads"/>
    <s v="Retargeting"/>
    <s v="Enterprise Plan"/>
    <n v="14530"/>
    <n v="491"/>
    <n v="24"/>
    <n v="728.41"/>
    <n v="1770.1"/>
    <n v="3.38"/>
    <n v="4.8899999999999997"/>
    <n v="30.35"/>
    <n v="2.4300000000000002"/>
    <n v="1041.69"/>
  </r>
  <r>
    <x v="194"/>
    <s v="LinkedIn Ads"/>
    <s v="Product Launch"/>
    <s v="Starter Kit"/>
    <n v="4006"/>
    <n v="69"/>
    <n v="9"/>
    <n v="1010.1"/>
    <n v="3191.49"/>
    <n v="1.72"/>
    <n v="13.04"/>
    <n v="112.23"/>
    <n v="3.16"/>
    <n v="2181.39"/>
  </r>
  <r>
    <x v="194"/>
    <s v="Email Marketing"/>
    <s v="Brand Awareness"/>
    <s v="Premium Plan"/>
    <n v="13910"/>
    <n v="2713"/>
    <n v="247"/>
    <n v="115.19"/>
    <n v="35822.44"/>
    <n v="19.5"/>
    <n v="9.1"/>
    <n v="0.47"/>
    <n v="310.99"/>
    <n v="35707.25"/>
  </r>
  <r>
    <x v="194"/>
    <s v="Organic Search"/>
    <s v="Lead Generation"/>
    <s v="Premium Plan"/>
    <n v="26475"/>
    <n v="1125"/>
    <n v="164"/>
    <n v="0"/>
    <n v="19661.990000000002"/>
    <n v="4.25"/>
    <n v="14.58"/>
    <n v="0"/>
    <n v="0"/>
    <n v="19661.990000000002"/>
  </r>
  <r>
    <x v="194"/>
    <s v="Display Ads"/>
    <s v="Product Launch"/>
    <s v="Enterprise Plan"/>
    <n v="28993"/>
    <n v="330"/>
    <n v="10"/>
    <n v="592.23"/>
    <n v="1123.47"/>
    <n v="1.1399999999999999"/>
    <n v="3.03"/>
    <n v="59.22"/>
    <n v="1.9"/>
    <n v="531.24"/>
  </r>
  <r>
    <x v="194"/>
    <s v="YouTube Ads"/>
    <s v="Flash Sale"/>
    <s v="Enterprise Plan"/>
    <n v="19078"/>
    <n v="374"/>
    <n v="27"/>
    <n v="915.53"/>
    <n v="3511.25"/>
    <n v="1.96"/>
    <n v="7.22"/>
    <n v="33.909999999999997"/>
    <n v="3.84"/>
    <n v="2595.7199999999998"/>
  </r>
  <r>
    <x v="194"/>
    <s v="Twitter Ads"/>
    <s v="Retargeting"/>
    <s v="Premium Plan"/>
    <n v="10491"/>
    <n v="315"/>
    <n v="10"/>
    <n v="598.25"/>
    <n v="1135.3900000000001"/>
    <n v="3"/>
    <n v="3.17"/>
    <n v="59.82"/>
    <n v="1.9"/>
    <n v="537.14"/>
  </r>
  <r>
    <x v="194"/>
    <s v="TikTok Ads"/>
    <s v="Brand Awareness"/>
    <s v="Premium Plan"/>
    <n v="21984"/>
    <n v="585"/>
    <n v="33"/>
    <n v="691.16"/>
    <n v="3173.98"/>
    <n v="2.66"/>
    <n v="5.64"/>
    <n v="20.94"/>
    <n v="4.59"/>
    <n v="2482.8200000000002"/>
  </r>
  <r>
    <x v="194"/>
    <s v="Affiliate Marketing"/>
    <s v="Brand Awareness"/>
    <s v="Basic Plan"/>
    <n v="8293"/>
    <n v="404"/>
    <n v="36"/>
    <n v="459.98"/>
    <n v="4141.92"/>
    <n v="4.87"/>
    <n v="8.91"/>
    <n v="12.78"/>
    <n v="9"/>
    <n v="3681.94"/>
  </r>
  <r>
    <x v="194"/>
    <s v="Referral"/>
    <s v="Flash Sale"/>
    <s v="Basic Plan"/>
    <n v="3180"/>
    <n v="245"/>
    <n v="29"/>
    <n v="42.68"/>
    <n v="4051.82"/>
    <n v="7.7"/>
    <n v="11.84"/>
    <n v="1.47"/>
    <n v="94.93"/>
    <n v="4009.14"/>
  </r>
  <r>
    <x v="195"/>
    <s v="Google Ads"/>
    <s v="Product Launch"/>
    <s v="Enterprise Plan"/>
    <n v="9350"/>
    <n v="324"/>
    <n v="26"/>
    <n v="813.93"/>
    <n v="3791.86"/>
    <n v="3.47"/>
    <n v="8.02"/>
    <n v="31.3"/>
    <n v="4.66"/>
    <n v="2977.93"/>
  </r>
  <r>
    <x v="195"/>
    <s v="Facebook Ads"/>
    <s v="Retargeting"/>
    <s v="Add-on Service"/>
    <n v="15099"/>
    <n v="333"/>
    <n v="27"/>
    <n v="914.01"/>
    <n v="2891.91"/>
    <n v="2.21"/>
    <n v="8.11"/>
    <n v="33.85"/>
    <n v="3.16"/>
    <n v="1977.9"/>
  </r>
  <r>
    <x v="195"/>
    <s v="Instagram Ads"/>
    <s v="Product Launch"/>
    <s v="Premium Plan"/>
    <n v="12437"/>
    <n v="443"/>
    <n v="31"/>
    <n v="572.22"/>
    <n v="2947.01"/>
    <n v="3.56"/>
    <n v="7"/>
    <n v="18.46"/>
    <n v="5.15"/>
    <n v="2374.79"/>
  </r>
  <r>
    <x v="195"/>
    <s v="LinkedIn Ads"/>
    <s v="Product Launch"/>
    <s v="Enterprise Plan"/>
    <n v="4486"/>
    <n v="74"/>
    <n v="9"/>
    <n v="1348.1"/>
    <n v="2754.57"/>
    <n v="1.65"/>
    <n v="12.16"/>
    <n v="149.79"/>
    <n v="2.04"/>
    <n v="1406.47"/>
  </r>
  <r>
    <x v="195"/>
    <s v="Email Marketing"/>
    <s v="Lead Generation"/>
    <s v="Premium Plan"/>
    <n v="17573"/>
    <n v="4224"/>
    <n v="499"/>
    <n v="236.46"/>
    <n v="80257.94"/>
    <n v="24.04"/>
    <n v="11.81"/>
    <n v="0.47"/>
    <n v="339.41"/>
    <n v="80021.48"/>
  </r>
  <r>
    <x v="195"/>
    <s v="Organic Search"/>
    <s v="Retargeting"/>
    <s v="Starter Kit"/>
    <n v="25348"/>
    <n v="1330"/>
    <n v="139"/>
    <n v="0"/>
    <n v="21766.720000000001"/>
    <n v="5.25"/>
    <n v="10.45"/>
    <n v="0"/>
    <n v="0"/>
    <n v="21766.720000000001"/>
  </r>
  <r>
    <x v="195"/>
    <s v="Display Ads"/>
    <s v="Retargeting"/>
    <s v="Enterprise Plan"/>
    <n v="25866"/>
    <n v="390"/>
    <n v="15"/>
    <n v="1063.99"/>
    <n v="1565.42"/>
    <n v="1.51"/>
    <n v="3.85"/>
    <n v="70.930000000000007"/>
    <n v="1.47"/>
    <n v="501.43"/>
  </r>
  <r>
    <x v="195"/>
    <s v="YouTube Ads"/>
    <s v="Retargeting"/>
    <s v="Starter Kit"/>
    <n v="19982"/>
    <n v="338"/>
    <n v="26"/>
    <n v="1159.99"/>
    <n v="3358.45"/>
    <n v="1.69"/>
    <n v="7.69"/>
    <n v="44.62"/>
    <n v="2.9"/>
    <n v="2198.46"/>
  </r>
  <r>
    <x v="195"/>
    <s v="Twitter Ads"/>
    <s v="Retargeting"/>
    <s v="Basic Plan"/>
    <n v="9198"/>
    <n v="233"/>
    <n v="7"/>
    <n v="566.69000000000005"/>
    <n v="487.92"/>
    <n v="2.5299999999999998"/>
    <n v="3"/>
    <n v="80.959999999999994"/>
    <n v="0.86"/>
    <n v="-78.77"/>
  </r>
  <r>
    <x v="195"/>
    <s v="TikTok Ads"/>
    <s v="Brand Awareness"/>
    <s v="Basic Plan"/>
    <n v="16751"/>
    <n v="704"/>
    <n v="36"/>
    <n v="690.68"/>
    <n v="3730.31"/>
    <n v="4.2"/>
    <n v="5.1100000000000003"/>
    <n v="19.190000000000001"/>
    <n v="5.4"/>
    <n v="3039.63"/>
  </r>
  <r>
    <x v="195"/>
    <s v="Affiliate Marketing"/>
    <s v="Flash Sale"/>
    <s v="Premium Plan"/>
    <n v="7706"/>
    <n v="313"/>
    <n v="39"/>
    <n v="290.39"/>
    <n v="5649.69"/>
    <n v="4.0599999999999996"/>
    <n v="12.46"/>
    <n v="7.45"/>
    <n v="19.46"/>
    <n v="5359.3"/>
  </r>
  <r>
    <x v="195"/>
    <s v="Referral"/>
    <s v="Lead Generation"/>
    <s v="Premium Plan"/>
    <n v="4142"/>
    <n v="308"/>
    <n v="49"/>
    <n v="134.03"/>
    <n v="7647.1"/>
    <n v="7.44"/>
    <n v="15.91"/>
    <n v="2.74"/>
    <n v="57.06"/>
    <n v="7513.07"/>
  </r>
  <r>
    <x v="196"/>
    <s v="Google Ads"/>
    <s v="Retargeting"/>
    <s v="Add-on Service"/>
    <n v="17760"/>
    <n v="837"/>
    <n v="82"/>
    <n v="1099.3599999999999"/>
    <n v="13985.57"/>
    <n v="4.71"/>
    <n v="9.8000000000000007"/>
    <n v="13.41"/>
    <n v="12.72"/>
    <n v="12886.21"/>
  </r>
  <r>
    <x v="196"/>
    <s v="Facebook Ads"/>
    <s v="Retargeting"/>
    <s v="Add-on Service"/>
    <n v="22972"/>
    <n v="746"/>
    <n v="64"/>
    <n v="999.26"/>
    <n v="5915.35"/>
    <n v="3.25"/>
    <n v="8.58"/>
    <n v="15.61"/>
    <n v="5.92"/>
    <n v="4916.09"/>
  </r>
  <r>
    <x v="196"/>
    <s v="Instagram Ads"/>
    <s v="Flash Sale"/>
    <s v="Starter Kit"/>
    <n v="16881"/>
    <n v="627"/>
    <n v="25"/>
    <n v="1130.6199999999999"/>
    <n v="2017.09"/>
    <n v="3.71"/>
    <n v="3.99"/>
    <n v="45.22"/>
    <n v="1.78"/>
    <n v="886.47"/>
  </r>
  <r>
    <x v="196"/>
    <s v="LinkedIn Ads"/>
    <s v="Lead Generation"/>
    <s v="Add-on Service"/>
    <n v="7075"/>
    <n v="108"/>
    <n v="14"/>
    <n v="1693.36"/>
    <n v="3411.85"/>
    <n v="1.53"/>
    <n v="12.96"/>
    <n v="120.95"/>
    <n v="2.0099999999999998"/>
    <n v="1718.49"/>
  </r>
  <r>
    <x v="196"/>
    <s v="Email Marketing"/>
    <s v="Retargeting"/>
    <s v="Enterprise Plan"/>
    <n v="20511"/>
    <n v="3076"/>
    <n v="252"/>
    <n v="279.13"/>
    <n v="38551.019999999997"/>
    <n v="15"/>
    <n v="8.19"/>
    <n v="1.1100000000000001"/>
    <n v="138.11000000000001"/>
    <n v="38271.89"/>
  </r>
  <r>
    <x v="196"/>
    <s v="Organic Search"/>
    <s v="Seasonal Promotion"/>
    <s v="Premium Plan"/>
    <n v="38700"/>
    <n v="2750"/>
    <n v="368"/>
    <n v="0"/>
    <n v="44332.15"/>
    <n v="7.11"/>
    <n v="13.38"/>
    <n v="0"/>
    <n v="0"/>
    <n v="44332.15"/>
  </r>
  <r>
    <x v="196"/>
    <s v="Display Ads"/>
    <s v="Flash Sale"/>
    <s v="Basic Plan"/>
    <n v="47787"/>
    <n v="681"/>
    <n v="18"/>
    <n v="1136.76"/>
    <n v="2112.31"/>
    <n v="1.43"/>
    <n v="2.64"/>
    <n v="63.15"/>
    <n v="1.86"/>
    <n v="975.55"/>
  </r>
  <r>
    <x v="196"/>
    <s v="YouTube Ads"/>
    <s v="Retargeting"/>
    <s v="Starter Kit"/>
    <n v="18134"/>
    <n v="488"/>
    <n v="27"/>
    <n v="1269.3800000000001"/>
    <n v="2604.88"/>
    <n v="2.69"/>
    <n v="5.53"/>
    <n v="47.01"/>
    <n v="2.0499999999999998"/>
    <n v="1335.5"/>
  </r>
  <r>
    <x v="196"/>
    <s v="Twitter Ads"/>
    <s v="Brand Awareness"/>
    <s v="Starter Kit"/>
    <n v="10101"/>
    <n v="268"/>
    <n v="10"/>
    <n v="520.16"/>
    <n v="1033.68"/>
    <n v="2.65"/>
    <n v="3.73"/>
    <n v="52.02"/>
    <n v="1.99"/>
    <n v="513.52"/>
  </r>
  <r>
    <x v="196"/>
    <s v="TikTok Ads"/>
    <s v="Retargeting"/>
    <s v="Premium Plan"/>
    <n v="32762"/>
    <n v="1104"/>
    <n v="74"/>
    <n v="1310.4000000000001"/>
    <n v="7764.58"/>
    <n v="3.37"/>
    <n v="6.7"/>
    <n v="17.71"/>
    <n v="5.93"/>
    <n v="6454.18"/>
  </r>
  <r>
    <x v="196"/>
    <s v="Affiliate Marketing"/>
    <s v="Brand Awareness"/>
    <s v="Enterprise Plan"/>
    <n v="6559"/>
    <n v="432"/>
    <n v="50"/>
    <n v="475.22"/>
    <n v="5278.95"/>
    <n v="6.59"/>
    <n v="11.57"/>
    <n v="9.5"/>
    <n v="11.11"/>
    <n v="4803.7299999999996"/>
  </r>
  <r>
    <x v="196"/>
    <s v="Referral"/>
    <s v="Flash Sale"/>
    <s v="Enterprise Plan"/>
    <n v="5422"/>
    <n v="327"/>
    <n v="39"/>
    <n v="236.22"/>
    <n v="5905.82"/>
    <n v="6.03"/>
    <n v="11.93"/>
    <n v="6.06"/>
    <n v="25"/>
    <n v="5669.6"/>
  </r>
  <r>
    <x v="197"/>
    <s v="Google Ads"/>
    <s v="Brand Awareness"/>
    <s v="Add-on Service"/>
    <n v="14917"/>
    <n v="604"/>
    <n v="68"/>
    <n v="1012.07"/>
    <n v="10221.469999999999"/>
    <n v="4.05"/>
    <n v="11.26"/>
    <n v="14.88"/>
    <n v="10.1"/>
    <n v="9209.4"/>
  </r>
  <r>
    <x v="197"/>
    <s v="Facebook Ads"/>
    <s v="Flash Sale"/>
    <s v="Add-on Service"/>
    <n v="23922"/>
    <n v="676"/>
    <n v="37"/>
    <n v="1165.26"/>
    <n v="3095.67"/>
    <n v="2.83"/>
    <n v="5.47"/>
    <n v="31.49"/>
    <n v="2.66"/>
    <n v="1930.41"/>
  </r>
  <r>
    <x v="197"/>
    <s v="Instagram Ads"/>
    <s v="Flash Sale"/>
    <s v="Add-on Service"/>
    <n v="21339"/>
    <n v="608"/>
    <n v="48"/>
    <n v="781.28"/>
    <n v="3856.05"/>
    <n v="2.85"/>
    <n v="7.89"/>
    <n v="16.28"/>
    <n v="4.9400000000000004"/>
    <n v="3074.77"/>
  </r>
  <r>
    <x v="197"/>
    <s v="LinkedIn Ads"/>
    <s v="Lead Generation"/>
    <s v="Enterprise Plan"/>
    <n v="6559"/>
    <n v="129"/>
    <n v="13"/>
    <n v="1724.83"/>
    <n v="3955.74"/>
    <n v="1.97"/>
    <n v="10.08"/>
    <n v="132.68"/>
    <n v="2.29"/>
    <n v="2230.91"/>
  </r>
  <r>
    <x v="197"/>
    <s v="Email Marketing"/>
    <s v="Seasonal Promotion"/>
    <s v="Add-on Service"/>
    <n v="25528"/>
    <n v="3978"/>
    <n v="429"/>
    <n v="312.82"/>
    <n v="62075.74"/>
    <n v="15.58"/>
    <n v="10.78"/>
    <n v="0.73"/>
    <n v="198.44"/>
    <n v="61762.92"/>
  </r>
  <r>
    <x v="197"/>
    <s v="Organic Search"/>
    <s v="Flash Sale"/>
    <s v="Add-on Service"/>
    <n v="37855"/>
    <n v="2803"/>
    <n v="380"/>
    <n v="0"/>
    <n v="61075.53"/>
    <n v="7.4"/>
    <n v="13.56"/>
    <n v="0"/>
    <n v="0"/>
    <n v="61075.53"/>
  </r>
  <r>
    <x v="197"/>
    <s v="Display Ads"/>
    <s v="Brand Awareness"/>
    <s v="Starter Kit"/>
    <n v="38620"/>
    <n v="769"/>
    <n v="36"/>
    <n v="1095.21"/>
    <n v="3493.17"/>
    <n v="1.99"/>
    <n v="4.68"/>
    <n v="30.42"/>
    <n v="3.19"/>
    <n v="2397.96"/>
  </r>
  <r>
    <x v="197"/>
    <s v="YouTube Ads"/>
    <s v="Flash Sale"/>
    <s v="Basic Plan"/>
    <n v="20304"/>
    <n v="340"/>
    <n v="14"/>
    <n v="1552.81"/>
    <n v="1665.02"/>
    <n v="1.67"/>
    <n v="4.12"/>
    <n v="110.92"/>
    <n v="1.07"/>
    <n v="112.21"/>
  </r>
  <r>
    <x v="197"/>
    <s v="Twitter Ads"/>
    <s v="Retargeting"/>
    <s v="Enterprise Plan"/>
    <n v="11114"/>
    <n v="373"/>
    <n v="21"/>
    <n v="506.73"/>
    <n v="2251.7399999999998"/>
    <n v="3.36"/>
    <n v="5.63"/>
    <n v="24.13"/>
    <n v="4.4400000000000004"/>
    <n v="1745.01"/>
  </r>
  <r>
    <x v="197"/>
    <s v="TikTok Ads"/>
    <s v="Flash Sale"/>
    <s v="Starter Kit"/>
    <n v="23838"/>
    <n v="610"/>
    <n v="22"/>
    <n v="1010.54"/>
    <n v="2069.77"/>
    <n v="2.56"/>
    <n v="3.61"/>
    <n v="45.93"/>
    <n v="2.0499999999999998"/>
    <n v="1059.23"/>
  </r>
  <r>
    <x v="197"/>
    <s v="Affiliate Marketing"/>
    <s v="Lead Generation"/>
    <s v="Add-on Service"/>
    <n v="10443"/>
    <n v="649"/>
    <n v="57"/>
    <n v="399.62"/>
    <n v="7483.03"/>
    <n v="6.21"/>
    <n v="8.7799999999999994"/>
    <n v="7.01"/>
    <n v="18.73"/>
    <n v="7083.41"/>
  </r>
  <r>
    <x v="197"/>
    <s v="Referral"/>
    <s v="Seasonal Promotion"/>
    <s v="Premium Plan"/>
    <n v="6144"/>
    <n v="453"/>
    <n v="66"/>
    <n v="102.06"/>
    <n v="9502.5400000000009"/>
    <n v="7.37"/>
    <n v="14.57"/>
    <n v="1.55"/>
    <n v="93.11"/>
    <n v="9400.48"/>
  </r>
  <r>
    <x v="198"/>
    <s v="Google Ads"/>
    <s v="Brand Awareness"/>
    <s v="Basic Plan"/>
    <n v="13956"/>
    <n v="520"/>
    <n v="61"/>
    <n v="1146.76"/>
    <n v="10201.370000000001"/>
    <n v="3.73"/>
    <n v="11.73"/>
    <n v="18.8"/>
    <n v="8.9"/>
    <n v="9054.61"/>
  </r>
  <r>
    <x v="198"/>
    <s v="Facebook Ads"/>
    <s v="Seasonal Promotion"/>
    <s v="Starter Kit"/>
    <n v="15982"/>
    <n v="356"/>
    <n v="20"/>
    <n v="1332.92"/>
    <n v="2538.5"/>
    <n v="2.23"/>
    <n v="5.62"/>
    <n v="66.650000000000006"/>
    <n v="1.9"/>
    <n v="1205.58"/>
  </r>
  <r>
    <x v="198"/>
    <s v="Instagram Ads"/>
    <s v="Retargeting"/>
    <s v="Basic Plan"/>
    <n v="17174"/>
    <n v="615"/>
    <n v="39"/>
    <n v="981.89"/>
    <n v="2834"/>
    <n v="3.58"/>
    <n v="6.34"/>
    <n v="25.18"/>
    <n v="2.89"/>
    <n v="1852.11"/>
  </r>
  <r>
    <x v="198"/>
    <s v="LinkedIn Ads"/>
    <s v="Brand Awareness"/>
    <s v="Starter Kit"/>
    <n v="4290"/>
    <n v="105"/>
    <n v="12"/>
    <n v="1222.68"/>
    <n v="2407.3200000000002"/>
    <n v="2.4500000000000002"/>
    <n v="11.43"/>
    <n v="101.89"/>
    <n v="1.97"/>
    <n v="1184.6400000000001"/>
  </r>
  <r>
    <x v="198"/>
    <s v="Email Marketing"/>
    <s v="Product Launch"/>
    <s v="Basic Plan"/>
    <n v="25664"/>
    <n v="5323"/>
    <n v="716"/>
    <n v="353.38"/>
    <n v="91697.71"/>
    <n v="20.74"/>
    <n v="13.45"/>
    <n v="0.49"/>
    <n v="259.49"/>
    <n v="91344.33"/>
  </r>
  <r>
    <x v="198"/>
    <s v="Organic Search"/>
    <s v="Product Launch"/>
    <s v="Enterprise Plan"/>
    <n v="39900"/>
    <n v="2040"/>
    <n v="254"/>
    <n v="0"/>
    <n v="32310.86"/>
    <n v="5.1100000000000003"/>
    <n v="12.45"/>
    <n v="0"/>
    <n v="0"/>
    <n v="32310.86"/>
  </r>
  <r>
    <x v="198"/>
    <s v="Display Ads"/>
    <s v="Brand Awareness"/>
    <s v="Add-on Service"/>
    <n v="40386"/>
    <n v="505"/>
    <n v="18"/>
    <n v="898.18"/>
    <n v="1936.99"/>
    <n v="1.25"/>
    <n v="3.56"/>
    <n v="49.9"/>
    <n v="2.16"/>
    <n v="1038.81"/>
  </r>
  <r>
    <x v="198"/>
    <s v="YouTube Ads"/>
    <s v="Lead Generation"/>
    <s v="Add-on Service"/>
    <n v="27260"/>
    <n v="660"/>
    <n v="48"/>
    <n v="1164.3900000000001"/>
    <n v="5489.51"/>
    <n v="2.42"/>
    <n v="7.27"/>
    <n v="24.26"/>
    <n v="4.71"/>
    <n v="4325.12"/>
  </r>
  <r>
    <x v="198"/>
    <s v="Twitter Ads"/>
    <s v="Flash Sale"/>
    <s v="Starter Kit"/>
    <n v="15657"/>
    <n v="542"/>
    <n v="22"/>
    <n v="549.66"/>
    <n v="1911.58"/>
    <n v="3.46"/>
    <n v="4.0599999999999996"/>
    <n v="24.98"/>
    <n v="3.48"/>
    <n v="1361.92"/>
  </r>
  <r>
    <x v="198"/>
    <s v="TikTok Ads"/>
    <s v="Retargeting"/>
    <s v="Basic Plan"/>
    <n v="35756"/>
    <n v="1515"/>
    <n v="92"/>
    <n v="917.63"/>
    <n v="9770.51"/>
    <n v="4.24"/>
    <n v="6.07"/>
    <n v="9.9700000000000006"/>
    <n v="10.65"/>
    <n v="8852.8799999999992"/>
  </r>
  <r>
    <x v="198"/>
    <s v="Affiliate Marketing"/>
    <s v="Brand Awareness"/>
    <s v="Starter Kit"/>
    <n v="8818"/>
    <n v="602"/>
    <n v="55"/>
    <n v="428.71"/>
    <n v="6596.9"/>
    <n v="6.83"/>
    <n v="9.14"/>
    <n v="7.79"/>
    <n v="15.39"/>
    <n v="6168.19"/>
  </r>
  <r>
    <x v="198"/>
    <s v="Referral"/>
    <s v="Retargeting"/>
    <s v="Add-on Service"/>
    <n v="5486"/>
    <n v="433"/>
    <n v="75"/>
    <n v="72.28"/>
    <n v="13089.62"/>
    <n v="7.89"/>
    <n v="17.32"/>
    <n v="0.96"/>
    <n v="181.1"/>
    <n v="13017.34"/>
  </r>
  <r>
    <x v="199"/>
    <s v="Google Ads"/>
    <s v="Retargeting"/>
    <s v="Premium Plan"/>
    <n v="10528"/>
    <n v="391"/>
    <n v="32"/>
    <n v="1462.56"/>
    <n v="4204.01"/>
    <n v="3.71"/>
    <n v="8.18"/>
    <n v="45.7"/>
    <n v="2.87"/>
    <n v="2741.45"/>
  </r>
  <r>
    <x v="199"/>
    <s v="Facebook Ads"/>
    <s v="Retargeting"/>
    <s v="Starter Kit"/>
    <n v="21219"/>
    <n v="750"/>
    <n v="42"/>
    <n v="1297.44"/>
    <n v="5010.58"/>
    <n v="3.53"/>
    <n v="5.6"/>
    <n v="30.89"/>
    <n v="3.86"/>
    <n v="3713.14"/>
  </r>
  <r>
    <x v="199"/>
    <s v="Instagram Ads"/>
    <s v="Product Launch"/>
    <s v="Premium Plan"/>
    <n v="13245"/>
    <n v="343"/>
    <n v="15"/>
    <n v="859.85"/>
    <n v="1709.6"/>
    <n v="2.59"/>
    <n v="4.37"/>
    <n v="57.32"/>
    <n v="1.99"/>
    <n v="849.75"/>
  </r>
  <r>
    <x v="199"/>
    <s v="LinkedIn Ads"/>
    <s v="Retargeting"/>
    <s v="Premium Plan"/>
    <n v="4706"/>
    <n v="84"/>
    <n v="10"/>
    <n v="1364.78"/>
    <n v="2340.1"/>
    <n v="1.78"/>
    <n v="11.9"/>
    <n v="136.47999999999999"/>
    <n v="1.71"/>
    <n v="975.32"/>
  </r>
  <r>
    <x v="199"/>
    <s v="Email Marketing"/>
    <s v="Brand Awareness"/>
    <s v="Starter Kit"/>
    <n v="27036"/>
    <n v="5716"/>
    <n v="703"/>
    <n v="353.71"/>
    <n v="95340.84"/>
    <n v="21.14"/>
    <n v="12.3"/>
    <n v="0.5"/>
    <n v="269.55"/>
    <n v="94987.13"/>
  </r>
  <r>
    <x v="199"/>
    <s v="Organic Search"/>
    <s v="Retargeting"/>
    <s v="Premium Plan"/>
    <n v="40636"/>
    <n v="2875"/>
    <n v="458"/>
    <n v="0"/>
    <n v="42870.59"/>
    <n v="7.08"/>
    <n v="15.93"/>
    <n v="0"/>
    <n v="0"/>
    <n v="42870.59"/>
  </r>
  <r>
    <x v="199"/>
    <s v="Display Ads"/>
    <s v="Seasonal Promotion"/>
    <s v="Add-on Service"/>
    <n v="35161"/>
    <n v="542"/>
    <n v="26"/>
    <n v="885.19"/>
    <n v="2227.84"/>
    <n v="1.54"/>
    <n v="4.8"/>
    <n v="34.049999999999997"/>
    <n v="2.52"/>
    <n v="1342.65"/>
  </r>
  <r>
    <x v="199"/>
    <s v="YouTube Ads"/>
    <s v="Brand Awareness"/>
    <s v="Premium Plan"/>
    <n v="26840"/>
    <n v="424"/>
    <n v="16"/>
    <n v="1182.6600000000001"/>
    <n v="1846.97"/>
    <n v="1.58"/>
    <n v="3.77"/>
    <n v="73.92"/>
    <n v="1.56"/>
    <n v="664.31"/>
  </r>
  <r>
    <x v="199"/>
    <s v="Twitter Ads"/>
    <s v="Seasonal Promotion"/>
    <s v="Add-on Service"/>
    <n v="16492"/>
    <n v="536"/>
    <n v="16"/>
    <n v="809.9"/>
    <n v="1703.75"/>
    <n v="3.25"/>
    <n v="2.99"/>
    <n v="50.62"/>
    <n v="2.1"/>
    <n v="893.85"/>
  </r>
  <r>
    <x v="199"/>
    <s v="TikTok Ads"/>
    <s v="Flash Sale"/>
    <s v="Enterprise Plan"/>
    <n v="27418"/>
    <n v="1032"/>
    <n v="54"/>
    <n v="1073.03"/>
    <n v="4543.9399999999996"/>
    <n v="3.76"/>
    <n v="5.23"/>
    <n v="19.87"/>
    <n v="4.2300000000000004"/>
    <n v="3470.91"/>
  </r>
  <r>
    <x v="199"/>
    <s v="Affiliate Marketing"/>
    <s v="Seasonal Promotion"/>
    <s v="Add-on Service"/>
    <n v="7561"/>
    <n v="434"/>
    <n v="51"/>
    <n v="623.08000000000004"/>
    <n v="6984.97"/>
    <n v="5.74"/>
    <n v="11.75"/>
    <n v="12.22"/>
    <n v="11.21"/>
    <n v="6361.89"/>
  </r>
  <r>
    <x v="199"/>
    <s v="Referral"/>
    <s v="Lead Generation"/>
    <s v="Starter Kit"/>
    <n v="3916"/>
    <n v="216"/>
    <n v="26"/>
    <n v="100.44"/>
    <n v="3873.78"/>
    <n v="5.52"/>
    <n v="12.04"/>
    <n v="3.86"/>
    <n v="38.57"/>
    <n v="3773.34"/>
  </r>
  <r>
    <x v="200"/>
    <s v="Google Ads"/>
    <s v="Product Launch"/>
    <s v="Enterprise Plan"/>
    <n v="17678"/>
    <n v="715"/>
    <n v="80"/>
    <n v="1126.1500000000001"/>
    <n v="10750.81"/>
    <n v="4.04"/>
    <n v="11.19"/>
    <n v="14.08"/>
    <n v="9.5500000000000007"/>
    <n v="9624.66"/>
  </r>
  <r>
    <x v="200"/>
    <s v="Facebook Ads"/>
    <s v="Brand Awareness"/>
    <s v="Basic Plan"/>
    <n v="22533"/>
    <n v="856"/>
    <n v="44"/>
    <n v="1259.8399999999999"/>
    <n v="4291.5600000000004"/>
    <n v="3.8"/>
    <n v="5.14"/>
    <n v="28.63"/>
    <n v="3.41"/>
    <n v="3031.72"/>
  </r>
  <r>
    <x v="200"/>
    <s v="Instagram Ads"/>
    <s v="Retargeting"/>
    <s v="Enterprise Plan"/>
    <n v="20143"/>
    <n v="829"/>
    <n v="44"/>
    <n v="894.41"/>
    <n v="3657.97"/>
    <n v="4.12"/>
    <n v="5.31"/>
    <n v="20.329999999999998"/>
    <n v="4.09"/>
    <n v="2763.56"/>
  </r>
  <r>
    <x v="200"/>
    <s v="LinkedIn Ads"/>
    <s v="Seasonal Promotion"/>
    <s v="Add-on Service"/>
    <n v="4166"/>
    <n v="123"/>
    <n v="18"/>
    <n v="1361.78"/>
    <n v="4594.17"/>
    <n v="2.95"/>
    <n v="14.63"/>
    <n v="75.650000000000006"/>
    <n v="3.37"/>
    <n v="3232.39"/>
  </r>
  <r>
    <x v="200"/>
    <s v="Email Marketing"/>
    <s v="Seasonal Promotion"/>
    <s v="Starter Kit"/>
    <n v="26073"/>
    <n v="4615"/>
    <n v="531"/>
    <n v="270.32"/>
    <n v="89565.95"/>
    <n v="17.7"/>
    <n v="11.51"/>
    <n v="0.51"/>
    <n v="331.33"/>
    <n v="89295.63"/>
  </r>
  <r>
    <x v="200"/>
    <s v="Organic Search"/>
    <s v="Flash Sale"/>
    <s v="Enterprise Plan"/>
    <n v="24046"/>
    <n v="1176"/>
    <n v="170"/>
    <n v="0"/>
    <n v="24191.55"/>
    <n v="4.8899999999999997"/>
    <n v="14.46"/>
    <n v="0"/>
    <n v="0"/>
    <n v="24191.55"/>
  </r>
  <r>
    <x v="200"/>
    <s v="Display Ads"/>
    <s v="Flash Sale"/>
    <s v="Starter Kit"/>
    <n v="33177"/>
    <n v="562"/>
    <n v="12"/>
    <n v="976.64"/>
    <n v="1428.56"/>
    <n v="1.69"/>
    <n v="2.14"/>
    <n v="81.39"/>
    <n v="1.46"/>
    <n v="451.92"/>
  </r>
  <r>
    <x v="200"/>
    <s v="YouTube Ads"/>
    <s v="Brand Awareness"/>
    <s v="Premium Plan"/>
    <n v="22987"/>
    <n v="537"/>
    <n v="37"/>
    <n v="1586.18"/>
    <n v="4321.75"/>
    <n v="2.34"/>
    <n v="6.89"/>
    <n v="42.87"/>
    <n v="2.72"/>
    <n v="2735.57"/>
  </r>
  <r>
    <x v="200"/>
    <s v="Twitter Ads"/>
    <s v="Flash Sale"/>
    <s v="Basic Plan"/>
    <n v="16520"/>
    <n v="434"/>
    <n v="20"/>
    <n v="531.99"/>
    <n v="2240.66"/>
    <n v="2.63"/>
    <n v="4.6100000000000003"/>
    <n v="26.6"/>
    <n v="4.21"/>
    <n v="1708.67"/>
  </r>
  <r>
    <x v="200"/>
    <s v="TikTok Ads"/>
    <s v="Brand Awareness"/>
    <s v="Enterprise Plan"/>
    <n v="34827"/>
    <n v="1256"/>
    <n v="70"/>
    <n v="1052.17"/>
    <n v="6364.53"/>
    <n v="3.61"/>
    <n v="5.57"/>
    <n v="15.03"/>
    <n v="6.05"/>
    <n v="5312.36"/>
  </r>
  <r>
    <x v="200"/>
    <s v="Affiliate Marketing"/>
    <s v="Product Launch"/>
    <s v="Enterprise Plan"/>
    <n v="9007"/>
    <n v="374"/>
    <n v="39"/>
    <n v="428.92"/>
    <n v="4094.21"/>
    <n v="4.1500000000000004"/>
    <n v="10.43"/>
    <n v="11"/>
    <n v="9.5500000000000007"/>
    <n v="3665.29"/>
  </r>
  <r>
    <x v="200"/>
    <s v="Referral"/>
    <s v="Seasonal Promotion"/>
    <s v="Add-on Service"/>
    <n v="5346"/>
    <n v="284"/>
    <n v="50"/>
    <n v="203.19"/>
    <n v="7284.28"/>
    <n v="5.31"/>
    <n v="17.61"/>
    <n v="4.0599999999999996"/>
    <n v="35.85"/>
    <n v="7081.09"/>
  </r>
  <r>
    <x v="201"/>
    <s v="Google Ads"/>
    <s v="Product Launch"/>
    <s v="Premium Plan"/>
    <n v="11671"/>
    <n v="520"/>
    <n v="52"/>
    <n v="1236.51"/>
    <n v="6557.99"/>
    <n v="4.46"/>
    <n v="10"/>
    <n v="23.78"/>
    <n v="5.3"/>
    <n v="5321.48"/>
  </r>
  <r>
    <x v="201"/>
    <s v="Facebook Ads"/>
    <s v="Brand Awareness"/>
    <s v="Basic Plan"/>
    <n v="14662"/>
    <n v="546"/>
    <n v="40"/>
    <n v="514.38"/>
    <n v="5835.04"/>
    <n v="3.72"/>
    <n v="7.33"/>
    <n v="12.86"/>
    <n v="11.34"/>
    <n v="5320.66"/>
  </r>
  <r>
    <x v="201"/>
    <s v="Instagram Ads"/>
    <s v="Retargeting"/>
    <s v="Basic Plan"/>
    <n v="11109"/>
    <n v="434"/>
    <n v="24"/>
    <n v="533.09"/>
    <n v="2824.62"/>
    <n v="3.91"/>
    <n v="5.53"/>
    <n v="22.21"/>
    <n v="5.3"/>
    <n v="2291.5300000000002"/>
  </r>
  <r>
    <x v="201"/>
    <s v="LinkedIn Ads"/>
    <s v="Flash Sale"/>
    <s v="Starter Kit"/>
    <n v="4356"/>
    <n v="90"/>
    <n v="8"/>
    <n v="894.88"/>
    <n v="2639.01"/>
    <n v="2.0699999999999998"/>
    <n v="8.89"/>
    <n v="111.86"/>
    <n v="2.95"/>
    <n v="1744.13"/>
  </r>
  <r>
    <x v="201"/>
    <s v="Email Marketing"/>
    <s v="Brand Awareness"/>
    <s v="Enterprise Plan"/>
    <n v="18755"/>
    <n v="4349"/>
    <n v="472"/>
    <n v="117.88"/>
    <n v="54273.1"/>
    <n v="23.19"/>
    <n v="10.85"/>
    <n v="0.25"/>
    <n v="460.41"/>
    <n v="54155.22"/>
  </r>
  <r>
    <x v="201"/>
    <s v="Organic Search"/>
    <s v="Seasonal Promotion"/>
    <s v="Basic Plan"/>
    <n v="29170"/>
    <n v="2262"/>
    <n v="324"/>
    <n v="0"/>
    <n v="46608.03"/>
    <n v="7.75"/>
    <n v="14.32"/>
    <n v="0"/>
    <n v="0"/>
    <n v="46608.03"/>
  </r>
  <r>
    <x v="201"/>
    <s v="Display Ads"/>
    <s v="Lead Generation"/>
    <s v="Premium Plan"/>
    <n v="25831"/>
    <n v="269"/>
    <n v="6"/>
    <n v="1040.6600000000001"/>
    <n v="535.91"/>
    <n v="1.04"/>
    <n v="2.23"/>
    <n v="173.44"/>
    <n v="0.51"/>
    <n v="-504.75"/>
  </r>
  <r>
    <x v="201"/>
    <s v="YouTube Ads"/>
    <s v="Retargeting"/>
    <s v="Basic Plan"/>
    <n v="17256"/>
    <n v="438"/>
    <n v="29"/>
    <n v="957.1"/>
    <n v="3481.51"/>
    <n v="2.54"/>
    <n v="6.62"/>
    <n v="33"/>
    <n v="3.64"/>
    <n v="2524.41"/>
  </r>
  <r>
    <x v="201"/>
    <s v="Twitter Ads"/>
    <s v="Retargeting"/>
    <s v="Basic Plan"/>
    <n v="8841"/>
    <n v="204"/>
    <n v="8"/>
    <n v="626.54"/>
    <n v="592.86"/>
    <n v="2.31"/>
    <n v="3.92"/>
    <n v="78.319999999999993"/>
    <n v="0.95"/>
    <n v="-33.68"/>
  </r>
  <r>
    <x v="201"/>
    <s v="TikTok Ads"/>
    <s v="Flash Sale"/>
    <s v="Enterprise Plan"/>
    <n v="22408"/>
    <n v="725"/>
    <n v="21"/>
    <n v="869.1"/>
    <n v="2145.14"/>
    <n v="3.24"/>
    <n v="2.9"/>
    <n v="41.39"/>
    <n v="2.4700000000000002"/>
    <n v="1276.04"/>
  </r>
  <r>
    <x v="201"/>
    <s v="Affiliate Marketing"/>
    <s v="Brand Awareness"/>
    <s v="Starter Kit"/>
    <n v="8396"/>
    <n v="444"/>
    <n v="54"/>
    <n v="433.09"/>
    <n v="6271.58"/>
    <n v="5.29"/>
    <n v="12.16"/>
    <n v="8.02"/>
    <n v="14.48"/>
    <n v="5838.49"/>
  </r>
  <r>
    <x v="201"/>
    <s v="Referral"/>
    <s v="Brand Awareness"/>
    <s v="Add-on Service"/>
    <n v="4566"/>
    <n v="303"/>
    <n v="47"/>
    <n v="101.18"/>
    <n v="7578.83"/>
    <n v="6.64"/>
    <n v="15.51"/>
    <n v="2.15"/>
    <n v="74.900000000000006"/>
    <n v="7477.65"/>
  </r>
  <r>
    <x v="202"/>
    <s v="Google Ads"/>
    <s v="Brand Awareness"/>
    <s v="Starter Kit"/>
    <n v="11362"/>
    <n v="424"/>
    <n v="41"/>
    <n v="997.79"/>
    <n v="5480.32"/>
    <n v="3.73"/>
    <n v="9.67"/>
    <n v="24.34"/>
    <n v="5.49"/>
    <n v="4482.53"/>
  </r>
  <r>
    <x v="202"/>
    <s v="Facebook Ads"/>
    <s v="Retargeting"/>
    <s v="Add-on Service"/>
    <n v="16674"/>
    <n v="530"/>
    <n v="34"/>
    <n v="866.85"/>
    <n v="3345.86"/>
    <n v="3.18"/>
    <n v="6.42"/>
    <n v="25.5"/>
    <n v="3.86"/>
    <n v="2479.0100000000002"/>
  </r>
  <r>
    <x v="202"/>
    <s v="Instagram Ads"/>
    <s v="Seasonal Promotion"/>
    <s v="Basic Plan"/>
    <n v="14528"/>
    <n v="582"/>
    <n v="40"/>
    <n v="788.89"/>
    <n v="4133.45"/>
    <n v="4.01"/>
    <n v="6.87"/>
    <n v="19.72"/>
    <n v="5.24"/>
    <n v="3344.56"/>
  </r>
  <r>
    <x v="202"/>
    <s v="LinkedIn Ads"/>
    <s v="Retargeting"/>
    <s v="Premium Plan"/>
    <n v="4882"/>
    <n v="102"/>
    <n v="11"/>
    <n v="793.67"/>
    <n v="2690.73"/>
    <n v="2.09"/>
    <n v="10.78"/>
    <n v="72.150000000000006"/>
    <n v="3.39"/>
    <n v="1897.06"/>
  </r>
  <r>
    <x v="202"/>
    <s v="Email Marketing"/>
    <s v="Seasonal Promotion"/>
    <s v="Premium Plan"/>
    <n v="16668"/>
    <n v="2663"/>
    <n v="353"/>
    <n v="158.19999999999999"/>
    <n v="55386.64"/>
    <n v="15.98"/>
    <n v="13.26"/>
    <n v="0.45"/>
    <n v="350.11"/>
    <n v="55228.44"/>
  </r>
  <r>
    <x v="202"/>
    <s v="Organic Search"/>
    <s v="Seasonal Promotion"/>
    <s v="Starter Kit"/>
    <n v="17100"/>
    <n v="1323"/>
    <n v="190"/>
    <n v="0"/>
    <n v="20009.28"/>
    <n v="7.74"/>
    <n v="14.36"/>
    <n v="0"/>
    <n v="0"/>
    <n v="20009.28"/>
  </r>
  <r>
    <x v="202"/>
    <s v="Display Ads"/>
    <s v="Seasonal Promotion"/>
    <s v="Starter Kit"/>
    <n v="22254"/>
    <n v="340"/>
    <n v="15"/>
    <n v="762.05"/>
    <n v="1378.95"/>
    <n v="1.53"/>
    <n v="4.41"/>
    <n v="50.8"/>
    <n v="1.81"/>
    <n v="616.9"/>
  </r>
  <r>
    <x v="202"/>
    <s v="YouTube Ads"/>
    <s v="Seasonal Promotion"/>
    <s v="Basic Plan"/>
    <n v="20999"/>
    <n v="515"/>
    <n v="36"/>
    <n v="705.07"/>
    <n v="3612.38"/>
    <n v="2.4500000000000002"/>
    <n v="6.99"/>
    <n v="19.59"/>
    <n v="5.12"/>
    <n v="2907.31"/>
  </r>
  <r>
    <x v="202"/>
    <s v="Twitter Ads"/>
    <s v="Flash Sale"/>
    <s v="Add-on Service"/>
    <n v="11482"/>
    <n v="302"/>
    <n v="15"/>
    <n v="608.27"/>
    <n v="1670.54"/>
    <n v="2.63"/>
    <n v="4.97"/>
    <n v="40.549999999999997"/>
    <n v="2.75"/>
    <n v="1062.27"/>
  </r>
  <r>
    <x v="202"/>
    <s v="TikTok Ads"/>
    <s v="Lead Generation"/>
    <s v="Basic Plan"/>
    <n v="24391"/>
    <n v="973"/>
    <n v="51"/>
    <n v="846.1"/>
    <n v="4346.6400000000003"/>
    <n v="3.99"/>
    <n v="5.24"/>
    <n v="16.59"/>
    <n v="5.14"/>
    <n v="3500.54"/>
  </r>
  <r>
    <x v="202"/>
    <s v="Affiliate Marketing"/>
    <s v="Brand Awareness"/>
    <s v="Starter Kit"/>
    <n v="6646"/>
    <n v="328"/>
    <n v="31"/>
    <n v="472.27"/>
    <n v="4424.13"/>
    <n v="4.9400000000000004"/>
    <n v="9.4499999999999993"/>
    <n v="15.23"/>
    <n v="9.3699999999999992"/>
    <n v="3951.86"/>
  </r>
  <r>
    <x v="202"/>
    <s v="Referral"/>
    <s v="Flash Sale"/>
    <s v="Add-on Service"/>
    <n v="5126"/>
    <n v="451"/>
    <n v="62"/>
    <n v="56.83"/>
    <n v="10433.18"/>
    <n v="8.8000000000000007"/>
    <n v="13.75"/>
    <n v="0.92"/>
    <n v="183.59"/>
    <n v="10376.35"/>
  </r>
  <r>
    <x v="203"/>
    <s v="Google Ads"/>
    <s v="Seasonal Promotion"/>
    <s v="Enterprise Plan"/>
    <n v="16357"/>
    <n v="758"/>
    <n v="63"/>
    <n v="1362.48"/>
    <n v="10963.93"/>
    <n v="4.63"/>
    <n v="8.31"/>
    <n v="21.63"/>
    <n v="8.0500000000000007"/>
    <n v="9601.4500000000007"/>
  </r>
  <r>
    <x v="203"/>
    <s v="Facebook Ads"/>
    <s v="Seasonal Promotion"/>
    <s v="Starter Kit"/>
    <n v="14880"/>
    <n v="564"/>
    <n v="32"/>
    <n v="857.06"/>
    <n v="4169.88"/>
    <n v="3.79"/>
    <n v="5.67"/>
    <n v="26.78"/>
    <n v="4.87"/>
    <n v="3312.82"/>
  </r>
  <r>
    <x v="203"/>
    <s v="Instagram Ads"/>
    <s v="Retargeting"/>
    <s v="Add-on Service"/>
    <n v="13422"/>
    <n v="565"/>
    <n v="34"/>
    <n v="1138.29"/>
    <n v="2547.8200000000002"/>
    <n v="4.21"/>
    <n v="6.02"/>
    <n v="33.479999999999997"/>
    <n v="2.2400000000000002"/>
    <n v="1409.53"/>
  </r>
  <r>
    <x v="203"/>
    <s v="LinkedIn Ads"/>
    <s v="Flash Sale"/>
    <s v="Basic Plan"/>
    <n v="6822"/>
    <n v="196"/>
    <n v="21"/>
    <n v="1918.71"/>
    <n v="4238.8599999999997"/>
    <n v="2.87"/>
    <n v="10.71"/>
    <n v="91.37"/>
    <n v="2.21"/>
    <n v="2320.15"/>
  </r>
  <r>
    <x v="203"/>
    <s v="Email Marketing"/>
    <s v="Product Launch"/>
    <s v="Starter Kit"/>
    <n v="24553"/>
    <n v="5851"/>
    <n v="722"/>
    <n v="213.88"/>
    <n v="100703.87"/>
    <n v="23.83"/>
    <n v="12.34"/>
    <n v="0.3"/>
    <n v="470.84"/>
    <n v="100489.99"/>
  </r>
  <r>
    <x v="203"/>
    <s v="Organic Search"/>
    <s v="Product Launch"/>
    <s v="Enterprise Plan"/>
    <n v="41853"/>
    <n v="2798"/>
    <n v="415"/>
    <n v="0"/>
    <n v="52212.4"/>
    <n v="6.69"/>
    <n v="14.83"/>
    <n v="0"/>
    <n v="0"/>
    <n v="52212.4"/>
  </r>
  <r>
    <x v="203"/>
    <s v="Display Ads"/>
    <s v="Retargeting"/>
    <s v="Basic Plan"/>
    <n v="37526"/>
    <n v="496"/>
    <n v="12"/>
    <n v="1149.58"/>
    <n v="1243.43"/>
    <n v="1.32"/>
    <n v="2.42"/>
    <n v="95.8"/>
    <n v="1.08"/>
    <n v="93.85"/>
  </r>
  <r>
    <x v="203"/>
    <s v="YouTube Ads"/>
    <s v="Lead Generation"/>
    <s v="Starter Kit"/>
    <n v="23948"/>
    <n v="387"/>
    <n v="21"/>
    <n v="1170.5999999999999"/>
    <n v="2842.62"/>
    <n v="1.62"/>
    <n v="5.43"/>
    <n v="55.74"/>
    <n v="2.4300000000000002"/>
    <n v="1672.02"/>
  </r>
  <r>
    <x v="203"/>
    <s v="Twitter Ads"/>
    <s v="Seasonal Promotion"/>
    <s v="Add-on Service"/>
    <n v="13641"/>
    <n v="291"/>
    <n v="13"/>
    <n v="746.46"/>
    <n v="1440.06"/>
    <n v="2.13"/>
    <n v="4.47"/>
    <n v="57.42"/>
    <n v="1.93"/>
    <n v="693.6"/>
  </r>
  <r>
    <x v="203"/>
    <s v="TikTok Ads"/>
    <s v="Product Launch"/>
    <s v="Add-on Service"/>
    <n v="30651"/>
    <n v="1263"/>
    <n v="81"/>
    <n v="940.82"/>
    <n v="6548.77"/>
    <n v="4.12"/>
    <n v="6.41"/>
    <n v="11.62"/>
    <n v="6.96"/>
    <n v="5607.95"/>
  </r>
  <r>
    <x v="203"/>
    <s v="Affiliate Marketing"/>
    <s v="Product Launch"/>
    <s v="Add-on Service"/>
    <n v="10136"/>
    <n v="432"/>
    <n v="34"/>
    <n v="764.3"/>
    <n v="3280.45"/>
    <n v="4.26"/>
    <n v="7.87"/>
    <n v="22.48"/>
    <n v="4.29"/>
    <n v="2516.15"/>
  </r>
  <r>
    <x v="203"/>
    <s v="Referral"/>
    <s v="Flash Sale"/>
    <s v="Basic Plan"/>
    <n v="5008"/>
    <n v="460"/>
    <n v="64"/>
    <n v="189.58"/>
    <n v="8723.26"/>
    <n v="9.19"/>
    <n v="13.91"/>
    <n v="2.96"/>
    <n v="46.01"/>
    <n v="8533.68"/>
  </r>
  <r>
    <x v="204"/>
    <s v="Google Ads"/>
    <s v="Lead Generation"/>
    <s v="Basic Plan"/>
    <n v="9936"/>
    <n v="301"/>
    <n v="26"/>
    <n v="1682.73"/>
    <n v="3390.89"/>
    <n v="3.03"/>
    <n v="8.64"/>
    <n v="64.72"/>
    <n v="2.02"/>
    <n v="1708.16"/>
  </r>
  <r>
    <x v="204"/>
    <s v="Facebook Ads"/>
    <s v="Seasonal Promotion"/>
    <s v="Enterprise Plan"/>
    <n v="17625"/>
    <n v="489"/>
    <n v="36"/>
    <n v="766.45"/>
    <n v="3416.08"/>
    <n v="2.77"/>
    <n v="7.36"/>
    <n v="21.29"/>
    <n v="4.46"/>
    <n v="2649.63"/>
  </r>
  <r>
    <x v="204"/>
    <s v="Instagram Ads"/>
    <s v="Flash Sale"/>
    <s v="Enterprise Plan"/>
    <n v="14532"/>
    <n v="408"/>
    <n v="21"/>
    <n v="628.19000000000005"/>
    <n v="1843.97"/>
    <n v="2.81"/>
    <n v="5.15"/>
    <n v="29.91"/>
    <n v="2.94"/>
    <n v="1215.78"/>
  </r>
  <r>
    <x v="204"/>
    <s v="LinkedIn Ads"/>
    <s v="Flash Sale"/>
    <s v="Basic Plan"/>
    <n v="4524"/>
    <n v="103"/>
    <n v="13"/>
    <n v="1286.24"/>
    <n v="3310.16"/>
    <n v="2.2799999999999998"/>
    <n v="12.62"/>
    <n v="98.94"/>
    <n v="2.57"/>
    <n v="2023.92"/>
  </r>
  <r>
    <x v="204"/>
    <s v="Email Marketing"/>
    <s v="Flash Sale"/>
    <s v="Basic Plan"/>
    <n v="21524"/>
    <n v="5181"/>
    <n v="565"/>
    <n v="121.71"/>
    <n v="68089.259999999995"/>
    <n v="24.07"/>
    <n v="10.91"/>
    <n v="0.22"/>
    <n v="559.44000000000005"/>
    <n v="67967.55"/>
  </r>
  <r>
    <x v="204"/>
    <s v="Organic Search"/>
    <s v="Seasonal Promotion"/>
    <s v="Add-on Service"/>
    <n v="25419"/>
    <n v="1470"/>
    <n v="183"/>
    <n v="0"/>
    <n v="17031.810000000001"/>
    <n v="5.78"/>
    <n v="12.45"/>
    <n v="0"/>
    <n v="0"/>
    <n v="17031.810000000001"/>
  </r>
  <r>
    <x v="204"/>
    <s v="Display Ads"/>
    <s v="Flash Sale"/>
    <s v="Enterprise Plan"/>
    <n v="38096"/>
    <n v="595"/>
    <n v="21"/>
    <n v="935.53"/>
    <n v="2256.59"/>
    <n v="1.56"/>
    <n v="3.53"/>
    <n v="44.55"/>
    <n v="2.41"/>
    <n v="1321.06"/>
  </r>
  <r>
    <x v="204"/>
    <s v="YouTube Ads"/>
    <s v="Flash Sale"/>
    <s v="Premium Plan"/>
    <n v="28905"/>
    <n v="638"/>
    <n v="32"/>
    <n v="1197.04"/>
    <n v="3361.83"/>
    <n v="2.21"/>
    <n v="5.0199999999999996"/>
    <n v="37.409999999999997"/>
    <n v="2.81"/>
    <n v="2164.79"/>
  </r>
  <r>
    <x v="204"/>
    <s v="Twitter Ads"/>
    <s v="Product Launch"/>
    <s v="Add-on Service"/>
    <n v="12943"/>
    <n v="295"/>
    <n v="9"/>
    <n v="914.52"/>
    <n v="850.36"/>
    <n v="2.2799999999999998"/>
    <n v="3.05"/>
    <n v="101.61"/>
    <n v="0.93"/>
    <n v="-64.16"/>
  </r>
  <r>
    <x v="204"/>
    <s v="TikTok Ads"/>
    <s v="Retargeting"/>
    <s v="Add-on Service"/>
    <n v="30602"/>
    <n v="938"/>
    <n v="31"/>
    <n v="1143.95"/>
    <n v="2794.56"/>
    <n v="3.07"/>
    <n v="3.3"/>
    <n v="36.9"/>
    <n v="2.44"/>
    <n v="1650.61"/>
  </r>
  <r>
    <x v="204"/>
    <s v="Affiliate Marketing"/>
    <s v="Seasonal Promotion"/>
    <s v="Starter Kit"/>
    <n v="6602"/>
    <n v="320"/>
    <n v="25"/>
    <n v="445.61"/>
    <n v="3221.87"/>
    <n v="4.8499999999999996"/>
    <n v="7.81"/>
    <n v="17.82"/>
    <n v="7.23"/>
    <n v="2776.26"/>
  </r>
  <r>
    <x v="204"/>
    <s v="Referral"/>
    <s v="Flash Sale"/>
    <s v="Add-on Service"/>
    <n v="6888"/>
    <n v="368"/>
    <n v="62"/>
    <n v="203.77"/>
    <n v="8860.84"/>
    <n v="5.34"/>
    <n v="16.850000000000001"/>
    <n v="3.29"/>
    <n v="43.48"/>
    <n v="8657.07"/>
  </r>
  <r>
    <x v="205"/>
    <s v="Google Ads"/>
    <s v="Product Launch"/>
    <s v="Starter Kit"/>
    <n v="13586"/>
    <n v="667"/>
    <n v="55"/>
    <n v="1426.06"/>
    <n v="7647.31"/>
    <n v="4.91"/>
    <n v="8.25"/>
    <n v="25.93"/>
    <n v="5.36"/>
    <n v="6221.25"/>
  </r>
  <r>
    <x v="205"/>
    <s v="Facebook Ads"/>
    <s v="Brand Awareness"/>
    <s v="Add-on Service"/>
    <n v="16678"/>
    <n v="453"/>
    <n v="26"/>
    <n v="873"/>
    <n v="3762.86"/>
    <n v="2.72"/>
    <n v="5.74"/>
    <n v="33.58"/>
    <n v="4.3099999999999996"/>
    <n v="2889.86"/>
  </r>
  <r>
    <x v="205"/>
    <s v="Instagram Ads"/>
    <s v="Brand Awareness"/>
    <s v="Premium Plan"/>
    <n v="17132"/>
    <n v="591"/>
    <n v="43"/>
    <n v="946.65"/>
    <n v="4276.5"/>
    <n v="3.45"/>
    <n v="7.28"/>
    <n v="22.02"/>
    <n v="4.5199999999999996"/>
    <n v="3329.85"/>
  </r>
  <r>
    <x v="205"/>
    <s v="LinkedIn Ads"/>
    <s v="Retargeting"/>
    <s v="Basic Plan"/>
    <n v="5324"/>
    <n v="85"/>
    <n v="10"/>
    <n v="2082.42"/>
    <n v="3476.64"/>
    <n v="1.6"/>
    <n v="11.76"/>
    <n v="208.24"/>
    <n v="1.67"/>
    <n v="1394.22"/>
  </r>
  <r>
    <x v="205"/>
    <s v="Email Marketing"/>
    <s v="Brand Awareness"/>
    <s v="Premium Plan"/>
    <n v="22888"/>
    <n v="4612"/>
    <n v="543"/>
    <n v="301.83999999999997"/>
    <n v="73021.2"/>
    <n v="20.149999999999999"/>
    <n v="11.77"/>
    <n v="0.56000000000000005"/>
    <n v="241.92"/>
    <n v="72719.360000000001"/>
  </r>
  <r>
    <x v="205"/>
    <s v="Organic Search"/>
    <s v="Lead Generation"/>
    <s v="Enterprise Plan"/>
    <n v="24667"/>
    <n v="1543"/>
    <n v="199"/>
    <n v="0"/>
    <n v="18973.439999999999"/>
    <n v="6.26"/>
    <n v="12.9"/>
    <n v="0"/>
    <n v="0"/>
    <n v="18973.439999999999"/>
  </r>
  <r>
    <x v="205"/>
    <s v="Display Ads"/>
    <s v="Lead Generation"/>
    <s v="Enterprise Plan"/>
    <n v="34836"/>
    <n v="584"/>
    <n v="15"/>
    <n v="986.9"/>
    <n v="1615.16"/>
    <n v="1.68"/>
    <n v="2.57"/>
    <n v="65.790000000000006"/>
    <n v="1.64"/>
    <n v="628.26"/>
  </r>
  <r>
    <x v="205"/>
    <s v="YouTube Ads"/>
    <s v="Flash Sale"/>
    <s v="Enterprise Plan"/>
    <n v="24805"/>
    <n v="588"/>
    <n v="30"/>
    <n v="1562.52"/>
    <n v="3675.71"/>
    <n v="2.37"/>
    <n v="5.0999999999999996"/>
    <n v="52.08"/>
    <n v="2.35"/>
    <n v="2113.19"/>
  </r>
  <r>
    <x v="205"/>
    <s v="Twitter Ads"/>
    <s v="Lead Generation"/>
    <s v="Premium Plan"/>
    <n v="12649"/>
    <n v="367"/>
    <n v="20"/>
    <n v="487.8"/>
    <n v="2303.6"/>
    <n v="2.9"/>
    <n v="5.45"/>
    <n v="24.39"/>
    <n v="4.72"/>
    <n v="1815.8"/>
  </r>
  <r>
    <x v="205"/>
    <s v="TikTok Ads"/>
    <s v="Flash Sale"/>
    <s v="Enterprise Plan"/>
    <n v="32686"/>
    <n v="1434"/>
    <n v="63"/>
    <n v="1121.77"/>
    <n v="5540.49"/>
    <n v="4.3899999999999997"/>
    <n v="4.3899999999999997"/>
    <n v="17.809999999999999"/>
    <n v="4.9400000000000004"/>
    <n v="4418.72"/>
  </r>
  <r>
    <x v="205"/>
    <s v="Affiliate Marketing"/>
    <s v="Lead Generation"/>
    <s v="Add-on Service"/>
    <n v="11636"/>
    <n v="634"/>
    <n v="57"/>
    <n v="690.02"/>
    <n v="7534.19"/>
    <n v="5.45"/>
    <n v="8.99"/>
    <n v="12.11"/>
    <n v="10.92"/>
    <n v="6844.17"/>
  </r>
  <r>
    <x v="205"/>
    <s v="Referral"/>
    <s v="Brand Awareness"/>
    <s v="Enterprise Plan"/>
    <n v="4239"/>
    <n v="352"/>
    <n v="56"/>
    <n v="140.1"/>
    <n v="9598.81"/>
    <n v="8.3000000000000007"/>
    <n v="15.91"/>
    <n v="2.5"/>
    <n v="68.510000000000005"/>
    <n v="9458.7099999999991"/>
  </r>
  <r>
    <x v="206"/>
    <s v="Google Ads"/>
    <s v="Retargeting"/>
    <s v="Premium Plan"/>
    <n v="14910"/>
    <n v="673"/>
    <n v="60"/>
    <n v="1246.76"/>
    <n v="10811.49"/>
    <n v="4.51"/>
    <n v="8.92"/>
    <n v="20.78"/>
    <n v="8.67"/>
    <n v="9564.73"/>
  </r>
  <r>
    <x v="206"/>
    <s v="Facebook Ads"/>
    <s v="Seasonal Promotion"/>
    <s v="Add-on Service"/>
    <n v="18055"/>
    <n v="562"/>
    <n v="36"/>
    <n v="1227.58"/>
    <n v="5054.16"/>
    <n v="3.11"/>
    <n v="6.41"/>
    <n v="34.1"/>
    <n v="4.12"/>
    <n v="3826.58"/>
  </r>
  <r>
    <x v="206"/>
    <s v="Instagram Ads"/>
    <s v="Lead Generation"/>
    <s v="Add-on Service"/>
    <n v="15901"/>
    <n v="688"/>
    <n v="44"/>
    <n v="1127.53"/>
    <n v="3986.17"/>
    <n v="4.33"/>
    <n v="6.4"/>
    <n v="25.63"/>
    <n v="3.54"/>
    <n v="2858.64"/>
  </r>
  <r>
    <x v="206"/>
    <s v="LinkedIn Ads"/>
    <s v="Retargeting"/>
    <s v="Basic Plan"/>
    <n v="7136"/>
    <n v="135"/>
    <n v="15"/>
    <n v="1676.89"/>
    <n v="4506.29"/>
    <n v="1.89"/>
    <n v="11.11"/>
    <n v="111.79"/>
    <n v="2.69"/>
    <n v="2829.4"/>
  </r>
  <r>
    <x v="206"/>
    <s v="Email Marketing"/>
    <s v="Seasonal Promotion"/>
    <s v="Enterprise Plan"/>
    <n v="26539"/>
    <n v="4089"/>
    <n v="463"/>
    <n v="183.43"/>
    <n v="75050.97"/>
    <n v="15.41"/>
    <n v="11.32"/>
    <n v="0.4"/>
    <n v="409.15"/>
    <n v="74867.539999999994"/>
  </r>
  <r>
    <x v="206"/>
    <s v="Organic Search"/>
    <s v="Flash Sale"/>
    <s v="Premium Plan"/>
    <n v="29227"/>
    <n v="1177"/>
    <n v="157"/>
    <n v="0"/>
    <n v="22045.07"/>
    <n v="4.03"/>
    <n v="13.34"/>
    <n v="0"/>
    <n v="0"/>
    <n v="22045.07"/>
  </r>
  <r>
    <x v="206"/>
    <s v="Display Ads"/>
    <s v="Retargeting"/>
    <s v="Starter Kit"/>
    <n v="41179"/>
    <n v="751"/>
    <n v="32"/>
    <n v="859.52"/>
    <n v="3236.66"/>
    <n v="1.82"/>
    <n v="4.26"/>
    <n v="26.86"/>
    <n v="3.77"/>
    <n v="2377.14"/>
  </r>
  <r>
    <x v="206"/>
    <s v="YouTube Ads"/>
    <s v="Retargeting"/>
    <s v="Enterprise Plan"/>
    <n v="22144"/>
    <n v="368"/>
    <n v="19"/>
    <n v="1539.99"/>
    <n v="2245.44"/>
    <n v="1.66"/>
    <n v="5.16"/>
    <n v="81.05"/>
    <n v="1.46"/>
    <n v="705.45"/>
  </r>
  <r>
    <x v="206"/>
    <s v="Twitter Ads"/>
    <s v="Seasonal Promotion"/>
    <s v="Premium Plan"/>
    <n v="12832"/>
    <n v="260"/>
    <n v="14"/>
    <n v="705.71"/>
    <n v="1264.26"/>
    <n v="2.0299999999999998"/>
    <n v="5.38"/>
    <n v="50.41"/>
    <n v="1.79"/>
    <n v="558.54999999999995"/>
  </r>
  <r>
    <x v="206"/>
    <s v="TikTok Ads"/>
    <s v="Brand Awareness"/>
    <s v="Enterprise Plan"/>
    <n v="28824"/>
    <n v="922"/>
    <n v="51"/>
    <n v="1117.75"/>
    <n v="4764.87"/>
    <n v="3.2"/>
    <n v="5.53"/>
    <n v="21.92"/>
    <n v="4.26"/>
    <n v="3647.12"/>
  </r>
  <r>
    <x v="206"/>
    <s v="Affiliate Marketing"/>
    <s v="Lead Generation"/>
    <s v="Add-on Service"/>
    <n v="8557"/>
    <n v="566"/>
    <n v="49"/>
    <n v="797.16"/>
    <n v="6013.01"/>
    <n v="6.61"/>
    <n v="8.66"/>
    <n v="16.27"/>
    <n v="7.54"/>
    <n v="5215.8500000000004"/>
  </r>
  <r>
    <x v="206"/>
    <s v="Referral"/>
    <s v="Retargeting"/>
    <s v="Basic Plan"/>
    <n v="3739"/>
    <n v="250"/>
    <n v="30"/>
    <n v="81.03"/>
    <n v="4582.7299999999996"/>
    <n v="6.69"/>
    <n v="12"/>
    <n v="2.7"/>
    <n v="56.56"/>
    <n v="4501.7"/>
  </r>
  <r>
    <x v="207"/>
    <s v="Google Ads"/>
    <s v="Flash Sale"/>
    <s v="Enterprise Plan"/>
    <n v="12865"/>
    <n v="633"/>
    <n v="63"/>
    <n v="1321.89"/>
    <n v="10251.24"/>
    <n v="4.92"/>
    <n v="9.9499999999999993"/>
    <n v="20.98"/>
    <n v="7.75"/>
    <n v="8929.35"/>
  </r>
  <r>
    <x v="207"/>
    <s v="Facebook Ads"/>
    <s v="Seasonal Promotion"/>
    <s v="Add-on Service"/>
    <n v="15800"/>
    <n v="454"/>
    <n v="34"/>
    <n v="1012.59"/>
    <n v="4512.82"/>
    <n v="2.87"/>
    <n v="7.49"/>
    <n v="29.78"/>
    <n v="4.46"/>
    <n v="3500.23"/>
  </r>
  <r>
    <x v="207"/>
    <s v="Instagram Ads"/>
    <s v="Flash Sale"/>
    <s v="Add-on Service"/>
    <n v="13969"/>
    <n v="367"/>
    <n v="27"/>
    <n v="1145.22"/>
    <n v="2565.4299999999998"/>
    <n v="2.63"/>
    <n v="7.36"/>
    <n v="42.42"/>
    <n v="2.2400000000000002"/>
    <n v="1420.21"/>
  </r>
  <r>
    <x v="207"/>
    <s v="LinkedIn Ads"/>
    <s v="Lead Generation"/>
    <s v="Basic Plan"/>
    <n v="5533"/>
    <n v="92"/>
    <n v="9"/>
    <n v="1357.78"/>
    <n v="1786.04"/>
    <n v="1.66"/>
    <n v="9.7799999999999994"/>
    <n v="150.86000000000001"/>
    <n v="1.32"/>
    <n v="428.26"/>
  </r>
  <r>
    <x v="207"/>
    <s v="Email Marketing"/>
    <s v="Product Launch"/>
    <s v="Starter Kit"/>
    <n v="24456"/>
    <n v="4570"/>
    <n v="435"/>
    <n v="344.13"/>
    <n v="57329.23"/>
    <n v="18.690000000000001"/>
    <n v="9.52"/>
    <n v="0.79"/>
    <n v="166.59"/>
    <n v="56985.1"/>
  </r>
  <r>
    <x v="207"/>
    <s v="Organic Search"/>
    <s v="Lead Generation"/>
    <s v="Premium Plan"/>
    <n v="41467"/>
    <n v="3178"/>
    <n v="418"/>
    <n v="0"/>
    <n v="60810.7"/>
    <n v="7.66"/>
    <n v="13.15"/>
    <n v="0"/>
    <n v="0"/>
    <n v="60810.7"/>
  </r>
  <r>
    <x v="207"/>
    <s v="Display Ads"/>
    <s v="Lead Generation"/>
    <s v="Basic Plan"/>
    <n v="46858"/>
    <n v="909"/>
    <n v="38"/>
    <n v="1245.97"/>
    <n v="3611.24"/>
    <n v="1.94"/>
    <n v="4.18"/>
    <n v="32.79"/>
    <n v="2.9"/>
    <n v="2365.27"/>
  </r>
  <r>
    <x v="207"/>
    <s v="YouTube Ads"/>
    <s v="Flash Sale"/>
    <s v="Add-on Service"/>
    <n v="20929"/>
    <n v="397"/>
    <n v="24"/>
    <n v="1252.5"/>
    <n v="2751.67"/>
    <n v="1.9"/>
    <n v="6.05"/>
    <n v="52.19"/>
    <n v="2.2000000000000002"/>
    <n v="1499.17"/>
  </r>
  <r>
    <x v="207"/>
    <s v="Twitter Ads"/>
    <s v="Brand Awareness"/>
    <s v="Starter Kit"/>
    <n v="12573"/>
    <n v="283"/>
    <n v="9"/>
    <n v="618.6"/>
    <n v="1023.55"/>
    <n v="2.25"/>
    <n v="3.18"/>
    <n v="68.73"/>
    <n v="1.65"/>
    <n v="404.95"/>
  </r>
  <r>
    <x v="207"/>
    <s v="TikTok Ads"/>
    <s v="Brand Awareness"/>
    <s v="Starter Kit"/>
    <n v="24590"/>
    <n v="778"/>
    <n v="39"/>
    <n v="1096.5899999999999"/>
    <n v="4097.24"/>
    <n v="3.16"/>
    <n v="5.01"/>
    <n v="28.12"/>
    <n v="3.74"/>
    <n v="3000.65"/>
  </r>
  <r>
    <x v="207"/>
    <s v="Affiliate Marketing"/>
    <s v="Product Launch"/>
    <s v="Add-on Service"/>
    <n v="11152"/>
    <n v="673"/>
    <n v="61"/>
    <n v="710.29"/>
    <n v="7946.98"/>
    <n v="6.03"/>
    <n v="9.06"/>
    <n v="11.64"/>
    <n v="11.19"/>
    <n v="7236.69"/>
  </r>
  <r>
    <x v="207"/>
    <s v="Referral"/>
    <s v="Product Launch"/>
    <s v="Basic Plan"/>
    <n v="4128"/>
    <n v="387"/>
    <n v="61"/>
    <n v="97.18"/>
    <n v="9949.82"/>
    <n v="9.3800000000000008"/>
    <n v="15.76"/>
    <n v="1.59"/>
    <n v="102.39"/>
    <n v="9852.64"/>
  </r>
  <r>
    <x v="208"/>
    <s v="Google Ads"/>
    <s v="Lead Generation"/>
    <s v="Add-on Service"/>
    <n v="10341"/>
    <n v="484"/>
    <n v="47"/>
    <n v="688.09"/>
    <n v="5931.49"/>
    <n v="4.68"/>
    <n v="9.7100000000000009"/>
    <n v="14.64"/>
    <n v="8.6199999999999992"/>
    <n v="5243.4"/>
  </r>
  <r>
    <x v="208"/>
    <s v="Facebook Ads"/>
    <s v="Product Launch"/>
    <s v="Premium Plan"/>
    <n v="10154"/>
    <n v="277"/>
    <n v="15"/>
    <n v="869.84"/>
    <n v="2220.0300000000002"/>
    <n v="2.73"/>
    <n v="5.42"/>
    <n v="57.99"/>
    <n v="2.5499999999999998"/>
    <n v="1350.19"/>
  </r>
  <r>
    <x v="208"/>
    <s v="Instagram Ads"/>
    <s v="Product Launch"/>
    <s v="Starter Kit"/>
    <n v="13986"/>
    <n v="405"/>
    <n v="24"/>
    <n v="652.70000000000005"/>
    <n v="2595.16"/>
    <n v="2.9"/>
    <n v="5.93"/>
    <n v="27.2"/>
    <n v="3.98"/>
    <n v="1942.46"/>
  </r>
  <r>
    <x v="208"/>
    <s v="LinkedIn Ads"/>
    <s v="Flash Sale"/>
    <s v="Basic Plan"/>
    <n v="2945"/>
    <n v="69"/>
    <n v="7"/>
    <n v="1167.0899999999999"/>
    <n v="2041.01"/>
    <n v="2.34"/>
    <n v="10.14"/>
    <n v="166.73"/>
    <n v="1.75"/>
    <n v="873.92"/>
  </r>
  <r>
    <x v="208"/>
    <s v="Email Marketing"/>
    <s v="Brand Awareness"/>
    <s v="Basic Plan"/>
    <n v="14229"/>
    <n v="2436"/>
    <n v="215"/>
    <n v="88.23"/>
    <n v="31138.080000000002"/>
    <n v="17.12"/>
    <n v="8.83"/>
    <n v="0.41"/>
    <n v="352.92"/>
    <n v="31049.85"/>
  </r>
  <r>
    <x v="208"/>
    <s v="Organic Search"/>
    <s v="Product Launch"/>
    <s v="Add-on Service"/>
    <n v="28024"/>
    <n v="2112"/>
    <n v="285"/>
    <n v="0"/>
    <n v="32491.33"/>
    <n v="7.54"/>
    <n v="13.49"/>
    <n v="0"/>
    <n v="0"/>
    <n v="32491.33"/>
  </r>
  <r>
    <x v="208"/>
    <s v="Display Ads"/>
    <s v="Brand Awareness"/>
    <s v="Add-on Service"/>
    <n v="25178"/>
    <n v="420"/>
    <n v="11"/>
    <n v="614.37"/>
    <n v="1074.48"/>
    <n v="1.67"/>
    <n v="2.62"/>
    <n v="55.85"/>
    <n v="1.75"/>
    <n v="460.11"/>
  </r>
  <r>
    <x v="208"/>
    <s v="YouTube Ads"/>
    <s v="Flash Sale"/>
    <s v="Enterprise Plan"/>
    <n v="17634"/>
    <n v="456"/>
    <n v="30"/>
    <n v="1045.93"/>
    <n v="4498.5600000000004"/>
    <n v="2.59"/>
    <n v="6.58"/>
    <n v="34.86"/>
    <n v="4.3"/>
    <n v="3452.63"/>
  </r>
  <r>
    <x v="208"/>
    <s v="Twitter Ads"/>
    <s v="Retargeting"/>
    <s v="Add-on Service"/>
    <n v="9331"/>
    <n v="309"/>
    <n v="10"/>
    <n v="609.03"/>
    <n v="903.78"/>
    <n v="3.31"/>
    <n v="3.24"/>
    <n v="60.9"/>
    <n v="1.48"/>
    <n v="294.75"/>
  </r>
  <r>
    <x v="208"/>
    <s v="TikTok Ads"/>
    <s v="Seasonal Promotion"/>
    <s v="Enterprise Plan"/>
    <n v="24917"/>
    <n v="833"/>
    <n v="34"/>
    <n v="601.20000000000005"/>
    <n v="2725.05"/>
    <n v="3.34"/>
    <n v="4.08"/>
    <n v="17.68"/>
    <n v="4.53"/>
    <n v="2123.85"/>
  </r>
  <r>
    <x v="208"/>
    <s v="Affiliate Marketing"/>
    <s v="Brand Awareness"/>
    <s v="Enterprise Plan"/>
    <n v="5147"/>
    <n v="248"/>
    <n v="30"/>
    <n v="585.55999999999995"/>
    <n v="3213.7"/>
    <n v="4.82"/>
    <n v="12.1"/>
    <n v="19.52"/>
    <n v="5.49"/>
    <n v="2628.14"/>
  </r>
  <r>
    <x v="208"/>
    <s v="Referral"/>
    <s v="Seasonal Promotion"/>
    <s v="Basic Plan"/>
    <n v="5481"/>
    <n v="403"/>
    <n v="57"/>
    <n v="141.91"/>
    <n v="10125.040000000001"/>
    <n v="7.35"/>
    <n v="14.14"/>
    <n v="2.4900000000000002"/>
    <n v="71.349999999999994"/>
    <n v="9983.1299999999992"/>
  </r>
  <r>
    <x v="209"/>
    <s v="Google Ads"/>
    <s v="Lead Generation"/>
    <s v="Add-on Service"/>
    <n v="8332"/>
    <n v="294"/>
    <n v="24"/>
    <n v="926.46"/>
    <n v="4314.75"/>
    <n v="3.53"/>
    <n v="8.16"/>
    <n v="38.6"/>
    <n v="4.66"/>
    <n v="3388.29"/>
  </r>
  <r>
    <x v="209"/>
    <s v="Facebook Ads"/>
    <s v="Brand Awareness"/>
    <s v="Add-on Service"/>
    <n v="13748"/>
    <n v="334"/>
    <n v="26"/>
    <n v="579.03"/>
    <n v="2558.1799999999998"/>
    <n v="2.4300000000000002"/>
    <n v="7.78"/>
    <n v="22.27"/>
    <n v="4.42"/>
    <n v="1979.15"/>
  </r>
  <r>
    <x v="209"/>
    <s v="Instagram Ads"/>
    <s v="Lead Generation"/>
    <s v="Starter Kit"/>
    <n v="10858"/>
    <n v="456"/>
    <n v="21"/>
    <n v="440.88"/>
    <n v="2115.86"/>
    <n v="4.2"/>
    <n v="4.6100000000000003"/>
    <n v="20.99"/>
    <n v="4.8"/>
    <n v="1674.98"/>
  </r>
  <r>
    <x v="209"/>
    <s v="LinkedIn Ads"/>
    <s v="Seasonal Promotion"/>
    <s v="Add-on Service"/>
    <n v="3587"/>
    <n v="85"/>
    <n v="10"/>
    <n v="1159.9100000000001"/>
    <n v="2360.33"/>
    <n v="2.37"/>
    <n v="11.76"/>
    <n v="115.99"/>
    <n v="2.0299999999999998"/>
    <n v="1200.42"/>
  </r>
  <r>
    <x v="209"/>
    <s v="Email Marketing"/>
    <s v="Retargeting"/>
    <s v="Premium Plan"/>
    <n v="18646"/>
    <n v="4287"/>
    <n v="433"/>
    <n v="133.78"/>
    <n v="63801.13"/>
    <n v="22.99"/>
    <n v="10.1"/>
    <n v="0.31"/>
    <n v="476.91"/>
    <n v="63667.35"/>
  </r>
  <r>
    <x v="209"/>
    <s v="Organic Search"/>
    <s v="Product Launch"/>
    <s v="Basic Plan"/>
    <n v="21318"/>
    <n v="1268"/>
    <n v="136"/>
    <n v="0"/>
    <n v="18534.73"/>
    <n v="5.95"/>
    <n v="10.73"/>
    <n v="0"/>
    <n v="0"/>
    <n v="18534.73"/>
  </r>
  <r>
    <x v="209"/>
    <s v="Display Ads"/>
    <s v="Lead Generation"/>
    <s v="Enterprise Plan"/>
    <n v="26507"/>
    <n v="314"/>
    <n v="10"/>
    <n v="1055.46"/>
    <n v="1145.29"/>
    <n v="1.18"/>
    <n v="3.18"/>
    <n v="105.55"/>
    <n v="1.0900000000000001"/>
    <n v="89.83"/>
  </r>
  <r>
    <x v="209"/>
    <s v="YouTube Ads"/>
    <s v="Product Launch"/>
    <s v="Enterprise Plan"/>
    <n v="19503"/>
    <n v="336"/>
    <n v="17"/>
    <n v="804.46"/>
    <n v="1861.69"/>
    <n v="1.72"/>
    <n v="5.0599999999999996"/>
    <n v="47.32"/>
    <n v="2.31"/>
    <n v="1057.23"/>
  </r>
  <r>
    <x v="209"/>
    <s v="Twitter Ads"/>
    <s v="Product Launch"/>
    <s v="Basic Plan"/>
    <n v="7817"/>
    <n v="220"/>
    <n v="7"/>
    <n v="420.65"/>
    <n v="790.38"/>
    <n v="2.81"/>
    <n v="3.18"/>
    <n v="60.09"/>
    <n v="1.88"/>
    <n v="369.73"/>
  </r>
  <r>
    <x v="209"/>
    <s v="TikTok Ads"/>
    <s v="Seasonal Promotion"/>
    <s v="Add-on Service"/>
    <n v="24365"/>
    <n v="821"/>
    <n v="32"/>
    <n v="837.24"/>
    <n v="2319.4699999999998"/>
    <n v="3.37"/>
    <n v="3.9"/>
    <n v="26.16"/>
    <n v="2.77"/>
    <n v="1482.23"/>
  </r>
  <r>
    <x v="209"/>
    <s v="Affiliate Marketing"/>
    <s v="Retargeting"/>
    <s v="Add-on Service"/>
    <n v="6508"/>
    <n v="357"/>
    <n v="31"/>
    <n v="413.73"/>
    <n v="3112.54"/>
    <n v="5.49"/>
    <n v="8.68"/>
    <n v="13.35"/>
    <n v="7.52"/>
    <n v="2698.81"/>
  </r>
  <r>
    <x v="209"/>
    <s v="Referral"/>
    <s v="Flash Sale"/>
    <s v="Premium Plan"/>
    <n v="3450"/>
    <n v="223"/>
    <n v="29"/>
    <n v="110.57"/>
    <n v="4042.91"/>
    <n v="6.46"/>
    <n v="13"/>
    <n v="3.81"/>
    <n v="36.56"/>
    <n v="3932.34"/>
  </r>
  <r>
    <x v="210"/>
    <s v="Google Ads"/>
    <s v="Brand Awareness"/>
    <s v="Enterprise Plan"/>
    <n v="14209"/>
    <n v="634"/>
    <n v="72"/>
    <n v="1321.73"/>
    <n v="13121.58"/>
    <n v="4.46"/>
    <n v="11.36"/>
    <n v="18.36"/>
    <n v="9.93"/>
    <n v="11799.85"/>
  </r>
  <r>
    <x v="210"/>
    <s v="Facebook Ads"/>
    <s v="Retargeting"/>
    <s v="Basic Plan"/>
    <n v="21740"/>
    <n v="507"/>
    <n v="25"/>
    <n v="1342.22"/>
    <n v="2720.48"/>
    <n v="2.33"/>
    <n v="4.93"/>
    <n v="53.69"/>
    <n v="2.0299999999999998"/>
    <n v="1378.26"/>
  </r>
  <r>
    <x v="210"/>
    <s v="Instagram Ads"/>
    <s v="Flash Sale"/>
    <s v="Add-on Service"/>
    <n v="17340"/>
    <n v="640"/>
    <n v="40"/>
    <n v="903.06"/>
    <n v="4055.5"/>
    <n v="3.69"/>
    <n v="6.25"/>
    <n v="22.58"/>
    <n v="4.49"/>
    <n v="3152.44"/>
  </r>
  <r>
    <x v="210"/>
    <s v="LinkedIn Ads"/>
    <s v="Seasonal Promotion"/>
    <s v="Basic Plan"/>
    <n v="4981"/>
    <n v="78"/>
    <n v="8"/>
    <n v="1524.72"/>
    <n v="1748.46"/>
    <n v="1.57"/>
    <n v="10.26"/>
    <n v="190.59"/>
    <n v="1.1499999999999999"/>
    <n v="223.74"/>
  </r>
  <r>
    <x v="210"/>
    <s v="Email Marketing"/>
    <s v="Brand Awareness"/>
    <s v="Enterprise Plan"/>
    <n v="26445"/>
    <n v="5816"/>
    <n v="718"/>
    <n v="302.76"/>
    <n v="87320.88"/>
    <n v="21.99"/>
    <n v="12.35"/>
    <n v="0.42"/>
    <n v="288.42"/>
    <n v="87018.12"/>
  </r>
  <r>
    <x v="210"/>
    <s v="Organic Search"/>
    <s v="Retargeting"/>
    <s v="Premium Plan"/>
    <n v="39584"/>
    <n v="2890"/>
    <n v="338"/>
    <n v="0"/>
    <n v="46950.67"/>
    <n v="7.3"/>
    <n v="11.7"/>
    <n v="0"/>
    <n v="0"/>
    <n v="46950.67"/>
  </r>
  <r>
    <x v="210"/>
    <s v="Display Ads"/>
    <s v="Retargeting"/>
    <s v="Enterprise Plan"/>
    <n v="46665"/>
    <n v="577"/>
    <n v="13"/>
    <n v="1134.21"/>
    <n v="1106.75"/>
    <n v="1.24"/>
    <n v="2.25"/>
    <n v="87.25"/>
    <n v="0.98"/>
    <n v="-27.46"/>
  </r>
  <r>
    <x v="210"/>
    <s v="YouTube Ads"/>
    <s v="Seasonal Promotion"/>
    <s v="Enterprise Plan"/>
    <n v="28350"/>
    <n v="811"/>
    <n v="54"/>
    <n v="1388.41"/>
    <n v="6727.68"/>
    <n v="2.86"/>
    <n v="6.66"/>
    <n v="25.71"/>
    <n v="4.8499999999999996"/>
    <n v="5339.27"/>
  </r>
  <r>
    <x v="210"/>
    <s v="Twitter Ads"/>
    <s v="Brand Awareness"/>
    <s v="Add-on Service"/>
    <n v="9980"/>
    <n v="297"/>
    <n v="16"/>
    <n v="536.91"/>
    <n v="1263.7"/>
    <n v="2.98"/>
    <n v="5.39"/>
    <n v="33.56"/>
    <n v="2.35"/>
    <n v="726.79"/>
  </r>
  <r>
    <x v="210"/>
    <s v="TikTok Ads"/>
    <s v="Product Launch"/>
    <s v="Add-on Service"/>
    <n v="30860"/>
    <n v="1070"/>
    <n v="62"/>
    <n v="920.75"/>
    <n v="6942.27"/>
    <n v="3.47"/>
    <n v="5.79"/>
    <n v="14.85"/>
    <n v="7.54"/>
    <n v="6021.52"/>
  </r>
  <r>
    <x v="210"/>
    <s v="Affiliate Marketing"/>
    <s v="Seasonal Promotion"/>
    <s v="Starter Kit"/>
    <n v="8497"/>
    <n v="417"/>
    <n v="38"/>
    <n v="481.41"/>
    <n v="4644.2700000000004"/>
    <n v="4.91"/>
    <n v="9.11"/>
    <n v="12.67"/>
    <n v="9.65"/>
    <n v="4162.8599999999997"/>
  </r>
  <r>
    <x v="210"/>
    <s v="Referral"/>
    <s v="Retargeting"/>
    <s v="Premium Plan"/>
    <n v="4366"/>
    <n v="238"/>
    <n v="39"/>
    <n v="165.64"/>
    <n v="6340.27"/>
    <n v="5.45"/>
    <n v="16.39"/>
    <n v="4.25"/>
    <n v="38.28"/>
    <n v="6174.63"/>
  </r>
  <r>
    <x v="211"/>
    <s v="Google Ads"/>
    <s v="Product Launch"/>
    <s v="Basic Plan"/>
    <n v="12471"/>
    <n v="393"/>
    <n v="40"/>
    <n v="1215.1400000000001"/>
    <n v="6762.11"/>
    <n v="3.15"/>
    <n v="10.18"/>
    <n v="30.38"/>
    <n v="5.56"/>
    <n v="5546.97"/>
  </r>
  <r>
    <x v="211"/>
    <s v="Facebook Ads"/>
    <s v="Product Launch"/>
    <s v="Add-on Service"/>
    <n v="22880"/>
    <n v="684"/>
    <n v="39"/>
    <n v="1001.14"/>
    <n v="5173.46"/>
    <n v="2.99"/>
    <n v="5.7"/>
    <n v="25.67"/>
    <n v="5.17"/>
    <n v="4172.32"/>
  </r>
  <r>
    <x v="211"/>
    <s v="Instagram Ads"/>
    <s v="Brand Awareness"/>
    <s v="Premium Plan"/>
    <n v="18266"/>
    <n v="470"/>
    <n v="34"/>
    <n v="941.72"/>
    <n v="3489.89"/>
    <n v="2.57"/>
    <n v="7.23"/>
    <n v="27.7"/>
    <n v="3.71"/>
    <n v="2548.17"/>
  </r>
  <r>
    <x v="211"/>
    <s v="LinkedIn Ads"/>
    <s v="Lead Generation"/>
    <s v="Add-on Service"/>
    <n v="4320"/>
    <n v="93"/>
    <n v="13"/>
    <n v="1177.54"/>
    <n v="3381.87"/>
    <n v="2.15"/>
    <n v="13.98"/>
    <n v="90.58"/>
    <n v="2.87"/>
    <n v="2204.33"/>
  </r>
  <r>
    <x v="211"/>
    <s v="Email Marketing"/>
    <s v="Seasonal Promotion"/>
    <s v="Premium Plan"/>
    <n v="27628"/>
    <n v="5332"/>
    <n v="477"/>
    <n v="160.88"/>
    <n v="56774.9"/>
    <n v="19.3"/>
    <n v="8.9499999999999993"/>
    <n v="0.34"/>
    <n v="352.9"/>
    <n v="56614.02"/>
  </r>
  <r>
    <x v="211"/>
    <s v="Organic Search"/>
    <s v="Flash Sale"/>
    <s v="Premium Plan"/>
    <n v="28713"/>
    <n v="1932"/>
    <n v="261"/>
    <n v="0"/>
    <n v="24498.42"/>
    <n v="6.73"/>
    <n v="13.51"/>
    <n v="0"/>
    <n v="0"/>
    <n v="24498.42"/>
  </r>
  <r>
    <x v="211"/>
    <s v="Display Ads"/>
    <s v="Lead Generation"/>
    <s v="Basic Plan"/>
    <n v="41288"/>
    <n v="704"/>
    <n v="16"/>
    <n v="1371.06"/>
    <n v="2218.0100000000002"/>
    <n v="1.71"/>
    <n v="2.27"/>
    <n v="85.69"/>
    <n v="1.62"/>
    <n v="846.95"/>
  </r>
  <r>
    <x v="211"/>
    <s v="YouTube Ads"/>
    <s v="Flash Sale"/>
    <s v="Starter Kit"/>
    <n v="22612"/>
    <n v="576"/>
    <n v="33"/>
    <n v="1096.4100000000001"/>
    <n v="3030.7"/>
    <n v="2.5499999999999998"/>
    <n v="5.73"/>
    <n v="33.22"/>
    <n v="2.76"/>
    <n v="1934.29"/>
  </r>
  <r>
    <x v="211"/>
    <s v="Twitter Ads"/>
    <s v="Brand Awareness"/>
    <s v="Basic Plan"/>
    <n v="11890"/>
    <n v="356"/>
    <n v="16"/>
    <n v="572.89"/>
    <n v="1476.14"/>
    <n v="2.99"/>
    <n v="4.49"/>
    <n v="35.81"/>
    <n v="2.58"/>
    <n v="903.25"/>
  </r>
  <r>
    <x v="211"/>
    <s v="TikTok Ads"/>
    <s v="Seasonal Promotion"/>
    <s v="Starter Kit"/>
    <n v="27442"/>
    <n v="1090"/>
    <n v="60"/>
    <n v="1116.71"/>
    <n v="5353.16"/>
    <n v="3.97"/>
    <n v="5.5"/>
    <n v="18.61"/>
    <n v="4.79"/>
    <n v="4236.45"/>
  </r>
  <r>
    <x v="211"/>
    <s v="Affiliate Marketing"/>
    <s v="Flash Sale"/>
    <s v="Premium Plan"/>
    <n v="8018"/>
    <n v="547"/>
    <n v="49"/>
    <n v="749.25"/>
    <n v="5328.58"/>
    <n v="6.82"/>
    <n v="8.9600000000000009"/>
    <n v="15.29"/>
    <n v="7.11"/>
    <n v="4579.33"/>
  </r>
  <r>
    <x v="211"/>
    <s v="Referral"/>
    <s v="Flash Sale"/>
    <s v="Basic Plan"/>
    <n v="7657"/>
    <n v="583"/>
    <n v="72"/>
    <n v="232.99"/>
    <n v="10677.89"/>
    <n v="7.61"/>
    <n v="12.35"/>
    <n v="3.24"/>
    <n v="45.83"/>
    <n v="10444.9"/>
  </r>
  <r>
    <x v="212"/>
    <s v="Google Ads"/>
    <s v="Brand Awareness"/>
    <s v="Starter Kit"/>
    <n v="10831"/>
    <n v="342"/>
    <n v="40"/>
    <n v="1539.53"/>
    <n v="4634.5600000000004"/>
    <n v="3.16"/>
    <n v="11.7"/>
    <n v="38.49"/>
    <n v="3.01"/>
    <n v="3095.03"/>
  </r>
  <r>
    <x v="212"/>
    <s v="Facebook Ads"/>
    <s v="Flash Sale"/>
    <s v="Enterprise Plan"/>
    <n v="20194"/>
    <n v="570"/>
    <n v="40"/>
    <n v="1252.43"/>
    <n v="4405.8500000000004"/>
    <n v="2.82"/>
    <n v="7.02"/>
    <n v="31.31"/>
    <n v="3.52"/>
    <n v="3153.42"/>
  </r>
  <r>
    <x v="212"/>
    <s v="Instagram Ads"/>
    <s v="Brand Awareness"/>
    <s v="Premium Plan"/>
    <n v="15409"/>
    <n v="494"/>
    <n v="38"/>
    <n v="1107.3699999999999"/>
    <n v="3252.07"/>
    <n v="3.21"/>
    <n v="7.69"/>
    <n v="29.14"/>
    <n v="2.94"/>
    <n v="2144.6999999999998"/>
  </r>
  <r>
    <x v="212"/>
    <s v="LinkedIn Ads"/>
    <s v="Brand Awareness"/>
    <s v="Premium Plan"/>
    <n v="4068"/>
    <n v="92"/>
    <n v="12"/>
    <n v="1163.55"/>
    <n v="3816.45"/>
    <n v="2.2599999999999998"/>
    <n v="13.04"/>
    <n v="96.96"/>
    <n v="3.28"/>
    <n v="2652.9"/>
  </r>
  <r>
    <x v="212"/>
    <s v="Email Marketing"/>
    <s v="Lead Generation"/>
    <s v="Enterprise Plan"/>
    <n v="26668"/>
    <n v="6456"/>
    <n v="517"/>
    <n v="143.36000000000001"/>
    <n v="62061.21"/>
    <n v="24.21"/>
    <n v="8.01"/>
    <n v="0.28000000000000003"/>
    <n v="432.9"/>
    <n v="61917.85"/>
  </r>
  <r>
    <x v="212"/>
    <s v="Organic Search"/>
    <s v="Seasonal Promotion"/>
    <s v="Premium Plan"/>
    <n v="39240"/>
    <n v="2850"/>
    <n v="330"/>
    <n v="0"/>
    <n v="36818.32"/>
    <n v="7.26"/>
    <n v="11.58"/>
    <n v="0"/>
    <n v="0"/>
    <n v="36818.32"/>
  </r>
  <r>
    <x v="212"/>
    <s v="Display Ads"/>
    <s v="Seasonal Promotion"/>
    <s v="Basic Plan"/>
    <n v="42108"/>
    <n v="733"/>
    <n v="27"/>
    <n v="1014.4"/>
    <n v="3387.39"/>
    <n v="1.74"/>
    <n v="3.68"/>
    <n v="37.57"/>
    <n v="3.34"/>
    <n v="2372.9899999999998"/>
  </r>
  <r>
    <x v="212"/>
    <s v="YouTube Ads"/>
    <s v="Product Launch"/>
    <s v="Starter Kit"/>
    <n v="19567"/>
    <n v="518"/>
    <n v="30"/>
    <n v="1480.81"/>
    <n v="3992.45"/>
    <n v="2.65"/>
    <n v="5.79"/>
    <n v="49.36"/>
    <n v="2.7"/>
    <n v="2511.64"/>
  </r>
  <r>
    <x v="212"/>
    <s v="Twitter Ads"/>
    <s v="Retargeting"/>
    <s v="Starter Kit"/>
    <n v="15674"/>
    <n v="429"/>
    <n v="21"/>
    <n v="893.79"/>
    <n v="2026.22"/>
    <n v="2.74"/>
    <n v="4.9000000000000004"/>
    <n v="42.56"/>
    <n v="2.27"/>
    <n v="1132.43"/>
  </r>
  <r>
    <x v="212"/>
    <s v="TikTok Ads"/>
    <s v="Flash Sale"/>
    <s v="Starter Kit"/>
    <n v="24736"/>
    <n v="820"/>
    <n v="36"/>
    <n v="754.4"/>
    <n v="2875.65"/>
    <n v="3.32"/>
    <n v="4.3899999999999997"/>
    <n v="20.96"/>
    <n v="3.81"/>
    <n v="2121.25"/>
  </r>
  <r>
    <x v="212"/>
    <s v="Affiliate Marketing"/>
    <s v="Retargeting"/>
    <s v="Enterprise Plan"/>
    <n v="9972"/>
    <n v="404"/>
    <n v="45"/>
    <n v="469.4"/>
    <n v="5429.79"/>
    <n v="4.05"/>
    <n v="11.14"/>
    <n v="10.43"/>
    <n v="11.57"/>
    <n v="4960.3900000000003"/>
  </r>
  <r>
    <x v="212"/>
    <s v="Referral"/>
    <s v="Brand Awareness"/>
    <s v="Starter Kit"/>
    <n v="7106"/>
    <n v="462"/>
    <n v="60"/>
    <n v="97.94"/>
    <n v="9952.68"/>
    <n v="6.5"/>
    <n v="12.99"/>
    <n v="1.63"/>
    <n v="101.62"/>
    <n v="9854.74"/>
  </r>
  <r>
    <x v="213"/>
    <s v="Google Ads"/>
    <s v="Flash Sale"/>
    <s v="Premium Plan"/>
    <n v="11253"/>
    <n v="420"/>
    <n v="48"/>
    <n v="1229.21"/>
    <n v="6695.06"/>
    <n v="3.73"/>
    <n v="11.43"/>
    <n v="25.61"/>
    <n v="5.45"/>
    <n v="5465.85"/>
  </r>
  <r>
    <x v="213"/>
    <s v="Facebook Ads"/>
    <s v="Seasonal Promotion"/>
    <s v="Premium Plan"/>
    <n v="23108"/>
    <n v="676"/>
    <n v="55"/>
    <n v="1335.18"/>
    <n v="5282.06"/>
    <n v="2.93"/>
    <n v="8.14"/>
    <n v="24.28"/>
    <n v="3.96"/>
    <n v="3946.88"/>
  </r>
  <r>
    <x v="213"/>
    <s v="Instagram Ads"/>
    <s v="Flash Sale"/>
    <s v="Add-on Service"/>
    <n v="15673"/>
    <n v="471"/>
    <n v="21"/>
    <n v="901.62"/>
    <n v="2235.15"/>
    <n v="3.01"/>
    <n v="4.46"/>
    <n v="42.93"/>
    <n v="2.48"/>
    <n v="1333.53"/>
  </r>
  <r>
    <x v="213"/>
    <s v="LinkedIn Ads"/>
    <s v="Brand Awareness"/>
    <s v="Add-on Service"/>
    <n v="4572"/>
    <n v="136"/>
    <n v="19"/>
    <n v="1489.06"/>
    <n v="5758.62"/>
    <n v="2.97"/>
    <n v="13.97"/>
    <n v="78.37"/>
    <n v="3.87"/>
    <n v="4269.5600000000004"/>
  </r>
  <r>
    <x v="213"/>
    <s v="Email Marketing"/>
    <s v="Brand Awareness"/>
    <s v="Premium Plan"/>
    <n v="25359"/>
    <n v="4257"/>
    <n v="488"/>
    <n v="242.65"/>
    <n v="67772.91"/>
    <n v="16.79"/>
    <n v="11.46"/>
    <n v="0.5"/>
    <n v="279.3"/>
    <n v="67530.259999999995"/>
  </r>
  <r>
    <x v="213"/>
    <s v="Organic Search"/>
    <s v="Product Launch"/>
    <s v="Add-on Service"/>
    <n v="26298"/>
    <n v="1833"/>
    <n v="231"/>
    <n v="0"/>
    <n v="22875.68"/>
    <n v="6.97"/>
    <n v="12.6"/>
    <n v="0"/>
    <n v="0"/>
    <n v="22875.68"/>
  </r>
  <r>
    <x v="213"/>
    <s v="Display Ads"/>
    <s v="Brand Awareness"/>
    <s v="Enterprise Plan"/>
    <n v="43369"/>
    <n v="585"/>
    <n v="10"/>
    <n v="904.38"/>
    <n v="793.32"/>
    <n v="1.35"/>
    <n v="1.71"/>
    <n v="90.44"/>
    <n v="0.88"/>
    <n v="-111.06"/>
  </r>
  <r>
    <x v="213"/>
    <s v="YouTube Ads"/>
    <s v="Flash Sale"/>
    <s v="Enterprise Plan"/>
    <n v="29604"/>
    <n v="796"/>
    <n v="34"/>
    <n v="1586.43"/>
    <n v="3604.81"/>
    <n v="2.69"/>
    <n v="4.2699999999999996"/>
    <n v="46.66"/>
    <n v="2.27"/>
    <n v="2018.38"/>
  </r>
  <r>
    <x v="213"/>
    <s v="Twitter Ads"/>
    <s v="Seasonal Promotion"/>
    <s v="Premium Plan"/>
    <n v="14276"/>
    <n v="447"/>
    <n v="25"/>
    <n v="799.51"/>
    <n v="2231.44"/>
    <n v="3.13"/>
    <n v="5.59"/>
    <n v="31.98"/>
    <n v="2.79"/>
    <n v="1431.93"/>
  </r>
  <r>
    <x v="213"/>
    <s v="TikTok Ads"/>
    <s v="Product Launch"/>
    <s v="Starter Kit"/>
    <n v="32186"/>
    <n v="1258"/>
    <n v="52"/>
    <n v="1067.74"/>
    <n v="3838.33"/>
    <n v="3.91"/>
    <n v="4.13"/>
    <n v="20.53"/>
    <n v="3.59"/>
    <n v="2770.59"/>
  </r>
  <r>
    <x v="213"/>
    <s v="Affiliate Marketing"/>
    <s v="Retargeting"/>
    <s v="Starter Kit"/>
    <n v="11305"/>
    <n v="732"/>
    <n v="72"/>
    <n v="370.21"/>
    <n v="9962.4500000000007"/>
    <n v="6.48"/>
    <n v="9.84"/>
    <n v="5.14"/>
    <n v="26.91"/>
    <n v="9592.24"/>
  </r>
  <r>
    <x v="213"/>
    <s v="Referral"/>
    <s v="Flash Sale"/>
    <s v="Premium Plan"/>
    <n v="6429"/>
    <n v="430"/>
    <n v="75"/>
    <n v="118.17"/>
    <n v="11272.31"/>
    <n v="6.69"/>
    <n v="17.440000000000001"/>
    <n v="1.58"/>
    <n v="95.39"/>
    <n v="11154.14"/>
  </r>
  <r>
    <x v="214"/>
    <s v="Google Ads"/>
    <s v="Retargeting"/>
    <s v="Basic Plan"/>
    <n v="15648"/>
    <n v="627"/>
    <n v="61"/>
    <n v="1729.4"/>
    <n v="9073.1"/>
    <n v="4.01"/>
    <n v="9.73"/>
    <n v="28.35"/>
    <n v="5.25"/>
    <n v="7343.7"/>
  </r>
  <r>
    <x v="214"/>
    <s v="Facebook Ads"/>
    <s v="Seasonal Promotion"/>
    <s v="Basic Plan"/>
    <n v="20389"/>
    <n v="726"/>
    <n v="55"/>
    <n v="1019.5"/>
    <n v="5335.54"/>
    <n v="3.56"/>
    <n v="7.58"/>
    <n v="18.54"/>
    <n v="5.23"/>
    <n v="4316.04"/>
  </r>
  <r>
    <x v="214"/>
    <s v="Instagram Ads"/>
    <s v="Lead Generation"/>
    <s v="Starter Kit"/>
    <n v="18264"/>
    <n v="765"/>
    <n v="51"/>
    <n v="689.65"/>
    <n v="4741.75"/>
    <n v="4.1900000000000004"/>
    <n v="6.67"/>
    <n v="13.52"/>
    <n v="6.88"/>
    <n v="4052.1"/>
  </r>
  <r>
    <x v="214"/>
    <s v="LinkedIn Ads"/>
    <s v="Seasonal Promotion"/>
    <s v="Enterprise Plan"/>
    <n v="6340"/>
    <n v="175"/>
    <n v="20"/>
    <n v="1414.82"/>
    <n v="5528.07"/>
    <n v="2.76"/>
    <n v="11.43"/>
    <n v="70.739999999999995"/>
    <n v="3.91"/>
    <n v="4113.25"/>
  </r>
  <r>
    <x v="214"/>
    <s v="Email Marketing"/>
    <s v="Flash Sale"/>
    <s v="Basic Plan"/>
    <n v="26923"/>
    <n v="5380"/>
    <n v="619"/>
    <n v="140.66"/>
    <n v="106038.41"/>
    <n v="19.98"/>
    <n v="11.51"/>
    <n v="0.23"/>
    <n v="753.86"/>
    <n v="105897.75"/>
  </r>
  <r>
    <x v="214"/>
    <s v="Organic Search"/>
    <s v="Product Launch"/>
    <s v="Enterprise Plan"/>
    <n v="40909"/>
    <n v="3116"/>
    <n v="373"/>
    <n v="0"/>
    <n v="41166.47"/>
    <n v="7.62"/>
    <n v="11.97"/>
    <n v="0"/>
    <n v="0"/>
    <n v="41166.47"/>
  </r>
  <r>
    <x v="214"/>
    <s v="Display Ads"/>
    <s v="Brand Awareness"/>
    <s v="Add-on Service"/>
    <n v="47878"/>
    <n v="646"/>
    <n v="18"/>
    <n v="867.37"/>
    <n v="1888.64"/>
    <n v="1.35"/>
    <n v="2.79"/>
    <n v="48.19"/>
    <n v="2.1800000000000002"/>
    <n v="1021.27"/>
  </r>
  <r>
    <x v="214"/>
    <s v="YouTube Ads"/>
    <s v="Seasonal Promotion"/>
    <s v="Basic Plan"/>
    <n v="26814"/>
    <n v="472"/>
    <n v="21"/>
    <n v="1231.52"/>
    <n v="2797.76"/>
    <n v="1.76"/>
    <n v="4.45"/>
    <n v="58.64"/>
    <n v="2.27"/>
    <n v="1566.24"/>
  </r>
  <r>
    <x v="214"/>
    <s v="Twitter Ads"/>
    <s v="Brand Awareness"/>
    <s v="Premium Plan"/>
    <n v="15603"/>
    <n v="376"/>
    <n v="10"/>
    <n v="877.16"/>
    <n v="714.34"/>
    <n v="2.41"/>
    <n v="2.66"/>
    <n v="87.72"/>
    <n v="0.81"/>
    <n v="-162.82"/>
  </r>
  <r>
    <x v="214"/>
    <s v="TikTok Ads"/>
    <s v="Brand Awareness"/>
    <s v="Add-on Service"/>
    <n v="34686"/>
    <n v="1084"/>
    <n v="50"/>
    <n v="1084.58"/>
    <n v="5587.4"/>
    <n v="3.13"/>
    <n v="4.6100000000000003"/>
    <n v="21.69"/>
    <n v="5.15"/>
    <n v="4502.82"/>
  </r>
  <r>
    <x v="214"/>
    <s v="Affiliate Marketing"/>
    <s v="Seasonal Promotion"/>
    <s v="Starter Kit"/>
    <n v="10748"/>
    <n v="430"/>
    <n v="37"/>
    <n v="475.64"/>
    <n v="4103.59"/>
    <n v="4"/>
    <n v="8.6"/>
    <n v="12.86"/>
    <n v="8.6300000000000008"/>
    <n v="3627.95"/>
  </r>
  <r>
    <x v="214"/>
    <s v="Referral"/>
    <s v="Seasonal Promotion"/>
    <s v="Add-on Service"/>
    <n v="8192"/>
    <n v="628"/>
    <n v="109"/>
    <n v="79.22"/>
    <n v="19881.400000000001"/>
    <n v="7.67"/>
    <n v="17.36"/>
    <n v="0.73"/>
    <n v="250.96"/>
    <n v="19802.18"/>
  </r>
  <r>
    <x v="215"/>
    <s v="Google Ads"/>
    <s v="Brand Awareness"/>
    <s v="Enterprise Plan"/>
    <n v="11577"/>
    <n v="493"/>
    <n v="50"/>
    <n v="1090.3800000000001"/>
    <n v="7610.96"/>
    <n v="4.26"/>
    <n v="10.14"/>
    <n v="21.81"/>
    <n v="6.98"/>
    <n v="6520.58"/>
  </r>
  <r>
    <x v="215"/>
    <s v="Facebook Ads"/>
    <s v="Lead Generation"/>
    <s v="Enterprise Plan"/>
    <n v="15728"/>
    <n v="383"/>
    <n v="31"/>
    <n v="941.27"/>
    <n v="2997.04"/>
    <n v="2.44"/>
    <n v="8.09"/>
    <n v="30.36"/>
    <n v="3.18"/>
    <n v="2055.77"/>
  </r>
  <r>
    <x v="215"/>
    <s v="Instagram Ads"/>
    <s v="Lead Generation"/>
    <s v="Starter Kit"/>
    <n v="14715"/>
    <n v="578"/>
    <n v="43"/>
    <n v="457.47"/>
    <n v="4042.53"/>
    <n v="3.93"/>
    <n v="7.44"/>
    <n v="10.64"/>
    <n v="8.84"/>
    <n v="3585.06"/>
  </r>
  <r>
    <x v="215"/>
    <s v="LinkedIn Ads"/>
    <s v="Flash Sale"/>
    <s v="Add-on Service"/>
    <n v="3360"/>
    <n v="93"/>
    <n v="12"/>
    <n v="1415.72"/>
    <n v="2581.5"/>
    <n v="2.77"/>
    <n v="12.9"/>
    <n v="117.98"/>
    <n v="1.82"/>
    <n v="1165.78"/>
  </r>
  <r>
    <x v="215"/>
    <s v="Email Marketing"/>
    <s v="Lead Generation"/>
    <s v="Basic Plan"/>
    <n v="16005"/>
    <n v="3430"/>
    <n v="412"/>
    <n v="139.38"/>
    <n v="50314.73"/>
    <n v="21.43"/>
    <n v="12.01"/>
    <n v="0.34"/>
    <n v="360.99"/>
    <n v="50175.35"/>
  </r>
  <r>
    <x v="215"/>
    <s v="Organic Search"/>
    <s v="Lead Generation"/>
    <s v="Basic Plan"/>
    <n v="28155"/>
    <n v="1925"/>
    <n v="271"/>
    <n v="0"/>
    <n v="38457.050000000003"/>
    <n v="6.84"/>
    <n v="14.08"/>
    <n v="0"/>
    <n v="0"/>
    <n v="38457.050000000003"/>
  </r>
  <r>
    <x v="215"/>
    <s v="Display Ads"/>
    <s v="Seasonal Promotion"/>
    <s v="Enterprise Plan"/>
    <n v="31188"/>
    <n v="532"/>
    <n v="11"/>
    <n v="741.94"/>
    <n v="1271.8599999999999"/>
    <n v="1.71"/>
    <n v="2.0699999999999998"/>
    <n v="67.45"/>
    <n v="1.71"/>
    <n v="529.91999999999996"/>
  </r>
  <r>
    <x v="215"/>
    <s v="YouTube Ads"/>
    <s v="Lead Generation"/>
    <s v="Premium Plan"/>
    <n v="15004"/>
    <n v="298"/>
    <n v="19"/>
    <n v="1158.54"/>
    <n v="2761.56"/>
    <n v="1.99"/>
    <n v="6.38"/>
    <n v="60.98"/>
    <n v="2.38"/>
    <n v="1603.02"/>
  </r>
  <r>
    <x v="215"/>
    <s v="Twitter Ads"/>
    <s v="Lead Generation"/>
    <s v="Add-on Service"/>
    <n v="7206"/>
    <n v="158"/>
    <n v="7"/>
    <n v="495.42"/>
    <n v="597.67999999999995"/>
    <n v="2.19"/>
    <n v="4.43"/>
    <n v="70.77"/>
    <n v="1.21"/>
    <n v="102.26"/>
  </r>
  <r>
    <x v="215"/>
    <s v="TikTok Ads"/>
    <s v="Brand Awareness"/>
    <s v="Add-on Service"/>
    <n v="15396"/>
    <n v="525"/>
    <n v="29"/>
    <n v="753.27"/>
    <n v="2156.25"/>
    <n v="3.41"/>
    <n v="5.52"/>
    <n v="25.97"/>
    <n v="2.86"/>
    <n v="1402.98"/>
  </r>
  <r>
    <x v="215"/>
    <s v="Affiliate Marketing"/>
    <s v="Retargeting"/>
    <s v="Add-on Service"/>
    <n v="4538"/>
    <n v="257"/>
    <n v="31"/>
    <n v="583.25"/>
    <n v="4375.83"/>
    <n v="5.66"/>
    <n v="12.06"/>
    <n v="18.809999999999999"/>
    <n v="7.5"/>
    <n v="3792.58"/>
  </r>
  <r>
    <x v="215"/>
    <s v="Referral"/>
    <s v="Brand Awareness"/>
    <s v="Enterprise Plan"/>
    <n v="3948"/>
    <n v="227"/>
    <n v="34"/>
    <n v="90.99"/>
    <n v="5034.71"/>
    <n v="5.75"/>
    <n v="14.98"/>
    <n v="2.68"/>
    <n v="55.33"/>
    <n v="4943.72"/>
  </r>
  <r>
    <x v="216"/>
    <s v="Google Ads"/>
    <s v="Flash Sale"/>
    <s v="Premium Plan"/>
    <n v="10005"/>
    <n v="414"/>
    <n v="42"/>
    <n v="1202.47"/>
    <n v="5501.42"/>
    <n v="4.1399999999999997"/>
    <n v="10.14"/>
    <n v="28.63"/>
    <n v="4.58"/>
    <n v="4298.95"/>
  </r>
  <r>
    <x v="216"/>
    <s v="Facebook Ads"/>
    <s v="Product Launch"/>
    <s v="Premium Plan"/>
    <n v="14238"/>
    <n v="531"/>
    <n v="46"/>
    <n v="682.29"/>
    <n v="5585.68"/>
    <n v="3.73"/>
    <n v="8.66"/>
    <n v="14.83"/>
    <n v="8.19"/>
    <n v="4903.3900000000003"/>
  </r>
  <r>
    <x v="216"/>
    <s v="Instagram Ads"/>
    <s v="Lead Generation"/>
    <s v="Add-on Service"/>
    <n v="11906"/>
    <n v="368"/>
    <n v="19"/>
    <n v="781.74"/>
    <n v="1659.51"/>
    <n v="3.09"/>
    <n v="5.16"/>
    <n v="41.14"/>
    <n v="2.12"/>
    <n v="877.77"/>
  </r>
  <r>
    <x v="216"/>
    <s v="LinkedIn Ads"/>
    <s v="Retargeting"/>
    <s v="Enterprise Plan"/>
    <n v="4249"/>
    <n v="98"/>
    <n v="14"/>
    <n v="892.44"/>
    <n v="4869.08"/>
    <n v="2.31"/>
    <n v="14.29"/>
    <n v="63.75"/>
    <n v="5.46"/>
    <n v="3976.64"/>
  </r>
  <r>
    <x v="216"/>
    <s v="Email Marketing"/>
    <s v="Product Launch"/>
    <s v="Basic Plan"/>
    <n v="16346"/>
    <n v="3288"/>
    <n v="423"/>
    <n v="230.91"/>
    <n v="56588.34"/>
    <n v="20.12"/>
    <n v="12.86"/>
    <n v="0.55000000000000004"/>
    <n v="245.07"/>
    <n v="56357.43"/>
  </r>
  <r>
    <x v="216"/>
    <s v="Organic Search"/>
    <s v="Flash Sale"/>
    <s v="Basic Plan"/>
    <n v="27042"/>
    <n v="1291"/>
    <n v="147"/>
    <n v="0"/>
    <n v="14530.74"/>
    <n v="4.7699999999999996"/>
    <n v="11.39"/>
    <n v="0"/>
    <n v="0"/>
    <n v="14530.74"/>
  </r>
  <r>
    <x v="216"/>
    <s v="Display Ads"/>
    <s v="Brand Awareness"/>
    <s v="Enterprise Plan"/>
    <n v="25813"/>
    <n v="378"/>
    <n v="11"/>
    <n v="875.66"/>
    <n v="1151.5999999999999"/>
    <n v="1.46"/>
    <n v="2.91"/>
    <n v="79.61"/>
    <n v="1.32"/>
    <n v="275.94"/>
  </r>
  <r>
    <x v="216"/>
    <s v="YouTube Ads"/>
    <s v="Seasonal Promotion"/>
    <s v="Premium Plan"/>
    <n v="17171"/>
    <n v="367"/>
    <n v="27"/>
    <n v="885.93"/>
    <n v="2609.56"/>
    <n v="2.14"/>
    <n v="7.36"/>
    <n v="32.81"/>
    <n v="2.95"/>
    <n v="1723.63"/>
  </r>
  <r>
    <x v="216"/>
    <s v="Twitter Ads"/>
    <s v="Lead Generation"/>
    <s v="Enterprise Plan"/>
    <n v="10924"/>
    <n v="330"/>
    <n v="13"/>
    <n v="394.3"/>
    <n v="1416.14"/>
    <n v="3.02"/>
    <n v="3.94"/>
    <n v="30.33"/>
    <n v="3.59"/>
    <n v="1021.84"/>
  </r>
  <r>
    <x v="216"/>
    <s v="TikTok Ads"/>
    <s v="Retargeting"/>
    <s v="Starter Kit"/>
    <n v="20118"/>
    <n v="511"/>
    <n v="21"/>
    <n v="523.63"/>
    <n v="1858.61"/>
    <n v="2.54"/>
    <n v="4.1100000000000003"/>
    <n v="24.93"/>
    <n v="3.55"/>
    <n v="1334.98"/>
  </r>
  <r>
    <x v="216"/>
    <s v="Affiliate Marketing"/>
    <s v="Product Launch"/>
    <s v="Add-on Service"/>
    <n v="5717"/>
    <n v="359"/>
    <n v="31"/>
    <n v="485.8"/>
    <n v="3760.65"/>
    <n v="6.28"/>
    <n v="8.64"/>
    <n v="15.67"/>
    <n v="7.74"/>
    <n v="3274.85"/>
  </r>
  <r>
    <x v="216"/>
    <s v="Referral"/>
    <s v="Flash Sale"/>
    <s v="Enterprise Plan"/>
    <n v="5148"/>
    <n v="261"/>
    <n v="33"/>
    <n v="59.08"/>
    <n v="5512.98"/>
    <n v="5.07"/>
    <n v="12.64"/>
    <n v="1.79"/>
    <n v="93.31"/>
    <n v="5453.9"/>
  </r>
  <r>
    <x v="217"/>
    <s v="Google Ads"/>
    <s v="Flash Sale"/>
    <s v="Add-on Service"/>
    <n v="14215"/>
    <n v="543"/>
    <n v="52"/>
    <n v="1195.46"/>
    <n v="7704.56"/>
    <n v="3.82"/>
    <n v="9.58"/>
    <n v="22.99"/>
    <n v="6.44"/>
    <n v="6509.1"/>
  </r>
  <r>
    <x v="217"/>
    <s v="Facebook Ads"/>
    <s v="Lead Generation"/>
    <s v="Add-on Service"/>
    <n v="17272"/>
    <n v="543"/>
    <n v="40"/>
    <n v="762.25"/>
    <n v="5269.65"/>
    <n v="3.14"/>
    <n v="7.37"/>
    <n v="19.059999999999999"/>
    <n v="6.91"/>
    <n v="4507.3999999999996"/>
  </r>
  <r>
    <x v="217"/>
    <s v="Instagram Ads"/>
    <s v="Seasonal Promotion"/>
    <s v="Enterprise Plan"/>
    <n v="18537"/>
    <n v="537"/>
    <n v="30"/>
    <n v="956.11"/>
    <n v="3781.02"/>
    <n v="2.9"/>
    <n v="5.59"/>
    <n v="31.87"/>
    <n v="3.95"/>
    <n v="2824.91"/>
  </r>
  <r>
    <x v="217"/>
    <s v="LinkedIn Ads"/>
    <s v="Product Launch"/>
    <s v="Starter Kit"/>
    <n v="4851"/>
    <n v="90"/>
    <n v="12"/>
    <n v="1167.02"/>
    <n v="3044.64"/>
    <n v="1.86"/>
    <n v="13.33"/>
    <n v="97.25"/>
    <n v="2.61"/>
    <n v="1877.62"/>
  </r>
  <r>
    <x v="217"/>
    <s v="Email Marketing"/>
    <s v="Lead Generation"/>
    <s v="Premium Plan"/>
    <n v="25518"/>
    <n v="5566"/>
    <n v="572"/>
    <n v="305.02999999999997"/>
    <n v="95286.24"/>
    <n v="21.81"/>
    <n v="10.28"/>
    <n v="0.53"/>
    <n v="312.38"/>
    <n v="94981.21"/>
  </r>
  <r>
    <x v="217"/>
    <s v="Organic Search"/>
    <s v="Product Launch"/>
    <s v="Basic Plan"/>
    <n v="41235"/>
    <n v="3050"/>
    <n v="309"/>
    <n v="0"/>
    <n v="48583.360000000001"/>
    <n v="7.4"/>
    <n v="10.130000000000001"/>
    <n v="0"/>
    <n v="0"/>
    <n v="48583.360000000001"/>
  </r>
  <r>
    <x v="217"/>
    <s v="Display Ads"/>
    <s v="Lead Generation"/>
    <s v="Starter Kit"/>
    <n v="33387"/>
    <n v="474"/>
    <n v="12"/>
    <n v="905.2"/>
    <n v="1185.6199999999999"/>
    <n v="1.42"/>
    <n v="2.5299999999999998"/>
    <n v="75.430000000000007"/>
    <n v="1.31"/>
    <n v="280.42"/>
  </r>
  <r>
    <x v="217"/>
    <s v="YouTube Ads"/>
    <s v="Product Launch"/>
    <s v="Enterprise Plan"/>
    <n v="22884"/>
    <n v="351"/>
    <n v="20"/>
    <n v="1240.3399999999999"/>
    <n v="2778.21"/>
    <n v="1.53"/>
    <n v="5.7"/>
    <n v="62.02"/>
    <n v="2.2400000000000002"/>
    <n v="1537.87"/>
  </r>
  <r>
    <x v="217"/>
    <s v="Twitter Ads"/>
    <s v="Lead Generation"/>
    <s v="Enterprise Plan"/>
    <n v="16228"/>
    <n v="415"/>
    <n v="12"/>
    <n v="492.87"/>
    <n v="1080.6400000000001"/>
    <n v="2.56"/>
    <n v="2.89"/>
    <n v="41.07"/>
    <n v="2.19"/>
    <n v="587.77"/>
  </r>
  <r>
    <x v="217"/>
    <s v="TikTok Ads"/>
    <s v="Retargeting"/>
    <s v="Starter Kit"/>
    <n v="29846"/>
    <n v="1068"/>
    <n v="34"/>
    <n v="1103.8800000000001"/>
    <n v="3041.88"/>
    <n v="3.58"/>
    <n v="3.18"/>
    <n v="32.47"/>
    <n v="2.76"/>
    <n v="1938"/>
  </r>
  <r>
    <x v="217"/>
    <s v="Affiliate Marketing"/>
    <s v="Retargeting"/>
    <s v="Enterprise Plan"/>
    <n v="9451"/>
    <n v="577"/>
    <n v="64"/>
    <n v="443.5"/>
    <n v="7114.75"/>
    <n v="6.11"/>
    <n v="11.09"/>
    <n v="6.93"/>
    <n v="16.04"/>
    <n v="6671.25"/>
  </r>
  <r>
    <x v="217"/>
    <s v="Referral"/>
    <s v="Product Launch"/>
    <s v="Starter Kit"/>
    <n v="6417"/>
    <n v="501"/>
    <n v="85"/>
    <n v="216.49"/>
    <n v="13771.93"/>
    <n v="7.81"/>
    <n v="16.97"/>
    <n v="2.5499999999999998"/>
    <n v="63.61"/>
    <n v="13555.44"/>
  </r>
  <r>
    <x v="218"/>
    <s v="Google Ads"/>
    <s v="Seasonal Promotion"/>
    <s v="Premium Plan"/>
    <n v="10579"/>
    <n v="511"/>
    <n v="56"/>
    <n v="1336.13"/>
    <n v="8287.61"/>
    <n v="4.83"/>
    <n v="10.96"/>
    <n v="23.86"/>
    <n v="6.2"/>
    <n v="6951.48"/>
  </r>
  <r>
    <x v="218"/>
    <s v="Facebook Ads"/>
    <s v="Lead Generation"/>
    <s v="Add-on Service"/>
    <n v="20677"/>
    <n v="450"/>
    <n v="36"/>
    <n v="1349.81"/>
    <n v="4178.32"/>
    <n v="2.1800000000000002"/>
    <n v="8"/>
    <n v="37.49"/>
    <n v="3.1"/>
    <n v="2828.51"/>
  </r>
  <r>
    <x v="218"/>
    <s v="Instagram Ads"/>
    <s v="Brand Awareness"/>
    <s v="Enterprise Plan"/>
    <n v="20353"/>
    <n v="880"/>
    <n v="67"/>
    <n v="803.7"/>
    <n v="5869.63"/>
    <n v="4.32"/>
    <n v="7.61"/>
    <n v="12"/>
    <n v="7.3"/>
    <n v="5065.93"/>
  </r>
  <r>
    <x v="218"/>
    <s v="LinkedIn Ads"/>
    <s v="Lead Generation"/>
    <s v="Add-on Service"/>
    <n v="3985"/>
    <n v="94"/>
    <n v="9"/>
    <n v="1579.02"/>
    <n v="2480.5700000000002"/>
    <n v="2.36"/>
    <n v="9.57"/>
    <n v="175.45"/>
    <n v="1.57"/>
    <n v="901.55"/>
  </r>
  <r>
    <x v="218"/>
    <s v="Email Marketing"/>
    <s v="Lead Generation"/>
    <s v="Enterprise Plan"/>
    <n v="20446"/>
    <n v="3129"/>
    <n v="306"/>
    <n v="162.82"/>
    <n v="40521.06"/>
    <n v="15.3"/>
    <n v="9.7799999999999994"/>
    <n v="0.53"/>
    <n v="248.87"/>
    <n v="40358.239999999998"/>
  </r>
  <r>
    <x v="218"/>
    <s v="Organic Search"/>
    <s v="Flash Sale"/>
    <s v="Premium Plan"/>
    <n v="24609"/>
    <n v="1831"/>
    <n v="279"/>
    <n v="0"/>
    <n v="40698.339999999997"/>
    <n v="7.44"/>
    <n v="15.24"/>
    <n v="0"/>
    <n v="0"/>
    <n v="40698.339999999997"/>
  </r>
  <r>
    <x v="218"/>
    <s v="Display Ads"/>
    <s v="Flash Sale"/>
    <s v="Premium Plan"/>
    <n v="45410"/>
    <n v="848"/>
    <n v="30"/>
    <n v="1490.97"/>
    <n v="2397.09"/>
    <n v="1.87"/>
    <n v="3.54"/>
    <n v="49.7"/>
    <n v="1.61"/>
    <n v="906.12"/>
  </r>
  <r>
    <x v="218"/>
    <s v="YouTube Ads"/>
    <s v="Brand Awareness"/>
    <s v="Add-on Service"/>
    <n v="26156"/>
    <n v="423"/>
    <n v="32"/>
    <n v="976.6"/>
    <n v="4988.41"/>
    <n v="1.62"/>
    <n v="7.57"/>
    <n v="30.52"/>
    <n v="5.1100000000000003"/>
    <n v="4011.81"/>
  </r>
  <r>
    <x v="218"/>
    <s v="Twitter Ads"/>
    <s v="Flash Sale"/>
    <s v="Premium Plan"/>
    <n v="14479"/>
    <n v="481"/>
    <n v="21"/>
    <n v="652.80999999999995"/>
    <n v="2255.9899999999998"/>
    <n v="3.32"/>
    <n v="4.37"/>
    <n v="31.09"/>
    <n v="3.46"/>
    <n v="1603.18"/>
  </r>
  <r>
    <x v="218"/>
    <s v="TikTok Ads"/>
    <s v="Seasonal Promotion"/>
    <s v="Add-on Service"/>
    <n v="32467"/>
    <n v="912"/>
    <n v="45"/>
    <n v="981.93"/>
    <n v="3635.57"/>
    <n v="2.81"/>
    <n v="4.93"/>
    <n v="21.82"/>
    <n v="3.7"/>
    <n v="2653.64"/>
  </r>
  <r>
    <x v="218"/>
    <s v="Affiliate Marketing"/>
    <s v="Retargeting"/>
    <s v="Add-on Service"/>
    <n v="7858"/>
    <n v="381"/>
    <n v="40"/>
    <n v="449.04"/>
    <n v="5507.29"/>
    <n v="4.8499999999999996"/>
    <n v="10.5"/>
    <n v="11.23"/>
    <n v="12.26"/>
    <n v="5058.25"/>
  </r>
  <r>
    <x v="218"/>
    <s v="Referral"/>
    <s v="Lead Generation"/>
    <s v="Premium Plan"/>
    <n v="7918"/>
    <n v="454"/>
    <n v="63"/>
    <n v="226.99"/>
    <n v="9400.4599999999991"/>
    <n v="5.73"/>
    <n v="13.88"/>
    <n v="3.6"/>
    <n v="41.41"/>
    <n v="9173.4699999999993"/>
  </r>
  <r>
    <x v="219"/>
    <s v="Google Ads"/>
    <s v="Seasonal Promotion"/>
    <s v="Enterprise Plan"/>
    <n v="17208"/>
    <n v="769"/>
    <n v="62"/>
    <n v="1758.86"/>
    <n v="9639.2999999999993"/>
    <n v="4.47"/>
    <n v="8.06"/>
    <n v="28.37"/>
    <n v="5.48"/>
    <n v="7880.44"/>
  </r>
  <r>
    <x v="219"/>
    <s v="Facebook Ads"/>
    <s v="Seasonal Promotion"/>
    <s v="Add-on Service"/>
    <n v="20380"/>
    <n v="781"/>
    <n v="52"/>
    <n v="1075.6199999999999"/>
    <n v="5784.74"/>
    <n v="3.83"/>
    <n v="6.66"/>
    <n v="20.68"/>
    <n v="5.38"/>
    <n v="4709.12"/>
  </r>
  <r>
    <x v="219"/>
    <s v="Instagram Ads"/>
    <s v="Retargeting"/>
    <s v="Basic Plan"/>
    <n v="13491"/>
    <n v="553"/>
    <n v="32"/>
    <n v="1095.6300000000001"/>
    <n v="3172.11"/>
    <n v="4.0999999999999996"/>
    <n v="5.79"/>
    <n v="34.24"/>
    <n v="2.9"/>
    <n v="2076.48"/>
  </r>
  <r>
    <x v="219"/>
    <s v="LinkedIn Ads"/>
    <s v="Product Launch"/>
    <s v="Starter Kit"/>
    <n v="5858"/>
    <n v="168"/>
    <n v="16"/>
    <n v="1278.3599999999999"/>
    <n v="3611.18"/>
    <n v="2.87"/>
    <n v="9.52"/>
    <n v="79.900000000000006"/>
    <n v="2.82"/>
    <n v="2332.8200000000002"/>
  </r>
  <r>
    <x v="219"/>
    <s v="Email Marketing"/>
    <s v="Lead Generation"/>
    <s v="Add-on Service"/>
    <n v="25338"/>
    <n v="5428"/>
    <n v="469"/>
    <n v="339.67"/>
    <n v="72749.58"/>
    <n v="21.42"/>
    <n v="8.64"/>
    <n v="0.72"/>
    <n v="214.18"/>
    <n v="72409.91"/>
  </r>
  <r>
    <x v="219"/>
    <s v="Organic Search"/>
    <s v="Flash Sale"/>
    <s v="Enterprise Plan"/>
    <n v="29514"/>
    <n v="1693"/>
    <n v="267"/>
    <n v="0"/>
    <n v="37110.480000000003"/>
    <n v="5.74"/>
    <n v="15.77"/>
    <n v="0"/>
    <n v="0"/>
    <n v="37110.480000000003"/>
  </r>
  <r>
    <x v="219"/>
    <s v="Display Ads"/>
    <s v="Lead Generation"/>
    <s v="Starter Kit"/>
    <n v="38595"/>
    <n v="698"/>
    <n v="19"/>
    <n v="1140.99"/>
    <n v="2213.63"/>
    <n v="1.81"/>
    <n v="2.72"/>
    <n v="60.05"/>
    <n v="1.94"/>
    <n v="1072.6400000000001"/>
  </r>
  <r>
    <x v="219"/>
    <s v="YouTube Ads"/>
    <s v="Seasonal Promotion"/>
    <s v="Add-on Service"/>
    <n v="21172"/>
    <n v="364"/>
    <n v="18"/>
    <n v="1635.72"/>
    <n v="1710.98"/>
    <n v="1.72"/>
    <n v="4.95"/>
    <n v="90.87"/>
    <n v="1.05"/>
    <n v="75.260000000000005"/>
  </r>
  <r>
    <x v="219"/>
    <s v="Twitter Ads"/>
    <s v="Brand Awareness"/>
    <s v="Starter Kit"/>
    <n v="15142"/>
    <n v="409"/>
    <n v="16"/>
    <n v="596.65"/>
    <n v="1853.01"/>
    <n v="2.7"/>
    <n v="3.91"/>
    <n v="37.29"/>
    <n v="3.11"/>
    <n v="1256.3599999999999"/>
  </r>
  <r>
    <x v="219"/>
    <s v="TikTok Ads"/>
    <s v="Product Launch"/>
    <s v="Add-on Service"/>
    <n v="21746"/>
    <n v="799"/>
    <n v="36"/>
    <n v="1203.43"/>
    <n v="3477.52"/>
    <n v="3.67"/>
    <n v="4.51"/>
    <n v="33.43"/>
    <n v="2.89"/>
    <n v="2274.09"/>
  </r>
  <r>
    <x v="219"/>
    <s v="Affiliate Marketing"/>
    <s v="Brand Awareness"/>
    <s v="Basic Plan"/>
    <n v="11173"/>
    <n v="738"/>
    <n v="87"/>
    <n v="428.2"/>
    <n v="12543.25"/>
    <n v="6.61"/>
    <n v="11.79"/>
    <n v="4.92"/>
    <n v="29.29"/>
    <n v="12115.05"/>
  </r>
  <r>
    <x v="219"/>
    <s v="Referral"/>
    <s v="Seasonal Promotion"/>
    <s v="Basic Plan"/>
    <n v="3936"/>
    <n v="357"/>
    <n v="52"/>
    <n v="202.9"/>
    <n v="7251.45"/>
    <n v="9.07"/>
    <n v="14.57"/>
    <n v="3.9"/>
    <n v="35.74"/>
    <n v="7048.55"/>
  </r>
  <r>
    <x v="220"/>
    <s v="Google Ads"/>
    <s v="Seasonal Promotion"/>
    <s v="Basic Plan"/>
    <n v="11978"/>
    <n v="538"/>
    <n v="60"/>
    <n v="1058.74"/>
    <n v="7284.05"/>
    <n v="4.49"/>
    <n v="11.15"/>
    <n v="17.649999999999999"/>
    <n v="6.88"/>
    <n v="6225.31"/>
  </r>
  <r>
    <x v="220"/>
    <s v="Facebook Ads"/>
    <s v="Retargeting"/>
    <s v="Basic Plan"/>
    <n v="16533"/>
    <n v="655"/>
    <n v="39"/>
    <n v="1174.23"/>
    <n v="5223.4799999999996"/>
    <n v="3.96"/>
    <n v="5.95"/>
    <n v="30.11"/>
    <n v="4.45"/>
    <n v="4049.25"/>
  </r>
  <r>
    <x v="220"/>
    <s v="Instagram Ads"/>
    <s v="Lead Generation"/>
    <s v="Add-on Service"/>
    <n v="18824"/>
    <n v="652"/>
    <n v="51"/>
    <n v="657.31"/>
    <n v="4194.33"/>
    <n v="3.46"/>
    <n v="7.82"/>
    <n v="12.89"/>
    <n v="6.38"/>
    <n v="3537.02"/>
  </r>
  <r>
    <x v="220"/>
    <s v="LinkedIn Ads"/>
    <s v="Seasonal Promotion"/>
    <s v="Basic Plan"/>
    <n v="4418"/>
    <n v="75"/>
    <n v="8"/>
    <n v="1759.9"/>
    <n v="3005.81"/>
    <n v="1.7"/>
    <n v="10.67"/>
    <n v="219.99"/>
    <n v="1.71"/>
    <n v="1245.9100000000001"/>
  </r>
  <r>
    <x v="220"/>
    <s v="Email Marketing"/>
    <s v="Flash Sale"/>
    <s v="Starter Kit"/>
    <n v="18067"/>
    <n v="3884"/>
    <n v="375"/>
    <n v="346.18"/>
    <n v="47070.87"/>
    <n v="21.5"/>
    <n v="9.65"/>
    <n v="0.92"/>
    <n v="135.97"/>
    <n v="46724.69"/>
  </r>
  <r>
    <x v="220"/>
    <s v="Organic Search"/>
    <s v="Product Launch"/>
    <s v="Premium Plan"/>
    <n v="27224"/>
    <n v="1188"/>
    <n v="128"/>
    <n v="0"/>
    <n v="14073.64"/>
    <n v="4.3600000000000003"/>
    <n v="10.77"/>
    <n v="0"/>
    <n v="0"/>
    <n v="14073.64"/>
  </r>
  <r>
    <x v="220"/>
    <s v="Display Ads"/>
    <s v="Lead Generation"/>
    <s v="Starter Kit"/>
    <n v="39729"/>
    <n v="639"/>
    <n v="26"/>
    <n v="1012.34"/>
    <n v="2964.59"/>
    <n v="1.61"/>
    <n v="4.07"/>
    <n v="38.94"/>
    <n v="2.93"/>
    <n v="1952.25"/>
  </r>
  <r>
    <x v="220"/>
    <s v="YouTube Ads"/>
    <s v="Lead Generation"/>
    <s v="Premium Plan"/>
    <n v="27910"/>
    <n v="582"/>
    <n v="30"/>
    <n v="1296.1500000000001"/>
    <n v="2983.87"/>
    <n v="2.09"/>
    <n v="5.15"/>
    <n v="43.21"/>
    <n v="2.2999999999999998"/>
    <n v="1687.72"/>
  </r>
  <r>
    <x v="220"/>
    <s v="Twitter Ads"/>
    <s v="Product Launch"/>
    <s v="Enterprise Plan"/>
    <n v="15885"/>
    <n v="472"/>
    <n v="18"/>
    <n v="873.64"/>
    <n v="1660.84"/>
    <n v="2.97"/>
    <n v="3.81"/>
    <n v="48.54"/>
    <n v="1.9"/>
    <n v="787.2"/>
  </r>
  <r>
    <x v="220"/>
    <s v="TikTok Ads"/>
    <s v="Lead Generation"/>
    <s v="Premium Plan"/>
    <n v="33712"/>
    <n v="1057"/>
    <n v="62"/>
    <n v="1261.72"/>
    <n v="6682.88"/>
    <n v="3.14"/>
    <n v="5.87"/>
    <n v="20.350000000000001"/>
    <n v="5.3"/>
    <n v="5421.16"/>
  </r>
  <r>
    <x v="220"/>
    <s v="Affiliate Marketing"/>
    <s v="Flash Sale"/>
    <s v="Basic Plan"/>
    <n v="11212"/>
    <n v="547"/>
    <n v="70"/>
    <n v="614.74"/>
    <n v="7005.64"/>
    <n v="4.88"/>
    <n v="12.8"/>
    <n v="8.7799999999999994"/>
    <n v="11.4"/>
    <n v="6390.9"/>
  </r>
  <r>
    <x v="220"/>
    <s v="Referral"/>
    <s v="Seasonal Promotion"/>
    <s v="Enterprise Plan"/>
    <n v="4202"/>
    <n v="300"/>
    <n v="38"/>
    <n v="220.25"/>
    <n v="5912.47"/>
    <n v="7.14"/>
    <n v="12.67"/>
    <n v="5.8"/>
    <n v="26.84"/>
    <n v="5692.22"/>
  </r>
  <r>
    <x v="221"/>
    <s v="Google Ads"/>
    <s v="Retargeting"/>
    <s v="Starter Kit"/>
    <n v="13533"/>
    <n v="607"/>
    <n v="61"/>
    <n v="1735.14"/>
    <n v="10985.46"/>
    <n v="4.49"/>
    <n v="10.050000000000001"/>
    <n v="28.44"/>
    <n v="6.33"/>
    <n v="9250.32"/>
  </r>
  <r>
    <x v="221"/>
    <s v="Facebook Ads"/>
    <s v="Retargeting"/>
    <s v="Premium Plan"/>
    <n v="18393"/>
    <n v="523"/>
    <n v="40"/>
    <n v="1097.94"/>
    <n v="4849.63"/>
    <n v="2.84"/>
    <n v="7.65"/>
    <n v="27.45"/>
    <n v="4.42"/>
    <n v="3751.69"/>
  </r>
  <r>
    <x v="221"/>
    <s v="Instagram Ads"/>
    <s v="Brand Awareness"/>
    <s v="Enterprise Plan"/>
    <n v="13884"/>
    <n v="570"/>
    <n v="24"/>
    <n v="972.54"/>
    <n v="2911"/>
    <n v="4.1100000000000003"/>
    <n v="4.21"/>
    <n v="40.520000000000003"/>
    <n v="2.99"/>
    <n v="1938.46"/>
  </r>
  <r>
    <x v="221"/>
    <s v="LinkedIn Ads"/>
    <s v="Brand Awareness"/>
    <s v="Add-on Service"/>
    <n v="3662"/>
    <n v="61"/>
    <n v="8"/>
    <n v="1874.84"/>
    <n v="2429.7399999999998"/>
    <n v="1.67"/>
    <n v="13.11"/>
    <n v="234.36"/>
    <n v="1.3"/>
    <n v="554.9"/>
  </r>
  <r>
    <x v="221"/>
    <s v="Email Marketing"/>
    <s v="Flash Sale"/>
    <s v="Enterprise Plan"/>
    <n v="29210"/>
    <n v="6565"/>
    <n v="722"/>
    <n v="232.27"/>
    <n v="95719.39"/>
    <n v="22.48"/>
    <n v="11"/>
    <n v="0.32"/>
    <n v="412.1"/>
    <n v="95487.12"/>
  </r>
  <r>
    <x v="221"/>
    <s v="Organic Search"/>
    <s v="Flash Sale"/>
    <s v="Enterprise Plan"/>
    <n v="24994"/>
    <n v="1509"/>
    <n v="157"/>
    <n v="0"/>
    <n v="19501.64"/>
    <n v="6.04"/>
    <n v="10.4"/>
    <n v="0"/>
    <n v="0"/>
    <n v="19501.64"/>
  </r>
  <r>
    <x v="221"/>
    <s v="Display Ads"/>
    <s v="Seasonal Promotion"/>
    <s v="Add-on Service"/>
    <n v="31041"/>
    <n v="454"/>
    <n v="19"/>
    <n v="1092.1500000000001"/>
    <n v="2370.7199999999998"/>
    <n v="1.46"/>
    <n v="4.1900000000000004"/>
    <n v="57.48"/>
    <n v="2.17"/>
    <n v="1278.57"/>
  </r>
  <r>
    <x v="221"/>
    <s v="YouTube Ads"/>
    <s v="Seasonal Promotion"/>
    <s v="Basic Plan"/>
    <n v="26368"/>
    <n v="398"/>
    <n v="30"/>
    <n v="1290.8599999999999"/>
    <n v="4524.34"/>
    <n v="1.51"/>
    <n v="7.54"/>
    <n v="43.03"/>
    <n v="3.5"/>
    <n v="3233.48"/>
  </r>
  <r>
    <x v="221"/>
    <s v="Twitter Ads"/>
    <s v="Retargeting"/>
    <s v="Starter Kit"/>
    <n v="11276"/>
    <n v="326"/>
    <n v="12"/>
    <n v="685.76"/>
    <n v="892.58"/>
    <n v="2.89"/>
    <n v="3.68"/>
    <n v="57.15"/>
    <n v="1.3"/>
    <n v="206.82"/>
  </r>
  <r>
    <x v="221"/>
    <s v="TikTok Ads"/>
    <s v="Product Launch"/>
    <s v="Add-on Service"/>
    <n v="34178"/>
    <n v="861"/>
    <n v="33"/>
    <n v="978.43"/>
    <n v="2807.4"/>
    <n v="2.52"/>
    <n v="3.83"/>
    <n v="29.65"/>
    <n v="2.87"/>
    <n v="1828.97"/>
  </r>
  <r>
    <x v="221"/>
    <s v="Affiliate Marketing"/>
    <s v="Flash Sale"/>
    <s v="Premium Plan"/>
    <n v="9724"/>
    <n v="585"/>
    <n v="69"/>
    <n v="627.5"/>
    <n v="10773.03"/>
    <n v="6.02"/>
    <n v="11.79"/>
    <n v="9.09"/>
    <n v="17.170000000000002"/>
    <n v="10145.530000000001"/>
  </r>
  <r>
    <x v="221"/>
    <s v="Referral"/>
    <s v="Seasonal Promotion"/>
    <s v="Enterprise Plan"/>
    <n v="7328"/>
    <n v="624"/>
    <n v="86"/>
    <n v="159.03"/>
    <n v="11746.96"/>
    <n v="8.52"/>
    <n v="13.78"/>
    <n v="1.85"/>
    <n v="73.87"/>
    <n v="11587.93"/>
  </r>
  <r>
    <x v="222"/>
    <s v="Google Ads"/>
    <s v="Retargeting"/>
    <s v="Basic Plan"/>
    <n v="9362"/>
    <n v="295"/>
    <n v="25"/>
    <n v="1249.3900000000001"/>
    <n v="4076.54"/>
    <n v="3.15"/>
    <n v="8.4700000000000006"/>
    <n v="49.98"/>
    <n v="3.26"/>
    <n v="2827.15"/>
  </r>
  <r>
    <x v="222"/>
    <s v="Facebook Ads"/>
    <s v="Seasonal Promotion"/>
    <s v="Starter Kit"/>
    <n v="12547"/>
    <n v="372"/>
    <n v="27"/>
    <n v="510.09"/>
    <n v="3438.96"/>
    <n v="2.96"/>
    <n v="7.26"/>
    <n v="18.89"/>
    <n v="6.74"/>
    <n v="2928.87"/>
  </r>
  <r>
    <x v="222"/>
    <s v="Instagram Ads"/>
    <s v="Product Launch"/>
    <s v="Enterprise Plan"/>
    <n v="14491"/>
    <n v="514"/>
    <n v="22"/>
    <n v="564.17999999999995"/>
    <n v="1650.62"/>
    <n v="3.55"/>
    <n v="4.28"/>
    <n v="25.64"/>
    <n v="2.93"/>
    <n v="1086.44"/>
  </r>
  <r>
    <x v="222"/>
    <s v="LinkedIn Ads"/>
    <s v="Retargeting"/>
    <s v="Starter Kit"/>
    <n v="2992"/>
    <n v="57"/>
    <n v="6"/>
    <n v="990.09"/>
    <n v="1901.04"/>
    <n v="1.91"/>
    <n v="10.53"/>
    <n v="165.02"/>
    <n v="1.92"/>
    <n v="910.95"/>
  </r>
  <r>
    <x v="222"/>
    <s v="Email Marketing"/>
    <s v="Seasonal Promotion"/>
    <s v="Premium Plan"/>
    <n v="15598"/>
    <n v="3722"/>
    <n v="327"/>
    <n v="153.53"/>
    <n v="39665.68"/>
    <n v="23.86"/>
    <n v="8.7899999999999991"/>
    <n v="0.47"/>
    <n v="258.36"/>
    <n v="39512.15"/>
  </r>
  <r>
    <x v="222"/>
    <s v="Organic Search"/>
    <s v="Seasonal Promotion"/>
    <s v="Basic Plan"/>
    <n v="22877"/>
    <n v="1207"/>
    <n v="178"/>
    <n v="0"/>
    <n v="18228.79"/>
    <n v="5.28"/>
    <n v="14.75"/>
    <n v="0"/>
    <n v="0"/>
    <n v="18228.79"/>
  </r>
  <r>
    <x v="222"/>
    <s v="Display Ads"/>
    <s v="Retargeting"/>
    <s v="Basic Plan"/>
    <n v="23971"/>
    <n v="326"/>
    <n v="6"/>
    <n v="824.83"/>
    <n v="648.23"/>
    <n v="1.36"/>
    <n v="1.84"/>
    <n v="137.47"/>
    <n v="0.79"/>
    <n v="-176.6"/>
  </r>
  <r>
    <x v="222"/>
    <s v="YouTube Ads"/>
    <s v="Lead Generation"/>
    <s v="Premium Plan"/>
    <n v="17249"/>
    <n v="435"/>
    <n v="26"/>
    <n v="862.02"/>
    <n v="3564.57"/>
    <n v="2.52"/>
    <n v="5.98"/>
    <n v="33.15"/>
    <n v="4.1399999999999997"/>
    <n v="2702.55"/>
  </r>
  <r>
    <x v="222"/>
    <s v="Twitter Ads"/>
    <s v="Seasonal Promotion"/>
    <s v="Enterprise Plan"/>
    <n v="9608"/>
    <n v="279"/>
    <n v="14"/>
    <n v="544.54999999999995"/>
    <n v="1457.31"/>
    <n v="2.9"/>
    <n v="5.0199999999999996"/>
    <n v="38.9"/>
    <n v="2.68"/>
    <n v="912.76"/>
  </r>
  <r>
    <x v="222"/>
    <s v="TikTok Ads"/>
    <s v="Lead Generation"/>
    <s v="Basic Plan"/>
    <n v="24874"/>
    <n v="799"/>
    <n v="40"/>
    <n v="736.71"/>
    <n v="3951.45"/>
    <n v="3.21"/>
    <n v="5.01"/>
    <n v="18.420000000000002"/>
    <n v="5.36"/>
    <n v="3214.74"/>
  </r>
  <r>
    <x v="222"/>
    <s v="Affiliate Marketing"/>
    <s v="Lead Generation"/>
    <s v="Basic Plan"/>
    <n v="8078"/>
    <n v="395"/>
    <n v="45"/>
    <n v="296.11"/>
    <n v="6660.06"/>
    <n v="4.8899999999999997"/>
    <n v="11.39"/>
    <n v="6.58"/>
    <n v="22.49"/>
    <n v="6363.95"/>
  </r>
  <r>
    <x v="222"/>
    <s v="Referral"/>
    <s v="Product Launch"/>
    <s v="Add-on Service"/>
    <n v="3402"/>
    <n v="257"/>
    <n v="36"/>
    <n v="123.71"/>
    <n v="5826.67"/>
    <n v="7.55"/>
    <n v="14.01"/>
    <n v="3.44"/>
    <n v="47.1"/>
    <n v="5702.96"/>
  </r>
  <r>
    <x v="223"/>
    <s v="Google Ads"/>
    <s v="Flash Sale"/>
    <s v="Premium Plan"/>
    <n v="11791"/>
    <n v="445"/>
    <n v="38"/>
    <n v="1070.5999999999999"/>
    <n v="5514.62"/>
    <n v="3.77"/>
    <n v="8.5399999999999991"/>
    <n v="28.17"/>
    <n v="5.15"/>
    <n v="4444.0200000000004"/>
  </r>
  <r>
    <x v="223"/>
    <s v="Facebook Ads"/>
    <s v="Flash Sale"/>
    <s v="Basic Plan"/>
    <n v="11638"/>
    <n v="246"/>
    <n v="15"/>
    <n v="924.04"/>
    <n v="1894.11"/>
    <n v="2.11"/>
    <n v="6.1"/>
    <n v="61.6"/>
    <n v="2.0499999999999998"/>
    <n v="970.07"/>
  </r>
  <r>
    <x v="223"/>
    <s v="Instagram Ads"/>
    <s v="Retargeting"/>
    <s v="Enterprise Plan"/>
    <n v="12255"/>
    <n v="438"/>
    <n v="24"/>
    <n v="814.12"/>
    <n v="1975.05"/>
    <n v="3.57"/>
    <n v="5.48"/>
    <n v="33.92"/>
    <n v="2.4300000000000002"/>
    <n v="1160.93"/>
  </r>
  <r>
    <x v="223"/>
    <s v="LinkedIn Ads"/>
    <s v="Flash Sale"/>
    <s v="Premium Plan"/>
    <n v="3946"/>
    <n v="101"/>
    <n v="14"/>
    <n v="1114.51"/>
    <n v="3443.22"/>
    <n v="2.56"/>
    <n v="13.86"/>
    <n v="79.61"/>
    <n v="3.09"/>
    <n v="2328.71"/>
  </r>
  <r>
    <x v="223"/>
    <s v="Email Marketing"/>
    <s v="Retargeting"/>
    <s v="Starter Kit"/>
    <n v="20616"/>
    <n v="3258"/>
    <n v="420"/>
    <n v="233"/>
    <n v="68221.11"/>
    <n v="15.8"/>
    <n v="12.89"/>
    <n v="0.55000000000000004"/>
    <n v="292.79000000000002"/>
    <n v="67988.11"/>
  </r>
  <r>
    <x v="223"/>
    <s v="Organic Search"/>
    <s v="Retargeting"/>
    <s v="Basic Plan"/>
    <n v="26967"/>
    <n v="1871"/>
    <n v="230"/>
    <n v="0"/>
    <n v="26316.44"/>
    <n v="6.94"/>
    <n v="12.29"/>
    <n v="0"/>
    <n v="0"/>
    <n v="26316.44"/>
  </r>
  <r>
    <x v="223"/>
    <s v="Display Ads"/>
    <s v="Seasonal Promotion"/>
    <s v="Basic Plan"/>
    <n v="26312"/>
    <n v="346"/>
    <n v="8"/>
    <n v="658.82"/>
    <n v="1065.0899999999999"/>
    <n v="1.31"/>
    <n v="2.31"/>
    <n v="82.35"/>
    <n v="1.62"/>
    <n v="406.27"/>
  </r>
  <r>
    <x v="223"/>
    <s v="YouTube Ads"/>
    <s v="Flash Sale"/>
    <s v="Starter Kit"/>
    <n v="19803"/>
    <n v="442"/>
    <n v="21"/>
    <n v="824.36"/>
    <n v="2697.97"/>
    <n v="2.23"/>
    <n v="4.75"/>
    <n v="39.26"/>
    <n v="3.27"/>
    <n v="1873.61"/>
  </r>
  <r>
    <x v="223"/>
    <s v="Twitter Ads"/>
    <s v="Brand Awareness"/>
    <s v="Basic Plan"/>
    <n v="11141"/>
    <n v="301"/>
    <n v="15"/>
    <n v="384.05"/>
    <n v="1283.53"/>
    <n v="2.7"/>
    <n v="4.9800000000000004"/>
    <n v="25.6"/>
    <n v="3.34"/>
    <n v="899.48"/>
  </r>
  <r>
    <x v="223"/>
    <s v="TikTok Ads"/>
    <s v="Brand Awareness"/>
    <s v="Basic Plan"/>
    <n v="21433"/>
    <n v="788"/>
    <n v="26"/>
    <n v="775.41"/>
    <n v="2115.4299999999998"/>
    <n v="3.68"/>
    <n v="3.3"/>
    <n v="29.82"/>
    <n v="2.73"/>
    <n v="1340.02"/>
  </r>
  <r>
    <x v="223"/>
    <s v="Affiliate Marketing"/>
    <s v="Seasonal Promotion"/>
    <s v="Add-on Service"/>
    <n v="7445"/>
    <n v="318"/>
    <n v="28"/>
    <n v="294.88"/>
    <n v="3467.78"/>
    <n v="4.2699999999999996"/>
    <n v="8.81"/>
    <n v="10.53"/>
    <n v="11.76"/>
    <n v="3172.9"/>
  </r>
  <r>
    <x v="223"/>
    <s v="Referral"/>
    <s v="Lead Generation"/>
    <s v="Basic Plan"/>
    <n v="2756"/>
    <n v="243"/>
    <n v="34"/>
    <n v="73.680000000000007"/>
    <n v="4573.13"/>
    <n v="8.82"/>
    <n v="13.99"/>
    <n v="2.17"/>
    <n v="62.07"/>
    <n v="4499.45"/>
  </r>
  <r>
    <x v="224"/>
    <s v="Google Ads"/>
    <s v="Flash Sale"/>
    <s v="Add-on Service"/>
    <n v="9824"/>
    <n v="387"/>
    <n v="40"/>
    <n v="1095.46"/>
    <n v="5014.3599999999997"/>
    <n v="3.94"/>
    <n v="10.34"/>
    <n v="27.39"/>
    <n v="4.58"/>
    <n v="3918.9"/>
  </r>
  <r>
    <x v="224"/>
    <s v="Facebook Ads"/>
    <s v="Brand Awareness"/>
    <s v="Add-on Service"/>
    <n v="17962"/>
    <n v="626"/>
    <n v="46"/>
    <n v="1266.6099999999999"/>
    <n v="5836.73"/>
    <n v="3.49"/>
    <n v="7.35"/>
    <n v="27.53"/>
    <n v="4.6100000000000003"/>
    <n v="4570.12"/>
  </r>
  <r>
    <x v="224"/>
    <s v="Instagram Ads"/>
    <s v="Lead Generation"/>
    <s v="Premium Plan"/>
    <n v="19981"/>
    <n v="514"/>
    <n v="37"/>
    <n v="910.4"/>
    <n v="3287.14"/>
    <n v="2.57"/>
    <n v="7.2"/>
    <n v="24.61"/>
    <n v="3.61"/>
    <n v="2376.7399999999998"/>
  </r>
  <r>
    <x v="224"/>
    <s v="LinkedIn Ads"/>
    <s v="Lead Generation"/>
    <s v="Enterprise Plan"/>
    <n v="6226"/>
    <n v="114"/>
    <n v="12"/>
    <n v="1781.05"/>
    <n v="3341.95"/>
    <n v="1.83"/>
    <n v="10.53"/>
    <n v="148.41999999999999"/>
    <n v="1.88"/>
    <n v="1560.9"/>
  </r>
  <r>
    <x v="224"/>
    <s v="Email Marketing"/>
    <s v="Lead Generation"/>
    <s v="Add-on Service"/>
    <n v="22318"/>
    <n v="3708"/>
    <n v="304"/>
    <n v="204.79"/>
    <n v="34307.089999999997"/>
    <n v="16.61"/>
    <n v="8.1999999999999993"/>
    <n v="0.67"/>
    <n v="167.52"/>
    <n v="34102.300000000003"/>
  </r>
  <r>
    <x v="224"/>
    <s v="Organic Search"/>
    <s v="Retargeting"/>
    <s v="Add-on Service"/>
    <n v="37453"/>
    <n v="2184"/>
    <n v="304"/>
    <n v="0"/>
    <n v="34405.26"/>
    <n v="5.83"/>
    <n v="13.92"/>
    <n v="0"/>
    <n v="0"/>
    <n v="34405.26"/>
  </r>
  <r>
    <x v="224"/>
    <s v="Display Ads"/>
    <s v="Seasonal Promotion"/>
    <s v="Premium Plan"/>
    <n v="42840"/>
    <n v="673"/>
    <n v="15"/>
    <n v="1090.9100000000001"/>
    <n v="1792.56"/>
    <n v="1.57"/>
    <n v="2.23"/>
    <n v="72.73"/>
    <n v="1.64"/>
    <n v="701.65"/>
  </r>
  <r>
    <x v="224"/>
    <s v="YouTube Ads"/>
    <s v="Flash Sale"/>
    <s v="Enterprise Plan"/>
    <n v="26815"/>
    <n v="800"/>
    <n v="33"/>
    <n v="1309.81"/>
    <n v="3633.92"/>
    <n v="2.98"/>
    <n v="4.12"/>
    <n v="39.69"/>
    <n v="2.77"/>
    <n v="2324.11"/>
  </r>
  <r>
    <x v="224"/>
    <s v="Twitter Ads"/>
    <s v="Brand Awareness"/>
    <s v="Basic Plan"/>
    <n v="11152"/>
    <n v="295"/>
    <n v="16"/>
    <n v="482.1"/>
    <n v="1770.34"/>
    <n v="2.65"/>
    <n v="5.42"/>
    <n v="30.13"/>
    <n v="3.67"/>
    <n v="1288.24"/>
  </r>
  <r>
    <x v="224"/>
    <s v="TikTok Ads"/>
    <s v="Retargeting"/>
    <s v="Add-on Service"/>
    <n v="32529"/>
    <n v="1388"/>
    <n v="88"/>
    <n v="977.45"/>
    <n v="8062.72"/>
    <n v="4.2699999999999996"/>
    <n v="6.34"/>
    <n v="11.11"/>
    <n v="8.25"/>
    <n v="7085.27"/>
  </r>
  <r>
    <x v="224"/>
    <s v="Affiliate Marketing"/>
    <s v="Retargeting"/>
    <s v="Starter Kit"/>
    <n v="11428"/>
    <n v="598"/>
    <n v="75"/>
    <n v="387.19"/>
    <n v="11500.5"/>
    <n v="5.23"/>
    <n v="12.54"/>
    <n v="5.16"/>
    <n v="29.7"/>
    <n v="11113.31"/>
  </r>
  <r>
    <x v="224"/>
    <s v="Referral"/>
    <s v="Lead Generation"/>
    <s v="Basic Plan"/>
    <n v="4581"/>
    <n v="303"/>
    <n v="50"/>
    <n v="178.98"/>
    <n v="7508.37"/>
    <n v="6.61"/>
    <n v="16.5"/>
    <n v="3.58"/>
    <n v="41.95"/>
    <n v="7329.39"/>
  </r>
  <r>
    <x v="225"/>
    <s v="Google Ads"/>
    <s v="Retargeting"/>
    <s v="Add-on Service"/>
    <n v="13489"/>
    <n v="492"/>
    <n v="57"/>
    <n v="1784.76"/>
    <n v="7489.15"/>
    <n v="3.65"/>
    <n v="11.59"/>
    <n v="31.31"/>
    <n v="4.2"/>
    <n v="5704.39"/>
  </r>
  <r>
    <x v="225"/>
    <s v="Facebook Ads"/>
    <s v="Lead Generation"/>
    <s v="Add-on Service"/>
    <n v="16460"/>
    <n v="582"/>
    <n v="49"/>
    <n v="1147.71"/>
    <n v="6978.88"/>
    <n v="3.54"/>
    <n v="8.42"/>
    <n v="23.42"/>
    <n v="6.08"/>
    <n v="5831.17"/>
  </r>
  <r>
    <x v="225"/>
    <s v="Instagram Ads"/>
    <s v="Lead Generation"/>
    <s v="Add-on Service"/>
    <n v="12871"/>
    <n v="452"/>
    <n v="33"/>
    <n v="1080.48"/>
    <n v="3362.29"/>
    <n v="3.51"/>
    <n v="7.3"/>
    <n v="32.74"/>
    <n v="3.11"/>
    <n v="2281.81"/>
  </r>
  <r>
    <x v="225"/>
    <s v="LinkedIn Ads"/>
    <s v="Flash Sale"/>
    <s v="Add-on Service"/>
    <n v="4413"/>
    <n v="81"/>
    <n v="7"/>
    <n v="1767.99"/>
    <n v="1357.13"/>
    <n v="1.84"/>
    <n v="8.64"/>
    <n v="252.57"/>
    <n v="0.77"/>
    <n v="-410.86"/>
  </r>
  <r>
    <x v="225"/>
    <s v="Email Marketing"/>
    <s v="Product Launch"/>
    <s v="Basic Plan"/>
    <n v="24602"/>
    <n v="4128"/>
    <n v="571"/>
    <n v="135.28"/>
    <n v="84182.95"/>
    <n v="16.78"/>
    <n v="13.83"/>
    <n v="0.24"/>
    <n v="622.29"/>
    <n v="84047.67"/>
  </r>
  <r>
    <x v="225"/>
    <s v="Organic Search"/>
    <s v="Flash Sale"/>
    <s v="Enterprise Plan"/>
    <n v="35847"/>
    <n v="2617"/>
    <n v="270"/>
    <n v="0"/>
    <n v="33843.89"/>
    <n v="7.3"/>
    <n v="10.32"/>
    <n v="0"/>
    <n v="0"/>
    <n v="33843.89"/>
  </r>
  <r>
    <x v="225"/>
    <s v="Display Ads"/>
    <s v="Retargeting"/>
    <s v="Add-on Service"/>
    <n v="33069"/>
    <n v="550"/>
    <n v="16"/>
    <n v="1150.49"/>
    <n v="1634.84"/>
    <n v="1.66"/>
    <n v="2.91"/>
    <n v="71.91"/>
    <n v="1.42"/>
    <n v="484.35"/>
  </r>
  <r>
    <x v="225"/>
    <s v="YouTube Ads"/>
    <s v="Seasonal Promotion"/>
    <s v="Premium Plan"/>
    <n v="25909"/>
    <n v="766"/>
    <n v="31"/>
    <n v="1350.17"/>
    <n v="3399.34"/>
    <n v="2.96"/>
    <n v="4.05"/>
    <n v="43.55"/>
    <n v="2.52"/>
    <n v="2049.17"/>
  </r>
  <r>
    <x v="225"/>
    <s v="Twitter Ads"/>
    <s v="Lead Generation"/>
    <s v="Starter Kit"/>
    <n v="13162"/>
    <n v="410"/>
    <n v="14"/>
    <n v="795.99"/>
    <n v="1297.8699999999999"/>
    <n v="3.12"/>
    <n v="3.41"/>
    <n v="56.86"/>
    <n v="1.63"/>
    <n v="501.88"/>
  </r>
  <r>
    <x v="225"/>
    <s v="TikTok Ads"/>
    <s v="Retargeting"/>
    <s v="Basic Plan"/>
    <n v="23648"/>
    <n v="928"/>
    <n v="61"/>
    <n v="1025.52"/>
    <n v="5066.3100000000004"/>
    <n v="3.92"/>
    <n v="6.57"/>
    <n v="16.809999999999999"/>
    <n v="4.9400000000000004"/>
    <n v="4040.79"/>
  </r>
  <r>
    <x v="225"/>
    <s v="Affiliate Marketing"/>
    <s v="Brand Awareness"/>
    <s v="Premium Plan"/>
    <n v="6297"/>
    <n v="384"/>
    <n v="34"/>
    <n v="676.12"/>
    <n v="3985.88"/>
    <n v="6.1"/>
    <n v="8.85"/>
    <n v="19.89"/>
    <n v="5.9"/>
    <n v="3309.76"/>
  </r>
  <r>
    <x v="225"/>
    <s v="Referral"/>
    <s v="Lead Generation"/>
    <s v="Add-on Service"/>
    <n v="7430"/>
    <n v="691"/>
    <n v="114"/>
    <n v="180.4"/>
    <n v="16798.12"/>
    <n v="9.3000000000000007"/>
    <n v="16.5"/>
    <n v="1.58"/>
    <n v="93.12"/>
    <n v="16617.72"/>
  </r>
  <r>
    <x v="226"/>
    <s v="Google Ads"/>
    <s v="Seasonal Promotion"/>
    <s v="Starter Kit"/>
    <n v="14028"/>
    <n v="699"/>
    <n v="75"/>
    <n v="1062.94"/>
    <n v="10602.46"/>
    <n v="4.9800000000000004"/>
    <n v="10.73"/>
    <n v="14.17"/>
    <n v="9.9700000000000006"/>
    <n v="9539.52"/>
  </r>
  <r>
    <x v="226"/>
    <s v="Facebook Ads"/>
    <s v="Lead Generation"/>
    <s v="Add-on Service"/>
    <n v="16821"/>
    <n v="495"/>
    <n v="24"/>
    <n v="1198.69"/>
    <n v="2593.4299999999998"/>
    <n v="2.94"/>
    <n v="4.8499999999999996"/>
    <n v="49.95"/>
    <n v="2.16"/>
    <n v="1394.74"/>
  </r>
  <r>
    <x v="226"/>
    <s v="Instagram Ads"/>
    <s v="Brand Awareness"/>
    <s v="Basic Plan"/>
    <n v="19732"/>
    <n v="768"/>
    <n v="52"/>
    <n v="697.95"/>
    <n v="5086.3"/>
    <n v="3.89"/>
    <n v="6.77"/>
    <n v="13.42"/>
    <n v="7.29"/>
    <n v="4388.3500000000004"/>
  </r>
  <r>
    <x v="226"/>
    <s v="LinkedIn Ads"/>
    <s v="Retargeting"/>
    <s v="Add-on Service"/>
    <n v="6781"/>
    <n v="110"/>
    <n v="15"/>
    <n v="2048.92"/>
    <n v="4349.72"/>
    <n v="1.62"/>
    <n v="13.64"/>
    <n v="136.59"/>
    <n v="2.12"/>
    <n v="2300.8000000000002"/>
  </r>
  <r>
    <x v="226"/>
    <s v="Email Marketing"/>
    <s v="Seasonal Promotion"/>
    <s v="Premium Plan"/>
    <n v="25180"/>
    <n v="5516"/>
    <n v="568"/>
    <n v="324.17"/>
    <n v="81278.28"/>
    <n v="21.91"/>
    <n v="10.3"/>
    <n v="0.56999999999999995"/>
    <n v="250.73"/>
    <n v="80954.11"/>
  </r>
  <r>
    <x v="226"/>
    <s v="Organic Search"/>
    <s v="Seasonal Promotion"/>
    <s v="Add-on Service"/>
    <n v="40750"/>
    <n v="2070"/>
    <n v="290"/>
    <n v="0"/>
    <n v="40978.69"/>
    <n v="5.08"/>
    <n v="14.01"/>
    <n v="0"/>
    <n v="0"/>
    <n v="40978.69"/>
  </r>
  <r>
    <x v="226"/>
    <s v="Display Ads"/>
    <s v="Brand Awareness"/>
    <s v="Premium Plan"/>
    <n v="31123"/>
    <n v="482"/>
    <n v="15"/>
    <n v="1005.28"/>
    <n v="1751.15"/>
    <n v="1.55"/>
    <n v="3.11"/>
    <n v="67.02"/>
    <n v="1.74"/>
    <n v="745.87"/>
  </r>
  <r>
    <x v="226"/>
    <s v="YouTube Ads"/>
    <s v="Retargeting"/>
    <s v="Basic Plan"/>
    <n v="19063"/>
    <n v="465"/>
    <n v="24"/>
    <n v="1602.68"/>
    <n v="2795.22"/>
    <n v="2.44"/>
    <n v="5.16"/>
    <n v="66.78"/>
    <n v="1.74"/>
    <n v="1192.54"/>
  </r>
  <r>
    <x v="226"/>
    <s v="Twitter Ads"/>
    <s v="Seasonal Promotion"/>
    <s v="Add-on Service"/>
    <n v="14216"/>
    <n v="334"/>
    <n v="16"/>
    <n v="596.25"/>
    <n v="1789.43"/>
    <n v="2.35"/>
    <n v="4.79"/>
    <n v="37.270000000000003"/>
    <n v="3"/>
    <n v="1193.18"/>
  </r>
  <r>
    <x v="226"/>
    <s v="TikTok Ads"/>
    <s v="Brand Awareness"/>
    <s v="Starter Kit"/>
    <n v="35474"/>
    <n v="1216"/>
    <n v="74"/>
    <n v="1110.8800000000001"/>
    <n v="7144.38"/>
    <n v="3.43"/>
    <n v="6.09"/>
    <n v="15.01"/>
    <n v="6.43"/>
    <n v="6033.5"/>
  </r>
  <r>
    <x v="226"/>
    <s v="Affiliate Marketing"/>
    <s v="Seasonal Promotion"/>
    <s v="Starter Kit"/>
    <n v="9177"/>
    <n v="555"/>
    <n v="44"/>
    <n v="644.57000000000005"/>
    <n v="5470.53"/>
    <n v="6.05"/>
    <n v="7.93"/>
    <n v="14.65"/>
    <n v="8.49"/>
    <n v="4825.96"/>
  </r>
  <r>
    <x v="226"/>
    <s v="Referral"/>
    <s v="Product Launch"/>
    <s v="Premium Plan"/>
    <n v="4394"/>
    <n v="421"/>
    <n v="70"/>
    <n v="216.61"/>
    <n v="9893.69"/>
    <n v="9.58"/>
    <n v="16.63"/>
    <n v="3.09"/>
    <n v="45.68"/>
    <n v="9677.08"/>
  </r>
  <r>
    <x v="227"/>
    <s v="Google Ads"/>
    <s v="Flash Sale"/>
    <s v="Add-on Service"/>
    <n v="12140"/>
    <n v="386"/>
    <n v="37"/>
    <n v="1096.4000000000001"/>
    <n v="5637.13"/>
    <n v="3.18"/>
    <n v="9.59"/>
    <n v="29.63"/>
    <n v="5.14"/>
    <n v="4540.7299999999996"/>
  </r>
  <r>
    <x v="227"/>
    <s v="Facebook Ads"/>
    <s v="Retargeting"/>
    <s v="Basic Plan"/>
    <n v="20966"/>
    <n v="582"/>
    <n v="42"/>
    <n v="835.22"/>
    <n v="4956.1899999999996"/>
    <n v="2.78"/>
    <n v="7.22"/>
    <n v="19.89"/>
    <n v="5.93"/>
    <n v="4120.97"/>
  </r>
  <r>
    <x v="227"/>
    <s v="Instagram Ads"/>
    <s v="Retargeting"/>
    <s v="Starter Kit"/>
    <n v="20926"/>
    <n v="708"/>
    <n v="40"/>
    <n v="607.30999999999995"/>
    <n v="4256.3"/>
    <n v="3.38"/>
    <n v="5.65"/>
    <n v="15.18"/>
    <n v="7.01"/>
    <n v="3648.99"/>
  </r>
  <r>
    <x v="227"/>
    <s v="LinkedIn Ads"/>
    <s v="Product Launch"/>
    <s v="Add-on Service"/>
    <n v="4640"/>
    <n v="110"/>
    <n v="15"/>
    <n v="1596.31"/>
    <n v="3354.16"/>
    <n v="2.37"/>
    <n v="13.64"/>
    <n v="106.42"/>
    <n v="2.1"/>
    <n v="1757.85"/>
  </r>
  <r>
    <x v="227"/>
    <s v="Email Marketing"/>
    <s v="Flash Sale"/>
    <s v="Add-on Service"/>
    <n v="19723"/>
    <n v="4764"/>
    <n v="662"/>
    <n v="159.74"/>
    <n v="106478.93"/>
    <n v="24.15"/>
    <n v="13.9"/>
    <n v="0.24"/>
    <n v="666.58"/>
    <n v="106319.19"/>
  </r>
  <r>
    <x v="227"/>
    <s v="Organic Search"/>
    <s v="Brand Awareness"/>
    <s v="Starter Kit"/>
    <n v="27373"/>
    <n v="1641"/>
    <n v="172"/>
    <n v="0"/>
    <n v="21953.32"/>
    <n v="5.99"/>
    <n v="10.48"/>
    <n v="0"/>
    <n v="0"/>
    <n v="21953.32"/>
  </r>
  <r>
    <x v="227"/>
    <s v="Display Ads"/>
    <s v="Lead Generation"/>
    <s v="Enterprise Plan"/>
    <n v="37146"/>
    <n v="720"/>
    <n v="34"/>
    <n v="1004.58"/>
    <n v="3362.18"/>
    <n v="1.94"/>
    <n v="4.72"/>
    <n v="29.55"/>
    <n v="3.35"/>
    <n v="2357.6"/>
  </r>
  <r>
    <x v="227"/>
    <s v="YouTube Ads"/>
    <s v="Retargeting"/>
    <s v="Basic Plan"/>
    <n v="27684"/>
    <n v="560"/>
    <n v="40"/>
    <n v="1339.24"/>
    <n v="4369.12"/>
    <n v="2.02"/>
    <n v="7.14"/>
    <n v="33.479999999999997"/>
    <n v="3.26"/>
    <n v="3029.88"/>
  </r>
  <r>
    <x v="227"/>
    <s v="Twitter Ads"/>
    <s v="Brand Awareness"/>
    <s v="Enterprise Plan"/>
    <n v="14539"/>
    <n v="334"/>
    <n v="14"/>
    <n v="872.8"/>
    <n v="1367.67"/>
    <n v="2.2999999999999998"/>
    <n v="4.1900000000000004"/>
    <n v="62.34"/>
    <n v="1.57"/>
    <n v="494.87"/>
  </r>
  <r>
    <x v="227"/>
    <s v="TikTok Ads"/>
    <s v="Seasonal Promotion"/>
    <s v="Add-on Service"/>
    <n v="29257"/>
    <n v="829"/>
    <n v="42"/>
    <n v="739.17"/>
    <n v="4405.8"/>
    <n v="2.83"/>
    <n v="5.07"/>
    <n v="17.600000000000001"/>
    <n v="5.96"/>
    <n v="3666.63"/>
  </r>
  <r>
    <x v="227"/>
    <s v="Affiliate Marketing"/>
    <s v="Retargeting"/>
    <s v="Enterprise Plan"/>
    <n v="8491"/>
    <n v="388"/>
    <n v="38"/>
    <n v="493.83"/>
    <n v="4200.62"/>
    <n v="4.57"/>
    <n v="9.7899999999999991"/>
    <n v="13"/>
    <n v="8.51"/>
    <n v="3706.79"/>
  </r>
  <r>
    <x v="227"/>
    <s v="Referral"/>
    <s v="Lead Generation"/>
    <s v="Premium Plan"/>
    <n v="6067"/>
    <n v="586"/>
    <n v="88"/>
    <n v="86.5"/>
    <n v="14243.56"/>
    <n v="9.66"/>
    <n v="15.02"/>
    <n v="0.98"/>
    <n v="164.67"/>
    <n v="14157.06"/>
  </r>
  <r>
    <x v="228"/>
    <s v="Google Ads"/>
    <s v="Flash Sale"/>
    <s v="Premium Plan"/>
    <n v="17944"/>
    <n v="615"/>
    <n v="58"/>
    <n v="1159.3"/>
    <n v="9395.34"/>
    <n v="3.43"/>
    <n v="9.43"/>
    <n v="19.989999999999998"/>
    <n v="8.1"/>
    <n v="8236.0400000000009"/>
  </r>
  <r>
    <x v="228"/>
    <s v="Facebook Ads"/>
    <s v="Seasonal Promotion"/>
    <s v="Add-on Service"/>
    <n v="14704"/>
    <n v="298"/>
    <n v="26"/>
    <n v="788.68"/>
    <n v="2998.47"/>
    <n v="2.0299999999999998"/>
    <n v="8.7200000000000006"/>
    <n v="30.33"/>
    <n v="3.8"/>
    <n v="2209.79"/>
  </r>
  <r>
    <x v="228"/>
    <s v="Instagram Ads"/>
    <s v="Brand Awareness"/>
    <s v="Add-on Service"/>
    <n v="15165"/>
    <n v="484"/>
    <n v="37"/>
    <n v="727.42"/>
    <n v="4491.29"/>
    <n v="3.19"/>
    <n v="7.64"/>
    <n v="19.66"/>
    <n v="6.17"/>
    <n v="3763.87"/>
  </r>
  <r>
    <x v="228"/>
    <s v="LinkedIn Ads"/>
    <s v="Brand Awareness"/>
    <s v="Starter Kit"/>
    <n v="6688"/>
    <n v="175"/>
    <n v="24"/>
    <n v="1545.73"/>
    <n v="6969.75"/>
    <n v="2.62"/>
    <n v="13.71"/>
    <n v="64.41"/>
    <n v="4.51"/>
    <n v="5424.02"/>
  </r>
  <r>
    <x v="228"/>
    <s v="Email Marketing"/>
    <s v="Flash Sale"/>
    <s v="Basic Plan"/>
    <n v="22279"/>
    <n v="4562"/>
    <n v="573"/>
    <n v="209.87"/>
    <n v="74026.48"/>
    <n v="20.48"/>
    <n v="12.56"/>
    <n v="0.37"/>
    <n v="352.73"/>
    <n v="73816.61"/>
  </r>
  <r>
    <x v="228"/>
    <s v="Organic Search"/>
    <s v="Flash Sale"/>
    <s v="Enterprise Plan"/>
    <n v="39524"/>
    <n v="2145"/>
    <n v="325"/>
    <n v="0"/>
    <n v="35638.46"/>
    <n v="5.43"/>
    <n v="15.15"/>
    <n v="0"/>
    <n v="0"/>
    <n v="35638.46"/>
  </r>
  <r>
    <x v="228"/>
    <s v="Display Ads"/>
    <s v="Retargeting"/>
    <s v="Enterprise Plan"/>
    <n v="39145"/>
    <n v="758"/>
    <n v="20"/>
    <n v="1397.88"/>
    <n v="1863.62"/>
    <n v="1.94"/>
    <n v="2.64"/>
    <n v="69.89"/>
    <n v="1.33"/>
    <n v="465.74"/>
  </r>
  <r>
    <x v="228"/>
    <s v="YouTube Ads"/>
    <s v="Brand Awareness"/>
    <s v="Basic Plan"/>
    <n v="25890"/>
    <n v="693"/>
    <n v="42"/>
    <n v="995.99"/>
    <n v="4484.03"/>
    <n v="2.68"/>
    <n v="6.06"/>
    <n v="23.71"/>
    <n v="4.5"/>
    <n v="3488.04"/>
  </r>
  <r>
    <x v="228"/>
    <s v="Twitter Ads"/>
    <s v="Retargeting"/>
    <s v="Add-on Service"/>
    <n v="14238"/>
    <n v="488"/>
    <n v="15"/>
    <n v="716.51"/>
    <n v="1458.15"/>
    <n v="3.43"/>
    <n v="3.07"/>
    <n v="47.77"/>
    <n v="2.04"/>
    <n v="741.64"/>
  </r>
  <r>
    <x v="228"/>
    <s v="TikTok Ads"/>
    <s v="Product Launch"/>
    <s v="Enterprise Plan"/>
    <n v="31617"/>
    <n v="1288"/>
    <n v="48"/>
    <n v="738.75"/>
    <n v="5164.82"/>
    <n v="4.07"/>
    <n v="3.73"/>
    <n v="15.39"/>
    <n v="6.99"/>
    <n v="4426.07"/>
  </r>
  <r>
    <x v="228"/>
    <s v="Affiliate Marketing"/>
    <s v="Seasonal Promotion"/>
    <s v="Starter Kit"/>
    <n v="10366"/>
    <n v="489"/>
    <n v="52"/>
    <n v="400.33"/>
    <n v="6426.42"/>
    <n v="4.72"/>
    <n v="10.63"/>
    <n v="7.7"/>
    <n v="16.05"/>
    <n v="6026.09"/>
  </r>
  <r>
    <x v="228"/>
    <s v="Referral"/>
    <s v="Seasonal Promotion"/>
    <s v="Enterprise Plan"/>
    <n v="4612"/>
    <n v="297"/>
    <n v="43"/>
    <n v="63.06"/>
    <n v="5899.24"/>
    <n v="6.44"/>
    <n v="14.48"/>
    <n v="1.47"/>
    <n v="93.55"/>
    <n v="5836.18"/>
  </r>
  <r>
    <x v="229"/>
    <s v="Google Ads"/>
    <s v="Seasonal Promotion"/>
    <s v="Enterprise Plan"/>
    <n v="8322"/>
    <n v="400"/>
    <n v="45"/>
    <n v="990.74"/>
    <n v="7494.93"/>
    <n v="4.8099999999999996"/>
    <n v="11.25"/>
    <n v="22.02"/>
    <n v="7.56"/>
    <n v="6504.19"/>
  </r>
  <r>
    <x v="229"/>
    <s v="Facebook Ads"/>
    <s v="Flash Sale"/>
    <s v="Starter Kit"/>
    <n v="10296"/>
    <n v="329"/>
    <n v="29"/>
    <n v="967.76"/>
    <n v="3375.37"/>
    <n v="3.2"/>
    <n v="8.81"/>
    <n v="33.369999999999997"/>
    <n v="3.49"/>
    <n v="2407.61"/>
  </r>
  <r>
    <x v="229"/>
    <s v="Instagram Ads"/>
    <s v="Lead Generation"/>
    <s v="Starter Kit"/>
    <n v="15030"/>
    <n v="406"/>
    <n v="28"/>
    <n v="524.59"/>
    <n v="3358.31"/>
    <n v="2.7"/>
    <n v="6.9"/>
    <n v="18.739999999999998"/>
    <n v="6.4"/>
    <n v="2833.72"/>
  </r>
  <r>
    <x v="229"/>
    <s v="LinkedIn Ads"/>
    <s v="Seasonal Promotion"/>
    <s v="Add-on Service"/>
    <n v="4080"/>
    <n v="63"/>
    <n v="9"/>
    <n v="858.4"/>
    <n v="2010.62"/>
    <n v="1.54"/>
    <n v="14.29"/>
    <n v="95.38"/>
    <n v="2.34"/>
    <n v="1152.22"/>
  </r>
  <r>
    <x v="229"/>
    <s v="Email Marketing"/>
    <s v="Retargeting"/>
    <s v="Basic Plan"/>
    <n v="17082"/>
    <n v="4215"/>
    <n v="521"/>
    <n v="148.57"/>
    <n v="61400.73"/>
    <n v="24.68"/>
    <n v="12.36"/>
    <n v="0.28999999999999998"/>
    <n v="413.28"/>
    <n v="61252.160000000003"/>
  </r>
  <r>
    <x v="229"/>
    <s v="Organic Search"/>
    <s v="Product Launch"/>
    <s v="Add-on Service"/>
    <n v="29108"/>
    <n v="1784"/>
    <n v="211"/>
    <n v="0"/>
    <n v="26956.16"/>
    <n v="6.13"/>
    <n v="11.83"/>
    <n v="0"/>
    <n v="0"/>
    <n v="26956.16"/>
  </r>
  <r>
    <x v="229"/>
    <s v="Display Ads"/>
    <s v="Seasonal Promotion"/>
    <s v="Starter Kit"/>
    <n v="21069"/>
    <n v="361"/>
    <n v="17"/>
    <n v="848.5"/>
    <n v="1886.5"/>
    <n v="1.71"/>
    <n v="4.71"/>
    <n v="49.91"/>
    <n v="2.2200000000000002"/>
    <n v="1038"/>
  </r>
  <r>
    <x v="229"/>
    <s v="YouTube Ads"/>
    <s v="Product Launch"/>
    <s v="Enterprise Plan"/>
    <n v="18512"/>
    <n v="365"/>
    <n v="18"/>
    <n v="1077.7"/>
    <n v="1936.49"/>
    <n v="1.97"/>
    <n v="4.93"/>
    <n v="59.87"/>
    <n v="1.8"/>
    <n v="858.79"/>
  </r>
  <r>
    <x v="229"/>
    <s v="Twitter Ads"/>
    <s v="Seasonal Promotion"/>
    <s v="Enterprise Plan"/>
    <n v="11399"/>
    <n v="372"/>
    <n v="14"/>
    <n v="404.87"/>
    <n v="1421.39"/>
    <n v="3.26"/>
    <n v="3.76"/>
    <n v="28.92"/>
    <n v="3.51"/>
    <n v="1016.52"/>
  </r>
  <r>
    <x v="229"/>
    <s v="TikTok Ads"/>
    <s v="Flash Sale"/>
    <s v="Starter Kit"/>
    <n v="15538"/>
    <n v="588"/>
    <n v="27"/>
    <n v="671.38"/>
    <n v="2095.41"/>
    <n v="3.78"/>
    <n v="4.59"/>
    <n v="24.87"/>
    <n v="3.12"/>
    <n v="1424.03"/>
  </r>
  <r>
    <x v="229"/>
    <s v="Affiliate Marketing"/>
    <s v="Flash Sale"/>
    <s v="Basic Plan"/>
    <n v="7629"/>
    <n v="358"/>
    <n v="32"/>
    <n v="295.45"/>
    <n v="4522.25"/>
    <n v="4.6900000000000004"/>
    <n v="8.94"/>
    <n v="9.23"/>
    <n v="15.31"/>
    <n v="4226.8"/>
  </r>
  <r>
    <x v="229"/>
    <s v="Referral"/>
    <s v="Flash Sale"/>
    <s v="Premium Plan"/>
    <n v="4341"/>
    <n v="273"/>
    <n v="38"/>
    <n v="100.04"/>
    <n v="5225.93"/>
    <n v="6.29"/>
    <n v="13.92"/>
    <n v="2.63"/>
    <n v="52.24"/>
    <n v="5125.8900000000003"/>
  </r>
  <r>
    <x v="230"/>
    <s v="Google Ads"/>
    <s v="Flash Sale"/>
    <s v="Basic Plan"/>
    <n v="9124"/>
    <n v="330"/>
    <n v="26"/>
    <n v="810.77"/>
    <n v="3626.98"/>
    <n v="3.62"/>
    <n v="7.88"/>
    <n v="31.18"/>
    <n v="4.47"/>
    <n v="2816.21"/>
  </r>
  <r>
    <x v="230"/>
    <s v="Facebook Ads"/>
    <s v="Retargeting"/>
    <s v="Basic Plan"/>
    <n v="10444"/>
    <n v="332"/>
    <n v="17"/>
    <n v="710.01"/>
    <n v="1786.6"/>
    <n v="3.18"/>
    <n v="5.12"/>
    <n v="41.77"/>
    <n v="2.52"/>
    <n v="1076.5899999999999"/>
  </r>
  <r>
    <x v="230"/>
    <s v="Instagram Ads"/>
    <s v="Brand Awareness"/>
    <s v="Basic Plan"/>
    <n v="10200"/>
    <n v="409"/>
    <n v="26"/>
    <n v="467.09"/>
    <n v="2919.41"/>
    <n v="4.01"/>
    <n v="6.36"/>
    <n v="17.96"/>
    <n v="6.25"/>
    <n v="2452.3200000000002"/>
  </r>
  <r>
    <x v="230"/>
    <s v="LinkedIn Ads"/>
    <s v="Seasonal Promotion"/>
    <s v="Starter Kit"/>
    <n v="2939"/>
    <n v="63"/>
    <n v="6"/>
    <n v="768.41"/>
    <n v="1401.15"/>
    <n v="2.14"/>
    <n v="9.52"/>
    <n v="128.07"/>
    <n v="1.82"/>
    <n v="632.74"/>
  </r>
  <r>
    <x v="230"/>
    <s v="Email Marketing"/>
    <s v="Product Launch"/>
    <s v="Add-on Service"/>
    <n v="20296"/>
    <n v="4078"/>
    <n v="557"/>
    <n v="247.96"/>
    <n v="71711.92"/>
    <n v="20.09"/>
    <n v="13.66"/>
    <n v="0.45"/>
    <n v="289.20999999999998"/>
    <n v="71463.960000000006"/>
  </r>
  <r>
    <x v="230"/>
    <s v="Organic Search"/>
    <s v="Seasonal Promotion"/>
    <s v="Premium Plan"/>
    <n v="28358"/>
    <n v="1638"/>
    <n v="190"/>
    <n v="0"/>
    <n v="30059.81"/>
    <n v="5.78"/>
    <n v="11.6"/>
    <n v="0"/>
    <n v="0"/>
    <n v="30059.81"/>
  </r>
  <r>
    <x v="230"/>
    <s v="Display Ads"/>
    <s v="Lead Generation"/>
    <s v="Starter Kit"/>
    <n v="24545"/>
    <n v="268"/>
    <n v="10"/>
    <n v="588"/>
    <n v="1067.71"/>
    <n v="1.0900000000000001"/>
    <n v="3.73"/>
    <n v="58.8"/>
    <n v="1.82"/>
    <n v="479.71"/>
  </r>
  <r>
    <x v="230"/>
    <s v="YouTube Ads"/>
    <s v="Flash Sale"/>
    <s v="Premium Plan"/>
    <n v="15900"/>
    <n v="287"/>
    <n v="15"/>
    <n v="813.68"/>
    <n v="1991.45"/>
    <n v="1.81"/>
    <n v="5.23"/>
    <n v="54.25"/>
    <n v="2.4500000000000002"/>
    <n v="1177.77"/>
  </r>
  <r>
    <x v="230"/>
    <s v="Twitter Ads"/>
    <s v="Brand Awareness"/>
    <s v="Basic Plan"/>
    <n v="7418"/>
    <n v="152"/>
    <n v="5"/>
    <n v="620.91"/>
    <n v="480.4"/>
    <n v="2.0499999999999998"/>
    <n v="3.29"/>
    <n v="124.18"/>
    <n v="0.77"/>
    <n v="-140.51"/>
  </r>
  <r>
    <x v="230"/>
    <s v="TikTok Ads"/>
    <s v="Retargeting"/>
    <s v="Add-on Service"/>
    <n v="18080"/>
    <n v="627"/>
    <n v="39"/>
    <n v="540.45000000000005"/>
    <n v="3844.18"/>
    <n v="3.47"/>
    <n v="6.22"/>
    <n v="13.86"/>
    <n v="7.11"/>
    <n v="3303.73"/>
  </r>
  <r>
    <x v="230"/>
    <s v="Affiliate Marketing"/>
    <s v="Retargeting"/>
    <s v="Premium Plan"/>
    <n v="5885"/>
    <n v="265"/>
    <n v="31"/>
    <n v="276.11"/>
    <n v="4466.7700000000004"/>
    <n v="4.5"/>
    <n v="11.7"/>
    <n v="8.91"/>
    <n v="16.18"/>
    <n v="4190.66"/>
  </r>
  <r>
    <x v="230"/>
    <s v="Referral"/>
    <s v="Brand Awareness"/>
    <s v="Enterprise Plan"/>
    <n v="5378"/>
    <n v="430"/>
    <n v="76"/>
    <n v="95.86"/>
    <n v="9922.31"/>
    <n v="8"/>
    <n v="17.670000000000002"/>
    <n v="1.26"/>
    <n v="103.51"/>
    <n v="9826.4500000000007"/>
  </r>
  <r>
    <x v="231"/>
    <s v="Google Ads"/>
    <s v="Lead Generation"/>
    <s v="Enterprise Plan"/>
    <n v="16981"/>
    <n v="808"/>
    <n v="72"/>
    <n v="1766.24"/>
    <n v="11317.34"/>
    <n v="4.76"/>
    <n v="8.91"/>
    <n v="24.53"/>
    <n v="6.41"/>
    <n v="9551.1"/>
  </r>
  <r>
    <x v="231"/>
    <s v="Facebook Ads"/>
    <s v="Brand Awareness"/>
    <s v="Add-on Service"/>
    <n v="20970"/>
    <n v="477"/>
    <n v="39"/>
    <n v="799.49"/>
    <n v="3660.03"/>
    <n v="2.27"/>
    <n v="8.18"/>
    <n v="20.5"/>
    <n v="4.58"/>
    <n v="2860.54"/>
  </r>
  <r>
    <x v="231"/>
    <s v="Instagram Ads"/>
    <s v="Brand Awareness"/>
    <s v="Starter Kit"/>
    <n v="16161"/>
    <n v="667"/>
    <n v="27"/>
    <n v="658.63"/>
    <n v="2436.5"/>
    <n v="4.13"/>
    <n v="4.05"/>
    <n v="24.39"/>
    <n v="3.7"/>
    <n v="1777.87"/>
  </r>
  <r>
    <x v="231"/>
    <s v="LinkedIn Ads"/>
    <s v="Retargeting"/>
    <s v="Add-on Service"/>
    <n v="7135"/>
    <n v="157"/>
    <n v="16"/>
    <n v="1567.93"/>
    <n v="4583.3900000000003"/>
    <n v="2.2000000000000002"/>
    <n v="10.19"/>
    <n v="98"/>
    <n v="2.92"/>
    <n v="3015.46"/>
  </r>
  <r>
    <x v="231"/>
    <s v="Email Marketing"/>
    <s v="Flash Sale"/>
    <s v="Add-on Service"/>
    <n v="22252"/>
    <n v="3686"/>
    <n v="417"/>
    <n v="229.48"/>
    <n v="66701.25"/>
    <n v="16.559999999999999"/>
    <n v="11.31"/>
    <n v="0.55000000000000004"/>
    <n v="290.66000000000003"/>
    <n v="66471.77"/>
  </r>
  <r>
    <x v="231"/>
    <s v="Organic Search"/>
    <s v="Product Launch"/>
    <s v="Add-on Service"/>
    <n v="24976"/>
    <n v="1929"/>
    <n v="255"/>
    <n v="0"/>
    <n v="27173.88"/>
    <n v="7.72"/>
    <n v="13.22"/>
    <n v="0"/>
    <n v="0"/>
    <n v="27173.88"/>
  </r>
  <r>
    <x v="231"/>
    <s v="Display Ads"/>
    <s v="Brand Awareness"/>
    <s v="Basic Plan"/>
    <n v="44695"/>
    <n v="819"/>
    <n v="28"/>
    <n v="1038.69"/>
    <n v="2654.19"/>
    <n v="1.83"/>
    <n v="3.42"/>
    <n v="37.1"/>
    <n v="2.56"/>
    <n v="1615.5"/>
  </r>
  <r>
    <x v="231"/>
    <s v="YouTube Ads"/>
    <s v="Flash Sale"/>
    <s v="Starter Kit"/>
    <n v="29382"/>
    <n v="775"/>
    <n v="52"/>
    <n v="1020.99"/>
    <n v="5721.53"/>
    <n v="2.64"/>
    <n v="6.71"/>
    <n v="19.63"/>
    <n v="5.6"/>
    <n v="4700.54"/>
  </r>
  <r>
    <x v="231"/>
    <s v="Twitter Ads"/>
    <s v="Retargeting"/>
    <s v="Premium Plan"/>
    <n v="12415"/>
    <n v="261"/>
    <n v="9"/>
    <n v="758.05"/>
    <n v="971.71"/>
    <n v="2.1"/>
    <n v="3.45"/>
    <n v="84.23"/>
    <n v="1.28"/>
    <n v="213.66"/>
  </r>
  <r>
    <x v="231"/>
    <s v="TikTok Ads"/>
    <s v="Lead Generation"/>
    <s v="Add-on Service"/>
    <n v="21662"/>
    <n v="672"/>
    <n v="20"/>
    <n v="917.47"/>
    <n v="2088.59"/>
    <n v="3.1"/>
    <n v="2.98"/>
    <n v="45.87"/>
    <n v="2.2799999999999998"/>
    <n v="1171.1199999999999"/>
  </r>
  <r>
    <x v="231"/>
    <s v="Affiliate Marketing"/>
    <s v="Product Launch"/>
    <s v="Basic Plan"/>
    <n v="6661"/>
    <n v="406"/>
    <n v="40"/>
    <n v="777.05"/>
    <n v="5546.35"/>
    <n v="6.1"/>
    <n v="9.85"/>
    <n v="19.43"/>
    <n v="7.14"/>
    <n v="4769.3"/>
  </r>
  <r>
    <x v="231"/>
    <s v="Referral"/>
    <s v="Brand Awareness"/>
    <s v="Add-on Service"/>
    <n v="6909"/>
    <n v="512"/>
    <n v="75"/>
    <n v="102.23"/>
    <n v="12193.03"/>
    <n v="7.41"/>
    <n v="14.65"/>
    <n v="1.36"/>
    <n v="119.27"/>
    <n v="12090.8"/>
  </r>
  <r>
    <x v="232"/>
    <s v="Google Ads"/>
    <s v="Seasonal Promotion"/>
    <s v="Add-on Service"/>
    <n v="13243"/>
    <n v="480"/>
    <n v="46"/>
    <n v="1649.26"/>
    <n v="8616.43"/>
    <n v="3.62"/>
    <n v="9.58"/>
    <n v="35.85"/>
    <n v="5.22"/>
    <n v="6967.17"/>
  </r>
  <r>
    <x v="232"/>
    <s v="Facebook Ads"/>
    <s v="Flash Sale"/>
    <s v="Basic Plan"/>
    <n v="20109"/>
    <n v="626"/>
    <n v="54"/>
    <n v="770.17"/>
    <n v="5441.45"/>
    <n v="3.11"/>
    <n v="8.6300000000000008"/>
    <n v="14.26"/>
    <n v="7.07"/>
    <n v="4671.28"/>
  </r>
  <r>
    <x v="232"/>
    <s v="Instagram Ads"/>
    <s v="Seasonal Promotion"/>
    <s v="Basic Plan"/>
    <n v="13639"/>
    <n v="516"/>
    <n v="27"/>
    <n v="792.45"/>
    <n v="3498.32"/>
    <n v="3.78"/>
    <n v="5.23"/>
    <n v="29.35"/>
    <n v="4.41"/>
    <n v="2705.87"/>
  </r>
  <r>
    <x v="232"/>
    <s v="LinkedIn Ads"/>
    <s v="Flash Sale"/>
    <s v="Premium Plan"/>
    <n v="7070"/>
    <n v="181"/>
    <n v="20"/>
    <n v="1849.81"/>
    <n v="6354.55"/>
    <n v="2.56"/>
    <n v="11.05"/>
    <n v="92.49"/>
    <n v="3.44"/>
    <n v="4504.74"/>
  </r>
  <r>
    <x v="232"/>
    <s v="Email Marketing"/>
    <s v="Product Launch"/>
    <s v="Basic Plan"/>
    <n v="29230"/>
    <n v="7221"/>
    <n v="795"/>
    <n v="341.27"/>
    <n v="83462.11"/>
    <n v="24.7"/>
    <n v="11.01"/>
    <n v="0.43"/>
    <n v="244.56"/>
    <n v="83120.84"/>
  </r>
  <r>
    <x v="232"/>
    <s v="Organic Search"/>
    <s v="Flash Sale"/>
    <s v="Premium Plan"/>
    <n v="41115"/>
    <n v="1689"/>
    <n v="229"/>
    <n v="0"/>
    <n v="30523.09"/>
    <n v="4.1100000000000003"/>
    <n v="13.56"/>
    <n v="0"/>
    <n v="0"/>
    <n v="30523.09"/>
  </r>
  <r>
    <x v="232"/>
    <s v="Display Ads"/>
    <s v="Lead Generation"/>
    <s v="Premium Plan"/>
    <n v="36403"/>
    <n v="720"/>
    <n v="20"/>
    <n v="1094.47"/>
    <n v="1905.25"/>
    <n v="1.98"/>
    <n v="2.78"/>
    <n v="54.72"/>
    <n v="1.74"/>
    <n v="810.78"/>
  </r>
  <r>
    <x v="232"/>
    <s v="YouTube Ads"/>
    <s v="Product Launch"/>
    <s v="Starter Kit"/>
    <n v="21898"/>
    <n v="398"/>
    <n v="31"/>
    <n v="1010.02"/>
    <n v="3217.31"/>
    <n v="1.82"/>
    <n v="7.79"/>
    <n v="32.58"/>
    <n v="3.19"/>
    <n v="2207.29"/>
  </r>
  <r>
    <x v="232"/>
    <s v="Twitter Ads"/>
    <s v="Product Launch"/>
    <s v="Starter Kit"/>
    <n v="11157"/>
    <n v="385"/>
    <n v="19"/>
    <n v="528.04"/>
    <n v="1575.98"/>
    <n v="3.45"/>
    <n v="4.9400000000000004"/>
    <n v="27.79"/>
    <n v="2.98"/>
    <n v="1047.94"/>
  </r>
  <r>
    <x v="232"/>
    <s v="TikTok Ads"/>
    <s v="Retargeting"/>
    <s v="Add-on Service"/>
    <n v="34302"/>
    <n v="1411"/>
    <n v="44"/>
    <n v="1031.9000000000001"/>
    <n v="3803.62"/>
    <n v="4.1100000000000003"/>
    <n v="3.12"/>
    <n v="23.45"/>
    <n v="3.69"/>
    <n v="2771.72"/>
  </r>
  <r>
    <x v="232"/>
    <s v="Affiliate Marketing"/>
    <s v="Lead Generation"/>
    <s v="Add-on Service"/>
    <n v="6616"/>
    <n v="344"/>
    <n v="43"/>
    <n v="678.45"/>
    <n v="5303.04"/>
    <n v="5.2"/>
    <n v="12.5"/>
    <n v="15.78"/>
    <n v="7.82"/>
    <n v="4624.59"/>
  </r>
  <r>
    <x v="232"/>
    <s v="Referral"/>
    <s v="Brand Awareness"/>
    <s v="Premium Plan"/>
    <n v="6522"/>
    <n v="562"/>
    <n v="87"/>
    <n v="132.97"/>
    <n v="12134.24"/>
    <n v="8.6199999999999992"/>
    <n v="15.48"/>
    <n v="1.53"/>
    <n v="91.26"/>
    <n v="12001.27"/>
  </r>
  <r>
    <x v="233"/>
    <s v="Google Ads"/>
    <s v="Brand Awareness"/>
    <s v="Add-on Service"/>
    <n v="13206"/>
    <n v="646"/>
    <n v="60"/>
    <n v="1495.11"/>
    <n v="10105.49"/>
    <n v="4.8899999999999997"/>
    <n v="9.2899999999999991"/>
    <n v="24.92"/>
    <n v="6.76"/>
    <n v="8610.3799999999992"/>
  </r>
  <r>
    <x v="233"/>
    <s v="Facebook Ads"/>
    <s v="Product Launch"/>
    <s v="Add-on Service"/>
    <n v="21615"/>
    <n v="718"/>
    <n v="57"/>
    <n v="1014.37"/>
    <n v="5722.51"/>
    <n v="3.32"/>
    <n v="7.94"/>
    <n v="17.8"/>
    <n v="5.64"/>
    <n v="4708.1400000000003"/>
  </r>
  <r>
    <x v="233"/>
    <s v="Instagram Ads"/>
    <s v="Seasonal Promotion"/>
    <s v="Enterprise Plan"/>
    <n v="19196"/>
    <n v="524"/>
    <n v="21"/>
    <n v="632.41"/>
    <n v="1862.32"/>
    <n v="2.73"/>
    <n v="4.01"/>
    <n v="30.11"/>
    <n v="2.94"/>
    <n v="1229.9100000000001"/>
  </r>
  <r>
    <x v="233"/>
    <s v="LinkedIn Ads"/>
    <s v="Product Launch"/>
    <s v="Enterprise Plan"/>
    <n v="5248"/>
    <n v="86"/>
    <n v="9"/>
    <n v="1830.22"/>
    <n v="2581.58"/>
    <n v="1.64"/>
    <n v="10.47"/>
    <n v="203.36"/>
    <n v="1.41"/>
    <n v="751.36"/>
  </r>
  <r>
    <x v="233"/>
    <s v="Email Marketing"/>
    <s v="Lead Generation"/>
    <s v="Add-on Service"/>
    <n v="19399"/>
    <n v="4364"/>
    <n v="486"/>
    <n v="167.79"/>
    <n v="60815.06"/>
    <n v="22.5"/>
    <n v="11.14"/>
    <n v="0.35"/>
    <n v="362.45"/>
    <n v="60647.27"/>
  </r>
  <r>
    <x v="233"/>
    <s v="Organic Search"/>
    <s v="Lead Generation"/>
    <s v="Starter Kit"/>
    <n v="31651"/>
    <n v="2128"/>
    <n v="228"/>
    <n v="0"/>
    <n v="29927.3"/>
    <n v="6.72"/>
    <n v="10.71"/>
    <n v="0"/>
    <n v="0"/>
    <n v="29927.3"/>
  </r>
  <r>
    <x v="233"/>
    <s v="Display Ads"/>
    <s v="Retargeting"/>
    <s v="Add-on Service"/>
    <n v="46228"/>
    <n v="870"/>
    <n v="24"/>
    <n v="1199.4000000000001"/>
    <n v="3008.58"/>
    <n v="1.88"/>
    <n v="2.76"/>
    <n v="49.98"/>
    <n v="2.5099999999999998"/>
    <n v="1809.18"/>
  </r>
  <r>
    <x v="233"/>
    <s v="YouTube Ads"/>
    <s v="Brand Awareness"/>
    <s v="Enterprise Plan"/>
    <n v="25102"/>
    <n v="682"/>
    <n v="51"/>
    <n v="1481.84"/>
    <n v="7029.44"/>
    <n v="2.72"/>
    <n v="7.48"/>
    <n v="29.06"/>
    <n v="4.74"/>
    <n v="5547.6"/>
  </r>
  <r>
    <x v="233"/>
    <s v="Twitter Ads"/>
    <s v="Lead Generation"/>
    <s v="Starter Kit"/>
    <n v="11032"/>
    <n v="225"/>
    <n v="9"/>
    <n v="603.86"/>
    <n v="815.45"/>
    <n v="2.04"/>
    <n v="4"/>
    <n v="67.099999999999994"/>
    <n v="1.35"/>
    <n v="211.59"/>
  </r>
  <r>
    <x v="233"/>
    <s v="TikTok Ads"/>
    <s v="Seasonal Promotion"/>
    <s v="Premium Plan"/>
    <n v="22166"/>
    <n v="900"/>
    <n v="38"/>
    <n v="1112.96"/>
    <n v="3746.45"/>
    <n v="4.0599999999999996"/>
    <n v="4.22"/>
    <n v="29.29"/>
    <n v="3.37"/>
    <n v="2633.49"/>
  </r>
  <r>
    <x v="233"/>
    <s v="Affiliate Marketing"/>
    <s v="Seasonal Promotion"/>
    <s v="Premium Plan"/>
    <n v="8017"/>
    <n v="554"/>
    <n v="69"/>
    <n v="505.27"/>
    <n v="9993.5499999999993"/>
    <n v="6.91"/>
    <n v="12.45"/>
    <n v="7.32"/>
    <n v="19.78"/>
    <n v="9488.2800000000007"/>
  </r>
  <r>
    <x v="233"/>
    <s v="Referral"/>
    <s v="Seasonal Promotion"/>
    <s v="Enterprise Plan"/>
    <n v="4693"/>
    <n v="240"/>
    <n v="37"/>
    <n v="139.02000000000001"/>
    <n v="4645.8599999999997"/>
    <n v="5.1100000000000003"/>
    <n v="15.42"/>
    <n v="3.76"/>
    <n v="33.42"/>
    <n v="4506.84"/>
  </r>
  <r>
    <x v="234"/>
    <s v="Google Ads"/>
    <s v="Product Launch"/>
    <s v="Premium Plan"/>
    <n v="16428"/>
    <n v="734"/>
    <n v="72"/>
    <n v="1361.57"/>
    <n v="9831.25"/>
    <n v="4.47"/>
    <n v="9.81"/>
    <n v="18.91"/>
    <n v="7.22"/>
    <n v="8469.68"/>
  </r>
  <r>
    <x v="234"/>
    <s v="Facebook Ads"/>
    <s v="Seasonal Promotion"/>
    <s v="Enterprise Plan"/>
    <n v="23514"/>
    <n v="926"/>
    <n v="69"/>
    <n v="1169.24"/>
    <n v="8236.14"/>
    <n v="3.94"/>
    <n v="7.45"/>
    <n v="16.95"/>
    <n v="7.04"/>
    <n v="7066.9"/>
  </r>
  <r>
    <x v="234"/>
    <s v="Instagram Ads"/>
    <s v="Seasonal Promotion"/>
    <s v="Add-on Service"/>
    <n v="17294"/>
    <n v="686"/>
    <n v="32"/>
    <n v="611.38"/>
    <n v="3820.7"/>
    <n v="3.97"/>
    <n v="4.66"/>
    <n v="19.11"/>
    <n v="6.25"/>
    <n v="3209.32"/>
  </r>
  <r>
    <x v="234"/>
    <s v="LinkedIn Ads"/>
    <s v="Product Launch"/>
    <s v="Starter Kit"/>
    <n v="4678"/>
    <n v="117"/>
    <n v="15"/>
    <n v="2052.83"/>
    <n v="4994.88"/>
    <n v="2.5"/>
    <n v="12.82"/>
    <n v="136.86000000000001"/>
    <n v="2.4300000000000002"/>
    <n v="2942.05"/>
  </r>
  <r>
    <x v="234"/>
    <s v="Email Marketing"/>
    <s v="Retargeting"/>
    <s v="Add-on Service"/>
    <n v="23457"/>
    <n v="5125"/>
    <n v="506"/>
    <n v="293.86"/>
    <n v="64582.49"/>
    <n v="21.85"/>
    <n v="9.8699999999999992"/>
    <n v="0.57999999999999996"/>
    <n v="219.77"/>
    <n v="64288.63"/>
  </r>
  <r>
    <x v="234"/>
    <s v="Organic Search"/>
    <s v="Retargeting"/>
    <s v="Basic Plan"/>
    <n v="26992"/>
    <n v="1340"/>
    <n v="207"/>
    <n v="0"/>
    <n v="30913.33"/>
    <n v="4.96"/>
    <n v="15.45"/>
    <n v="0"/>
    <n v="0"/>
    <n v="30913.33"/>
  </r>
  <r>
    <x v="234"/>
    <s v="Display Ads"/>
    <s v="Product Launch"/>
    <s v="Starter Kit"/>
    <n v="30324"/>
    <n v="494"/>
    <n v="10"/>
    <n v="1037.4100000000001"/>
    <n v="1049.3800000000001"/>
    <n v="1.63"/>
    <n v="2.02"/>
    <n v="103.74"/>
    <n v="1.01"/>
    <n v="11.97"/>
  </r>
  <r>
    <x v="234"/>
    <s v="YouTube Ads"/>
    <s v="Flash Sale"/>
    <s v="Starter Kit"/>
    <n v="29962"/>
    <n v="805"/>
    <n v="33"/>
    <n v="1387.92"/>
    <n v="3489.55"/>
    <n v="2.69"/>
    <n v="4.0999999999999996"/>
    <n v="42.06"/>
    <n v="2.5099999999999998"/>
    <n v="2101.63"/>
  </r>
  <r>
    <x v="234"/>
    <s v="Twitter Ads"/>
    <s v="Seasonal Promotion"/>
    <s v="Premium Plan"/>
    <n v="14444"/>
    <n v="379"/>
    <n v="10"/>
    <n v="584.13"/>
    <n v="685.76"/>
    <n v="2.62"/>
    <n v="2.64"/>
    <n v="58.41"/>
    <n v="1.17"/>
    <n v="101.63"/>
  </r>
  <r>
    <x v="234"/>
    <s v="TikTok Ads"/>
    <s v="Retargeting"/>
    <s v="Premium Plan"/>
    <n v="35926"/>
    <n v="1124"/>
    <n v="64"/>
    <n v="898.49"/>
    <n v="6544.99"/>
    <n v="3.13"/>
    <n v="5.69"/>
    <n v="14.04"/>
    <n v="7.28"/>
    <n v="5646.5"/>
  </r>
  <r>
    <x v="234"/>
    <s v="Affiliate Marketing"/>
    <s v="Product Launch"/>
    <s v="Premium Plan"/>
    <n v="8506"/>
    <n v="478"/>
    <n v="57"/>
    <n v="521.72"/>
    <n v="6046.01"/>
    <n v="5.62"/>
    <n v="11.92"/>
    <n v="9.15"/>
    <n v="11.59"/>
    <n v="5524.29"/>
  </r>
  <r>
    <x v="234"/>
    <s v="Referral"/>
    <s v="Retargeting"/>
    <s v="Basic Plan"/>
    <n v="3806"/>
    <n v="247"/>
    <n v="40"/>
    <n v="157.44999999999999"/>
    <n v="6071.03"/>
    <n v="6.49"/>
    <n v="16.190000000000001"/>
    <n v="3.94"/>
    <n v="38.56"/>
    <n v="5913.58"/>
  </r>
  <r>
    <x v="235"/>
    <s v="Google Ads"/>
    <s v="Flash Sale"/>
    <s v="Basic Plan"/>
    <n v="16095"/>
    <n v="687"/>
    <n v="66"/>
    <n v="1574.04"/>
    <n v="7808.96"/>
    <n v="4.2699999999999996"/>
    <n v="9.61"/>
    <n v="23.85"/>
    <n v="4.96"/>
    <n v="6234.92"/>
  </r>
  <r>
    <x v="235"/>
    <s v="Facebook Ads"/>
    <s v="Product Launch"/>
    <s v="Starter Kit"/>
    <n v="15429"/>
    <n v="400"/>
    <n v="20"/>
    <n v="792.77"/>
    <n v="2470.88"/>
    <n v="2.59"/>
    <n v="5"/>
    <n v="39.64"/>
    <n v="3.12"/>
    <n v="1678.11"/>
  </r>
  <r>
    <x v="235"/>
    <s v="Instagram Ads"/>
    <s v="Product Launch"/>
    <s v="Add-on Service"/>
    <n v="18313"/>
    <n v="675"/>
    <n v="36"/>
    <n v="994.47"/>
    <n v="4105.83"/>
    <n v="3.69"/>
    <n v="5.33"/>
    <n v="27.62"/>
    <n v="4.13"/>
    <n v="3111.36"/>
  </r>
  <r>
    <x v="235"/>
    <s v="LinkedIn Ads"/>
    <s v="Seasonal Promotion"/>
    <s v="Premium Plan"/>
    <n v="5596"/>
    <n v="92"/>
    <n v="12"/>
    <n v="1897.93"/>
    <n v="2821.74"/>
    <n v="1.64"/>
    <n v="13.04"/>
    <n v="158.16"/>
    <n v="1.49"/>
    <n v="923.81"/>
  </r>
  <r>
    <x v="235"/>
    <s v="Email Marketing"/>
    <s v="Flash Sale"/>
    <s v="Enterprise Plan"/>
    <n v="22107"/>
    <n v="4870"/>
    <n v="502"/>
    <n v="285.66000000000003"/>
    <n v="64494.37"/>
    <n v="22.03"/>
    <n v="10.31"/>
    <n v="0.56999999999999995"/>
    <n v="225.77"/>
    <n v="64208.71"/>
  </r>
  <r>
    <x v="235"/>
    <s v="Organic Search"/>
    <s v="Lead Generation"/>
    <s v="Enterprise Plan"/>
    <n v="34219"/>
    <n v="2445"/>
    <n v="268"/>
    <n v="0"/>
    <n v="35037.199999999997"/>
    <n v="7.15"/>
    <n v="10.96"/>
    <n v="0"/>
    <n v="0"/>
    <n v="35037.199999999997"/>
  </r>
  <r>
    <x v="235"/>
    <s v="Display Ads"/>
    <s v="Brand Awareness"/>
    <s v="Starter Kit"/>
    <n v="46236"/>
    <n v="464"/>
    <n v="16"/>
    <n v="955.29"/>
    <n v="1942.33"/>
    <n v="1"/>
    <n v="3.45"/>
    <n v="59.71"/>
    <n v="2.0299999999999998"/>
    <n v="987.04"/>
  </r>
  <r>
    <x v="235"/>
    <s v="YouTube Ads"/>
    <s v="Flash Sale"/>
    <s v="Enterprise Plan"/>
    <n v="18339"/>
    <n v="362"/>
    <n v="16"/>
    <n v="1505.6"/>
    <n v="2335.9"/>
    <n v="1.97"/>
    <n v="4.42"/>
    <n v="94.1"/>
    <n v="1.55"/>
    <n v="830.3"/>
  </r>
  <r>
    <x v="235"/>
    <s v="Twitter Ads"/>
    <s v="Brand Awareness"/>
    <s v="Add-on Service"/>
    <n v="12814"/>
    <n v="410"/>
    <n v="12"/>
    <n v="731.58"/>
    <n v="1007.29"/>
    <n v="3.2"/>
    <n v="2.93"/>
    <n v="60.96"/>
    <n v="1.38"/>
    <n v="275.70999999999998"/>
  </r>
  <r>
    <x v="235"/>
    <s v="TikTok Ads"/>
    <s v="Lead Generation"/>
    <s v="Starter Kit"/>
    <n v="31066"/>
    <n v="1054"/>
    <n v="69"/>
    <n v="807.04"/>
    <n v="5653.87"/>
    <n v="3.39"/>
    <n v="6.55"/>
    <n v="11.7"/>
    <n v="7.01"/>
    <n v="4846.83"/>
  </r>
  <r>
    <x v="235"/>
    <s v="Affiliate Marketing"/>
    <s v="Product Launch"/>
    <s v="Enterprise Plan"/>
    <n v="6228"/>
    <n v="283"/>
    <n v="22"/>
    <n v="711.78"/>
    <n v="2739.62"/>
    <n v="4.54"/>
    <n v="7.77"/>
    <n v="32.35"/>
    <n v="3.85"/>
    <n v="2027.84"/>
  </r>
  <r>
    <x v="235"/>
    <s v="Referral"/>
    <s v="Lead Generation"/>
    <s v="Add-on Service"/>
    <n v="5998"/>
    <n v="415"/>
    <n v="52"/>
    <n v="120.08"/>
    <n v="6974.77"/>
    <n v="6.92"/>
    <n v="12.53"/>
    <n v="2.31"/>
    <n v="58.08"/>
    <n v="6854.69"/>
  </r>
  <r>
    <x v="236"/>
    <s v="Google Ads"/>
    <s v="Product Launch"/>
    <s v="Basic Plan"/>
    <n v="9697"/>
    <n v="327"/>
    <n v="26"/>
    <n v="1189.82"/>
    <n v="3632.69"/>
    <n v="3.37"/>
    <n v="7.95"/>
    <n v="45.76"/>
    <n v="3.05"/>
    <n v="2442.87"/>
  </r>
  <r>
    <x v="236"/>
    <s v="Facebook Ads"/>
    <s v="Flash Sale"/>
    <s v="Basic Plan"/>
    <n v="12486"/>
    <n v="430"/>
    <n v="34"/>
    <n v="767.44"/>
    <n v="3971.81"/>
    <n v="3.44"/>
    <n v="7.91"/>
    <n v="22.57"/>
    <n v="5.18"/>
    <n v="3204.37"/>
  </r>
  <r>
    <x v="236"/>
    <s v="Instagram Ads"/>
    <s v="Retargeting"/>
    <s v="Basic Plan"/>
    <n v="13554"/>
    <n v="599"/>
    <n v="32"/>
    <n v="733.82"/>
    <n v="3265.5"/>
    <n v="4.42"/>
    <n v="5.34"/>
    <n v="22.93"/>
    <n v="4.45"/>
    <n v="2531.6799999999998"/>
  </r>
  <r>
    <x v="236"/>
    <s v="LinkedIn Ads"/>
    <s v="Lead Generation"/>
    <s v="Basic Plan"/>
    <n v="3772"/>
    <n v="83"/>
    <n v="8"/>
    <n v="1276.72"/>
    <n v="2568.81"/>
    <n v="2.2000000000000002"/>
    <n v="9.64"/>
    <n v="159.59"/>
    <n v="2.0099999999999998"/>
    <n v="1292.0899999999999"/>
  </r>
  <r>
    <x v="236"/>
    <s v="Email Marketing"/>
    <s v="Product Launch"/>
    <s v="Basic Plan"/>
    <n v="16833"/>
    <n v="3020"/>
    <n v="419"/>
    <n v="187.16"/>
    <n v="59341.5"/>
    <n v="17.940000000000001"/>
    <n v="13.87"/>
    <n v="0.45"/>
    <n v="317.06"/>
    <n v="59154.34"/>
  </r>
  <r>
    <x v="236"/>
    <s v="Organic Search"/>
    <s v="Lead Generation"/>
    <s v="Basic Plan"/>
    <n v="17328"/>
    <n v="965"/>
    <n v="108"/>
    <n v="0"/>
    <n v="13878.86"/>
    <n v="5.57"/>
    <n v="11.19"/>
    <n v="0"/>
    <n v="0"/>
    <n v="13878.86"/>
  </r>
  <r>
    <x v="236"/>
    <s v="Display Ads"/>
    <s v="Lead Generation"/>
    <s v="Add-on Service"/>
    <n v="32078"/>
    <n v="359"/>
    <n v="16"/>
    <n v="947.54"/>
    <n v="2147.34"/>
    <n v="1.1200000000000001"/>
    <n v="4.46"/>
    <n v="59.22"/>
    <n v="2.27"/>
    <n v="1199.8"/>
  </r>
  <r>
    <x v="236"/>
    <s v="YouTube Ads"/>
    <s v="Product Launch"/>
    <s v="Basic Plan"/>
    <n v="19026"/>
    <n v="322"/>
    <n v="23"/>
    <n v="849.2"/>
    <n v="2478.96"/>
    <n v="1.69"/>
    <n v="7.14"/>
    <n v="36.92"/>
    <n v="2.92"/>
    <n v="1629.76"/>
  </r>
  <r>
    <x v="236"/>
    <s v="Twitter Ads"/>
    <s v="Brand Awareness"/>
    <s v="Premium Plan"/>
    <n v="11061"/>
    <n v="344"/>
    <n v="18"/>
    <n v="513.30999999999995"/>
    <n v="1536.52"/>
    <n v="3.11"/>
    <n v="5.23"/>
    <n v="28.52"/>
    <n v="2.99"/>
    <n v="1023.21"/>
  </r>
  <r>
    <x v="236"/>
    <s v="TikTok Ads"/>
    <s v="Brand Awareness"/>
    <s v="Starter Kit"/>
    <n v="23427"/>
    <n v="928"/>
    <n v="38"/>
    <n v="652.01"/>
    <n v="4004.82"/>
    <n v="3.96"/>
    <n v="4.09"/>
    <n v="17.16"/>
    <n v="6.14"/>
    <n v="3352.81"/>
  </r>
  <r>
    <x v="236"/>
    <s v="Affiliate Marketing"/>
    <s v="Seasonal Promotion"/>
    <s v="Premium Plan"/>
    <n v="7803"/>
    <n v="403"/>
    <n v="44"/>
    <n v="287.99"/>
    <n v="5812.86"/>
    <n v="5.16"/>
    <n v="10.92"/>
    <n v="6.55"/>
    <n v="20.18"/>
    <n v="5524.87"/>
  </r>
  <r>
    <x v="236"/>
    <s v="Referral"/>
    <s v="Seasonal Promotion"/>
    <s v="Premium Plan"/>
    <n v="5539"/>
    <n v="482"/>
    <n v="86"/>
    <n v="63.12"/>
    <n v="14649.84"/>
    <n v="8.6999999999999993"/>
    <n v="17.84"/>
    <n v="0.73"/>
    <n v="232.1"/>
    <n v="14586.72"/>
  </r>
  <r>
    <x v="237"/>
    <s v="Google Ads"/>
    <s v="Retargeting"/>
    <s v="Enterprise Plan"/>
    <n v="9863"/>
    <n v="439"/>
    <n v="40"/>
    <n v="760.1"/>
    <n v="7048.74"/>
    <n v="4.45"/>
    <n v="9.11"/>
    <n v="19"/>
    <n v="9.27"/>
    <n v="6288.64"/>
  </r>
  <r>
    <x v="237"/>
    <s v="Facebook Ads"/>
    <s v="Seasonal Promotion"/>
    <s v="Enterprise Plan"/>
    <n v="16102"/>
    <n v="519"/>
    <n v="33"/>
    <n v="752.09"/>
    <n v="4218.46"/>
    <n v="3.22"/>
    <n v="6.36"/>
    <n v="22.79"/>
    <n v="5.61"/>
    <n v="3466.37"/>
  </r>
  <r>
    <x v="237"/>
    <s v="Instagram Ads"/>
    <s v="Retargeting"/>
    <s v="Add-on Service"/>
    <n v="12439"/>
    <n v="542"/>
    <n v="29"/>
    <n v="606.53"/>
    <n v="2269.59"/>
    <n v="4.3600000000000003"/>
    <n v="5.35"/>
    <n v="20.91"/>
    <n v="3.74"/>
    <n v="1663.06"/>
  </r>
  <r>
    <x v="237"/>
    <s v="LinkedIn Ads"/>
    <s v="Product Launch"/>
    <s v="Starter Kit"/>
    <n v="4254"/>
    <n v="70"/>
    <n v="7"/>
    <n v="950.7"/>
    <n v="2262.36"/>
    <n v="1.65"/>
    <n v="10"/>
    <n v="135.81"/>
    <n v="2.38"/>
    <n v="1311.66"/>
  </r>
  <r>
    <x v="237"/>
    <s v="Email Marketing"/>
    <s v="Lead Generation"/>
    <s v="Add-on Service"/>
    <n v="19261"/>
    <n v="4452"/>
    <n v="540"/>
    <n v="97.9"/>
    <n v="57842.559999999998"/>
    <n v="23.11"/>
    <n v="12.13"/>
    <n v="0.18"/>
    <n v="590.83000000000004"/>
    <n v="57744.66"/>
  </r>
  <r>
    <x v="237"/>
    <s v="Organic Search"/>
    <s v="Product Launch"/>
    <s v="Starter Kit"/>
    <n v="22218"/>
    <n v="1060"/>
    <n v="164"/>
    <n v="0"/>
    <n v="24938.65"/>
    <n v="4.7699999999999996"/>
    <n v="15.47"/>
    <n v="0"/>
    <n v="0"/>
    <n v="24938.65"/>
  </r>
  <r>
    <x v="237"/>
    <s v="Display Ads"/>
    <s v="Lead Generation"/>
    <s v="Add-on Service"/>
    <n v="32574"/>
    <n v="456"/>
    <n v="9"/>
    <n v="944.12"/>
    <n v="921.92"/>
    <n v="1.4"/>
    <n v="1.97"/>
    <n v="104.9"/>
    <n v="0.98"/>
    <n v="-22.2"/>
  </r>
  <r>
    <x v="237"/>
    <s v="YouTube Ads"/>
    <s v="Lead Generation"/>
    <s v="Premium Plan"/>
    <n v="18579"/>
    <n v="413"/>
    <n v="21"/>
    <n v="1133.99"/>
    <n v="2209.63"/>
    <n v="2.2200000000000002"/>
    <n v="5.08"/>
    <n v="54"/>
    <n v="1.95"/>
    <n v="1075.6400000000001"/>
  </r>
  <r>
    <x v="237"/>
    <s v="Twitter Ads"/>
    <s v="Seasonal Promotion"/>
    <s v="Starter Kit"/>
    <n v="11051"/>
    <n v="356"/>
    <n v="17"/>
    <n v="501.92"/>
    <n v="1525.59"/>
    <n v="3.22"/>
    <n v="4.78"/>
    <n v="29.52"/>
    <n v="3.04"/>
    <n v="1023.67"/>
  </r>
  <r>
    <x v="237"/>
    <s v="TikTok Ads"/>
    <s v="Retargeting"/>
    <s v="Add-on Service"/>
    <n v="19987"/>
    <n v="820"/>
    <n v="37"/>
    <n v="740.95"/>
    <n v="3171.58"/>
    <n v="4.0999999999999996"/>
    <n v="4.51"/>
    <n v="20.03"/>
    <n v="4.28"/>
    <n v="2430.63"/>
  </r>
  <r>
    <x v="237"/>
    <s v="Affiliate Marketing"/>
    <s v="Brand Awareness"/>
    <s v="Add-on Service"/>
    <n v="4740"/>
    <n v="304"/>
    <n v="28"/>
    <n v="543.39"/>
    <n v="4409.3"/>
    <n v="6.41"/>
    <n v="9.2100000000000009"/>
    <n v="19.41"/>
    <n v="8.11"/>
    <n v="3865.91"/>
  </r>
  <r>
    <x v="237"/>
    <s v="Referral"/>
    <s v="Product Launch"/>
    <s v="Starter Kit"/>
    <n v="5070"/>
    <n v="461"/>
    <n v="71"/>
    <n v="49.01"/>
    <n v="9506.3799999999992"/>
    <n v="9.09"/>
    <n v="15.4"/>
    <n v="0.69"/>
    <n v="193.97"/>
    <n v="9457.3700000000008"/>
  </r>
  <r>
    <x v="238"/>
    <s v="Google Ads"/>
    <s v="Flash Sale"/>
    <s v="Basic Plan"/>
    <n v="9696"/>
    <n v="390"/>
    <n v="33"/>
    <n v="1615.58"/>
    <n v="4979.33"/>
    <n v="4.0199999999999996"/>
    <n v="8.4600000000000009"/>
    <n v="48.96"/>
    <n v="3.08"/>
    <n v="3363.75"/>
  </r>
  <r>
    <x v="238"/>
    <s v="Facebook Ads"/>
    <s v="Retargeting"/>
    <s v="Premium Plan"/>
    <n v="18128"/>
    <n v="433"/>
    <n v="22"/>
    <n v="733.73"/>
    <n v="2958.78"/>
    <n v="2.39"/>
    <n v="5.08"/>
    <n v="33.35"/>
    <n v="4.03"/>
    <n v="2225.0500000000002"/>
  </r>
  <r>
    <x v="238"/>
    <s v="Instagram Ads"/>
    <s v="Flash Sale"/>
    <s v="Add-on Service"/>
    <n v="18718"/>
    <n v="818"/>
    <n v="50"/>
    <n v="1052.8900000000001"/>
    <n v="4178.6099999999997"/>
    <n v="4.37"/>
    <n v="6.11"/>
    <n v="21.06"/>
    <n v="3.97"/>
    <n v="3125.72"/>
  </r>
  <r>
    <x v="238"/>
    <s v="LinkedIn Ads"/>
    <s v="Retargeting"/>
    <s v="Enterprise Plan"/>
    <n v="7027"/>
    <n v="194"/>
    <n v="25"/>
    <n v="1762.63"/>
    <n v="7593.81"/>
    <n v="2.76"/>
    <n v="12.89"/>
    <n v="70.510000000000005"/>
    <n v="4.3099999999999996"/>
    <n v="5831.18"/>
  </r>
  <r>
    <x v="238"/>
    <s v="Email Marketing"/>
    <s v="Flash Sale"/>
    <s v="Premium Plan"/>
    <n v="18291"/>
    <n v="4154"/>
    <n v="466"/>
    <n v="356.68"/>
    <n v="55285.25"/>
    <n v="22.71"/>
    <n v="11.22"/>
    <n v="0.77"/>
    <n v="155"/>
    <n v="54928.57"/>
  </r>
  <r>
    <x v="238"/>
    <s v="Organic Search"/>
    <s v="Brand Awareness"/>
    <s v="Basic Plan"/>
    <n v="41020"/>
    <n v="2349"/>
    <n v="367"/>
    <n v="0"/>
    <n v="44747.06"/>
    <n v="5.73"/>
    <n v="15.62"/>
    <n v="0"/>
    <n v="0"/>
    <n v="44747.06"/>
  </r>
  <r>
    <x v="238"/>
    <s v="Display Ads"/>
    <s v="Retargeting"/>
    <s v="Add-on Service"/>
    <n v="47334"/>
    <n v="804"/>
    <n v="34"/>
    <n v="1534.7"/>
    <n v="3210.34"/>
    <n v="1.7"/>
    <n v="4.2300000000000004"/>
    <n v="45.14"/>
    <n v="2.09"/>
    <n v="1675.64"/>
  </r>
  <r>
    <x v="238"/>
    <s v="YouTube Ads"/>
    <s v="Brand Awareness"/>
    <s v="Enterprise Plan"/>
    <n v="24354"/>
    <n v="692"/>
    <n v="33"/>
    <n v="991.65"/>
    <n v="4687.45"/>
    <n v="2.84"/>
    <n v="4.7699999999999996"/>
    <n v="30.05"/>
    <n v="4.7300000000000004"/>
    <n v="3695.8"/>
  </r>
  <r>
    <x v="238"/>
    <s v="Twitter Ads"/>
    <s v="Product Launch"/>
    <s v="Add-on Service"/>
    <n v="13867"/>
    <n v="284"/>
    <n v="10"/>
    <n v="490.03"/>
    <n v="889.27"/>
    <n v="2.0499999999999998"/>
    <n v="3.52"/>
    <n v="49"/>
    <n v="1.81"/>
    <n v="399.24"/>
  </r>
  <r>
    <x v="238"/>
    <s v="TikTok Ads"/>
    <s v="Product Launch"/>
    <s v="Basic Plan"/>
    <n v="35430"/>
    <n v="1537"/>
    <n v="49"/>
    <n v="1172.8399999999999"/>
    <n v="4743.84"/>
    <n v="4.34"/>
    <n v="3.19"/>
    <n v="23.94"/>
    <n v="4.04"/>
    <n v="3571"/>
  </r>
  <r>
    <x v="238"/>
    <s v="Affiliate Marketing"/>
    <s v="Seasonal Promotion"/>
    <s v="Enterprise Plan"/>
    <n v="11082"/>
    <n v="511"/>
    <n v="63"/>
    <n v="489.32"/>
    <n v="8379.9"/>
    <n v="4.6100000000000003"/>
    <n v="12.33"/>
    <n v="7.77"/>
    <n v="17.13"/>
    <n v="7890.58"/>
  </r>
  <r>
    <x v="238"/>
    <s v="Referral"/>
    <s v="Lead Generation"/>
    <s v="Enterprise Plan"/>
    <n v="4993"/>
    <n v="271"/>
    <n v="37"/>
    <n v="209.62"/>
    <n v="6686.57"/>
    <n v="5.43"/>
    <n v="13.65"/>
    <n v="5.67"/>
    <n v="31.9"/>
    <n v="6476.95"/>
  </r>
  <r>
    <x v="239"/>
    <s v="Google Ads"/>
    <s v="Retargeting"/>
    <s v="Add-on Service"/>
    <n v="14719"/>
    <n v="500"/>
    <n v="55"/>
    <n v="1360.2"/>
    <n v="7023.28"/>
    <n v="3.4"/>
    <n v="11"/>
    <n v="24.73"/>
    <n v="5.16"/>
    <n v="5663.08"/>
  </r>
  <r>
    <x v="239"/>
    <s v="Facebook Ads"/>
    <s v="Product Launch"/>
    <s v="Enterprise Plan"/>
    <n v="15378"/>
    <n v="330"/>
    <n v="19"/>
    <n v="1091.95"/>
    <n v="2143.34"/>
    <n v="2.15"/>
    <n v="5.76"/>
    <n v="57.47"/>
    <n v="1.96"/>
    <n v="1051.3900000000001"/>
  </r>
  <r>
    <x v="239"/>
    <s v="Instagram Ads"/>
    <s v="Lead Generation"/>
    <s v="Starter Kit"/>
    <n v="12606"/>
    <n v="478"/>
    <n v="31"/>
    <n v="1073.8800000000001"/>
    <n v="3026.75"/>
    <n v="3.79"/>
    <n v="6.49"/>
    <n v="34.64"/>
    <n v="2.82"/>
    <n v="1952.87"/>
  </r>
  <r>
    <x v="239"/>
    <s v="LinkedIn Ads"/>
    <s v="Retargeting"/>
    <s v="Basic Plan"/>
    <n v="6080"/>
    <n v="102"/>
    <n v="10"/>
    <n v="1623.09"/>
    <n v="3239.44"/>
    <n v="1.68"/>
    <n v="9.8000000000000007"/>
    <n v="162.31"/>
    <n v="2"/>
    <n v="1616.35"/>
  </r>
  <r>
    <x v="239"/>
    <s v="Email Marketing"/>
    <s v="Retargeting"/>
    <s v="Enterprise Plan"/>
    <n v="25141"/>
    <n v="4183"/>
    <n v="442"/>
    <n v="183.31"/>
    <n v="47896.78"/>
    <n v="16.64"/>
    <n v="10.57"/>
    <n v="0.41"/>
    <n v="261.29000000000002"/>
    <n v="47713.47"/>
  </r>
  <r>
    <x v="239"/>
    <s v="Organic Search"/>
    <s v="Product Launch"/>
    <s v="Starter Kit"/>
    <n v="41587"/>
    <n v="1980"/>
    <n v="205"/>
    <n v="0"/>
    <n v="27671.05"/>
    <n v="4.76"/>
    <n v="10.35"/>
    <n v="0"/>
    <n v="0"/>
    <n v="27671.05"/>
  </r>
  <r>
    <x v="239"/>
    <s v="Display Ads"/>
    <s v="Product Launch"/>
    <s v="Starter Kit"/>
    <n v="36091"/>
    <n v="488"/>
    <n v="9"/>
    <n v="1198.06"/>
    <n v="1142.47"/>
    <n v="1.35"/>
    <n v="1.84"/>
    <n v="133.12"/>
    <n v="0.95"/>
    <n v="-55.59"/>
  </r>
  <r>
    <x v="239"/>
    <s v="YouTube Ads"/>
    <s v="Lead Generation"/>
    <s v="Add-on Service"/>
    <n v="26719"/>
    <n v="640"/>
    <n v="27"/>
    <n v="1653.85"/>
    <n v="3644.66"/>
    <n v="2.4"/>
    <n v="4.22"/>
    <n v="61.25"/>
    <n v="2.2000000000000002"/>
    <n v="1990.81"/>
  </r>
  <r>
    <x v="239"/>
    <s v="Twitter Ads"/>
    <s v="Lead Generation"/>
    <s v="Add-on Service"/>
    <n v="16785"/>
    <n v="410"/>
    <n v="13"/>
    <n v="845.05"/>
    <n v="1514.79"/>
    <n v="2.44"/>
    <n v="3.17"/>
    <n v="65"/>
    <n v="1.79"/>
    <n v="669.74"/>
  </r>
  <r>
    <x v="239"/>
    <s v="TikTok Ads"/>
    <s v="Flash Sale"/>
    <s v="Basic Plan"/>
    <n v="23875"/>
    <n v="938"/>
    <n v="46"/>
    <n v="1082.21"/>
    <n v="3708.68"/>
    <n v="3.93"/>
    <n v="4.9000000000000004"/>
    <n v="23.53"/>
    <n v="3.43"/>
    <n v="2626.47"/>
  </r>
  <r>
    <x v="239"/>
    <s v="Affiliate Marketing"/>
    <s v="Brand Awareness"/>
    <s v="Enterprise Plan"/>
    <n v="6345"/>
    <n v="284"/>
    <n v="34"/>
    <n v="432.86"/>
    <n v="4475.3900000000003"/>
    <n v="4.4800000000000004"/>
    <n v="11.97"/>
    <n v="12.73"/>
    <n v="10.34"/>
    <n v="4042.53"/>
  </r>
  <r>
    <x v="239"/>
    <s v="Referral"/>
    <s v="Lead Generation"/>
    <s v="Add-on Service"/>
    <n v="7873"/>
    <n v="675"/>
    <n v="112"/>
    <n v="80.66"/>
    <n v="15522"/>
    <n v="8.57"/>
    <n v="16.59"/>
    <n v="0.72"/>
    <n v="192.44"/>
    <n v="15441.34"/>
  </r>
  <r>
    <x v="240"/>
    <s v="Google Ads"/>
    <s v="Retargeting"/>
    <s v="Starter Kit"/>
    <n v="11703"/>
    <n v="540"/>
    <n v="57"/>
    <n v="988.65"/>
    <n v="8276.4699999999993"/>
    <n v="4.6100000000000003"/>
    <n v="10.56"/>
    <n v="17.34"/>
    <n v="8.3699999999999992"/>
    <n v="7287.82"/>
  </r>
  <r>
    <x v="240"/>
    <s v="Facebook Ads"/>
    <s v="Lead Generation"/>
    <s v="Basic Plan"/>
    <n v="16366"/>
    <n v="632"/>
    <n v="46"/>
    <n v="733.45"/>
    <n v="5075.62"/>
    <n v="3.86"/>
    <n v="7.28"/>
    <n v="15.94"/>
    <n v="6.92"/>
    <n v="4342.17"/>
  </r>
  <r>
    <x v="240"/>
    <s v="Instagram Ads"/>
    <s v="Flash Sale"/>
    <s v="Basic Plan"/>
    <n v="17619"/>
    <n v="672"/>
    <n v="43"/>
    <n v="1176.3"/>
    <n v="3940.63"/>
    <n v="3.81"/>
    <n v="6.4"/>
    <n v="27.36"/>
    <n v="3.35"/>
    <n v="2764.33"/>
  </r>
  <r>
    <x v="240"/>
    <s v="LinkedIn Ads"/>
    <s v="Retargeting"/>
    <s v="Premium Plan"/>
    <n v="5019"/>
    <n v="142"/>
    <n v="14"/>
    <n v="2072.23"/>
    <n v="3375.2"/>
    <n v="2.83"/>
    <n v="9.86"/>
    <n v="148.02000000000001"/>
    <n v="1.63"/>
    <n v="1302.97"/>
  </r>
  <r>
    <x v="240"/>
    <s v="Email Marketing"/>
    <s v="Lead Generation"/>
    <s v="Starter Kit"/>
    <n v="25462"/>
    <n v="6069"/>
    <n v="493"/>
    <n v="290.20999999999998"/>
    <n v="64764.69"/>
    <n v="23.84"/>
    <n v="8.1199999999999992"/>
    <n v="0.59"/>
    <n v="223.16"/>
    <n v="64474.48"/>
  </r>
  <r>
    <x v="240"/>
    <s v="Organic Search"/>
    <s v="Retargeting"/>
    <s v="Basic Plan"/>
    <n v="41137"/>
    <n v="2556"/>
    <n v="374"/>
    <n v="0"/>
    <n v="43538.86"/>
    <n v="6.21"/>
    <n v="14.63"/>
    <n v="0"/>
    <n v="0"/>
    <n v="43538.86"/>
  </r>
  <r>
    <x v="240"/>
    <s v="Display Ads"/>
    <s v="Flash Sale"/>
    <s v="Add-on Service"/>
    <n v="38092"/>
    <n v="558"/>
    <n v="10"/>
    <n v="956.18"/>
    <n v="1123.6099999999999"/>
    <n v="1.46"/>
    <n v="1.79"/>
    <n v="95.62"/>
    <n v="1.18"/>
    <n v="167.43"/>
  </r>
  <r>
    <x v="240"/>
    <s v="YouTube Ads"/>
    <s v="Seasonal Promotion"/>
    <s v="Enterprise Plan"/>
    <n v="22795"/>
    <n v="391"/>
    <n v="22"/>
    <n v="1461.49"/>
    <n v="2607.09"/>
    <n v="1.72"/>
    <n v="5.63"/>
    <n v="66.430000000000007"/>
    <n v="1.78"/>
    <n v="1145.5999999999999"/>
  </r>
  <r>
    <x v="240"/>
    <s v="Twitter Ads"/>
    <s v="Retargeting"/>
    <s v="Enterprise Plan"/>
    <n v="13917"/>
    <n v="391"/>
    <n v="13"/>
    <n v="799.8"/>
    <n v="1059.17"/>
    <n v="2.81"/>
    <n v="3.32"/>
    <n v="61.52"/>
    <n v="1.32"/>
    <n v="259.37"/>
  </r>
  <r>
    <x v="240"/>
    <s v="TikTok Ads"/>
    <s v="Product Launch"/>
    <s v="Add-on Service"/>
    <n v="25310"/>
    <n v="756"/>
    <n v="40"/>
    <n v="1107.7"/>
    <n v="3320.08"/>
    <n v="2.99"/>
    <n v="5.29"/>
    <n v="27.69"/>
    <n v="3"/>
    <n v="2212.38"/>
  </r>
  <r>
    <x v="240"/>
    <s v="Affiliate Marketing"/>
    <s v="Seasonal Promotion"/>
    <s v="Premium Plan"/>
    <n v="6656"/>
    <n v="385"/>
    <n v="33"/>
    <n v="393.1"/>
    <n v="4686.28"/>
    <n v="5.78"/>
    <n v="8.57"/>
    <n v="11.91"/>
    <n v="11.92"/>
    <n v="4293.18"/>
  </r>
  <r>
    <x v="240"/>
    <s v="Referral"/>
    <s v="Retargeting"/>
    <s v="Premium Plan"/>
    <n v="7575"/>
    <n v="529"/>
    <n v="73"/>
    <n v="238.95"/>
    <n v="10364.77"/>
    <n v="6.98"/>
    <n v="13.8"/>
    <n v="3.27"/>
    <n v="43.38"/>
    <n v="10125.82"/>
  </r>
  <r>
    <x v="241"/>
    <s v="Google Ads"/>
    <s v="Flash Sale"/>
    <s v="Basic Plan"/>
    <n v="17971"/>
    <n v="740"/>
    <n v="63"/>
    <n v="1266.76"/>
    <n v="8728.91"/>
    <n v="4.12"/>
    <n v="8.51"/>
    <n v="20.11"/>
    <n v="6.89"/>
    <n v="7462.15"/>
  </r>
  <r>
    <x v="241"/>
    <s v="Facebook Ads"/>
    <s v="Brand Awareness"/>
    <s v="Basic Plan"/>
    <n v="23462"/>
    <n v="604"/>
    <n v="39"/>
    <n v="1327.47"/>
    <n v="3939.56"/>
    <n v="2.57"/>
    <n v="6.46"/>
    <n v="34.04"/>
    <n v="2.97"/>
    <n v="2612.09"/>
  </r>
  <r>
    <x v="241"/>
    <s v="Instagram Ads"/>
    <s v="Product Launch"/>
    <s v="Starter Kit"/>
    <n v="15433"/>
    <n v="631"/>
    <n v="30"/>
    <n v="710.74"/>
    <n v="3552.26"/>
    <n v="4.09"/>
    <n v="4.75"/>
    <n v="23.69"/>
    <n v="5"/>
    <n v="2841.52"/>
  </r>
  <r>
    <x v="241"/>
    <s v="LinkedIn Ads"/>
    <s v="Flash Sale"/>
    <s v="Premium Plan"/>
    <n v="5973"/>
    <n v="114"/>
    <n v="15"/>
    <n v="2053.11"/>
    <n v="4313.63"/>
    <n v="1.91"/>
    <n v="13.16"/>
    <n v="136.87"/>
    <n v="2.1"/>
    <n v="2260.52"/>
  </r>
  <r>
    <x v="241"/>
    <s v="Email Marketing"/>
    <s v="Retargeting"/>
    <s v="Enterprise Plan"/>
    <n v="18619"/>
    <n v="4450"/>
    <n v="554"/>
    <n v="230.77"/>
    <n v="76088.94"/>
    <n v="23.9"/>
    <n v="12.45"/>
    <n v="0.42"/>
    <n v="329.72"/>
    <n v="75858.17"/>
  </r>
  <r>
    <x v="241"/>
    <s v="Organic Search"/>
    <s v="Product Launch"/>
    <s v="Enterprise Plan"/>
    <n v="40936"/>
    <n v="2990"/>
    <n v="423"/>
    <n v="0"/>
    <n v="65101.1"/>
    <n v="7.3"/>
    <n v="14.15"/>
    <n v="0"/>
    <n v="0"/>
    <n v="65101.1"/>
  </r>
  <r>
    <x v="241"/>
    <s v="Display Ads"/>
    <s v="Product Launch"/>
    <s v="Add-on Service"/>
    <n v="34621"/>
    <n v="362"/>
    <n v="16"/>
    <n v="1140.33"/>
    <n v="1348.83"/>
    <n v="1.05"/>
    <n v="4.42"/>
    <n v="71.27"/>
    <n v="1.18"/>
    <n v="208.5"/>
  </r>
  <r>
    <x v="241"/>
    <s v="YouTube Ads"/>
    <s v="Seasonal Promotion"/>
    <s v="Enterprise Plan"/>
    <n v="26354"/>
    <n v="510"/>
    <n v="27"/>
    <n v="1494.73"/>
    <n v="4103.55"/>
    <n v="1.94"/>
    <n v="5.29"/>
    <n v="55.36"/>
    <n v="2.75"/>
    <n v="2608.8200000000002"/>
  </r>
  <r>
    <x v="241"/>
    <s v="Twitter Ads"/>
    <s v="Product Launch"/>
    <s v="Premium Plan"/>
    <n v="14610"/>
    <n v="444"/>
    <n v="18"/>
    <n v="809.31"/>
    <n v="1720.38"/>
    <n v="3.04"/>
    <n v="4.05"/>
    <n v="44.96"/>
    <n v="2.13"/>
    <n v="911.07"/>
  </r>
  <r>
    <x v="241"/>
    <s v="TikTok Ads"/>
    <s v="Retargeting"/>
    <s v="Premium Plan"/>
    <n v="35008"/>
    <n v="1077"/>
    <n v="36"/>
    <n v="1209.96"/>
    <n v="2471.59"/>
    <n v="3.08"/>
    <n v="3.34"/>
    <n v="33.61"/>
    <n v="2.04"/>
    <n v="1261.6300000000001"/>
  </r>
  <r>
    <x v="241"/>
    <s v="Affiliate Marketing"/>
    <s v="Product Launch"/>
    <s v="Add-on Service"/>
    <n v="11643"/>
    <n v="601"/>
    <n v="49"/>
    <n v="750.63"/>
    <n v="4701.78"/>
    <n v="5.16"/>
    <n v="8.15"/>
    <n v="15.32"/>
    <n v="6.26"/>
    <n v="3951.15"/>
  </r>
  <r>
    <x v="241"/>
    <s v="Referral"/>
    <s v="Lead Generation"/>
    <s v="Add-on Service"/>
    <n v="7173"/>
    <n v="711"/>
    <n v="97"/>
    <n v="218.18"/>
    <n v="12918.77"/>
    <n v="9.91"/>
    <n v="13.64"/>
    <n v="2.25"/>
    <n v="59.21"/>
    <n v="12700.59"/>
  </r>
  <r>
    <x v="242"/>
    <s v="Google Ads"/>
    <s v="Seasonal Promotion"/>
    <s v="Add-on Service"/>
    <n v="14443"/>
    <n v="517"/>
    <n v="57"/>
    <n v="1292.32"/>
    <n v="9316.14"/>
    <n v="3.58"/>
    <n v="11.03"/>
    <n v="22.67"/>
    <n v="7.21"/>
    <n v="8023.82"/>
  </r>
  <r>
    <x v="242"/>
    <s v="Facebook Ads"/>
    <s v="Lead Generation"/>
    <s v="Enterprise Plan"/>
    <n v="15483"/>
    <n v="561"/>
    <n v="46"/>
    <n v="795.29"/>
    <n v="4798.18"/>
    <n v="3.62"/>
    <n v="8.1999999999999993"/>
    <n v="17.29"/>
    <n v="6.03"/>
    <n v="4002.89"/>
  </r>
  <r>
    <x v="242"/>
    <s v="Instagram Ads"/>
    <s v="Product Launch"/>
    <s v="Enterprise Plan"/>
    <n v="15362"/>
    <n v="564"/>
    <n v="32"/>
    <n v="985.3"/>
    <n v="3423.06"/>
    <n v="3.67"/>
    <n v="5.67"/>
    <n v="30.79"/>
    <n v="3.47"/>
    <n v="2437.7600000000002"/>
  </r>
  <r>
    <x v="242"/>
    <s v="LinkedIn Ads"/>
    <s v="Flash Sale"/>
    <s v="Add-on Service"/>
    <n v="6654"/>
    <n v="153"/>
    <n v="16"/>
    <n v="2120.6"/>
    <n v="5294.78"/>
    <n v="2.2999999999999998"/>
    <n v="10.46"/>
    <n v="132.54"/>
    <n v="2.5"/>
    <n v="3174.18"/>
  </r>
  <r>
    <x v="242"/>
    <s v="Email Marketing"/>
    <s v="Retargeting"/>
    <s v="Starter Kit"/>
    <n v="22269"/>
    <n v="3426"/>
    <n v="304"/>
    <n v="184.67"/>
    <n v="42407.18"/>
    <n v="15.38"/>
    <n v="8.8699999999999992"/>
    <n v="0.61"/>
    <n v="229.64"/>
    <n v="42222.51"/>
  </r>
  <r>
    <x v="242"/>
    <s v="Organic Search"/>
    <s v="Brand Awareness"/>
    <s v="Starter Kit"/>
    <n v="30423"/>
    <n v="2281"/>
    <n v="272"/>
    <n v="0"/>
    <n v="40140.230000000003"/>
    <n v="7.5"/>
    <n v="11.92"/>
    <n v="0"/>
    <n v="0"/>
    <n v="40140.230000000003"/>
  </r>
  <r>
    <x v="242"/>
    <s v="Display Ads"/>
    <s v="Seasonal Promotion"/>
    <s v="Enterprise Plan"/>
    <n v="35346"/>
    <n v="666"/>
    <n v="25"/>
    <n v="1362.18"/>
    <n v="3153.44"/>
    <n v="1.88"/>
    <n v="3.75"/>
    <n v="54.49"/>
    <n v="2.31"/>
    <n v="1791.26"/>
  </r>
  <r>
    <x v="242"/>
    <s v="YouTube Ads"/>
    <s v="Retargeting"/>
    <s v="Basic Plan"/>
    <n v="22512"/>
    <n v="595"/>
    <n v="38"/>
    <n v="1280.17"/>
    <n v="5318.87"/>
    <n v="2.64"/>
    <n v="6.39"/>
    <n v="33.69"/>
    <n v="4.1500000000000004"/>
    <n v="4038.7"/>
  </r>
  <r>
    <x v="242"/>
    <s v="Twitter Ads"/>
    <s v="Lead Generation"/>
    <s v="Enterprise Plan"/>
    <n v="16070"/>
    <n v="393"/>
    <n v="15"/>
    <n v="699.96"/>
    <n v="1627.11"/>
    <n v="2.4500000000000002"/>
    <n v="3.82"/>
    <n v="46.66"/>
    <n v="2.3199999999999998"/>
    <n v="927.15"/>
  </r>
  <r>
    <x v="242"/>
    <s v="TikTok Ads"/>
    <s v="Retargeting"/>
    <s v="Add-on Service"/>
    <n v="21960"/>
    <n v="889"/>
    <n v="27"/>
    <n v="1130.83"/>
    <n v="2673.96"/>
    <n v="4.05"/>
    <n v="3.04"/>
    <n v="41.88"/>
    <n v="2.36"/>
    <n v="1543.13"/>
  </r>
  <r>
    <x v="242"/>
    <s v="Affiliate Marketing"/>
    <s v="Seasonal Promotion"/>
    <s v="Starter Kit"/>
    <n v="10318"/>
    <n v="591"/>
    <n v="70"/>
    <n v="590.78"/>
    <n v="9683.39"/>
    <n v="5.73"/>
    <n v="11.84"/>
    <n v="8.44"/>
    <n v="16.39"/>
    <n v="9092.61"/>
  </r>
  <r>
    <x v="242"/>
    <s v="Referral"/>
    <s v="Brand Awareness"/>
    <s v="Premium Plan"/>
    <n v="5566"/>
    <n v="352"/>
    <n v="51"/>
    <n v="90.51"/>
    <n v="5897.6"/>
    <n v="6.32"/>
    <n v="14.49"/>
    <n v="1.77"/>
    <n v="65.16"/>
    <n v="5807.09"/>
  </r>
  <r>
    <x v="243"/>
    <s v="Google Ads"/>
    <s v="Lead Generation"/>
    <s v="Enterprise Plan"/>
    <n v="9313"/>
    <n v="432"/>
    <n v="48"/>
    <n v="728.59"/>
    <n v="6851.85"/>
    <n v="4.6399999999999997"/>
    <n v="11.11"/>
    <n v="15.18"/>
    <n v="9.4"/>
    <n v="6123.26"/>
  </r>
  <r>
    <x v="243"/>
    <s v="Facebook Ads"/>
    <s v="Lead Generation"/>
    <s v="Enterprise Plan"/>
    <n v="9874"/>
    <n v="255"/>
    <n v="16"/>
    <n v="583.89"/>
    <n v="2014.85"/>
    <n v="2.58"/>
    <n v="6.27"/>
    <n v="36.49"/>
    <n v="3.45"/>
    <n v="1430.96"/>
  </r>
  <r>
    <x v="243"/>
    <s v="Instagram Ads"/>
    <s v="Product Launch"/>
    <s v="Enterprise Plan"/>
    <n v="10164"/>
    <n v="307"/>
    <n v="22"/>
    <n v="575.66"/>
    <n v="2012.72"/>
    <n v="3.02"/>
    <n v="7.17"/>
    <n v="26.17"/>
    <n v="3.5"/>
    <n v="1437.06"/>
  </r>
  <r>
    <x v="243"/>
    <s v="LinkedIn Ads"/>
    <s v="Flash Sale"/>
    <s v="Enterprise Plan"/>
    <n v="2932"/>
    <n v="66"/>
    <n v="8"/>
    <n v="851.05"/>
    <n v="2887.94"/>
    <n v="2.25"/>
    <n v="12.12"/>
    <n v="106.38"/>
    <n v="3.39"/>
    <n v="2036.89"/>
  </r>
  <r>
    <x v="243"/>
    <s v="Email Marketing"/>
    <s v="Seasonal Promotion"/>
    <s v="Starter Kit"/>
    <n v="12577"/>
    <n v="2478"/>
    <n v="223"/>
    <n v="108.44"/>
    <n v="28725.18"/>
    <n v="19.7"/>
    <n v="9"/>
    <n v="0.49"/>
    <n v="264.89"/>
    <n v="28616.74"/>
  </r>
  <r>
    <x v="243"/>
    <s v="Organic Search"/>
    <s v="Product Launch"/>
    <s v="Starter Kit"/>
    <n v="19828"/>
    <n v="907"/>
    <n v="98"/>
    <n v="0"/>
    <n v="13388.88"/>
    <n v="4.57"/>
    <n v="10.8"/>
    <n v="0"/>
    <n v="0"/>
    <n v="13388.88"/>
  </r>
  <r>
    <x v="243"/>
    <s v="Display Ads"/>
    <s v="Product Launch"/>
    <s v="Add-on Service"/>
    <n v="18503"/>
    <n v="244"/>
    <n v="4"/>
    <n v="542.86"/>
    <n v="376.98"/>
    <n v="1.32"/>
    <n v="1.64"/>
    <n v="135.72"/>
    <n v="0.69"/>
    <n v="-165.88"/>
  </r>
  <r>
    <x v="243"/>
    <s v="YouTube Ads"/>
    <s v="Seasonal Promotion"/>
    <s v="Starter Kit"/>
    <n v="11916"/>
    <n v="355"/>
    <n v="17"/>
    <n v="831.54"/>
    <n v="1974.02"/>
    <n v="2.98"/>
    <n v="4.79"/>
    <n v="48.91"/>
    <n v="2.37"/>
    <n v="1142.48"/>
  </r>
  <r>
    <x v="243"/>
    <s v="Twitter Ads"/>
    <s v="Retargeting"/>
    <s v="Basic Plan"/>
    <n v="7947"/>
    <n v="276"/>
    <n v="8"/>
    <n v="305.66000000000003"/>
    <n v="769.05"/>
    <n v="3.47"/>
    <n v="2.9"/>
    <n v="38.21"/>
    <n v="2.52"/>
    <n v="463.39"/>
  </r>
  <r>
    <x v="243"/>
    <s v="TikTok Ads"/>
    <s v="Lead Generation"/>
    <s v="Premium Plan"/>
    <n v="13141"/>
    <n v="468"/>
    <n v="18"/>
    <n v="680.26"/>
    <n v="1610.57"/>
    <n v="3.56"/>
    <n v="3.85"/>
    <n v="37.79"/>
    <n v="2.37"/>
    <n v="930.31"/>
  </r>
  <r>
    <x v="243"/>
    <s v="Affiliate Marketing"/>
    <s v="Lead Generation"/>
    <s v="Basic Plan"/>
    <n v="4589"/>
    <n v="247"/>
    <n v="26"/>
    <n v="371.98"/>
    <n v="2831.01"/>
    <n v="5.38"/>
    <n v="10.53"/>
    <n v="14.31"/>
    <n v="7.61"/>
    <n v="2459.0300000000002"/>
  </r>
  <r>
    <x v="243"/>
    <s v="Referral"/>
    <s v="Flash Sale"/>
    <s v="Enterprise Plan"/>
    <n v="4314"/>
    <n v="406"/>
    <n v="51"/>
    <n v="39.32"/>
    <n v="7933.86"/>
    <n v="9.41"/>
    <n v="12.56"/>
    <n v="0.77"/>
    <n v="201.78"/>
    <n v="7894.54"/>
  </r>
  <r>
    <x v="244"/>
    <s v="Google Ads"/>
    <s v="Flash Sale"/>
    <s v="Premium Plan"/>
    <n v="7468"/>
    <n v="301"/>
    <n v="26"/>
    <n v="936.03"/>
    <n v="4016.61"/>
    <n v="4.03"/>
    <n v="8.64"/>
    <n v="36"/>
    <n v="4.29"/>
    <n v="3080.58"/>
  </r>
  <r>
    <x v="244"/>
    <s v="Facebook Ads"/>
    <s v="Lead Generation"/>
    <s v="Basic Plan"/>
    <n v="9670"/>
    <n v="230"/>
    <n v="18"/>
    <n v="780.41"/>
    <n v="2434.92"/>
    <n v="2.38"/>
    <n v="7.83"/>
    <n v="43.36"/>
    <n v="3.12"/>
    <n v="1654.51"/>
  </r>
  <r>
    <x v="244"/>
    <s v="Instagram Ads"/>
    <s v="Retargeting"/>
    <s v="Premium Plan"/>
    <n v="10255"/>
    <n v="397"/>
    <n v="22"/>
    <n v="693.4"/>
    <n v="2314.27"/>
    <n v="3.87"/>
    <n v="5.54"/>
    <n v="31.52"/>
    <n v="3.34"/>
    <n v="1620.87"/>
  </r>
  <r>
    <x v="244"/>
    <s v="LinkedIn Ads"/>
    <s v="Brand Awareness"/>
    <s v="Premium Plan"/>
    <n v="3538"/>
    <n v="63"/>
    <n v="7"/>
    <n v="678.97"/>
    <n v="1750.47"/>
    <n v="1.78"/>
    <n v="11.11"/>
    <n v="97"/>
    <n v="2.58"/>
    <n v="1071.5"/>
  </r>
  <r>
    <x v="244"/>
    <s v="Email Marketing"/>
    <s v="Retargeting"/>
    <s v="Add-on Service"/>
    <n v="14433"/>
    <n v="3194"/>
    <n v="305"/>
    <n v="209.29"/>
    <n v="41074.92"/>
    <n v="22.13"/>
    <n v="9.5500000000000007"/>
    <n v="0.69"/>
    <n v="196.26"/>
    <n v="40865.629999999997"/>
  </r>
  <r>
    <x v="244"/>
    <s v="Organic Search"/>
    <s v="Brand Awareness"/>
    <s v="Premium Plan"/>
    <n v="14865"/>
    <n v="822"/>
    <n v="92"/>
    <n v="0"/>
    <n v="10043.41"/>
    <n v="5.53"/>
    <n v="11.19"/>
    <n v="0"/>
    <n v="0"/>
    <n v="10043.41"/>
  </r>
  <r>
    <x v="244"/>
    <s v="Display Ads"/>
    <s v="Retargeting"/>
    <s v="Add-on Service"/>
    <n v="21280"/>
    <n v="322"/>
    <n v="9"/>
    <n v="749.58"/>
    <n v="819.97"/>
    <n v="1.51"/>
    <n v="2.8"/>
    <n v="83.29"/>
    <n v="1.0900000000000001"/>
    <n v="70.39"/>
  </r>
  <r>
    <x v="244"/>
    <s v="YouTube Ads"/>
    <s v="Brand Awareness"/>
    <s v="Premium Plan"/>
    <n v="11823"/>
    <n v="242"/>
    <n v="11"/>
    <n v="598.86"/>
    <n v="1479.69"/>
    <n v="2.0499999999999998"/>
    <n v="4.55"/>
    <n v="54.44"/>
    <n v="2.4700000000000002"/>
    <n v="880.83"/>
  </r>
  <r>
    <x v="244"/>
    <s v="Twitter Ads"/>
    <s v="Product Launch"/>
    <s v="Add-on Service"/>
    <n v="8564"/>
    <n v="275"/>
    <n v="8"/>
    <n v="519.30999999999995"/>
    <n v="724.51"/>
    <n v="3.21"/>
    <n v="2.91"/>
    <n v="64.91"/>
    <n v="1.4"/>
    <n v="205.2"/>
  </r>
  <r>
    <x v="244"/>
    <s v="TikTok Ads"/>
    <s v="Lead Generation"/>
    <s v="Premium Plan"/>
    <n v="20797"/>
    <n v="922"/>
    <n v="35"/>
    <n v="461.31"/>
    <n v="3615.77"/>
    <n v="4.43"/>
    <n v="3.8"/>
    <n v="13.18"/>
    <n v="7.84"/>
    <n v="3154.46"/>
  </r>
  <r>
    <x v="244"/>
    <s v="Affiliate Marketing"/>
    <s v="Flash Sale"/>
    <s v="Starter Kit"/>
    <n v="4125"/>
    <n v="273"/>
    <n v="31"/>
    <n v="306.36"/>
    <n v="4896.34"/>
    <n v="6.62"/>
    <n v="11.36"/>
    <n v="9.8800000000000008"/>
    <n v="15.98"/>
    <n v="4589.9799999999996"/>
  </r>
  <r>
    <x v="244"/>
    <s v="Referral"/>
    <s v="Product Launch"/>
    <s v="Basic Plan"/>
    <n v="4078"/>
    <n v="263"/>
    <n v="31"/>
    <n v="105.53"/>
    <n v="5078.79"/>
    <n v="6.45"/>
    <n v="11.79"/>
    <n v="3.4"/>
    <n v="48.13"/>
    <n v="4973.26"/>
  </r>
  <r>
    <x v="245"/>
    <s v="Google Ads"/>
    <s v="Lead Generation"/>
    <s v="Enterprise Plan"/>
    <n v="11151"/>
    <n v="396"/>
    <n v="35"/>
    <n v="1387.55"/>
    <n v="4602.87"/>
    <n v="3.55"/>
    <n v="8.84"/>
    <n v="39.64"/>
    <n v="3.32"/>
    <n v="3215.32"/>
  </r>
  <r>
    <x v="245"/>
    <s v="Facebook Ads"/>
    <s v="Retargeting"/>
    <s v="Basic Plan"/>
    <n v="19270"/>
    <n v="630"/>
    <n v="48"/>
    <n v="940.04"/>
    <n v="4279.51"/>
    <n v="3.27"/>
    <n v="7.62"/>
    <n v="19.579999999999998"/>
    <n v="4.55"/>
    <n v="3339.47"/>
  </r>
  <r>
    <x v="245"/>
    <s v="Instagram Ads"/>
    <s v="Lead Generation"/>
    <s v="Add-on Service"/>
    <n v="12416"/>
    <n v="312"/>
    <n v="15"/>
    <n v="732.91"/>
    <n v="1856.84"/>
    <n v="2.5099999999999998"/>
    <n v="4.8099999999999996"/>
    <n v="48.86"/>
    <n v="2.5299999999999998"/>
    <n v="1123.93"/>
  </r>
  <r>
    <x v="245"/>
    <s v="LinkedIn Ads"/>
    <s v="Lead Generation"/>
    <s v="Premium Plan"/>
    <n v="4183"/>
    <n v="99"/>
    <n v="10"/>
    <n v="1699.07"/>
    <n v="2520.75"/>
    <n v="2.37"/>
    <n v="10.1"/>
    <n v="169.91"/>
    <n v="1.48"/>
    <n v="821.68"/>
  </r>
  <r>
    <x v="245"/>
    <s v="Email Marketing"/>
    <s v="Brand Awareness"/>
    <s v="Enterprise Plan"/>
    <n v="15635"/>
    <n v="2398"/>
    <n v="225"/>
    <n v="253.33"/>
    <n v="30598.59"/>
    <n v="15.34"/>
    <n v="9.3800000000000008"/>
    <n v="1.1299999999999999"/>
    <n v="120.79"/>
    <n v="30345.26"/>
  </r>
  <r>
    <x v="245"/>
    <s v="Organic Search"/>
    <s v="Product Launch"/>
    <s v="Starter Kit"/>
    <n v="32920"/>
    <n v="2410"/>
    <n v="348"/>
    <n v="0"/>
    <n v="34654.410000000003"/>
    <n v="7.32"/>
    <n v="14.44"/>
    <n v="0"/>
    <n v="0"/>
    <n v="34654.410000000003"/>
  </r>
  <r>
    <x v="245"/>
    <s v="Display Ads"/>
    <s v="Retargeting"/>
    <s v="Add-on Service"/>
    <n v="25263"/>
    <n v="406"/>
    <n v="11"/>
    <n v="1229.3599999999999"/>
    <n v="1261.8399999999999"/>
    <n v="1.61"/>
    <n v="2.71"/>
    <n v="111.76"/>
    <n v="1.03"/>
    <n v="32.479999999999997"/>
  </r>
  <r>
    <x v="245"/>
    <s v="YouTube Ads"/>
    <s v="Product Launch"/>
    <s v="Add-on Service"/>
    <n v="22042"/>
    <n v="550"/>
    <n v="32"/>
    <n v="1384.82"/>
    <n v="3335.91"/>
    <n v="2.5"/>
    <n v="5.82"/>
    <n v="43.28"/>
    <n v="2.41"/>
    <n v="1951.09"/>
  </r>
  <r>
    <x v="245"/>
    <s v="Twitter Ads"/>
    <s v="Retargeting"/>
    <s v="Basic Plan"/>
    <n v="10281"/>
    <n v="271"/>
    <n v="11"/>
    <n v="743.56"/>
    <n v="979.77"/>
    <n v="2.64"/>
    <n v="4.0599999999999996"/>
    <n v="67.599999999999994"/>
    <n v="1.32"/>
    <n v="236.21"/>
  </r>
  <r>
    <x v="245"/>
    <s v="TikTok Ads"/>
    <s v="Flash Sale"/>
    <s v="Add-on Service"/>
    <n v="18970"/>
    <n v="757"/>
    <n v="24"/>
    <n v="788.82"/>
    <n v="2713.65"/>
    <n v="3.99"/>
    <n v="3.17"/>
    <n v="32.869999999999997"/>
    <n v="3.44"/>
    <n v="1924.83"/>
  </r>
  <r>
    <x v="245"/>
    <s v="Affiliate Marketing"/>
    <s v="Lead Generation"/>
    <s v="Add-on Service"/>
    <n v="6687"/>
    <n v="460"/>
    <n v="43"/>
    <n v="570.21"/>
    <n v="5361.51"/>
    <n v="6.88"/>
    <n v="9.35"/>
    <n v="13.26"/>
    <n v="9.4"/>
    <n v="4791.3"/>
  </r>
  <r>
    <x v="245"/>
    <s v="Referral"/>
    <s v="Seasonal Promotion"/>
    <s v="Starter Kit"/>
    <n v="3744"/>
    <n v="189"/>
    <n v="29"/>
    <n v="60.01"/>
    <n v="4209.95"/>
    <n v="5.05"/>
    <n v="15.34"/>
    <n v="2.0699999999999998"/>
    <n v="70.150000000000006"/>
    <n v="4149.9399999999996"/>
  </r>
  <r>
    <x v="246"/>
    <s v="Google Ads"/>
    <s v="Flash Sale"/>
    <s v="Add-on Service"/>
    <n v="13642"/>
    <n v="458"/>
    <n v="54"/>
    <n v="836.14"/>
    <n v="9444.4500000000007"/>
    <n v="3.36"/>
    <n v="11.79"/>
    <n v="15.48"/>
    <n v="11.3"/>
    <n v="8608.31"/>
  </r>
  <r>
    <x v="246"/>
    <s v="Facebook Ads"/>
    <s v="Retargeting"/>
    <s v="Add-on Service"/>
    <n v="15865"/>
    <n v="599"/>
    <n v="44"/>
    <n v="1192.5899999999999"/>
    <n v="5759.78"/>
    <n v="3.78"/>
    <n v="7.35"/>
    <n v="27.1"/>
    <n v="4.83"/>
    <n v="4567.1899999999996"/>
  </r>
  <r>
    <x v="246"/>
    <s v="Instagram Ads"/>
    <s v="Flash Sale"/>
    <s v="Add-on Service"/>
    <n v="12726"/>
    <n v="410"/>
    <n v="21"/>
    <n v="735.19"/>
    <n v="2204.6799999999998"/>
    <n v="3.22"/>
    <n v="5.12"/>
    <n v="35.01"/>
    <n v="3"/>
    <n v="1469.49"/>
  </r>
  <r>
    <x v="246"/>
    <s v="LinkedIn Ads"/>
    <s v="Product Launch"/>
    <s v="Enterprise Plan"/>
    <n v="5462"/>
    <n v="116"/>
    <n v="13"/>
    <n v="1216.56"/>
    <n v="3398.88"/>
    <n v="2.12"/>
    <n v="11.21"/>
    <n v="93.58"/>
    <n v="2.79"/>
    <n v="2182.3200000000002"/>
  </r>
  <r>
    <x v="246"/>
    <s v="Email Marketing"/>
    <s v="Retargeting"/>
    <s v="Add-on Service"/>
    <n v="24447"/>
    <n v="4695"/>
    <n v="533"/>
    <n v="196.29"/>
    <n v="66983.64"/>
    <n v="19.2"/>
    <n v="11.35"/>
    <n v="0.37"/>
    <n v="341.25"/>
    <n v="66787.350000000006"/>
  </r>
  <r>
    <x v="246"/>
    <s v="Organic Search"/>
    <s v="Lead Generation"/>
    <s v="Premium Plan"/>
    <n v="20115"/>
    <n v="911"/>
    <n v="117"/>
    <n v="0"/>
    <n v="17679.939999999999"/>
    <n v="4.53"/>
    <n v="12.84"/>
    <n v="0"/>
    <n v="0"/>
    <n v="17679.939999999999"/>
  </r>
  <r>
    <x v="246"/>
    <s v="Display Ads"/>
    <s v="Retargeting"/>
    <s v="Enterprise Plan"/>
    <n v="26791"/>
    <n v="293"/>
    <n v="11"/>
    <n v="1165.06"/>
    <n v="1085.08"/>
    <n v="1.0900000000000001"/>
    <n v="3.75"/>
    <n v="105.91"/>
    <n v="0.93"/>
    <n v="-79.98"/>
  </r>
  <r>
    <x v="246"/>
    <s v="YouTube Ads"/>
    <s v="Product Launch"/>
    <s v="Starter Kit"/>
    <n v="19962"/>
    <n v="448"/>
    <n v="28"/>
    <n v="1146.5"/>
    <n v="3373.75"/>
    <n v="2.2400000000000002"/>
    <n v="6.25"/>
    <n v="40.950000000000003"/>
    <n v="2.94"/>
    <n v="2227.25"/>
  </r>
  <r>
    <x v="246"/>
    <s v="Twitter Ads"/>
    <s v="Product Launch"/>
    <s v="Basic Plan"/>
    <n v="10718"/>
    <n v="306"/>
    <n v="14"/>
    <n v="529.64"/>
    <n v="1160.53"/>
    <n v="2.86"/>
    <n v="4.58"/>
    <n v="37.83"/>
    <n v="2.19"/>
    <n v="630.89"/>
  </r>
  <r>
    <x v="246"/>
    <s v="TikTok Ads"/>
    <s v="Product Launch"/>
    <s v="Premium Plan"/>
    <n v="22707"/>
    <n v="654"/>
    <n v="45"/>
    <n v="1036.25"/>
    <n v="4034.71"/>
    <n v="2.88"/>
    <n v="6.88"/>
    <n v="23.03"/>
    <n v="3.89"/>
    <n v="2998.46"/>
  </r>
  <r>
    <x v="246"/>
    <s v="Affiliate Marketing"/>
    <s v="Brand Awareness"/>
    <s v="Add-on Service"/>
    <n v="6839"/>
    <n v="399"/>
    <n v="38"/>
    <n v="660.47"/>
    <n v="5763.2"/>
    <n v="5.83"/>
    <n v="9.52"/>
    <n v="17.38"/>
    <n v="8.73"/>
    <n v="5102.7299999999996"/>
  </r>
  <r>
    <x v="246"/>
    <s v="Referral"/>
    <s v="Lead Generation"/>
    <s v="Enterprise Plan"/>
    <n v="5843"/>
    <n v="400"/>
    <n v="69"/>
    <n v="78.59"/>
    <n v="12462.11"/>
    <n v="6.85"/>
    <n v="17.25"/>
    <n v="1.1399999999999999"/>
    <n v="158.57"/>
    <n v="12383.52"/>
  </r>
  <r>
    <x v="247"/>
    <s v="Google Ads"/>
    <s v="Product Launch"/>
    <s v="Starter Kit"/>
    <n v="8823"/>
    <n v="341"/>
    <n v="40"/>
    <n v="1210.9100000000001"/>
    <n v="5942.23"/>
    <n v="3.86"/>
    <n v="11.73"/>
    <n v="30.27"/>
    <n v="4.91"/>
    <n v="4731.32"/>
  </r>
  <r>
    <x v="247"/>
    <s v="Facebook Ads"/>
    <s v="Seasonal Promotion"/>
    <s v="Premium Plan"/>
    <n v="12796"/>
    <n v="291"/>
    <n v="24"/>
    <n v="743.75"/>
    <n v="2567.88"/>
    <n v="2.27"/>
    <n v="8.25"/>
    <n v="30.99"/>
    <n v="3.45"/>
    <n v="1824.13"/>
  </r>
  <r>
    <x v="247"/>
    <s v="Instagram Ads"/>
    <s v="Flash Sale"/>
    <s v="Starter Kit"/>
    <n v="14858"/>
    <n v="641"/>
    <n v="35"/>
    <n v="866.73"/>
    <n v="3403.44"/>
    <n v="4.3099999999999996"/>
    <n v="5.46"/>
    <n v="24.76"/>
    <n v="3.93"/>
    <n v="2536.71"/>
  </r>
  <r>
    <x v="247"/>
    <s v="LinkedIn Ads"/>
    <s v="Retargeting"/>
    <s v="Enterprise Plan"/>
    <n v="3634"/>
    <n v="86"/>
    <n v="10"/>
    <n v="1522.44"/>
    <n v="2950.79"/>
    <n v="2.37"/>
    <n v="11.63"/>
    <n v="152.24"/>
    <n v="1.94"/>
    <n v="1428.35"/>
  </r>
  <r>
    <x v="247"/>
    <s v="Email Marketing"/>
    <s v="Brand Awareness"/>
    <s v="Starter Kit"/>
    <n v="23175"/>
    <n v="4258"/>
    <n v="429"/>
    <n v="192.02"/>
    <n v="53057.5"/>
    <n v="18.37"/>
    <n v="10.08"/>
    <n v="0.45"/>
    <n v="276.31"/>
    <n v="52865.48"/>
  </r>
  <r>
    <x v="247"/>
    <s v="Organic Search"/>
    <s v="Product Launch"/>
    <s v="Add-on Service"/>
    <n v="34459"/>
    <n v="1507"/>
    <n v="156"/>
    <n v="0"/>
    <n v="18579.05"/>
    <n v="4.37"/>
    <n v="10.35"/>
    <n v="0"/>
    <n v="0"/>
    <n v="18579.05"/>
  </r>
  <r>
    <x v="247"/>
    <s v="Display Ads"/>
    <s v="Lead Generation"/>
    <s v="Premium Plan"/>
    <n v="35430"/>
    <n v="395"/>
    <n v="14"/>
    <n v="977.01"/>
    <n v="1547.57"/>
    <n v="1.1100000000000001"/>
    <n v="3.54"/>
    <n v="69.790000000000006"/>
    <n v="1.58"/>
    <n v="570.55999999999995"/>
  </r>
  <r>
    <x v="247"/>
    <s v="YouTube Ads"/>
    <s v="Seasonal Promotion"/>
    <s v="Enterprise Plan"/>
    <n v="22248"/>
    <n v="467"/>
    <n v="22"/>
    <n v="1309.32"/>
    <n v="2926.37"/>
    <n v="2.1"/>
    <n v="4.71"/>
    <n v="59.51"/>
    <n v="2.2400000000000002"/>
    <n v="1617.05"/>
  </r>
  <r>
    <x v="247"/>
    <s v="Twitter Ads"/>
    <s v="Lead Generation"/>
    <s v="Starter Kit"/>
    <n v="10142"/>
    <n v="284"/>
    <n v="12"/>
    <n v="454.83"/>
    <n v="1376.44"/>
    <n v="2.8"/>
    <n v="4.2300000000000004"/>
    <n v="37.9"/>
    <n v="3.03"/>
    <n v="921.61"/>
  </r>
  <r>
    <x v="247"/>
    <s v="TikTok Ads"/>
    <s v="Seasonal Promotion"/>
    <s v="Starter Kit"/>
    <n v="26915"/>
    <n v="732"/>
    <n v="49"/>
    <n v="968.9"/>
    <n v="3479.74"/>
    <n v="2.72"/>
    <n v="6.69"/>
    <n v="19.77"/>
    <n v="3.59"/>
    <n v="2510.84"/>
  </r>
  <r>
    <x v="247"/>
    <s v="Affiliate Marketing"/>
    <s v="Retargeting"/>
    <s v="Basic Plan"/>
    <n v="5774"/>
    <n v="396"/>
    <n v="50"/>
    <n v="453.68"/>
    <n v="6175.58"/>
    <n v="6.86"/>
    <n v="12.63"/>
    <n v="9.07"/>
    <n v="13.61"/>
    <n v="5721.9"/>
  </r>
  <r>
    <x v="247"/>
    <s v="Referral"/>
    <s v="Lead Generation"/>
    <s v="Starter Kit"/>
    <n v="5195"/>
    <n v="266"/>
    <n v="44"/>
    <n v="180.09"/>
    <n v="6430.78"/>
    <n v="5.12"/>
    <n v="16.54"/>
    <n v="4.09"/>
    <n v="35.71"/>
    <n v="6250.69"/>
  </r>
  <r>
    <x v="248"/>
    <s v="Google Ads"/>
    <s v="Retargeting"/>
    <s v="Basic Plan"/>
    <n v="13478"/>
    <n v="542"/>
    <n v="61"/>
    <n v="1069.55"/>
    <n v="9676.58"/>
    <n v="4.0199999999999996"/>
    <n v="11.25"/>
    <n v="17.53"/>
    <n v="9.0500000000000007"/>
    <n v="8607.0300000000007"/>
  </r>
  <r>
    <x v="248"/>
    <s v="Facebook Ads"/>
    <s v="Product Launch"/>
    <s v="Premium Plan"/>
    <n v="17995"/>
    <n v="561"/>
    <n v="46"/>
    <n v="641.75"/>
    <n v="5339.59"/>
    <n v="3.12"/>
    <n v="8.1999999999999993"/>
    <n v="13.95"/>
    <n v="8.32"/>
    <n v="4697.84"/>
  </r>
  <r>
    <x v="248"/>
    <s v="Instagram Ads"/>
    <s v="Retargeting"/>
    <s v="Basic Plan"/>
    <n v="14547"/>
    <n v="569"/>
    <n v="38"/>
    <n v="590.66999999999996"/>
    <n v="4740.43"/>
    <n v="3.91"/>
    <n v="6.68"/>
    <n v="15.54"/>
    <n v="8.0299999999999994"/>
    <n v="4149.76"/>
  </r>
  <r>
    <x v="248"/>
    <s v="LinkedIn Ads"/>
    <s v="Seasonal Promotion"/>
    <s v="Add-on Service"/>
    <n v="3841"/>
    <n v="102"/>
    <n v="14"/>
    <n v="1269.04"/>
    <n v="4761.87"/>
    <n v="2.66"/>
    <n v="13.73"/>
    <n v="90.65"/>
    <n v="3.75"/>
    <n v="3492.83"/>
  </r>
  <r>
    <x v="248"/>
    <s v="Email Marketing"/>
    <s v="Flash Sale"/>
    <s v="Enterprise Plan"/>
    <n v="20101"/>
    <n v="4393"/>
    <n v="468"/>
    <n v="139.06"/>
    <n v="77627.33"/>
    <n v="21.85"/>
    <n v="10.65"/>
    <n v="0.3"/>
    <n v="558.23"/>
    <n v="77488.27"/>
  </r>
  <r>
    <x v="248"/>
    <s v="Organic Search"/>
    <s v="Product Launch"/>
    <s v="Add-on Service"/>
    <n v="23584"/>
    <n v="963"/>
    <n v="142"/>
    <n v="0"/>
    <n v="19491.150000000001"/>
    <n v="4.08"/>
    <n v="14.75"/>
    <n v="0"/>
    <n v="0"/>
    <n v="19491.150000000001"/>
  </r>
  <r>
    <x v="248"/>
    <s v="Display Ads"/>
    <s v="Product Launch"/>
    <s v="Starter Kit"/>
    <n v="34549"/>
    <n v="599"/>
    <n v="28"/>
    <n v="1243.72"/>
    <n v="2731.2"/>
    <n v="1.73"/>
    <n v="4.67"/>
    <n v="44.42"/>
    <n v="2.2000000000000002"/>
    <n v="1487.48"/>
  </r>
  <r>
    <x v="248"/>
    <s v="YouTube Ads"/>
    <s v="Lead Generation"/>
    <s v="Premium Plan"/>
    <n v="23940"/>
    <n v="641"/>
    <n v="46"/>
    <n v="1020.2"/>
    <n v="4555.18"/>
    <n v="2.68"/>
    <n v="7.18"/>
    <n v="22.18"/>
    <n v="4.46"/>
    <n v="3534.98"/>
  </r>
  <r>
    <x v="248"/>
    <s v="Twitter Ads"/>
    <s v="Lead Generation"/>
    <s v="Basic Plan"/>
    <n v="8196"/>
    <n v="226"/>
    <n v="8"/>
    <n v="625.73"/>
    <n v="705.28"/>
    <n v="2.76"/>
    <n v="3.54"/>
    <n v="78.22"/>
    <n v="1.1299999999999999"/>
    <n v="79.55"/>
  </r>
  <r>
    <x v="248"/>
    <s v="TikTok Ads"/>
    <s v="Product Launch"/>
    <s v="Premium Plan"/>
    <n v="24272"/>
    <n v="901"/>
    <n v="36"/>
    <n v="606.38"/>
    <n v="2914.5"/>
    <n v="3.71"/>
    <n v="4"/>
    <n v="16.84"/>
    <n v="4.8099999999999996"/>
    <n v="2308.12"/>
  </r>
  <r>
    <x v="248"/>
    <s v="Affiliate Marketing"/>
    <s v="Flash Sale"/>
    <s v="Starter Kit"/>
    <n v="5249"/>
    <n v="306"/>
    <n v="32"/>
    <n v="671.75"/>
    <n v="4254.46"/>
    <n v="5.83"/>
    <n v="10.46"/>
    <n v="20.99"/>
    <n v="6.33"/>
    <n v="3582.71"/>
  </r>
  <r>
    <x v="248"/>
    <s v="Referral"/>
    <s v="Seasonal Promotion"/>
    <s v="Starter Kit"/>
    <n v="5080"/>
    <n v="350"/>
    <n v="54"/>
    <n v="84.98"/>
    <n v="8054.71"/>
    <n v="6.89"/>
    <n v="15.43"/>
    <n v="1.57"/>
    <n v="94.78"/>
    <n v="7969.73"/>
  </r>
  <r>
    <x v="249"/>
    <s v="Google Ads"/>
    <s v="Product Launch"/>
    <s v="Add-on Service"/>
    <n v="9940"/>
    <n v="473"/>
    <n v="45"/>
    <n v="1235.1300000000001"/>
    <n v="5700.72"/>
    <n v="4.76"/>
    <n v="9.51"/>
    <n v="27.45"/>
    <n v="4.62"/>
    <n v="4465.59"/>
  </r>
  <r>
    <x v="249"/>
    <s v="Facebook Ads"/>
    <s v="Retargeting"/>
    <s v="Basic Plan"/>
    <n v="17669"/>
    <n v="433"/>
    <n v="38"/>
    <n v="1064.05"/>
    <n v="5029.78"/>
    <n v="2.4500000000000002"/>
    <n v="8.7799999999999994"/>
    <n v="28"/>
    <n v="4.7300000000000004"/>
    <n v="3965.73"/>
  </r>
  <r>
    <x v="249"/>
    <s v="Instagram Ads"/>
    <s v="Product Launch"/>
    <s v="Premium Plan"/>
    <n v="17766"/>
    <n v="538"/>
    <n v="36"/>
    <n v="671.56"/>
    <n v="3287.54"/>
    <n v="3.03"/>
    <n v="6.69"/>
    <n v="18.649999999999999"/>
    <n v="4.9000000000000004"/>
    <n v="2615.98"/>
  </r>
  <r>
    <x v="249"/>
    <s v="LinkedIn Ads"/>
    <s v="Lead Generation"/>
    <s v="Premium Plan"/>
    <n v="3705"/>
    <n v="100"/>
    <n v="14"/>
    <n v="915.86"/>
    <n v="4006.41"/>
    <n v="2.7"/>
    <n v="14"/>
    <n v="65.42"/>
    <n v="4.37"/>
    <n v="3090.55"/>
  </r>
  <r>
    <x v="249"/>
    <s v="Email Marketing"/>
    <s v="Seasonal Promotion"/>
    <s v="Premium Plan"/>
    <n v="15145"/>
    <n v="3189"/>
    <n v="425"/>
    <n v="218.52"/>
    <n v="68040.33"/>
    <n v="21.06"/>
    <n v="13.33"/>
    <n v="0.51"/>
    <n v="311.37"/>
    <n v="67821.81"/>
  </r>
  <r>
    <x v="249"/>
    <s v="Organic Search"/>
    <s v="Lead Generation"/>
    <s v="Premium Plan"/>
    <n v="26810"/>
    <n v="1175"/>
    <n v="123"/>
    <n v="0"/>
    <n v="18581.580000000002"/>
    <n v="4.38"/>
    <n v="10.47"/>
    <n v="0"/>
    <n v="0"/>
    <n v="18581.580000000002"/>
  </r>
  <r>
    <x v="249"/>
    <s v="Display Ads"/>
    <s v="Product Launch"/>
    <s v="Enterprise Plan"/>
    <n v="37175"/>
    <n v="455"/>
    <n v="13"/>
    <n v="1125.02"/>
    <n v="1726.49"/>
    <n v="1.22"/>
    <n v="2.86"/>
    <n v="86.54"/>
    <n v="1.53"/>
    <n v="601.47"/>
  </r>
  <r>
    <x v="249"/>
    <s v="YouTube Ads"/>
    <s v="Lead Generation"/>
    <s v="Starter Kit"/>
    <n v="18052"/>
    <n v="421"/>
    <n v="28"/>
    <n v="1370.43"/>
    <n v="2709.7"/>
    <n v="2.33"/>
    <n v="6.65"/>
    <n v="48.94"/>
    <n v="1.98"/>
    <n v="1339.27"/>
  </r>
  <r>
    <x v="249"/>
    <s v="Twitter Ads"/>
    <s v="Flash Sale"/>
    <s v="Premium Plan"/>
    <n v="13928"/>
    <n v="296"/>
    <n v="16"/>
    <n v="722.29"/>
    <n v="1477.82"/>
    <n v="2.13"/>
    <n v="5.41"/>
    <n v="45.14"/>
    <n v="2.0499999999999998"/>
    <n v="755.53"/>
  </r>
  <r>
    <x v="249"/>
    <s v="TikTok Ads"/>
    <s v="Lead Generation"/>
    <s v="Premium Plan"/>
    <n v="18747"/>
    <n v="498"/>
    <n v="20"/>
    <n v="1067.8800000000001"/>
    <n v="1754.39"/>
    <n v="2.66"/>
    <n v="4.0199999999999996"/>
    <n v="53.39"/>
    <n v="1.64"/>
    <n v="686.51"/>
  </r>
  <r>
    <x v="249"/>
    <s v="Affiliate Marketing"/>
    <s v="Lead Generation"/>
    <s v="Premium Plan"/>
    <n v="5596"/>
    <n v="298"/>
    <n v="37"/>
    <n v="494.86"/>
    <n v="3897.47"/>
    <n v="5.33"/>
    <n v="12.42"/>
    <n v="13.37"/>
    <n v="7.88"/>
    <n v="3402.61"/>
  </r>
  <r>
    <x v="249"/>
    <s v="Referral"/>
    <s v="Retargeting"/>
    <s v="Basic Plan"/>
    <n v="5409"/>
    <n v="401"/>
    <n v="56"/>
    <n v="85.22"/>
    <n v="9161.2199999999993"/>
    <n v="7.41"/>
    <n v="13.97"/>
    <n v="1.52"/>
    <n v="107.5"/>
    <n v="9076"/>
  </r>
  <r>
    <x v="250"/>
    <s v="Google Ads"/>
    <s v="Product Launch"/>
    <s v="Starter Kit"/>
    <n v="7289"/>
    <n v="321"/>
    <n v="34"/>
    <n v="669.14"/>
    <n v="5192.4799999999996"/>
    <n v="4.4000000000000004"/>
    <n v="10.59"/>
    <n v="19.68"/>
    <n v="7.76"/>
    <n v="4523.34"/>
  </r>
  <r>
    <x v="250"/>
    <s v="Facebook Ads"/>
    <s v="Product Launch"/>
    <s v="Starter Kit"/>
    <n v="13300"/>
    <n v="479"/>
    <n v="29"/>
    <n v="823.81"/>
    <n v="3124.97"/>
    <n v="3.6"/>
    <n v="6.05"/>
    <n v="28.41"/>
    <n v="3.79"/>
    <n v="2301.16"/>
  </r>
  <r>
    <x v="250"/>
    <s v="Instagram Ads"/>
    <s v="Product Launch"/>
    <s v="Starter Kit"/>
    <n v="8194"/>
    <n v="303"/>
    <n v="17"/>
    <n v="587.53"/>
    <n v="1671.01"/>
    <n v="3.7"/>
    <n v="5.61"/>
    <n v="34.56"/>
    <n v="2.84"/>
    <n v="1083.48"/>
  </r>
  <r>
    <x v="250"/>
    <s v="LinkedIn Ads"/>
    <s v="Flash Sale"/>
    <s v="Premium Plan"/>
    <n v="3617"/>
    <n v="79"/>
    <n v="11"/>
    <n v="646.23"/>
    <n v="2504.54"/>
    <n v="2.1800000000000002"/>
    <n v="13.92"/>
    <n v="58.75"/>
    <n v="3.88"/>
    <n v="1858.31"/>
  </r>
  <r>
    <x v="250"/>
    <s v="Email Marketing"/>
    <s v="Product Launch"/>
    <s v="Premium Plan"/>
    <n v="13150"/>
    <n v="2599"/>
    <n v="290"/>
    <n v="151.53"/>
    <n v="46165.78"/>
    <n v="19.760000000000002"/>
    <n v="11.16"/>
    <n v="0.52"/>
    <n v="304.66000000000003"/>
    <n v="46014.25"/>
  </r>
  <r>
    <x v="250"/>
    <s v="Organic Search"/>
    <s v="Lead Generation"/>
    <s v="Premium Plan"/>
    <n v="17981"/>
    <n v="1404"/>
    <n v="208"/>
    <n v="0"/>
    <n v="26084.53"/>
    <n v="7.81"/>
    <n v="14.81"/>
    <n v="0"/>
    <n v="0"/>
    <n v="26084.53"/>
  </r>
  <r>
    <x v="250"/>
    <s v="Display Ads"/>
    <s v="Product Launch"/>
    <s v="Starter Kit"/>
    <n v="20241"/>
    <n v="302"/>
    <n v="14"/>
    <n v="585.21"/>
    <n v="1566.52"/>
    <n v="1.49"/>
    <n v="4.6399999999999997"/>
    <n v="41.8"/>
    <n v="2.68"/>
    <n v="981.31"/>
  </r>
  <r>
    <x v="250"/>
    <s v="YouTube Ads"/>
    <s v="Brand Awareness"/>
    <s v="Add-on Service"/>
    <n v="16800"/>
    <n v="323"/>
    <n v="19"/>
    <n v="935.61"/>
    <n v="2679.35"/>
    <n v="1.92"/>
    <n v="5.88"/>
    <n v="49.24"/>
    <n v="2.86"/>
    <n v="1743.74"/>
  </r>
  <r>
    <x v="250"/>
    <s v="Twitter Ads"/>
    <s v="Retargeting"/>
    <s v="Basic Plan"/>
    <n v="5973"/>
    <n v="189"/>
    <n v="9"/>
    <n v="474.14"/>
    <n v="867.89"/>
    <n v="3.16"/>
    <n v="4.76"/>
    <n v="52.68"/>
    <n v="1.83"/>
    <n v="393.75"/>
  </r>
  <r>
    <x v="250"/>
    <s v="TikTok Ads"/>
    <s v="Lead Generation"/>
    <s v="Enterprise Plan"/>
    <n v="16940"/>
    <n v="718"/>
    <n v="47"/>
    <n v="623.65"/>
    <n v="4789.7299999999996"/>
    <n v="4.24"/>
    <n v="6.55"/>
    <n v="13.27"/>
    <n v="7.68"/>
    <n v="4166.08"/>
  </r>
  <r>
    <x v="250"/>
    <s v="Affiliate Marketing"/>
    <s v="Retargeting"/>
    <s v="Premium Plan"/>
    <n v="3702"/>
    <n v="244"/>
    <n v="22"/>
    <n v="443.96"/>
    <n v="2374.75"/>
    <n v="6.59"/>
    <n v="9.02"/>
    <n v="20.18"/>
    <n v="5.35"/>
    <n v="1930.79"/>
  </r>
  <r>
    <x v="250"/>
    <s v="Referral"/>
    <s v="Brand Awareness"/>
    <s v="Basic Plan"/>
    <n v="2445"/>
    <n v="217"/>
    <n v="28"/>
    <n v="137.83000000000001"/>
    <n v="4065.43"/>
    <n v="8.8800000000000008"/>
    <n v="12.9"/>
    <n v="4.92"/>
    <n v="29.5"/>
    <n v="3927.6"/>
  </r>
  <r>
    <x v="251"/>
    <s v="Google Ads"/>
    <s v="Retargeting"/>
    <s v="Starter Kit"/>
    <n v="5603"/>
    <n v="221"/>
    <n v="25"/>
    <n v="875.96"/>
    <n v="3748.92"/>
    <n v="3.94"/>
    <n v="11.31"/>
    <n v="35.04"/>
    <n v="4.28"/>
    <n v="2872.96"/>
  </r>
  <r>
    <x v="251"/>
    <s v="Facebook Ads"/>
    <s v="Lead Generation"/>
    <s v="Premium Plan"/>
    <n v="9865"/>
    <n v="283"/>
    <n v="22"/>
    <n v="779.78"/>
    <n v="2810.17"/>
    <n v="2.87"/>
    <n v="7.77"/>
    <n v="35.44"/>
    <n v="3.6"/>
    <n v="2030.39"/>
  </r>
  <r>
    <x v="251"/>
    <s v="Instagram Ads"/>
    <s v="Lead Generation"/>
    <s v="Starter Kit"/>
    <n v="7149"/>
    <n v="214"/>
    <n v="14"/>
    <n v="417.79"/>
    <n v="1248.31"/>
    <n v="2.99"/>
    <n v="6.54"/>
    <n v="29.84"/>
    <n v="2.99"/>
    <n v="830.52"/>
  </r>
  <r>
    <x v="251"/>
    <s v="LinkedIn Ads"/>
    <s v="Flash Sale"/>
    <s v="Premium Plan"/>
    <n v="2180"/>
    <n v="47"/>
    <n v="4"/>
    <n v="1139.8800000000001"/>
    <n v="1060.0999999999999"/>
    <n v="2.16"/>
    <n v="8.51"/>
    <n v="284.97000000000003"/>
    <n v="0.93"/>
    <n v="-79.78"/>
  </r>
  <r>
    <x v="251"/>
    <s v="Email Marketing"/>
    <s v="Seasonal Promotion"/>
    <s v="Basic Plan"/>
    <n v="16090"/>
    <n v="3241"/>
    <n v="399"/>
    <n v="191.18"/>
    <n v="57056.81"/>
    <n v="20.14"/>
    <n v="12.31"/>
    <n v="0.48"/>
    <n v="298.45"/>
    <n v="56865.63"/>
  </r>
  <r>
    <x v="251"/>
    <s v="Organic Search"/>
    <s v="Retargeting"/>
    <s v="Starter Kit"/>
    <n v="20827"/>
    <n v="1029"/>
    <n v="161"/>
    <n v="0"/>
    <n v="21868.55"/>
    <n v="4.9400000000000004"/>
    <n v="15.65"/>
    <n v="0"/>
    <n v="0"/>
    <n v="21868.55"/>
  </r>
  <r>
    <x v="251"/>
    <s v="Display Ads"/>
    <s v="Flash Sale"/>
    <s v="Enterprise Plan"/>
    <n v="19590"/>
    <n v="389"/>
    <n v="10"/>
    <n v="606.08000000000004"/>
    <n v="1279.78"/>
    <n v="1.99"/>
    <n v="2.57"/>
    <n v="60.61"/>
    <n v="2.11"/>
    <n v="673.7"/>
  </r>
  <r>
    <x v="251"/>
    <s v="YouTube Ads"/>
    <s v="Product Launch"/>
    <s v="Basic Plan"/>
    <n v="14811"/>
    <n v="347"/>
    <n v="19"/>
    <n v="927.85"/>
    <n v="2117.2600000000002"/>
    <n v="2.34"/>
    <n v="5.48"/>
    <n v="48.83"/>
    <n v="2.2799999999999998"/>
    <n v="1189.4100000000001"/>
  </r>
  <r>
    <x v="251"/>
    <s v="Twitter Ads"/>
    <s v="Flash Sale"/>
    <s v="Premium Plan"/>
    <n v="7608"/>
    <n v="252"/>
    <n v="8"/>
    <n v="548.30999999999995"/>
    <n v="689.47"/>
    <n v="3.31"/>
    <n v="3.17"/>
    <n v="68.540000000000006"/>
    <n v="1.26"/>
    <n v="141.16"/>
  </r>
  <r>
    <x v="251"/>
    <s v="TikTok Ads"/>
    <s v="Flash Sale"/>
    <s v="Add-on Service"/>
    <n v="16260"/>
    <n v="595"/>
    <n v="22"/>
    <n v="696.9"/>
    <n v="1605.96"/>
    <n v="3.66"/>
    <n v="3.7"/>
    <n v="31.68"/>
    <n v="2.2999999999999998"/>
    <n v="909.06"/>
  </r>
  <r>
    <x v="251"/>
    <s v="Affiliate Marketing"/>
    <s v="Seasonal Promotion"/>
    <s v="Premium Plan"/>
    <n v="4816"/>
    <n v="259"/>
    <n v="22"/>
    <n v="438.23"/>
    <n v="2629.89"/>
    <n v="5.38"/>
    <n v="8.49"/>
    <n v="19.920000000000002"/>
    <n v="6"/>
    <n v="2191.66"/>
  </r>
  <r>
    <x v="251"/>
    <s v="Referral"/>
    <s v="Product Launch"/>
    <s v="Starter Kit"/>
    <n v="2874"/>
    <n v="175"/>
    <n v="27"/>
    <n v="81.27"/>
    <n v="3536.9"/>
    <n v="6.09"/>
    <n v="15.43"/>
    <n v="3.01"/>
    <n v="43.52"/>
    <n v="3455.63"/>
  </r>
  <r>
    <x v="252"/>
    <s v="Google Ads"/>
    <s v="Flash Sale"/>
    <s v="Enterprise Plan"/>
    <n v="9238"/>
    <n v="420"/>
    <n v="48"/>
    <n v="1080.72"/>
    <n v="5712.95"/>
    <n v="4.55"/>
    <n v="11.43"/>
    <n v="22.52"/>
    <n v="5.29"/>
    <n v="4632.2299999999996"/>
  </r>
  <r>
    <x v="252"/>
    <s v="Facebook Ads"/>
    <s v="Lead Generation"/>
    <s v="Enterprise Plan"/>
    <n v="14951"/>
    <n v="321"/>
    <n v="18"/>
    <n v="1049.8499999999999"/>
    <n v="2078.59"/>
    <n v="2.15"/>
    <n v="5.61"/>
    <n v="58.32"/>
    <n v="1.98"/>
    <n v="1028.74"/>
  </r>
  <r>
    <x v="252"/>
    <s v="Instagram Ads"/>
    <s v="Brand Awareness"/>
    <s v="Basic Plan"/>
    <n v="13896"/>
    <n v="618"/>
    <n v="24"/>
    <n v="706.92"/>
    <n v="1972.64"/>
    <n v="4.45"/>
    <n v="3.88"/>
    <n v="29.46"/>
    <n v="2.79"/>
    <n v="1265.72"/>
  </r>
  <r>
    <x v="252"/>
    <s v="LinkedIn Ads"/>
    <s v="Brand Awareness"/>
    <s v="Basic Plan"/>
    <n v="5629"/>
    <n v="124"/>
    <n v="15"/>
    <n v="1265.6099999999999"/>
    <n v="4255.71"/>
    <n v="2.2000000000000002"/>
    <n v="12.1"/>
    <n v="84.37"/>
    <n v="3.36"/>
    <n v="2990.1"/>
  </r>
  <r>
    <x v="252"/>
    <s v="Email Marketing"/>
    <s v="Flash Sale"/>
    <s v="Starter Kit"/>
    <n v="19461"/>
    <n v="4100"/>
    <n v="570"/>
    <n v="223.88"/>
    <n v="80146.11"/>
    <n v="21.07"/>
    <n v="13.9"/>
    <n v="0.39"/>
    <n v="357.99"/>
    <n v="79922.23"/>
  </r>
  <r>
    <x v="252"/>
    <s v="Organic Search"/>
    <s v="Product Launch"/>
    <s v="Premium Plan"/>
    <n v="30315"/>
    <n v="1692"/>
    <n v="251"/>
    <n v="0"/>
    <n v="28151.439999999999"/>
    <n v="5.58"/>
    <n v="14.83"/>
    <n v="0"/>
    <n v="0"/>
    <n v="28151.439999999999"/>
  </r>
  <r>
    <x v="252"/>
    <s v="Display Ads"/>
    <s v="Lead Generation"/>
    <s v="Enterprise Plan"/>
    <n v="36410"/>
    <n v="404"/>
    <n v="12"/>
    <n v="1178.92"/>
    <n v="951.08"/>
    <n v="1.1100000000000001"/>
    <n v="2.97"/>
    <n v="98.24"/>
    <n v="0.81"/>
    <n v="-227.84"/>
  </r>
  <r>
    <x v="252"/>
    <s v="YouTube Ads"/>
    <s v="Seasonal Promotion"/>
    <s v="Premium Plan"/>
    <n v="24916"/>
    <n v="570"/>
    <n v="27"/>
    <n v="880.02"/>
    <n v="3568.03"/>
    <n v="2.29"/>
    <n v="4.74"/>
    <n v="32.590000000000003"/>
    <n v="4.05"/>
    <n v="2688.01"/>
  </r>
  <r>
    <x v="252"/>
    <s v="Twitter Ads"/>
    <s v="Retargeting"/>
    <s v="Basic Plan"/>
    <n v="10261"/>
    <n v="278"/>
    <n v="9"/>
    <n v="795.52"/>
    <n v="819.26"/>
    <n v="2.71"/>
    <n v="3.24"/>
    <n v="88.39"/>
    <n v="1.03"/>
    <n v="23.74"/>
  </r>
  <r>
    <x v="252"/>
    <s v="TikTok Ads"/>
    <s v="Brand Awareness"/>
    <s v="Premium Plan"/>
    <n v="24183"/>
    <n v="945"/>
    <n v="39"/>
    <n v="1054.77"/>
    <n v="3508.1"/>
    <n v="3.91"/>
    <n v="4.13"/>
    <n v="27.05"/>
    <n v="3.33"/>
    <n v="2453.33"/>
  </r>
  <r>
    <x v="252"/>
    <s v="Affiliate Marketing"/>
    <s v="Seasonal Promotion"/>
    <s v="Starter Kit"/>
    <n v="8492"/>
    <n v="559"/>
    <n v="50"/>
    <n v="367.5"/>
    <n v="6735.1"/>
    <n v="6.58"/>
    <n v="8.94"/>
    <n v="7.35"/>
    <n v="18.329999999999998"/>
    <n v="6367.6"/>
  </r>
  <r>
    <x v="252"/>
    <s v="Referral"/>
    <s v="Flash Sale"/>
    <s v="Add-on Service"/>
    <n v="3239"/>
    <n v="182"/>
    <n v="29"/>
    <n v="185.64"/>
    <n v="4265.96"/>
    <n v="5.62"/>
    <n v="15.93"/>
    <n v="6.4"/>
    <n v="22.98"/>
    <n v="4080.32"/>
  </r>
  <r>
    <x v="253"/>
    <s v="Google Ads"/>
    <s v="Lead Generation"/>
    <s v="Enterprise Plan"/>
    <n v="12121"/>
    <n v="474"/>
    <n v="41"/>
    <n v="1280.69"/>
    <n v="7720.3"/>
    <n v="3.91"/>
    <n v="8.65"/>
    <n v="31.24"/>
    <n v="6.03"/>
    <n v="6439.61"/>
  </r>
  <r>
    <x v="253"/>
    <s v="Facebook Ads"/>
    <s v="Brand Awareness"/>
    <s v="Basic Plan"/>
    <n v="17716"/>
    <n v="354"/>
    <n v="19"/>
    <n v="607.16999999999996"/>
    <n v="2345.9"/>
    <n v="2"/>
    <n v="5.37"/>
    <n v="31.96"/>
    <n v="3.86"/>
    <n v="1738.73"/>
  </r>
  <r>
    <x v="253"/>
    <s v="Instagram Ads"/>
    <s v="Lead Generation"/>
    <s v="Starter Kit"/>
    <n v="13625"/>
    <n v="404"/>
    <n v="25"/>
    <n v="975.99"/>
    <n v="3102.81"/>
    <n v="2.97"/>
    <n v="6.19"/>
    <n v="39.04"/>
    <n v="3.18"/>
    <n v="2126.8200000000002"/>
  </r>
  <r>
    <x v="253"/>
    <s v="LinkedIn Ads"/>
    <s v="Brand Awareness"/>
    <s v="Add-on Service"/>
    <n v="4961"/>
    <n v="78"/>
    <n v="11"/>
    <n v="1543.29"/>
    <n v="2754.65"/>
    <n v="1.57"/>
    <n v="14.1"/>
    <n v="140.30000000000001"/>
    <n v="1.78"/>
    <n v="1211.3599999999999"/>
  </r>
  <r>
    <x v="253"/>
    <s v="Email Marketing"/>
    <s v="Product Launch"/>
    <s v="Premium Plan"/>
    <n v="23557"/>
    <n v="4202"/>
    <n v="399"/>
    <n v="227.27"/>
    <n v="59646.86"/>
    <n v="17.84"/>
    <n v="9.5"/>
    <n v="0.56999999999999995"/>
    <n v="262.45"/>
    <n v="59419.59"/>
  </r>
  <r>
    <x v="253"/>
    <s v="Organic Search"/>
    <s v="Brand Awareness"/>
    <s v="Enterprise Plan"/>
    <n v="25290"/>
    <n v="1715"/>
    <n v="215"/>
    <n v="0"/>
    <n v="25100.68"/>
    <n v="6.78"/>
    <n v="12.54"/>
    <n v="0"/>
    <n v="0"/>
    <n v="25100.68"/>
  </r>
  <r>
    <x v="253"/>
    <s v="Display Ads"/>
    <s v="Flash Sale"/>
    <s v="Basic Plan"/>
    <n v="26164"/>
    <n v="501"/>
    <n v="22"/>
    <n v="1225.9000000000001"/>
    <n v="2189.8000000000002"/>
    <n v="1.91"/>
    <n v="4.3899999999999997"/>
    <n v="55.72"/>
    <n v="1.79"/>
    <n v="963.9"/>
  </r>
  <r>
    <x v="253"/>
    <s v="YouTube Ads"/>
    <s v="Flash Sale"/>
    <s v="Add-on Service"/>
    <n v="18866"/>
    <n v="519"/>
    <n v="31"/>
    <n v="1148.0999999999999"/>
    <n v="3341.17"/>
    <n v="2.75"/>
    <n v="5.97"/>
    <n v="37.04"/>
    <n v="2.91"/>
    <n v="2193.0700000000002"/>
  </r>
  <r>
    <x v="253"/>
    <s v="Twitter Ads"/>
    <s v="Brand Awareness"/>
    <s v="Basic Plan"/>
    <n v="13113"/>
    <n v="413"/>
    <n v="14"/>
    <n v="766.03"/>
    <n v="1285.02"/>
    <n v="3.15"/>
    <n v="3.39"/>
    <n v="54.72"/>
    <n v="1.68"/>
    <n v="518.99"/>
  </r>
  <r>
    <x v="253"/>
    <s v="TikTok Ads"/>
    <s v="Retargeting"/>
    <s v="Basic Plan"/>
    <n v="25393"/>
    <n v="1024"/>
    <n v="31"/>
    <n v="728.2"/>
    <n v="2439.9299999999998"/>
    <n v="4.03"/>
    <n v="3.03"/>
    <n v="23.49"/>
    <n v="3.35"/>
    <n v="1711.73"/>
  </r>
  <r>
    <x v="253"/>
    <s v="Affiliate Marketing"/>
    <s v="Product Launch"/>
    <s v="Add-on Service"/>
    <n v="7585"/>
    <n v="458"/>
    <n v="48"/>
    <n v="371.6"/>
    <n v="4969.9799999999996"/>
    <n v="6.04"/>
    <n v="10.48"/>
    <n v="7.74"/>
    <n v="13.37"/>
    <n v="4598.38"/>
  </r>
  <r>
    <x v="253"/>
    <s v="Referral"/>
    <s v="Flash Sale"/>
    <s v="Enterprise Plan"/>
    <n v="3470"/>
    <n v="188"/>
    <n v="29"/>
    <n v="85.51"/>
    <n v="4067.34"/>
    <n v="5.42"/>
    <n v="15.43"/>
    <n v="2.95"/>
    <n v="47.57"/>
    <n v="3981.83"/>
  </r>
  <r>
    <x v="254"/>
    <s v="Google Ads"/>
    <s v="Retargeting"/>
    <s v="Basic Plan"/>
    <n v="8416"/>
    <n v="268"/>
    <n v="30"/>
    <n v="1135.56"/>
    <n v="4179.4399999999996"/>
    <n v="3.18"/>
    <n v="11.19"/>
    <n v="37.85"/>
    <n v="3.68"/>
    <n v="3043.88"/>
  </r>
  <r>
    <x v="254"/>
    <s v="Facebook Ads"/>
    <s v="Brand Awareness"/>
    <s v="Starter Kit"/>
    <n v="13399"/>
    <n v="515"/>
    <n v="29"/>
    <n v="1178.1099999999999"/>
    <n v="4063.64"/>
    <n v="3.84"/>
    <n v="5.63"/>
    <n v="40.619999999999997"/>
    <n v="3.45"/>
    <n v="2885.53"/>
  </r>
  <r>
    <x v="254"/>
    <s v="Instagram Ads"/>
    <s v="Product Launch"/>
    <s v="Basic Plan"/>
    <n v="10654"/>
    <n v="393"/>
    <n v="18"/>
    <n v="613.41999999999996"/>
    <n v="1715.83"/>
    <n v="3.69"/>
    <n v="4.58"/>
    <n v="34.08"/>
    <n v="2.8"/>
    <n v="1102.4100000000001"/>
  </r>
  <r>
    <x v="254"/>
    <s v="LinkedIn Ads"/>
    <s v="Product Launch"/>
    <s v="Premium Plan"/>
    <n v="4510"/>
    <n v="129"/>
    <n v="18"/>
    <n v="1642.01"/>
    <n v="3899.75"/>
    <n v="2.86"/>
    <n v="13.95"/>
    <n v="91.22"/>
    <n v="2.37"/>
    <n v="2257.7399999999998"/>
  </r>
  <r>
    <x v="254"/>
    <s v="Email Marketing"/>
    <s v="Retargeting"/>
    <s v="Starter Kit"/>
    <n v="18448"/>
    <n v="3581"/>
    <n v="286"/>
    <n v="197.99"/>
    <n v="31278.83"/>
    <n v="19.41"/>
    <n v="7.99"/>
    <n v="0.69"/>
    <n v="157.97999999999999"/>
    <n v="31080.84"/>
  </r>
  <r>
    <x v="254"/>
    <s v="Organic Search"/>
    <s v="Seasonal Promotion"/>
    <s v="Enterprise Plan"/>
    <n v="34648"/>
    <n v="1477"/>
    <n v="160"/>
    <n v="0"/>
    <n v="22495.4"/>
    <n v="4.26"/>
    <n v="10.83"/>
    <n v="0"/>
    <n v="0"/>
    <n v="22495.4"/>
  </r>
  <r>
    <x v="254"/>
    <s v="Display Ads"/>
    <s v="Seasonal Promotion"/>
    <s v="Starter Kit"/>
    <n v="36486"/>
    <n v="680"/>
    <n v="29"/>
    <n v="1090.76"/>
    <n v="3428.89"/>
    <n v="1.86"/>
    <n v="4.26"/>
    <n v="37.61"/>
    <n v="3.14"/>
    <n v="2338.13"/>
  </r>
  <r>
    <x v="254"/>
    <s v="YouTube Ads"/>
    <s v="Lead Generation"/>
    <s v="Add-on Service"/>
    <n v="20802"/>
    <n v="514"/>
    <n v="22"/>
    <n v="1063.69"/>
    <n v="2681.12"/>
    <n v="2.4700000000000002"/>
    <n v="4.28"/>
    <n v="48.35"/>
    <n v="2.52"/>
    <n v="1617.43"/>
  </r>
  <r>
    <x v="254"/>
    <s v="Twitter Ads"/>
    <s v="Lead Generation"/>
    <s v="Add-on Service"/>
    <n v="10621"/>
    <n v="305"/>
    <n v="10"/>
    <n v="474.62"/>
    <n v="1197.97"/>
    <n v="2.87"/>
    <n v="3.28"/>
    <n v="47.46"/>
    <n v="2.52"/>
    <n v="723.35"/>
  </r>
  <r>
    <x v="254"/>
    <s v="TikTok Ads"/>
    <s v="Product Launch"/>
    <s v="Enterprise Plan"/>
    <n v="29905"/>
    <n v="851"/>
    <n v="36"/>
    <n v="1070.3599999999999"/>
    <n v="2783.44"/>
    <n v="2.85"/>
    <n v="4.2300000000000004"/>
    <n v="29.73"/>
    <n v="2.6"/>
    <n v="1713.08"/>
  </r>
  <r>
    <x v="254"/>
    <s v="Affiliate Marketing"/>
    <s v="Flash Sale"/>
    <s v="Starter Kit"/>
    <n v="6846"/>
    <n v="474"/>
    <n v="46"/>
    <n v="447.14"/>
    <n v="5204.59"/>
    <n v="6.92"/>
    <n v="9.6999999999999993"/>
    <n v="9.7200000000000006"/>
    <n v="11.64"/>
    <n v="4757.45"/>
  </r>
  <r>
    <x v="254"/>
    <s v="Referral"/>
    <s v="Product Launch"/>
    <s v="Add-on Service"/>
    <n v="4590"/>
    <n v="404"/>
    <n v="63"/>
    <n v="128.21"/>
    <n v="8791.6200000000008"/>
    <n v="8.8000000000000007"/>
    <n v="15.59"/>
    <n v="2.04"/>
    <n v="68.569999999999993"/>
    <n v="8663.41"/>
  </r>
  <r>
    <x v="255"/>
    <s v="Google Ads"/>
    <s v="Seasonal Promotion"/>
    <s v="Basic Plan"/>
    <n v="13959"/>
    <n v="503"/>
    <n v="47"/>
    <n v="1159.97"/>
    <n v="7542.5"/>
    <n v="3.6"/>
    <n v="9.34"/>
    <n v="24.68"/>
    <n v="6.5"/>
    <n v="6382.53"/>
  </r>
  <r>
    <x v="255"/>
    <s v="Facebook Ads"/>
    <s v="Brand Awareness"/>
    <s v="Add-on Service"/>
    <n v="18101"/>
    <n v="662"/>
    <n v="36"/>
    <n v="1088.6400000000001"/>
    <n v="3731.38"/>
    <n v="3.66"/>
    <n v="5.44"/>
    <n v="30.24"/>
    <n v="3.43"/>
    <n v="2642.74"/>
  </r>
  <r>
    <x v="255"/>
    <s v="Instagram Ads"/>
    <s v="Lead Generation"/>
    <s v="Starter Kit"/>
    <n v="16539"/>
    <n v="684"/>
    <n v="30"/>
    <n v="513.54999999999995"/>
    <n v="3402.6"/>
    <n v="4.1399999999999997"/>
    <n v="4.3899999999999997"/>
    <n v="17.12"/>
    <n v="6.63"/>
    <n v="2889.05"/>
  </r>
  <r>
    <x v="255"/>
    <s v="LinkedIn Ads"/>
    <s v="Product Launch"/>
    <s v="Enterprise Plan"/>
    <n v="5697"/>
    <n v="103"/>
    <n v="13"/>
    <n v="1545.07"/>
    <n v="4258.49"/>
    <n v="1.81"/>
    <n v="12.62"/>
    <n v="118.85"/>
    <n v="2.76"/>
    <n v="2713.42"/>
  </r>
  <r>
    <x v="255"/>
    <s v="Email Marketing"/>
    <s v="Seasonal Promotion"/>
    <s v="Enterprise Plan"/>
    <n v="21136"/>
    <n v="3856"/>
    <n v="453"/>
    <n v="120.31"/>
    <n v="51192.45"/>
    <n v="18.239999999999998"/>
    <n v="11.75"/>
    <n v="0.27"/>
    <n v="425.5"/>
    <n v="51072.14"/>
  </r>
  <r>
    <x v="255"/>
    <s v="Organic Search"/>
    <s v="Retargeting"/>
    <s v="Premium Plan"/>
    <n v="31968"/>
    <n v="1558"/>
    <n v="210"/>
    <n v="0"/>
    <n v="26716.32"/>
    <n v="4.87"/>
    <n v="13.48"/>
    <n v="0"/>
    <n v="0"/>
    <n v="26716.32"/>
  </r>
  <r>
    <x v="255"/>
    <s v="Display Ads"/>
    <s v="Flash Sale"/>
    <s v="Add-on Service"/>
    <n v="39806"/>
    <n v="517"/>
    <n v="17"/>
    <n v="1011.63"/>
    <n v="2149.63"/>
    <n v="1.3"/>
    <n v="3.29"/>
    <n v="59.51"/>
    <n v="2.12"/>
    <n v="1138"/>
  </r>
  <r>
    <x v="255"/>
    <s v="YouTube Ads"/>
    <s v="Retargeting"/>
    <s v="Basic Plan"/>
    <n v="23731"/>
    <n v="537"/>
    <n v="32"/>
    <n v="1236.48"/>
    <n v="3401.25"/>
    <n v="2.2599999999999998"/>
    <n v="5.96"/>
    <n v="38.64"/>
    <n v="2.75"/>
    <n v="2164.77"/>
  </r>
  <r>
    <x v="255"/>
    <s v="Twitter Ads"/>
    <s v="Brand Awareness"/>
    <s v="Add-on Service"/>
    <n v="9072"/>
    <n v="266"/>
    <n v="15"/>
    <n v="720.6"/>
    <n v="1802.19"/>
    <n v="2.93"/>
    <n v="5.64"/>
    <n v="48.04"/>
    <n v="2.5"/>
    <n v="1081.5899999999999"/>
  </r>
  <r>
    <x v="255"/>
    <s v="TikTok Ads"/>
    <s v="Product Launch"/>
    <s v="Add-on Service"/>
    <n v="23887"/>
    <n v="897"/>
    <n v="61"/>
    <n v="1063.73"/>
    <n v="4825.3100000000004"/>
    <n v="3.76"/>
    <n v="6.8"/>
    <n v="17.440000000000001"/>
    <n v="4.54"/>
    <n v="3761.58"/>
  </r>
  <r>
    <x v="255"/>
    <s v="Affiliate Marketing"/>
    <s v="Lead Generation"/>
    <s v="Enterprise Plan"/>
    <n v="6284"/>
    <n v="320"/>
    <n v="31"/>
    <n v="511.85"/>
    <n v="3826.58"/>
    <n v="5.09"/>
    <n v="9.69"/>
    <n v="16.510000000000002"/>
    <n v="7.48"/>
    <n v="3314.73"/>
  </r>
  <r>
    <x v="255"/>
    <s v="Referral"/>
    <s v="Flash Sale"/>
    <s v="Premium Plan"/>
    <n v="6328"/>
    <n v="457"/>
    <n v="72"/>
    <n v="183.2"/>
    <n v="9684.2199999999993"/>
    <n v="7.22"/>
    <n v="15.75"/>
    <n v="2.54"/>
    <n v="52.86"/>
    <n v="9501.02"/>
  </r>
  <r>
    <x v="256"/>
    <s v="Google Ads"/>
    <s v="Flash Sale"/>
    <s v="Add-on Service"/>
    <n v="8110"/>
    <n v="346"/>
    <n v="29"/>
    <n v="942.71"/>
    <n v="5246.28"/>
    <n v="4.2699999999999996"/>
    <n v="8.3800000000000008"/>
    <n v="32.51"/>
    <n v="5.57"/>
    <n v="4303.57"/>
  </r>
  <r>
    <x v="256"/>
    <s v="Facebook Ads"/>
    <s v="Retargeting"/>
    <s v="Basic Plan"/>
    <n v="17951"/>
    <n v="632"/>
    <n v="52"/>
    <n v="653.73"/>
    <n v="5323.63"/>
    <n v="3.52"/>
    <n v="8.23"/>
    <n v="12.57"/>
    <n v="8.14"/>
    <n v="4669.8999999999996"/>
  </r>
  <r>
    <x v="256"/>
    <s v="Instagram Ads"/>
    <s v="Seasonal Promotion"/>
    <s v="Starter Kit"/>
    <n v="15800"/>
    <n v="410"/>
    <n v="31"/>
    <n v="615.55999999999995"/>
    <n v="2738.45"/>
    <n v="2.59"/>
    <n v="7.56"/>
    <n v="19.86"/>
    <n v="4.45"/>
    <n v="2122.89"/>
  </r>
  <r>
    <x v="256"/>
    <s v="LinkedIn Ads"/>
    <s v="Seasonal Promotion"/>
    <s v="Basic Plan"/>
    <n v="5818"/>
    <n v="140"/>
    <n v="20"/>
    <n v="1728.96"/>
    <n v="4679.59"/>
    <n v="2.41"/>
    <n v="14.29"/>
    <n v="86.45"/>
    <n v="2.71"/>
    <n v="2950.63"/>
  </r>
  <r>
    <x v="256"/>
    <s v="Email Marketing"/>
    <s v="Seasonal Promotion"/>
    <s v="Enterprise Plan"/>
    <n v="18839"/>
    <n v="4107"/>
    <n v="447"/>
    <n v="203.89"/>
    <n v="57452.2"/>
    <n v="21.8"/>
    <n v="10.88"/>
    <n v="0.46"/>
    <n v="281.77999999999997"/>
    <n v="57248.31"/>
  </r>
  <r>
    <x v="256"/>
    <s v="Organic Search"/>
    <s v="Product Launch"/>
    <s v="Starter Kit"/>
    <n v="26948"/>
    <n v="1841"/>
    <n v="278"/>
    <n v="0"/>
    <n v="30428.99"/>
    <n v="6.83"/>
    <n v="15.1"/>
    <n v="0"/>
    <n v="0"/>
    <n v="30428.99"/>
  </r>
  <r>
    <x v="256"/>
    <s v="Display Ads"/>
    <s v="Flash Sale"/>
    <s v="Enterprise Plan"/>
    <n v="26519"/>
    <n v="316"/>
    <n v="12"/>
    <n v="1184.5"/>
    <n v="1146.6300000000001"/>
    <n v="1.19"/>
    <n v="3.8"/>
    <n v="98.71"/>
    <n v="0.97"/>
    <n v="-37.869999999999997"/>
  </r>
  <r>
    <x v="256"/>
    <s v="YouTube Ads"/>
    <s v="Brand Awareness"/>
    <s v="Premium Plan"/>
    <n v="21246"/>
    <n v="371"/>
    <n v="16"/>
    <n v="1231.3499999999999"/>
    <n v="1980.95"/>
    <n v="1.75"/>
    <n v="4.3099999999999996"/>
    <n v="76.959999999999994"/>
    <n v="1.61"/>
    <n v="749.6"/>
  </r>
  <r>
    <x v="256"/>
    <s v="Twitter Ads"/>
    <s v="Seasonal Promotion"/>
    <s v="Premium Plan"/>
    <n v="9981"/>
    <n v="319"/>
    <n v="15"/>
    <n v="511.14"/>
    <n v="1109.3"/>
    <n v="3.2"/>
    <n v="4.7"/>
    <n v="34.08"/>
    <n v="2.17"/>
    <n v="598.16"/>
  </r>
  <r>
    <x v="256"/>
    <s v="TikTok Ads"/>
    <s v="Brand Awareness"/>
    <s v="Basic Plan"/>
    <n v="18340"/>
    <n v="671"/>
    <n v="34"/>
    <n v="1043.93"/>
    <n v="3278.16"/>
    <n v="3.66"/>
    <n v="5.07"/>
    <n v="30.7"/>
    <n v="3.14"/>
    <n v="2234.23"/>
  </r>
  <r>
    <x v="256"/>
    <s v="Affiliate Marketing"/>
    <s v="Lead Generation"/>
    <s v="Premium Plan"/>
    <n v="5826"/>
    <n v="304"/>
    <n v="39"/>
    <n v="497.51"/>
    <n v="4886.6099999999997"/>
    <n v="5.22"/>
    <n v="12.83"/>
    <n v="12.76"/>
    <n v="9.82"/>
    <n v="4389.1000000000004"/>
  </r>
  <r>
    <x v="256"/>
    <s v="Referral"/>
    <s v="Lead Generation"/>
    <s v="Premium Plan"/>
    <n v="5218"/>
    <n v="397"/>
    <n v="63"/>
    <n v="110.75"/>
    <n v="10122.799999999999"/>
    <n v="7.61"/>
    <n v="15.87"/>
    <n v="1.76"/>
    <n v="91.4"/>
    <n v="10012.049999999999"/>
  </r>
  <r>
    <x v="257"/>
    <s v="Google Ads"/>
    <s v="Retargeting"/>
    <s v="Basic Plan"/>
    <n v="7457"/>
    <n v="238"/>
    <n v="21"/>
    <n v="737.96"/>
    <n v="3129.74"/>
    <n v="3.19"/>
    <n v="8.82"/>
    <n v="35.14"/>
    <n v="4.24"/>
    <n v="2391.7800000000002"/>
  </r>
  <r>
    <x v="257"/>
    <s v="Facebook Ads"/>
    <s v="Brand Awareness"/>
    <s v="Premium Plan"/>
    <n v="8802"/>
    <n v="350"/>
    <n v="22"/>
    <n v="663.38"/>
    <n v="2779.03"/>
    <n v="3.98"/>
    <n v="6.29"/>
    <n v="30.15"/>
    <n v="4.1900000000000004"/>
    <n v="2115.65"/>
  </r>
  <r>
    <x v="257"/>
    <s v="Instagram Ads"/>
    <s v="Seasonal Promotion"/>
    <s v="Starter Kit"/>
    <n v="8275"/>
    <n v="235"/>
    <n v="13"/>
    <n v="579.04999999999995"/>
    <n v="1237.71"/>
    <n v="2.84"/>
    <n v="5.53"/>
    <n v="44.54"/>
    <n v="2.14"/>
    <n v="658.66"/>
  </r>
  <r>
    <x v="257"/>
    <s v="LinkedIn Ads"/>
    <s v="Flash Sale"/>
    <s v="Starter Kit"/>
    <n v="3603"/>
    <n v="86"/>
    <n v="8"/>
    <n v="1004.65"/>
    <n v="2478.94"/>
    <n v="2.39"/>
    <n v="9.3000000000000007"/>
    <n v="125.58"/>
    <n v="2.4700000000000002"/>
    <n v="1474.29"/>
  </r>
  <r>
    <x v="257"/>
    <s v="Email Marketing"/>
    <s v="Seasonal Promotion"/>
    <s v="Add-on Service"/>
    <n v="14976"/>
    <n v="3153"/>
    <n v="378"/>
    <n v="164.04"/>
    <n v="58244.98"/>
    <n v="21.05"/>
    <n v="11.99"/>
    <n v="0.43"/>
    <n v="355.07"/>
    <n v="58080.94"/>
  </r>
  <r>
    <x v="257"/>
    <s v="Organic Search"/>
    <s v="Flash Sale"/>
    <s v="Add-on Service"/>
    <n v="18046"/>
    <n v="1302"/>
    <n v="156"/>
    <n v="0"/>
    <n v="22655.75"/>
    <n v="7.21"/>
    <n v="11.98"/>
    <n v="0"/>
    <n v="0"/>
    <n v="22655.75"/>
  </r>
  <r>
    <x v="257"/>
    <s v="Display Ads"/>
    <s v="Product Launch"/>
    <s v="Premium Plan"/>
    <n v="20640"/>
    <n v="410"/>
    <n v="19"/>
    <n v="653.98"/>
    <n v="1867.9"/>
    <n v="1.99"/>
    <n v="4.63"/>
    <n v="34.42"/>
    <n v="2.86"/>
    <n v="1213.92"/>
  </r>
  <r>
    <x v="257"/>
    <s v="YouTube Ads"/>
    <s v="Product Launch"/>
    <s v="Basic Plan"/>
    <n v="17408"/>
    <n v="308"/>
    <n v="23"/>
    <n v="940.24"/>
    <n v="2611.46"/>
    <n v="1.77"/>
    <n v="7.47"/>
    <n v="40.880000000000003"/>
    <n v="2.78"/>
    <n v="1671.22"/>
  </r>
  <r>
    <x v="257"/>
    <s v="Twitter Ads"/>
    <s v="Seasonal Promotion"/>
    <s v="Premium Plan"/>
    <n v="8218"/>
    <n v="224"/>
    <n v="8"/>
    <n v="351.52"/>
    <n v="896.22"/>
    <n v="2.73"/>
    <n v="3.57"/>
    <n v="43.94"/>
    <n v="2.5499999999999998"/>
    <n v="544.70000000000005"/>
  </r>
  <r>
    <x v="257"/>
    <s v="TikTok Ads"/>
    <s v="Brand Awareness"/>
    <s v="Basic Plan"/>
    <n v="20970"/>
    <n v="791"/>
    <n v="51"/>
    <n v="628"/>
    <n v="4412.8"/>
    <n v="3.77"/>
    <n v="6.45"/>
    <n v="12.31"/>
    <n v="7.03"/>
    <n v="3784.8"/>
  </r>
  <r>
    <x v="257"/>
    <s v="Affiliate Marketing"/>
    <s v="Flash Sale"/>
    <s v="Starter Kit"/>
    <n v="4120"/>
    <n v="254"/>
    <n v="32"/>
    <n v="220.63"/>
    <n v="3729.28"/>
    <n v="6.17"/>
    <n v="12.6"/>
    <n v="6.89"/>
    <n v="16.899999999999999"/>
    <n v="3508.65"/>
  </r>
  <r>
    <x v="257"/>
    <s v="Referral"/>
    <s v="Brand Awareness"/>
    <s v="Starter Kit"/>
    <n v="4040"/>
    <n v="344"/>
    <n v="51"/>
    <n v="62.88"/>
    <n v="7908"/>
    <n v="8.51"/>
    <n v="14.83"/>
    <n v="1.23"/>
    <n v="125.76"/>
    <n v="7845.12"/>
  </r>
  <r>
    <x v="258"/>
    <s v="Google Ads"/>
    <s v="Flash Sale"/>
    <s v="Premium Plan"/>
    <n v="6028"/>
    <n v="276"/>
    <n v="28"/>
    <n v="951.36"/>
    <n v="3371.08"/>
    <n v="4.58"/>
    <n v="10.14"/>
    <n v="33.979999999999997"/>
    <n v="3.54"/>
    <n v="2419.7199999999998"/>
  </r>
  <r>
    <x v="258"/>
    <s v="Facebook Ads"/>
    <s v="Product Launch"/>
    <s v="Add-on Service"/>
    <n v="11575"/>
    <n v="399"/>
    <n v="28"/>
    <n v="442.24"/>
    <n v="3374.64"/>
    <n v="3.45"/>
    <n v="7.02"/>
    <n v="15.79"/>
    <n v="7.63"/>
    <n v="2932.4"/>
  </r>
  <r>
    <x v="258"/>
    <s v="Instagram Ads"/>
    <s v="Flash Sale"/>
    <s v="Starter Kit"/>
    <n v="9420"/>
    <n v="410"/>
    <n v="16"/>
    <n v="352.86"/>
    <n v="1378.82"/>
    <n v="4.3499999999999996"/>
    <n v="3.9"/>
    <n v="22.05"/>
    <n v="3.91"/>
    <n v="1025.96"/>
  </r>
  <r>
    <x v="258"/>
    <s v="LinkedIn Ads"/>
    <s v="Product Launch"/>
    <s v="Premium Plan"/>
    <n v="3299"/>
    <n v="80"/>
    <n v="9"/>
    <n v="836.78"/>
    <n v="2419.46"/>
    <n v="2.42"/>
    <n v="11.25"/>
    <n v="92.98"/>
    <n v="2.89"/>
    <n v="1582.68"/>
  </r>
  <r>
    <x v="258"/>
    <s v="Email Marketing"/>
    <s v="Seasonal Promotion"/>
    <s v="Enterprise Plan"/>
    <n v="13869"/>
    <n v="2744"/>
    <n v="277"/>
    <n v="93.18"/>
    <n v="33715.03"/>
    <n v="19.79"/>
    <n v="10.09"/>
    <n v="0.34"/>
    <n v="361.83"/>
    <n v="33621.85"/>
  </r>
  <r>
    <x v="258"/>
    <s v="Organic Search"/>
    <s v="Seasonal Promotion"/>
    <s v="Premium Plan"/>
    <n v="18772"/>
    <n v="991"/>
    <n v="143"/>
    <n v="0"/>
    <n v="16853.189999999999"/>
    <n v="5.28"/>
    <n v="14.43"/>
    <n v="0"/>
    <n v="0"/>
    <n v="16853.189999999999"/>
  </r>
  <r>
    <x v="258"/>
    <s v="Display Ads"/>
    <s v="Flash Sale"/>
    <s v="Premium Plan"/>
    <n v="18125"/>
    <n v="332"/>
    <n v="15"/>
    <n v="549.9"/>
    <n v="1555.31"/>
    <n v="1.83"/>
    <n v="4.5199999999999996"/>
    <n v="36.659999999999997"/>
    <n v="2.83"/>
    <n v="1005.41"/>
  </r>
  <r>
    <x v="258"/>
    <s v="YouTube Ads"/>
    <s v="Product Launch"/>
    <s v="Premium Plan"/>
    <n v="17201"/>
    <n v="280"/>
    <n v="18"/>
    <n v="669.4"/>
    <n v="2218.88"/>
    <n v="1.63"/>
    <n v="6.43"/>
    <n v="37.19"/>
    <n v="3.31"/>
    <n v="1549.48"/>
  </r>
  <r>
    <x v="258"/>
    <s v="Twitter Ads"/>
    <s v="Lead Generation"/>
    <s v="Add-on Service"/>
    <n v="6929"/>
    <n v="196"/>
    <n v="6"/>
    <n v="473.87"/>
    <n v="533.17999999999995"/>
    <n v="2.83"/>
    <n v="3.06"/>
    <n v="78.98"/>
    <n v="1.1299999999999999"/>
    <n v="59.31"/>
  </r>
  <r>
    <x v="258"/>
    <s v="TikTok Ads"/>
    <s v="Brand Awareness"/>
    <s v="Premium Plan"/>
    <n v="13599"/>
    <n v="421"/>
    <n v="21"/>
    <n v="461.13"/>
    <n v="2120.06"/>
    <n v="3.1"/>
    <n v="4.99"/>
    <n v="21.96"/>
    <n v="4.5999999999999996"/>
    <n v="1658.93"/>
  </r>
  <r>
    <x v="258"/>
    <s v="Affiliate Marketing"/>
    <s v="Flash Sale"/>
    <s v="Basic Plan"/>
    <n v="5329"/>
    <n v="360"/>
    <n v="45"/>
    <n v="385.99"/>
    <n v="5891.45"/>
    <n v="6.76"/>
    <n v="12.5"/>
    <n v="8.58"/>
    <n v="15.26"/>
    <n v="5505.46"/>
  </r>
  <r>
    <x v="258"/>
    <s v="Referral"/>
    <s v="Seasonal Promotion"/>
    <s v="Starter Kit"/>
    <n v="4773"/>
    <n v="417"/>
    <n v="67"/>
    <n v="59.7"/>
    <n v="11963.71"/>
    <n v="8.74"/>
    <n v="16.07"/>
    <n v="0.89"/>
    <n v="200.4"/>
    <n v="11904.01"/>
  </r>
  <r>
    <x v="259"/>
    <s v="Google Ads"/>
    <s v="Lead Generation"/>
    <s v="Basic Plan"/>
    <n v="10332"/>
    <n v="369"/>
    <n v="40"/>
    <n v="847.22"/>
    <n v="6452.37"/>
    <n v="3.57"/>
    <n v="10.84"/>
    <n v="21.18"/>
    <n v="7.62"/>
    <n v="5605.15"/>
  </r>
  <r>
    <x v="259"/>
    <s v="Facebook Ads"/>
    <s v="Seasonal Promotion"/>
    <s v="Basic Plan"/>
    <n v="17683"/>
    <n v="446"/>
    <n v="37"/>
    <n v="1097.04"/>
    <n v="4383.51"/>
    <n v="2.52"/>
    <n v="8.3000000000000007"/>
    <n v="29.65"/>
    <n v="4"/>
    <n v="3286.47"/>
  </r>
  <r>
    <x v="259"/>
    <s v="Instagram Ads"/>
    <s v="Seasonal Promotion"/>
    <s v="Basic Plan"/>
    <n v="12576"/>
    <n v="333"/>
    <n v="19"/>
    <n v="660.27"/>
    <n v="1778.79"/>
    <n v="2.65"/>
    <n v="5.71"/>
    <n v="34.75"/>
    <n v="2.69"/>
    <n v="1118.52"/>
  </r>
  <r>
    <x v="259"/>
    <s v="LinkedIn Ads"/>
    <s v="Seasonal Promotion"/>
    <s v="Add-on Service"/>
    <n v="3516"/>
    <n v="105"/>
    <n v="10"/>
    <n v="1029.5"/>
    <n v="3466.38"/>
    <n v="2.99"/>
    <n v="9.52"/>
    <n v="102.95"/>
    <n v="3.37"/>
    <n v="2436.88"/>
  </r>
  <r>
    <x v="259"/>
    <s v="Email Marketing"/>
    <s v="Retargeting"/>
    <s v="Premium Plan"/>
    <n v="20625"/>
    <n v="4939"/>
    <n v="671"/>
    <n v="228.03"/>
    <n v="78409.460000000006"/>
    <n v="23.95"/>
    <n v="13.59"/>
    <n v="0.34"/>
    <n v="343.86"/>
    <n v="78181.429999999993"/>
  </r>
  <r>
    <x v="259"/>
    <s v="Organic Search"/>
    <s v="Flash Sale"/>
    <s v="Add-on Service"/>
    <n v="33318"/>
    <n v="1686"/>
    <n v="263"/>
    <n v="0"/>
    <n v="36321.47"/>
    <n v="5.0599999999999996"/>
    <n v="15.6"/>
    <n v="0"/>
    <n v="0"/>
    <n v="36321.47"/>
  </r>
  <r>
    <x v="259"/>
    <s v="Display Ads"/>
    <s v="Product Launch"/>
    <s v="Starter Kit"/>
    <n v="32266"/>
    <n v="525"/>
    <n v="23"/>
    <n v="1108.69"/>
    <n v="2712.31"/>
    <n v="1.63"/>
    <n v="4.38"/>
    <n v="48.2"/>
    <n v="2.4500000000000002"/>
    <n v="1603.62"/>
  </r>
  <r>
    <x v="259"/>
    <s v="YouTube Ads"/>
    <s v="Flash Sale"/>
    <s v="Starter Kit"/>
    <n v="18581"/>
    <n v="295"/>
    <n v="20"/>
    <n v="1349.57"/>
    <n v="2440.4899999999998"/>
    <n v="1.59"/>
    <n v="6.78"/>
    <n v="67.48"/>
    <n v="1.81"/>
    <n v="1090.92"/>
  </r>
  <r>
    <x v="259"/>
    <s v="Twitter Ads"/>
    <s v="Brand Awareness"/>
    <s v="Basic Plan"/>
    <n v="11139"/>
    <n v="360"/>
    <n v="20"/>
    <n v="623.03"/>
    <n v="1959.77"/>
    <n v="3.23"/>
    <n v="5.56"/>
    <n v="31.15"/>
    <n v="3.15"/>
    <n v="1336.74"/>
  </r>
  <r>
    <x v="259"/>
    <s v="TikTok Ads"/>
    <s v="Lead Generation"/>
    <s v="Add-on Service"/>
    <n v="28404"/>
    <n v="972"/>
    <n v="53"/>
    <n v="629.29"/>
    <n v="6042.72"/>
    <n v="3.42"/>
    <n v="5.45"/>
    <n v="11.87"/>
    <n v="9.6"/>
    <n v="5413.43"/>
  </r>
  <r>
    <x v="259"/>
    <s v="Affiliate Marketing"/>
    <s v="Retargeting"/>
    <s v="Add-on Service"/>
    <n v="9874"/>
    <n v="618"/>
    <n v="53"/>
    <n v="506.84"/>
    <n v="7505.28"/>
    <n v="6.26"/>
    <n v="8.58"/>
    <n v="9.56"/>
    <n v="14.81"/>
    <n v="6998.44"/>
  </r>
  <r>
    <x v="259"/>
    <s v="Referral"/>
    <s v="Product Launch"/>
    <s v="Basic Plan"/>
    <n v="6662"/>
    <n v="333"/>
    <n v="42"/>
    <n v="59.86"/>
    <n v="6058.82"/>
    <n v="5"/>
    <n v="12.61"/>
    <n v="1.43"/>
    <n v="101.22"/>
    <n v="5998.96"/>
  </r>
  <r>
    <x v="260"/>
    <s v="Google Ads"/>
    <s v="Seasonal Promotion"/>
    <s v="Add-on Service"/>
    <n v="10030"/>
    <n v="359"/>
    <n v="42"/>
    <n v="809.05"/>
    <n v="5518.63"/>
    <n v="3.58"/>
    <n v="11.7"/>
    <n v="19.260000000000002"/>
    <n v="6.82"/>
    <n v="4709.58"/>
  </r>
  <r>
    <x v="260"/>
    <s v="Facebook Ads"/>
    <s v="Retargeting"/>
    <s v="Enterprise Plan"/>
    <n v="17181"/>
    <n v="361"/>
    <n v="28"/>
    <n v="956.45"/>
    <n v="3311.68"/>
    <n v="2.1"/>
    <n v="7.76"/>
    <n v="34.159999999999997"/>
    <n v="3.46"/>
    <n v="2355.23"/>
  </r>
  <r>
    <x v="260"/>
    <s v="Instagram Ads"/>
    <s v="Product Launch"/>
    <s v="Add-on Service"/>
    <n v="17384"/>
    <n v="453"/>
    <n v="26"/>
    <n v="767.76"/>
    <n v="2039.27"/>
    <n v="2.61"/>
    <n v="5.74"/>
    <n v="29.53"/>
    <n v="2.66"/>
    <n v="1271.51"/>
  </r>
  <r>
    <x v="260"/>
    <s v="LinkedIn Ads"/>
    <s v="Product Launch"/>
    <s v="Enterprise Plan"/>
    <n v="4140"/>
    <n v="109"/>
    <n v="14"/>
    <n v="1530.91"/>
    <n v="4034.39"/>
    <n v="2.63"/>
    <n v="12.84"/>
    <n v="109.35"/>
    <n v="2.64"/>
    <n v="2503.48"/>
  </r>
  <r>
    <x v="260"/>
    <s v="Email Marketing"/>
    <s v="Retargeting"/>
    <s v="Starter Kit"/>
    <n v="23066"/>
    <n v="4678"/>
    <n v="601"/>
    <n v="144.38999999999999"/>
    <n v="97176.91"/>
    <n v="20.28"/>
    <n v="12.85"/>
    <n v="0.24"/>
    <n v="673.02"/>
    <n v="97032.52"/>
  </r>
  <r>
    <x v="260"/>
    <s v="Organic Search"/>
    <s v="Flash Sale"/>
    <s v="Enterprise Plan"/>
    <n v="21756"/>
    <n v="1683"/>
    <n v="219"/>
    <n v="0"/>
    <n v="25011.31"/>
    <n v="7.74"/>
    <n v="13.01"/>
    <n v="0"/>
    <n v="0"/>
    <n v="25011.31"/>
  </r>
  <r>
    <x v="260"/>
    <s v="Display Ads"/>
    <s v="Seasonal Promotion"/>
    <s v="Basic Plan"/>
    <n v="39305"/>
    <n v="457"/>
    <n v="22"/>
    <n v="890.5"/>
    <n v="2816.49"/>
    <n v="1.1599999999999999"/>
    <n v="4.8099999999999996"/>
    <n v="40.479999999999997"/>
    <n v="3.16"/>
    <n v="1925.99"/>
  </r>
  <r>
    <x v="260"/>
    <s v="YouTube Ads"/>
    <s v="Seasonal Promotion"/>
    <s v="Add-on Service"/>
    <n v="17954"/>
    <n v="446"/>
    <n v="23"/>
    <n v="1080.5"/>
    <n v="3099.62"/>
    <n v="2.48"/>
    <n v="5.16"/>
    <n v="46.98"/>
    <n v="2.87"/>
    <n v="2019.12"/>
  </r>
  <r>
    <x v="260"/>
    <s v="Twitter Ads"/>
    <s v="Lead Generation"/>
    <s v="Starter Kit"/>
    <n v="13443"/>
    <n v="287"/>
    <n v="12"/>
    <n v="715.57"/>
    <n v="1195.26"/>
    <n v="2.13"/>
    <n v="4.18"/>
    <n v="59.63"/>
    <n v="1.67"/>
    <n v="479.69"/>
  </r>
  <r>
    <x v="260"/>
    <s v="TikTok Ads"/>
    <s v="Seasonal Promotion"/>
    <s v="Enterprise Plan"/>
    <n v="19797"/>
    <n v="795"/>
    <n v="52"/>
    <n v="997.94"/>
    <n v="3793.63"/>
    <n v="4.0199999999999996"/>
    <n v="6.54"/>
    <n v="19.190000000000001"/>
    <n v="3.8"/>
    <n v="2795.69"/>
  </r>
  <r>
    <x v="260"/>
    <s v="Affiliate Marketing"/>
    <s v="Product Launch"/>
    <s v="Starter Kit"/>
    <n v="7940"/>
    <n v="508"/>
    <n v="62"/>
    <n v="338.66"/>
    <n v="8120.86"/>
    <n v="6.4"/>
    <n v="12.2"/>
    <n v="5.46"/>
    <n v="23.98"/>
    <n v="7782.2"/>
  </r>
  <r>
    <x v="260"/>
    <s v="Referral"/>
    <s v="Retargeting"/>
    <s v="Starter Kit"/>
    <n v="6896"/>
    <n v="662"/>
    <n v="81"/>
    <n v="80.27"/>
    <n v="12331.09"/>
    <n v="9.6"/>
    <n v="12.24"/>
    <n v="0.99"/>
    <n v="153.62"/>
    <n v="12250.82"/>
  </r>
  <r>
    <x v="261"/>
    <s v="Google Ads"/>
    <s v="Brand Awareness"/>
    <s v="Premium Plan"/>
    <n v="13375"/>
    <n v="577"/>
    <n v="60"/>
    <n v="1188.21"/>
    <n v="9651.7900000000009"/>
    <n v="4.3099999999999996"/>
    <n v="10.4"/>
    <n v="19.8"/>
    <n v="8.1199999999999992"/>
    <n v="8463.58"/>
  </r>
  <r>
    <x v="261"/>
    <s v="Facebook Ads"/>
    <s v="Product Launch"/>
    <s v="Add-on Service"/>
    <n v="19564"/>
    <n v="758"/>
    <n v="61"/>
    <n v="807.27"/>
    <n v="6749.2"/>
    <n v="3.87"/>
    <n v="8.0500000000000007"/>
    <n v="13.23"/>
    <n v="8.36"/>
    <n v="5941.93"/>
  </r>
  <r>
    <x v="261"/>
    <s v="Instagram Ads"/>
    <s v="Brand Awareness"/>
    <s v="Add-on Service"/>
    <n v="10362"/>
    <n v="296"/>
    <n v="13"/>
    <n v="865.97"/>
    <n v="1250.32"/>
    <n v="2.86"/>
    <n v="4.3899999999999997"/>
    <n v="66.61"/>
    <n v="1.44"/>
    <n v="384.35"/>
  </r>
  <r>
    <x v="261"/>
    <s v="LinkedIn Ads"/>
    <s v="Lead Generation"/>
    <s v="Enterprise Plan"/>
    <n v="3892"/>
    <n v="113"/>
    <n v="11"/>
    <n v="1553.13"/>
    <n v="3338.8"/>
    <n v="2.9"/>
    <n v="9.73"/>
    <n v="141.19"/>
    <n v="2.15"/>
    <n v="1785.67"/>
  </r>
  <r>
    <x v="261"/>
    <s v="Email Marketing"/>
    <s v="Brand Awareness"/>
    <s v="Enterprise Plan"/>
    <n v="23769"/>
    <n v="4641"/>
    <n v="463"/>
    <n v="164.98"/>
    <n v="55244.25"/>
    <n v="19.53"/>
    <n v="9.98"/>
    <n v="0.36"/>
    <n v="334.85"/>
    <n v="55079.27"/>
  </r>
  <r>
    <x v="261"/>
    <s v="Organic Search"/>
    <s v="Lead Generation"/>
    <s v="Basic Plan"/>
    <n v="28539"/>
    <n v="1245"/>
    <n v="159"/>
    <n v="0"/>
    <n v="20101.22"/>
    <n v="4.3600000000000003"/>
    <n v="12.77"/>
    <n v="0"/>
    <n v="0"/>
    <n v="20101.22"/>
  </r>
  <r>
    <x v="261"/>
    <s v="Display Ads"/>
    <s v="Product Launch"/>
    <s v="Premium Plan"/>
    <n v="37276"/>
    <n v="743"/>
    <n v="26"/>
    <n v="1163.93"/>
    <n v="2035.24"/>
    <n v="1.99"/>
    <n v="3.5"/>
    <n v="44.77"/>
    <n v="1.75"/>
    <n v="871.31"/>
  </r>
  <r>
    <x v="261"/>
    <s v="YouTube Ads"/>
    <s v="Flash Sale"/>
    <s v="Enterprise Plan"/>
    <n v="21853"/>
    <n v="351"/>
    <n v="21"/>
    <n v="830.12"/>
    <n v="2023.12"/>
    <n v="1.61"/>
    <n v="5.98"/>
    <n v="39.53"/>
    <n v="2.44"/>
    <n v="1193"/>
  </r>
  <r>
    <x v="261"/>
    <s v="Twitter Ads"/>
    <s v="Seasonal Promotion"/>
    <s v="Add-on Service"/>
    <n v="11227"/>
    <n v="386"/>
    <n v="12"/>
    <n v="553.17999999999995"/>
    <n v="1098.56"/>
    <n v="3.44"/>
    <n v="3.11"/>
    <n v="46.1"/>
    <n v="1.99"/>
    <n v="545.38"/>
  </r>
  <r>
    <x v="261"/>
    <s v="TikTok Ads"/>
    <s v="Seasonal Promotion"/>
    <s v="Add-on Service"/>
    <n v="27496"/>
    <n v="1052"/>
    <n v="38"/>
    <n v="777.29"/>
    <n v="3979.25"/>
    <n v="3.83"/>
    <n v="3.61"/>
    <n v="20.45"/>
    <n v="5.12"/>
    <n v="3201.96"/>
  </r>
  <r>
    <x v="261"/>
    <s v="Affiliate Marketing"/>
    <s v="Seasonal Promotion"/>
    <s v="Basic Plan"/>
    <n v="9359"/>
    <n v="648"/>
    <n v="60"/>
    <n v="610.97"/>
    <n v="7001.79"/>
    <n v="6.92"/>
    <n v="9.26"/>
    <n v="10.18"/>
    <n v="11.46"/>
    <n v="6390.82"/>
  </r>
  <r>
    <x v="261"/>
    <s v="Referral"/>
    <s v="Brand Awareness"/>
    <s v="Premium Plan"/>
    <n v="5657"/>
    <n v="491"/>
    <n v="81"/>
    <n v="186.81"/>
    <n v="11267.16"/>
    <n v="8.68"/>
    <n v="16.5"/>
    <n v="2.31"/>
    <n v="60.31"/>
    <n v="11080.35"/>
  </r>
  <r>
    <x v="262"/>
    <s v="Google Ads"/>
    <s v="Retargeting"/>
    <s v="Enterprise Plan"/>
    <n v="11699"/>
    <n v="449"/>
    <n v="50"/>
    <n v="1184.49"/>
    <n v="7461.27"/>
    <n v="3.84"/>
    <n v="11.14"/>
    <n v="23.69"/>
    <n v="6.3"/>
    <n v="6276.78"/>
  </r>
  <r>
    <x v="262"/>
    <s v="Facebook Ads"/>
    <s v="Lead Generation"/>
    <s v="Basic Plan"/>
    <n v="12802"/>
    <n v="434"/>
    <n v="36"/>
    <n v="864.47"/>
    <n v="3806.97"/>
    <n v="3.39"/>
    <n v="8.2899999999999991"/>
    <n v="24.01"/>
    <n v="4.4000000000000004"/>
    <n v="2942.5"/>
  </r>
  <r>
    <x v="262"/>
    <s v="Instagram Ads"/>
    <s v="Product Launch"/>
    <s v="Enterprise Plan"/>
    <n v="11375"/>
    <n v="368"/>
    <n v="17"/>
    <n v="519.11"/>
    <n v="1609.21"/>
    <n v="3.24"/>
    <n v="4.62"/>
    <n v="30.54"/>
    <n v="3.1"/>
    <n v="1090.0999999999999"/>
  </r>
  <r>
    <x v="262"/>
    <s v="LinkedIn Ads"/>
    <s v="Seasonal Promotion"/>
    <s v="Basic Plan"/>
    <n v="4370"/>
    <n v="83"/>
    <n v="9"/>
    <n v="1432.04"/>
    <n v="1773.28"/>
    <n v="1.9"/>
    <n v="10.84"/>
    <n v="159.12"/>
    <n v="1.24"/>
    <n v="341.24"/>
  </r>
  <r>
    <x v="262"/>
    <s v="Email Marketing"/>
    <s v="Lead Generation"/>
    <s v="Enterprise Plan"/>
    <n v="17970"/>
    <n v="4069"/>
    <n v="404"/>
    <n v="272.48"/>
    <n v="46229.75"/>
    <n v="22.64"/>
    <n v="9.93"/>
    <n v="0.67"/>
    <n v="169.66"/>
    <n v="45957.27"/>
  </r>
  <r>
    <x v="262"/>
    <s v="Organic Search"/>
    <s v="Product Launch"/>
    <s v="Premium Plan"/>
    <n v="34550"/>
    <n v="1815"/>
    <n v="227"/>
    <n v="0"/>
    <n v="31926.83"/>
    <n v="5.25"/>
    <n v="12.51"/>
    <n v="0"/>
    <n v="0"/>
    <n v="31926.83"/>
  </r>
  <r>
    <x v="262"/>
    <s v="Display Ads"/>
    <s v="Seasonal Promotion"/>
    <s v="Starter Kit"/>
    <n v="32023"/>
    <n v="424"/>
    <n v="12"/>
    <n v="1234.04"/>
    <n v="1082.19"/>
    <n v="1.32"/>
    <n v="2.83"/>
    <n v="102.84"/>
    <n v="0.88"/>
    <n v="-151.85"/>
  </r>
  <r>
    <x v="262"/>
    <s v="YouTube Ads"/>
    <s v="Seasonal Promotion"/>
    <s v="Basic Plan"/>
    <n v="23595"/>
    <n v="642"/>
    <n v="43"/>
    <n v="1262.96"/>
    <n v="5185.6099999999997"/>
    <n v="2.72"/>
    <n v="6.7"/>
    <n v="29.37"/>
    <n v="4.1100000000000003"/>
    <n v="3922.65"/>
  </r>
  <r>
    <x v="262"/>
    <s v="Twitter Ads"/>
    <s v="Flash Sale"/>
    <s v="Premium Plan"/>
    <n v="12764"/>
    <n v="385"/>
    <n v="17"/>
    <n v="781.17"/>
    <n v="1862.31"/>
    <n v="3.02"/>
    <n v="4.42"/>
    <n v="45.95"/>
    <n v="2.38"/>
    <n v="1081.1400000000001"/>
  </r>
  <r>
    <x v="262"/>
    <s v="TikTok Ads"/>
    <s v="Flash Sale"/>
    <s v="Enterprise Plan"/>
    <n v="21763"/>
    <n v="848"/>
    <n v="33"/>
    <n v="928.19"/>
    <n v="3055.21"/>
    <n v="3.9"/>
    <n v="3.89"/>
    <n v="28.13"/>
    <n v="3.29"/>
    <n v="2127.02"/>
  </r>
  <r>
    <x v="262"/>
    <s v="Affiliate Marketing"/>
    <s v="Retargeting"/>
    <s v="Basic Plan"/>
    <n v="6856"/>
    <n v="446"/>
    <n v="45"/>
    <n v="370.13"/>
    <n v="4945.4399999999996"/>
    <n v="6.51"/>
    <n v="10.09"/>
    <n v="8.23"/>
    <n v="13.36"/>
    <n v="4575.3100000000004"/>
  </r>
  <r>
    <x v="262"/>
    <s v="Referral"/>
    <s v="Retargeting"/>
    <s v="Add-on Service"/>
    <n v="6943"/>
    <n v="453"/>
    <n v="63"/>
    <n v="150.07"/>
    <n v="8531.57"/>
    <n v="6.52"/>
    <n v="13.91"/>
    <n v="2.38"/>
    <n v="56.85"/>
    <n v="8381.5"/>
  </r>
  <r>
    <x v="263"/>
    <s v="Google Ads"/>
    <s v="Brand Awareness"/>
    <s v="Add-on Service"/>
    <n v="10883"/>
    <n v="471"/>
    <n v="45"/>
    <n v="1242.02"/>
    <n v="7277.05"/>
    <n v="4.33"/>
    <n v="9.5500000000000007"/>
    <n v="27.6"/>
    <n v="5.86"/>
    <n v="6035.03"/>
  </r>
  <r>
    <x v="263"/>
    <s v="Facebook Ads"/>
    <s v="Flash Sale"/>
    <s v="Enterprise Plan"/>
    <n v="12996"/>
    <n v="356"/>
    <n v="26"/>
    <n v="1114.1500000000001"/>
    <n v="3678.2"/>
    <n v="2.74"/>
    <n v="7.3"/>
    <n v="42.85"/>
    <n v="3.3"/>
    <n v="2564.0500000000002"/>
  </r>
  <r>
    <x v="263"/>
    <s v="Instagram Ads"/>
    <s v="Brand Awareness"/>
    <s v="Add-on Service"/>
    <n v="16710"/>
    <n v="440"/>
    <n v="26"/>
    <n v="657.16"/>
    <n v="2696.12"/>
    <n v="2.63"/>
    <n v="5.91"/>
    <n v="25.28"/>
    <n v="4.0999999999999996"/>
    <n v="2038.96"/>
  </r>
  <r>
    <x v="263"/>
    <s v="LinkedIn Ads"/>
    <s v="Retargeting"/>
    <s v="Premium Plan"/>
    <n v="3598"/>
    <n v="73"/>
    <n v="7"/>
    <n v="1350.21"/>
    <n v="1645.97"/>
    <n v="2.0299999999999998"/>
    <n v="9.59"/>
    <n v="192.89"/>
    <n v="1.22"/>
    <n v="295.76"/>
  </r>
  <r>
    <x v="263"/>
    <s v="Email Marketing"/>
    <s v="Brand Awareness"/>
    <s v="Enterprise Plan"/>
    <n v="24423"/>
    <n v="4951"/>
    <n v="651"/>
    <n v="210.81"/>
    <n v="95710.080000000002"/>
    <n v="20.27"/>
    <n v="13.15"/>
    <n v="0.32"/>
    <n v="454.01"/>
    <n v="95499.27"/>
  </r>
  <r>
    <x v="263"/>
    <s v="Organic Search"/>
    <s v="Product Launch"/>
    <s v="Starter Kit"/>
    <n v="32840"/>
    <n v="2562"/>
    <n v="408"/>
    <n v="0"/>
    <n v="55550.43"/>
    <n v="7.8"/>
    <n v="15.93"/>
    <n v="0"/>
    <n v="0"/>
    <n v="55550.43"/>
  </r>
  <r>
    <x v="263"/>
    <s v="Display Ads"/>
    <s v="Retargeting"/>
    <s v="Premium Plan"/>
    <n v="26892"/>
    <n v="519"/>
    <n v="24"/>
    <n v="732.94"/>
    <n v="2820.22"/>
    <n v="1.93"/>
    <n v="4.62"/>
    <n v="30.54"/>
    <n v="3.85"/>
    <n v="2087.2800000000002"/>
  </r>
  <r>
    <x v="263"/>
    <s v="YouTube Ads"/>
    <s v="Lead Generation"/>
    <s v="Add-on Service"/>
    <n v="20125"/>
    <n v="564"/>
    <n v="44"/>
    <n v="1018.7"/>
    <n v="4677.5600000000004"/>
    <n v="2.8"/>
    <n v="7.8"/>
    <n v="23.15"/>
    <n v="4.59"/>
    <n v="3658.86"/>
  </r>
  <r>
    <x v="263"/>
    <s v="Twitter Ads"/>
    <s v="Brand Awareness"/>
    <s v="Starter Kit"/>
    <n v="13113"/>
    <n v="338"/>
    <n v="14"/>
    <n v="522.02"/>
    <n v="1338.26"/>
    <n v="2.58"/>
    <n v="4.1399999999999997"/>
    <n v="37.29"/>
    <n v="2.56"/>
    <n v="816.24"/>
  </r>
  <r>
    <x v="263"/>
    <s v="TikTok Ads"/>
    <s v="Brand Awareness"/>
    <s v="Enterprise Plan"/>
    <n v="26066"/>
    <n v="991"/>
    <n v="65"/>
    <n v="777.45"/>
    <n v="6857.89"/>
    <n v="3.8"/>
    <n v="6.56"/>
    <n v="11.96"/>
    <n v="8.82"/>
    <n v="6080.44"/>
  </r>
  <r>
    <x v="263"/>
    <s v="Affiliate Marketing"/>
    <s v="Seasonal Promotion"/>
    <s v="Premium Plan"/>
    <n v="9140"/>
    <n v="365"/>
    <n v="43"/>
    <n v="633.17999999999995"/>
    <n v="6427.94"/>
    <n v="3.99"/>
    <n v="11.78"/>
    <n v="14.73"/>
    <n v="10.15"/>
    <n v="5794.76"/>
  </r>
  <r>
    <x v="263"/>
    <s v="Referral"/>
    <s v="Product Launch"/>
    <s v="Add-on Service"/>
    <n v="4572"/>
    <n v="395"/>
    <n v="48"/>
    <n v="156.06"/>
    <n v="6922.79"/>
    <n v="8.64"/>
    <n v="12.15"/>
    <n v="3.25"/>
    <n v="44.36"/>
    <n v="6766.73"/>
  </r>
  <r>
    <x v="264"/>
    <s v="Google Ads"/>
    <s v="Seasonal Promotion"/>
    <s v="Basic Plan"/>
    <n v="8661"/>
    <n v="367"/>
    <n v="37"/>
    <n v="654.45000000000005"/>
    <n v="6202.44"/>
    <n v="4.24"/>
    <n v="10.08"/>
    <n v="17.690000000000001"/>
    <n v="9.48"/>
    <n v="5547.99"/>
  </r>
  <r>
    <x v="264"/>
    <s v="Facebook Ads"/>
    <s v="Product Launch"/>
    <s v="Add-on Service"/>
    <n v="13305"/>
    <n v="527"/>
    <n v="28"/>
    <n v="816.25"/>
    <n v="3257.02"/>
    <n v="3.96"/>
    <n v="5.31"/>
    <n v="29.15"/>
    <n v="3.99"/>
    <n v="2440.77"/>
  </r>
  <r>
    <x v="264"/>
    <s v="Instagram Ads"/>
    <s v="Flash Sale"/>
    <s v="Basic Plan"/>
    <n v="7750"/>
    <n v="301"/>
    <n v="21"/>
    <n v="635.6"/>
    <n v="1992.81"/>
    <n v="3.88"/>
    <n v="6.98"/>
    <n v="30.27"/>
    <n v="3.14"/>
    <n v="1357.21"/>
  </r>
  <r>
    <x v="264"/>
    <s v="LinkedIn Ads"/>
    <s v="Lead Generation"/>
    <s v="Premium Plan"/>
    <n v="3019"/>
    <n v="50"/>
    <n v="5"/>
    <n v="1100.8800000000001"/>
    <n v="1662.65"/>
    <n v="1.66"/>
    <n v="10"/>
    <n v="220.18"/>
    <n v="1.51"/>
    <n v="561.77"/>
  </r>
  <r>
    <x v="264"/>
    <s v="Email Marketing"/>
    <s v="Flash Sale"/>
    <s v="Starter Kit"/>
    <n v="12733"/>
    <n v="2438"/>
    <n v="325"/>
    <n v="173.79"/>
    <n v="43246.05"/>
    <n v="19.149999999999999"/>
    <n v="13.33"/>
    <n v="0.53"/>
    <n v="248.84"/>
    <n v="43072.26"/>
  </r>
  <r>
    <x v="264"/>
    <s v="Organic Search"/>
    <s v="Retargeting"/>
    <s v="Add-on Service"/>
    <n v="14774"/>
    <n v="902"/>
    <n v="135"/>
    <n v="0"/>
    <n v="16852.82"/>
    <n v="6.11"/>
    <n v="14.97"/>
    <n v="0"/>
    <n v="0"/>
    <n v="16852.82"/>
  </r>
  <r>
    <x v="264"/>
    <s v="Display Ads"/>
    <s v="Seasonal Promotion"/>
    <s v="Add-on Service"/>
    <n v="24105"/>
    <n v="350"/>
    <n v="14"/>
    <n v="710.16"/>
    <n v="1341.29"/>
    <n v="1.45"/>
    <n v="4"/>
    <n v="50.73"/>
    <n v="1.89"/>
    <n v="631.13"/>
  </r>
  <r>
    <x v="264"/>
    <s v="YouTube Ads"/>
    <s v="Brand Awareness"/>
    <s v="Basic Plan"/>
    <n v="12016"/>
    <n v="339"/>
    <n v="17"/>
    <n v="873.87"/>
    <n v="1618.23"/>
    <n v="2.82"/>
    <n v="5.01"/>
    <n v="51.4"/>
    <n v="1.85"/>
    <n v="744.36"/>
  </r>
  <r>
    <x v="264"/>
    <s v="Twitter Ads"/>
    <s v="Retargeting"/>
    <s v="Enterprise Plan"/>
    <n v="9069"/>
    <n v="267"/>
    <n v="14"/>
    <n v="504.66"/>
    <n v="1289.8399999999999"/>
    <n v="2.94"/>
    <n v="5.24"/>
    <n v="36.049999999999997"/>
    <n v="2.56"/>
    <n v="785.18"/>
  </r>
  <r>
    <x v="264"/>
    <s v="TikTok Ads"/>
    <s v="Retargeting"/>
    <s v="Basic Plan"/>
    <n v="17752"/>
    <n v="519"/>
    <n v="16"/>
    <n v="533.69000000000005"/>
    <n v="1249.3800000000001"/>
    <n v="2.92"/>
    <n v="3.08"/>
    <n v="33.36"/>
    <n v="2.34"/>
    <n v="715.69"/>
  </r>
  <r>
    <x v="264"/>
    <s v="Affiliate Marketing"/>
    <s v="Lead Generation"/>
    <s v="Enterprise Plan"/>
    <n v="5786"/>
    <n v="285"/>
    <n v="23"/>
    <n v="274.33"/>
    <n v="3603.83"/>
    <n v="4.93"/>
    <n v="8.07"/>
    <n v="11.93"/>
    <n v="13.14"/>
    <n v="3329.5"/>
  </r>
  <r>
    <x v="264"/>
    <s v="Referral"/>
    <s v="Brand Awareness"/>
    <s v="Starter Kit"/>
    <n v="2714"/>
    <n v="259"/>
    <n v="35"/>
    <n v="75.11"/>
    <n v="5024.05"/>
    <n v="9.5399999999999991"/>
    <n v="13.51"/>
    <n v="2.15"/>
    <n v="66.89"/>
    <n v="4948.9399999999996"/>
  </r>
  <r>
    <x v="265"/>
    <s v="Google Ads"/>
    <s v="Seasonal Promotion"/>
    <s v="Premium Plan"/>
    <n v="8249"/>
    <n v="270"/>
    <n v="22"/>
    <n v="670.48"/>
    <n v="3995.17"/>
    <n v="3.27"/>
    <n v="8.15"/>
    <n v="30.48"/>
    <n v="5.96"/>
    <n v="3324.69"/>
  </r>
  <r>
    <x v="265"/>
    <s v="Facebook Ads"/>
    <s v="Seasonal Promotion"/>
    <s v="Starter Kit"/>
    <n v="13244"/>
    <n v="294"/>
    <n v="23"/>
    <n v="688.98"/>
    <n v="3337.06"/>
    <n v="2.2200000000000002"/>
    <n v="7.82"/>
    <n v="29.96"/>
    <n v="4.84"/>
    <n v="2648.08"/>
  </r>
  <r>
    <x v="265"/>
    <s v="Instagram Ads"/>
    <s v="Product Launch"/>
    <s v="Premium Plan"/>
    <n v="10164"/>
    <n v="347"/>
    <n v="16"/>
    <n v="408.88"/>
    <n v="1605.8"/>
    <n v="3.41"/>
    <n v="4.6100000000000003"/>
    <n v="25.56"/>
    <n v="3.93"/>
    <n v="1196.92"/>
  </r>
  <r>
    <x v="265"/>
    <s v="LinkedIn Ads"/>
    <s v="Retargeting"/>
    <s v="Add-on Service"/>
    <n v="3748"/>
    <n v="80"/>
    <n v="10"/>
    <n v="754.15"/>
    <n v="2969.03"/>
    <n v="2.13"/>
    <n v="12.5"/>
    <n v="75.41"/>
    <n v="3.94"/>
    <n v="2214.88"/>
  </r>
  <r>
    <x v="265"/>
    <s v="Email Marketing"/>
    <s v="Retargeting"/>
    <s v="Basic Plan"/>
    <n v="11921"/>
    <n v="2320"/>
    <n v="271"/>
    <n v="157.16"/>
    <n v="33391.79"/>
    <n v="19.46"/>
    <n v="11.68"/>
    <n v="0.57999999999999996"/>
    <n v="212.47"/>
    <n v="33234.629999999997"/>
  </r>
  <r>
    <x v="265"/>
    <s v="Organic Search"/>
    <s v="Lead Generation"/>
    <s v="Starter Kit"/>
    <n v="20991"/>
    <n v="1111"/>
    <n v="116"/>
    <n v="0"/>
    <n v="15128.87"/>
    <n v="5.29"/>
    <n v="10.44"/>
    <n v="0"/>
    <n v="0"/>
    <n v="15128.87"/>
  </r>
  <r>
    <x v="265"/>
    <s v="Display Ads"/>
    <s v="Seasonal Promotion"/>
    <s v="Basic Plan"/>
    <n v="26765"/>
    <n v="465"/>
    <n v="19"/>
    <n v="517.25"/>
    <n v="2089.37"/>
    <n v="1.74"/>
    <n v="4.09"/>
    <n v="27.22"/>
    <n v="4.04"/>
    <n v="1572.12"/>
  </r>
  <r>
    <x v="265"/>
    <s v="YouTube Ads"/>
    <s v="Retargeting"/>
    <s v="Starter Kit"/>
    <n v="15168"/>
    <n v="335"/>
    <n v="16"/>
    <n v="728.34"/>
    <n v="1739.31"/>
    <n v="2.21"/>
    <n v="4.78"/>
    <n v="45.52"/>
    <n v="2.39"/>
    <n v="1010.97"/>
  </r>
  <r>
    <x v="265"/>
    <s v="Twitter Ads"/>
    <s v="Flash Sale"/>
    <s v="Add-on Service"/>
    <n v="6503"/>
    <n v="155"/>
    <n v="5"/>
    <n v="533.39"/>
    <n v="471.09"/>
    <n v="2.38"/>
    <n v="3.23"/>
    <n v="106.68"/>
    <n v="0.88"/>
    <n v="-62.3"/>
  </r>
  <r>
    <x v="265"/>
    <s v="TikTok Ads"/>
    <s v="Lead Generation"/>
    <s v="Add-on Service"/>
    <n v="15900"/>
    <n v="632"/>
    <n v="32"/>
    <n v="465"/>
    <n v="2415.52"/>
    <n v="3.97"/>
    <n v="5.0599999999999996"/>
    <n v="14.53"/>
    <n v="5.19"/>
    <n v="1950.52"/>
  </r>
  <r>
    <x v="265"/>
    <s v="Affiliate Marketing"/>
    <s v="Seasonal Promotion"/>
    <s v="Add-on Service"/>
    <n v="4913"/>
    <n v="203"/>
    <n v="19"/>
    <n v="302.63"/>
    <n v="2626.09"/>
    <n v="4.13"/>
    <n v="9.36"/>
    <n v="15.93"/>
    <n v="8.68"/>
    <n v="2323.46"/>
  </r>
  <r>
    <x v="265"/>
    <s v="Referral"/>
    <s v="Lead Generation"/>
    <s v="Basic Plan"/>
    <n v="3920"/>
    <n v="235"/>
    <n v="38"/>
    <n v="116.25"/>
    <n v="6690.3"/>
    <n v="5.99"/>
    <n v="16.170000000000002"/>
    <n v="3.06"/>
    <n v="57.55"/>
    <n v="6574.05"/>
  </r>
  <r>
    <x v="266"/>
    <s v="Google Ads"/>
    <s v="Brand Awareness"/>
    <s v="Enterprise Plan"/>
    <n v="14574"/>
    <n v="609"/>
    <n v="61"/>
    <n v="1189.3"/>
    <n v="8254.41"/>
    <n v="4.18"/>
    <n v="10.02"/>
    <n v="19.5"/>
    <n v="6.94"/>
    <n v="7065.11"/>
  </r>
  <r>
    <x v="266"/>
    <s v="Facebook Ads"/>
    <s v="Retargeting"/>
    <s v="Enterprise Plan"/>
    <n v="16960"/>
    <n v="492"/>
    <n v="42"/>
    <n v="648.49"/>
    <n v="5692.61"/>
    <n v="2.9"/>
    <n v="8.5399999999999991"/>
    <n v="15.44"/>
    <n v="8.7799999999999994"/>
    <n v="5044.12"/>
  </r>
  <r>
    <x v="266"/>
    <s v="Instagram Ads"/>
    <s v="Flash Sale"/>
    <s v="Add-on Service"/>
    <n v="13128"/>
    <n v="421"/>
    <n v="25"/>
    <n v="576.9"/>
    <n v="2966.78"/>
    <n v="3.21"/>
    <n v="5.94"/>
    <n v="23.08"/>
    <n v="5.14"/>
    <n v="2389.88"/>
  </r>
  <r>
    <x v="266"/>
    <s v="LinkedIn Ads"/>
    <s v="Brand Awareness"/>
    <s v="Premium Plan"/>
    <n v="3986"/>
    <n v="115"/>
    <n v="15"/>
    <n v="1699.59"/>
    <n v="3202.51"/>
    <n v="2.89"/>
    <n v="13.04"/>
    <n v="113.31"/>
    <n v="1.88"/>
    <n v="1502.92"/>
  </r>
  <r>
    <x v="266"/>
    <s v="Email Marketing"/>
    <s v="Flash Sale"/>
    <s v="Starter Kit"/>
    <n v="17699"/>
    <n v="2680"/>
    <n v="252"/>
    <n v="111.28"/>
    <n v="35347.769999999997"/>
    <n v="15.14"/>
    <n v="9.4"/>
    <n v="0.44"/>
    <n v="317.64999999999998"/>
    <n v="35236.49"/>
  </r>
  <r>
    <x v="266"/>
    <s v="Organic Search"/>
    <s v="Retargeting"/>
    <s v="Enterprise Plan"/>
    <n v="34620"/>
    <n v="2591"/>
    <n v="378"/>
    <n v="0"/>
    <n v="43481.41"/>
    <n v="7.48"/>
    <n v="14.59"/>
    <n v="0"/>
    <n v="0"/>
    <n v="43481.41"/>
  </r>
  <r>
    <x v="266"/>
    <s v="Display Ads"/>
    <s v="Product Launch"/>
    <s v="Basic Plan"/>
    <n v="36189"/>
    <n v="535"/>
    <n v="21"/>
    <n v="897.66"/>
    <n v="2228.9"/>
    <n v="1.48"/>
    <n v="3.93"/>
    <n v="42.75"/>
    <n v="2.48"/>
    <n v="1331.24"/>
  </r>
  <r>
    <x v="266"/>
    <s v="YouTube Ads"/>
    <s v="Product Launch"/>
    <s v="Enterprise Plan"/>
    <n v="17975"/>
    <n v="406"/>
    <n v="27"/>
    <n v="835.29"/>
    <n v="2977.89"/>
    <n v="2.2599999999999998"/>
    <n v="6.65"/>
    <n v="30.94"/>
    <n v="3.57"/>
    <n v="2142.6"/>
  </r>
  <r>
    <x v="266"/>
    <s v="Twitter Ads"/>
    <s v="Seasonal Promotion"/>
    <s v="Premium Plan"/>
    <n v="8188"/>
    <n v="196"/>
    <n v="8"/>
    <n v="777.38"/>
    <n v="761.15"/>
    <n v="2.39"/>
    <n v="4.08"/>
    <n v="97.17"/>
    <n v="0.98"/>
    <n v="-16.23"/>
  </r>
  <r>
    <x v="266"/>
    <s v="TikTok Ads"/>
    <s v="Product Launch"/>
    <s v="Basic Plan"/>
    <n v="21199"/>
    <n v="756"/>
    <n v="41"/>
    <n v="791.86"/>
    <n v="3699.32"/>
    <n v="3.57"/>
    <n v="5.42"/>
    <n v="19.309999999999999"/>
    <n v="4.67"/>
    <n v="2907.46"/>
  </r>
  <r>
    <x v="266"/>
    <s v="Affiliate Marketing"/>
    <s v="Product Launch"/>
    <s v="Add-on Service"/>
    <n v="8429"/>
    <n v="388"/>
    <n v="49"/>
    <n v="434.29"/>
    <n v="6263.26"/>
    <n v="4.5999999999999996"/>
    <n v="12.63"/>
    <n v="8.86"/>
    <n v="14.42"/>
    <n v="5828.97"/>
  </r>
  <r>
    <x v="266"/>
    <s v="Referral"/>
    <s v="Retargeting"/>
    <s v="Add-on Service"/>
    <n v="4931"/>
    <n v="349"/>
    <n v="43"/>
    <n v="124.03"/>
    <n v="5742.71"/>
    <n v="7.08"/>
    <n v="12.32"/>
    <n v="2.88"/>
    <n v="46.3"/>
    <n v="5618.68"/>
  </r>
  <r>
    <x v="267"/>
    <s v="Google Ads"/>
    <s v="Lead Generation"/>
    <s v="Starter Kit"/>
    <n v="12916"/>
    <n v="563"/>
    <n v="50"/>
    <n v="875.42"/>
    <n v="6097.78"/>
    <n v="4.3600000000000003"/>
    <n v="8.8800000000000008"/>
    <n v="17.510000000000002"/>
    <n v="6.97"/>
    <n v="5222.3599999999997"/>
  </r>
  <r>
    <x v="267"/>
    <s v="Facebook Ads"/>
    <s v="Brand Awareness"/>
    <s v="Basic Plan"/>
    <n v="15342"/>
    <n v="591"/>
    <n v="45"/>
    <n v="643.95000000000005"/>
    <n v="5045.01"/>
    <n v="3.85"/>
    <n v="7.61"/>
    <n v="14.31"/>
    <n v="7.83"/>
    <n v="4401.0600000000004"/>
  </r>
  <r>
    <x v="267"/>
    <s v="Instagram Ads"/>
    <s v="Lead Generation"/>
    <s v="Enterprise Plan"/>
    <n v="17573"/>
    <n v="704"/>
    <n v="32"/>
    <n v="666.23"/>
    <n v="3113.23"/>
    <n v="4.01"/>
    <n v="4.55"/>
    <n v="20.82"/>
    <n v="4.67"/>
    <n v="2447"/>
  </r>
  <r>
    <x v="267"/>
    <s v="LinkedIn Ads"/>
    <s v="Lead Generation"/>
    <s v="Premium Plan"/>
    <n v="5910"/>
    <n v="91"/>
    <n v="10"/>
    <n v="1434.89"/>
    <n v="2852.17"/>
    <n v="1.54"/>
    <n v="10.99"/>
    <n v="143.49"/>
    <n v="1.99"/>
    <n v="1417.28"/>
  </r>
  <r>
    <x v="267"/>
    <s v="Email Marketing"/>
    <s v="Brand Awareness"/>
    <s v="Premium Plan"/>
    <n v="20136"/>
    <n v="3113"/>
    <n v="373"/>
    <n v="101.36"/>
    <n v="57345.599999999999"/>
    <n v="15.46"/>
    <n v="11.98"/>
    <n v="0.27"/>
    <n v="565.76"/>
    <n v="57244.24"/>
  </r>
  <r>
    <x v="267"/>
    <s v="Organic Search"/>
    <s v="Lead Generation"/>
    <s v="Add-on Service"/>
    <n v="22507"/>
    <n v="1501"/>
    <n v="233"/>
    <n v="0"/>
    <n v="27528.1"/>
    <n v="6.67"/>
    <n v="15.52"/>
    <n v="0"/>
    <n v="0"/>
    <n v="27528.1"/>
  </r>
  <r>
    <x v="267"/>
    <s v="Display Ads"/>
    <s v="Lead Generation"/>
    <s v="Enterprise Plan"/>
    <n v="29080"/>
    <n v="358"/>
    <n v="15"/>
    <n v="1132.9000000000001"/>
    <n v="1472.33"/>
    <n v="1.23"/>
    <n v="4.1900000000000004"/>
    <n v="75.53"/>
    <n v="1.3"/>
    <n v="339.43"/>
  </r>
  <r>
    <x v="267"/>
    <s v="YouTube Ads"/>
    <s v="Brand Awareness"/>
    <s v="Enterprise Plan"/>
    <n v="22873"/>
    <n v="619"/>
    <n v="48"/>
    <n v="957.4"/>
    <n v="5136.1400000000003"/>
    <n v="2.71"/>
    <n v="7.75"/>
    <n v="19.95"/>
    <n v="5.36"/>
    <n v="4178.74"/>
  </r>
  <r>
    <x v="267"/>
    <s v="Twitter Ads"/>
    <s v="Flash Sale"/>
    <s v="Premium Plan"/>
    <n v="11944"/>
    <n v="306"/>
    <n v="17"/>
    <n v="432.41"/>
    <n v="1633.66"/>
    <n v="2.56"/>
    <n v="5.56"/>
    <n v="25.44"/>
    <n v="3.78"/>
    <n v="1201.25"/>
  </r>
  <r>
    <x v="267"/>
    <s v="TikTok Ads"/>
    <s v="Product Launch"/>
    <s v="Starter Kit"/>
    <n v="28877"/>
    <n v="1162"/>
    <n v="79"/>
    <n v="610.45000000000005"/>
    <n v="6768.94"/>
    <n v="4.0199999999999996"/>
    <n v="6.8"/>
    <n v="7.73"/>
    <n v="11.09"/>
    <n v="6158.49"/>
  </r>
  <r>
    <x v="267"/>
    <s v="Affiliate Marketing"/>
    <s v="Retargeting"/>
    <s v="Premium Plan"/>
    <n v="9780"/>
    <n v="461"/>
    <n v="48"/>
    <n v="635.62"/>
    <n v="5697.67"/>
    <n v="4.71"/>
    <n v="10.41"/>
    <n v="13.24"/>
    <n v="8.9600000000000009"/>
    <n v="5062.05"/>
  </r>
  <r>
    <x v="267"/>
    <s v="Referral"/>
    <s v="Product Launch"/>
    <s v="Basic Plan"/>
    <n v="3054"/>
    <n v="228"/>
    <n v="30"/>
    <n v="70.78"/>
    <n v="5261.02"/>
    <n v="7.47"/>
    <n v="13.16"/>
    <n v="2.36"/>
    <n v="74.33"/>
    <n v="5190.24"/>
  </r>
  <r>
    <x v="268"/>
    <s v="Google Ads"/>
    <s v="Flash Sale"/>
    <s v="Add-on Service"/>
    <n v="14138"/>
    <n v="569"/>
    <n v="65"/>
    <n v="1186.6300000000001"/>
    <n v="8315.59"/>
    <n v="4.0199999999999996"/>
    <n v="11.42"/>
    <n v="18.260000000000002"/>
    <n v="7.01"/>
    <n v="7128.96"/>
  </r>
  <r>
    <x v="268"/>
    <s v="Facebook Ads"/>
    <s v="Lead Generation"/>
    <s v="Basic Plan"/>
    <n v="17913"/>
    <n v="450"/>
    <n v="31"/>
    <n v="710.5"/>
    <n v="3440.79"/>
    <n v="2.5099999999999998"/>
    <n v="6.89"/>
    <n v="22.92"/>
    <n v="4.84"/>
    <n v="2730.29"/>
  </r>
  <r>
    <x v="268"/>
    <s v="Instagram Ads"/>
    <s v="Seasonal Promotion"/>
    <s v="Add-on Service"/>
    <n v="12323"/>
    <n v="433"/>
    <n v="21"/>
    <n v="970.9"/>
    <n v="1850.4"/>
    <n v="3.51"/>
    <n v="4.8499999999999996"/>
    <n v="46.23"/>
    <n v="1.91"/>
    <n v="879.5"/>
  </r>
  <r>
    <x v="268"/>
    <s v="LinkedIn Ads"/>
    <s v="Product Launch"/>
    <s v="Add-on Service"/>
    <n v="3627"/>
    <n v="105"/>
    <n v="14"/>
    <n v="1074.02"/>
    <n v="4533.18"/>
    <n v="2.89"/>
    <n v="13.33"/>
    <n v="76.72"/>
    <n v="4.22"/>
    <n v="3459.16"/>
  </r>
  <r>
    <x v="268"/>
    <s v="Email Marketing"/>
    <s v="Retargeting"/>
    <s v="Add-on Service"/>
    <n v="24403"/>
    <n v="3847"/>
    <n v="536"/>
    <n v="113.91"/>
    <n v="78005.33"/>
    <n v="15.76"/>
    <n v="13.93"/>
    <n v="0.21"/>
    <n v="684.8"/>
    <n v="77891.42"/>
  </r>
  <r>
    <x v="268"/>
    <s v="Organic Search"/>
    <s v="Flash Sale"/>
    <s v="Basic Plan"/>
    <n v="32989"/>
    <n v="1863"/>
    <n v="197"/>
    <n v="0"/>
    <n v="24923.43"/>
    <n v="5.65"/>
    <n v="10.57"/>
    <n v="0"/>
    <n v="0"/>
    <n v="24923.43"/>
  </r>
  <r>
    <x v="268"/>
    <s v="Display Ads"/>
    <s v="Flash Sale"/>
    <s v="Premium Plan"/>
    <n v="29306"/>
    <n v="571"/>
    <n v="20"/>
    <n v="1151.52"/>
    <n v="2597.1999999999998"/>
    <n v="1.95"/>
    <n v="3.5"/>
    <n v="57.58"/>
    <n v="2.2599999999999998"/>
    <n v="1445.68"/>
  </r>
  <r>
    <x v="268"/>
    <s v="YouTube Ads"/>
    <s v="Retargeting"/>
    <s v="Add-on Service"/>
    <n v="22881"/>
    <n v="499"/>
    <n v="33"/>
    <n v="961.12"/>
    <n v="4391.03"/>
    <n v="2.1800000000000002"/>
    <n v="6.61"/>
    <n v="29.12"/>
    <n v="4.57"/>
    <n v="3429.91"/>
  </r>
  <r>
    <x v="268"/>
    <s v="Twitter Ads"/>
    <s v="Flash Sale"/>
    <s v="Add-on Service"/>
    <n v="8621"/>
    <n v="216"/>
    <n v="10"/>
    <n v="604.91999999999996"/>
    <n v="841.55"/>
    <n v="2.5099999999999998"/>
    <n v="4.63"/>
    <n v="60.49"/>
    <n v="1.39"/>
    <n v="236.63"/>
  </r>
  <r>
    <x v="268"/>
    <s v="TikTok Ads"/>
    <s v="Brand Awareness"/>
    <s v="Enterprise Plan"/>
    <n v="22357"/>
    <n v="832"/>
    <n v="48"/>
    <n v="670.29"/>
    <n v="4859.5200000000004"/>
    <n v="3.72"/>
    <n v="5.77"/>
    <n v="13.96"/>
    <n v="7.25"/>
    <n v="4189.2299999999996"/>
  </r>
  <r>
    <x v="268"/>
    <s v="Affiliate Marketing"/>
    <s v="Lead Generation"/>
    <s v="Premium Plan"/>
    <n v="6710"/>
    <n v="340"/>
    <n v="40"/>
    <n v="637.52"/>
    <n v="5554.39"/>
    <n v="5.07"/>
    <n v="11.76"/>
    <n v="15.94"/>
    <n v="8.7100000000000009"/>
    <n v="4916.87"/>
  </r>
  <r>
    <x v="268"/>
    <s v="Referral"/>
    <s v="Product Launch"/>
    <s v="Basic Plan"/>
    <n v="4692"/>
    <n v="274"/>
    <n v="36"/>
    <n v="148.25"/>
    <n v="5874.78"/>
    <n v="5.84"/>
    <n v="13.14"/>
    <n v="4.12"/>
    <n v="39.630000000000003"/>
    <n v="5726.53"/>
  </r>
  <r>
    <x v="269"/>
    <s v="Google Ads"/>
    <s v="Flash Sale"/>
    <s v="Add-on Service"/>
    <n v="14822"/>
    <n v="715"/>
    <n v="71"/>
    <n v="1069.8699999999999"/>
    <n v="10194.299999999999"/>
    <n v="4.82"/>
    <n v="9.93"/>
    <n v="15.07"/>
    <n v="9.5299999999999994"/>
    <n v="9124.43"/>
  </r>
  <r>
    <x v="269"/>
    <s v="Facebook Ads"/>
    <s v="Product Launch"/>
    <s v="Premium Plan"/>
    <n v="12974"/>
    <n v="288"/>
    <n v="22"/>
    <n v="1197.07"/>
    <n v="2358.16"/>
    <n v="2.2200000000000002"/>
    <n v="7.64"/>
    <n v="54.41"/>
    <n v="1.97"/>
    <n v="1161.0899999999999"/>
  </r>
  <r>
    <x v="269"/>
    <s v="Instagram Ads"/>
    <s v="Retargeting"/>
    <s v="Premium Plan"/>
    <n v="10502"/>
    <n v="358"/>
    <n v="25"/>
    <n v="665.16"/>
    <n v="2549.59"/>
    <n v="3.41"/>
    <n v="6.98"/>
    <n v="26.61"/>
    <n v="3.83"/>
    <n v="1884.43"/>
  </r>
  <r>
    <x v="269"/>
    <s v="LinkedIn Ads"/>
    <s v="Brand Awareness"/>
    <s v="Starter Kit"/>
    <n v="5379"/>
    <n v="111"/>
    <n v="11"/>
    <n v="1423.04"/>
    <n v="3383.92"/>
    <n v="2.06"/>
    <n v="9.91"/>
    <n v="129.37"/>
    <n v="2.38"/>
    <n v="1960.88"/>
  </r>
  <r>
    <x v="269"/>
    <s v="Email Marketing"/>
    <s v="Flash Sale"/>
    <s v="Enterprise Plan"/>
    <n v="18542"/>
    <n v="2962"/>
    <n v="253"/>
    <n v="189.44"/>
    <n v="35353.1"/>
    <n v="15.97"/>
    <n v="8.5399999999999991"/>
    <n v="0.75"/>
    <n v="186.62"/>
    <n v="35163.660000000003"/>
  </r>
  <r>
    <x v="269"/>
    <s v="Organic Search"/>
    <s v="Flash Sale"/>
    <s v="Enterprise Plan"/>
    <n v="24330"/>
    <n v="1056"/>
    <n v="106"/>
    <n v="0"/>
    <n v="12088.09"/>
    <n v="4.34"/>
    <n v="10.039999999999999"/>
    <n v="0"/>
    <n v="0"/>
    <n v="12088.09"/>
  </r>
  <r>
    <x v="269"/>
    <s v="Display Ads"/>
    <s v="Brand Awareness"/>
    <s v="Premium Plan"/>
    <n v="29517"/>
    <n v="396"/>
    <n v="18"/>
    <n v="1002.52"/>
    <n v="1737.7"/>
    <n v="1.34"/>
    <n v="4.55"/>
    <n v="55.7"/>
    <n v="1.73"/>
    <n v="735.18"/>
  </r>
  <r>
    <x v="269"/>
    <s v="YouTube Ads"/>
    <s v="Product Launch"/>
    <s v="Starter Kit"/>
    <n v="20635"/>
    <n v="544"/>
    <n v="40"/>
    <n v="1133.96"/>
    <n v="5059.4399999999996"/>
    <n v="2.64"/>
    <n v="7.35"/>
    <n v="28.35"/>
    <n v="4.46"/>
    <n v="3925.48"/>
  </r>
  <r>
    <x v="269"/>
    <s v="Twitter Ads"/>
    <s v="Lead Generation"/>
    <s v="Starter Kit"/>
    <n v="9710"/>
    <n v="314"/>
    <n v="15"/>
    <n v="743.25"/>
    <n v="1137.9000000000001"/>
    <n v="3.23"/>
    <n v="4.78"/>
    <n v="49.55"/>
    <n v="1.53"/>
    <n v="394.65"/>
  </r>
  <r>
    <x v="269"/>
    <s v="TikTok Ads"/>
    <s v="Seasonal Promotion"/>
    <s v="Premium Plan"/>
    <n v="21570"/>
    <n v="581"/>
    <n v="25"/>
    <n v="1030.08"/>
    <n v="2170.85"/>
    <n v="2.69"/>
    <n v="4.3"/>
    <n v="41.2"/>
    <n v="2.11"/>
    <n v="1140.77"/>
  </r>
  <r>
    <x v="269"/>
    <s v="Affiliate Marketing"/>
    <s v="Product Launch"/>
    <s v="Starter Kit"/>
    <n v="7161"/>
    <n v="373"/>
    <n v="42"/>
    <n v="662.01"/>
    <n v="5730.12"/>
    <n v="5.21"/>
    <n v="11.26"/>
    <n v="15.76"/>
    <n v="8.66"/>
    <n v="5068.1099999999997"/>
  </r>
  <r>
    <x v="269"/>
    <s v="Referral"/>
    <s v="Seasonal Promotion"/>
    <s v="Add-on Service"/>
    <n v="4807"/>
    <n v="294"/>
    <n v="37"/>
    <n v="58.23"/>
    <n v="4221.8"/>
    <n v="6.12"/>
    <n v="12.59"/>
    <n v="1.57"/>
    <n v="72.5"/>
    <n v="4163.57"/>
  </r>
  <r>
    <x v="270"/>
    <s v="Google Ads"/>
    <s v="Brand Awareness"/>
    <s v="Basic Plan"/>
    <n v="8841"/>
    <n v="308"/>
    <n v="28"/>
    <n v="1123.47"/>
    <n v="3798.13"/>
    <n v="3.48"/>
    <n v="9.09"/>
    <n v="40.119999999999997"/>
    <n v="3.38"/>
    <n v="2674.66"/>
  </r>
  <r>
    <x v="270"/>
    <s v="Facebook Ads"/>
    <s v="Lead Generation"/>
    <s v="Add-on Service"/>
    <n v="13736"/>
    <n v="385"/>
    <n v="21"/>
    <n v="1150.54"/>
    <n v="2426.7399999999998"/>
    <n v="2.8"/>
    <n v="5.45"/>
    <n v="54.79"/>
    <n v="2.11"/>
    <n v="1276.2"/>
  </r>
  <r>
    <x v="270"/>
    <s v="Instagram Ads"/>
    <s v="Retargeting"/>
    <s v="Add-on Service"/>
    <n v="17845"/>
    <n v="567"/>
    <n v="42"/>
    <n v="830.56"/>
    <n v="3560.41"/>
    <n v="3.18"/>
    <n v="7.41"/>
    <n v="19.78"/>
    <n v="4.29"/>
    <n v="2729.85"/>
  </r>
  <r>
    <x v="270"/>
    <s v="LinkedIn Ads"/>
    <s v="Flash Sale"/>
    <s v="Premium Plan"/>
    <n v="5767"/>
    <n v="145"/>
    <n v="18"/>
    <n v="1667.65"/>
    <n v="4738.8100000000004"/>
    <n v="2.5099999999999998"/>
    <n v="12.41"/>
    <n v="92.65"/>
    <n v="2.84"/>
    <n v="3071.16"/>
  </r>
  <r>
    <x v="270"/>
    <s v="Email Marketing"/>
    <s v="Brand Awareness"/>
    <s v="Basic Plan"/>
    <n v="16976"/>
    <n v="4169"/>
    <n v="458"/>
    <n v="283.47000000000003"/>
    <n v="52842.1"/>
    <n v="24.56"/>
    <n v="10.99"/>
    <n v="0.62"/>
    <n v="186.41"/>
    <n v="52558.63"/>
  </r>
  <r>
    <x v="270"/>
    <s v="Organic Search"/>
    <s v="Seasonal Promotion"/>
    <s v="Enterprise Plan"/>
    <n v="34829"/>
    <n v="2006"/>
    <n v="275"/>
    <n v="0"/>
    <n v="35171.629999999997"/>
    <n v="5.76"/>
    <n v="13.71"/>
    <n v="0"/>
    <n v="0"/>
    <n v="35171.629999999997"/>
  </r>
  <r>
    <x v="270"/>
    <s v="Display Ads"/>
    <s v="Product Launch"/>
    <s v="Starter Kit"/>
    <n v="35073"/>
    <n v="385"/>
    <n v="16"/>
    <n v="724.97"/>
    <n v="1708.15"/>
    <n v="1.1000000000000001"/>
    <n v="4.16"/>
    <n v="45.31"/>
    <n v="2.36"/>
    <n v="983.18"/>
  </r>
  <r>
    <x v="270"/>
    <s v="YouTube Ads"/>
    <s v="Retargeting"/>
    <s v="Basic Plan"/>
    <n v="15263"/>
    <n v="255"/>
    <n v="11"/>
    <n v="1136.28"/>
    <n v="981.85"/>
    <n v="1.67"/>
    <n v="4.3099999999999996"/>
    <n v="103.3"/>
    <n v="0.86"/>
    <n v="-154.43"/>
  </r>
  <r>
    <x v="270"/>
    <s v="Twitter Ads"/>
    <s v="Brand Awareness"/>
    <s v="Enterprise Plan"/>
    <n v="12841"/>
    <n v="336"/>
    <n v="14"/>
    <n v="711.19"/>
    <n v="1082.3399999999999"/>
    <n v="2.62"/>
    <n v="4.17"/>
    <n v="50.8"/>
    <n v="1.52"/>
    <n v="371.15"/>
  </r>
  <r>
    <x v="270"/>
    <s v="TikTok Ads"/>
    <s v="Flash Sale"/>
    <s v="Enterprise Plan"/>
    <n v="29014"/>
    <n v="957"/>
    <n v="57"/>
    <n v="739.52"/>
    <n v="6065.51"/>
    <n v="3.3"/>
    <n v="5.96"/>
    <n v="12.97"/>
    <n v="8.1999999999999993"/>
    <n v="5325.99"/>
  </r>
  <r>
    <x v="270"/>
    <s v="Affiliate Marketing"/>
    <s v="Product Launch"/>
    <s v="Enterprise Plan"/>
    <n v="7954"/>
    <n v="439"/>
    <n v="42"/>
    <n v="401.83"/>
    <n v="6375.85"/>
    <n v="5.52"/>
    <n v="9.57"/>
    <n v="9.57"/>
    <n v="15.87"/>
    <n v="5974.02"/>
  </r>
  <r>
    <x v="270"/>
    <s v="Referral"/>
    <s v="Lead Generation"/>
    <s v="Add-on Service"/>
    <n v="6910"/>
    <n v="628"/>
    <n v="107"/>
    <n v="157.33000000000001"/>
    <n v="14241.8"/>
    <n v="9.09"/>
    <n v="17.04"/>
    <n v="1.47"/>
    <n v="90.52"/>
    <n v="14084.47"/>
  </r>
  <r>
    <x v="271"/>
    <s v="Google Ads"/>
    <s v="Product Launch"/>
    <s v="Premium Plan"/>
    <n v="8091"/>
    <n v="398"/>
    <n v="39"/>
    <n v="1031.26"/>
    <n v="5534.36"/>
    <n v="4.92"/>
    <n v="9.8000000000000007"/>
    <n v="26.44"/>
    <n v="5.37"/>
    <n v="4503.1000000000004"/>
  </r>
  <r>
    <x v="271"/>
    <s v="Facebook Ads"/>
    <s v="Flash Sale"/>
    <s v="Enterprise Plan"/>
    <n v="13811"/>
    <n v="348"/>
    <n v="29"/>
    <n v="823.73"/>
    <n v="2488.4"/>
    <n v="2.52"/>
    <n v="8.33"/>
    <n v="28.4"/>
    <n v="3.02"/>
    <n v="1664.67"/>
  </r>
  <r>
    <x v="271"/>
    <s v="Instagram Ads"/>
    <s v="Retargeting"/>
    <s v="Premium Plan"/>
    <n v="7009"/>
    <n v="203"/>
    <n v="12"/>
    <n v="604.4"/>
    <n v="1308.3"/>
    <n v="2.9"/>
    <n v="5.91"/>
    <n v="50.37"/>
    <n v="2.16"/>
    <n v="703.9"/>
  </r>
  <r>
    <x v="271"/>
    <s v="LinkedIn Ads"/>
    <s v="Seasonal Promotion"/>
    <s v="Enterprise Plan"/>
    <n v="3119"/>
    <n v="62"/>
    <n v="7"/>
    <n v="1163.51"/>
    <n v="1714.9"/>
    <n v="1.99"/>
    <n v="11.29"/>
    <n v="166.22"/>
    <n v="1.47"/>
    <n v="551.39"/>
  </r>
  <r>
    <x v="271"/>
    <s v="Email Marketing"/>
    <s v="Lead Generation"/>
    <s v="Basic Plan"/>
    <n v="16139"/>
    <n v="3362"/>
    <n v="429"/>
    <n v="97.68"/>
    <n v="63408.88"/>
    <n v="20.83"/>
    <n v="12.76"/>
    <n v="0.23"/>
    <n v="649.15"/>
    <n v="63311.199999999997"/>
  </r>
  <r>
    <x v="271"/>
    <s v="Organic Search"/>
    <s v="Product Launch"/>
    <s v="Starter Kit"/>
    <n v="23617"/>
    <n v="970"/>
    <n v="139"/>
    <n v="0"/>
    <n v="18400.439999999999"/>
    <n v="4.1100000000000003"/>
    <n v="14.33"/>
    <n v="0"/>
    <n v="0"/>
    <n v="18400.439999999999"/>
  </r>
  <r>
    <x v="271"/>
    <s v="Display Ads"/>
    <s v="Flash Sale"/>
    <s v="Basic Plan"/>
    <n v="17588"/>
    <n v="219"/>
    <n v="9"/>
    <n v="564.57000000000005"/>
    <n v="792.09"/>
    <n v="1.25"/>
    <n v="4.1100000000000003"/>
    <n v="62.73"/>
    <n v="1.4"/>
    <n v="227.52"/>
  </r>
  <r>
    <x v="271"/>
    <s v="YouTube Ads"/>
    <s v="Brand Awareness"/>
    <s v="Starter Kit"/>
    <n v="16323"/>
    <n v="294"/>
    <n v="14"/>
    <n v="753.52"/>
    <n v="1544.09"/>
    <n v="1.8"/>
    <n v="4.76"/>
    <n v="53.82"/>
    <n v="2.0499999999999998"/>
    <n v="790.57"/>
  </r>
  <r>
    <x v="271"/>
    <s v="Twitter Ads"/>
    <s v="Seasonal Promotion"/>
    <s v="Add-on Service"/>
    <n v="6848"/>
    <n v="213"/>
    <n v="12"/>
    <n v="349.84"/>
    <n v="1221.81"/>
    <n v="3.11"/>
    <n v="5.63"/>
    <n v="29.15"/>
    <n v="3.49"/>
    <n v="871.97"/>
  </r>
  <r>
    <x v="271"/>
    <s v="TikTok Ads"/>
    <s v="Flash Sale"/>
    <s v="Basic Plan"/>
    <n v="20580"/>
    <n v="637"/>
    <n v="40"/>
    <n v="725.47"/>
    <n v="2802.69"/>
    <n v="3.1"/>
    <n v="6.28"/>
    <n v="18.14"/>
    <n v="3.86"/>
    <n v="2077.2199999999998"/>
  </r>
  <r>
    <x v="271"/>
    <s v="Affiliate Marketing"/>
    <s v="Retargeting"/>
    <s v="Basic Plan"/>
    <n v="3624"/>
    <n v="227"/>
    <n v="19"/>
    <n v="281.29000000000002"/>
    <n v="2286.16"/>
    <n v="6.26"/>
    <n v="8.3699999999999992"/>
    <n v="14.8"/>
    <n v="8.1300000000000008"/>
    <n v="2004.87"/>
  </r>
  <r>
    <x v="271"/>
    <s v="Referral"/>
    <s v="Seasonal Promotion"/>
    <s v="Basic Plan"/>
    <n v="3843"/>
    <n v="270"/>
    <n v="32"/>
    <n v="120.73"/>
    <n v="4093.71"/>
    <n v="7.03"/>
    <n v="11.85"/>
    <n v="3.77"/>
    <n v="33.909999999999997"/>
    <n v="3972.98"/>
  </r>
  <r>
    <x v="272"/>
    <s v="Google Ads"/>
    <s v="Retargeting"/>
    <s v="Enterprise Plan"/>
    <n v="8248"/>
    <n v="392"/>
    <n v="40"/>
    <n v="717.36"/>
    <n v="7760.74"/>
    <n v="4.75"/>
    <n v="10.199999999999999"/>
    <n v="17.93"/>
    <n v="10.82"/>
    <n v="7043.38"/>
  </r>
  <r>
    <x v="272"/>
    <s v="Facebook Ads"/>
    <s v="Seasonal Promotion"/>
    <s v="Enterprise Plan"/>
    <n v="12381"/>
    <n v="404"/>
    <n v="29"/>
    <n v="464.9"/>
    <n v="3588.9"/>
    <n v="3.26"/>
    <n v="7.18"/>
    <n v="16.03"/>
    <n v="7.72"/>
    <n v="3124"/>
  </r>
  <r>
    <x v="272"/>
    <s v="Instagram Ads"/>
    <s v="Retargeting"/>
    <s v="Add-on Service"/>
    <n v="8945"/>
    <n v="343"/>
    <n v="19"/>
    <n v="616.48"/>
    <n v="2164"/>
    <n v="3.83"/>
    <n v="5.54"/>
    <n v="32.450000000000003"/>
    <n v="3.51"/>
    <n v="1547.52"/>
  </r>
  <r>
    <x v="272"/>
    <s v="LinkedIn Ads"/>
    <s v="Lead Generation"/>
    <s v="Basic Plan"/>
    <n v="2519"/>
    <n v="60"/>
    <n v="8"/>
    <n v="1050.03"/>
    <n v="2549.1999999999998"/>
    <n v="2.38"/>
    <n v="13.33"/>
    <n v="131.25"/>
    <n v="2.4300000000000002"/>
    <n v="1499.17"/>
  </r>
  <r>
    <x v="272"/>
    <s v="Email Marketing"/>
    <s v="Flash Sale"/>
    <s v="Basic Plan"/>
    <n v="15096"/>
    <n v="2777"/>
    <n v="228"/>
    <n v="145.62"/>
    <n v="32113.51"/>
    <n v="18.399999999999999"/>
    <n v="8.2100000000000009"/>
    <n v="0.64"/>
    <n v="220.53"/>
    <n v="31967.89"/>
  </r>
  <r>
    <x v="272"/>
    <s v="Organic Search"/>
    <s v="Seasonal Promotion"/>
    <s v="Add-on Service"/>
    <n v="22577"/>
    <n v="1211"/>
    <n v="166"/>
    <n v="0"/>
    <n v="20807.84"/>
    <n v="5.36"/>
    <n v="13.71"/>
    <n v="0"/>
    <n v="0"/>
    <n v="20807.84"/>
  </r>
  <r>
    <x v="272"/>
    <s v="Display Ads"/>
    <s v="Flash Sale"/>
    <s v="Basic Plan"/>
    <n v="18914"/>
    <n v="317"/>
    <n v="9"/>
    <n v="492.73"/>
    <n v="961.34"/>
    <n v="1.68"/>
    <n v="2.84"/>
    <n v="54.75"/>
    <n v="1.95"/>
    <n v="468.61"/>
  </r>
  <r>
    <x v="272"/>
    <s v="YouTube Ads"/>
    <s v="Lead Generation"/>
    <s v="Enterprise Plan"/>
    <n v="16842"/>
    <n v="272"/>
    <n v="14"/>
    <n v="837.91"/>
    <n v="1993.97"/>
    <n v="1.62"/>
    <n v="5.15"/>
    <n v="59.85"/>
    <n v="2.38"/>
    <n v="1156.06"/>
  </r>
  <r>
    <x v="272"/>
    <s v="Twitter Ads"/>
    <s v="Flash Sale"/>
    <s v="Add-on Service"/>
    <n v="9391"/>
    <n v="310"/>
    <n v="14"/>
    <n v="338.46"/>
    <n v="1197.02"/>
    <n v="3.3"/>
    <n v="4.5199999999999996"/>
    <n v="24.18"/>
    <n v="3.54"/>
    <n v="858.56"/>
  </r>
  <r>
    <x v="272"/>
    <s v="TikTok Ads"/>
    <s v="Lead Generation"/>
    <s v="Starter Kit"/>
    <n v="20419"/>
    <n v="634"/>
    <n v="28"/>
    <n v="663.93"/>
    <n v="2979.22"/>
    <n v="3.1"/>
    <n v="4.42"/>
    <n v="23.71"/>
    <n v="4.49"/>
    <n v="2315.29"/>
  </r>
  <r>
    <x v="272"/>
    <s v="Affiliate Marketing"/>
    <s v="Lead Generation"/>
    <s v="Add-on Service"/>
    <n v="4575"/>
    <n v="212"/>
    <n v="25"/>
    <n v="409.08"/>
    <n v="3776.18"/>
    <n v="4.63"/>
    <n v="11.79"/>
    <n v="16.36"/>
    <n v="9.23"/>
    <n v="3367.1"/>
  </r>
  <r>
    <x v="272"/>
    <s v="Referral"/>
    <s v="Lead Generation"/>
    <s v="Enterprise Plan"/>
    <n v="2678"/>
    <n v="214"/>
    <n v="30"/>
    <n v="116.07"/>
    <n v="3809.21"/>
    <n v="7.99"/>
    <n v="14.02"/>
    <n v="3.87"/>
    <n v="32.82"/>
    <n v="3693.14"/>
  </r>
  <r>
    <x v="273"/>
    <s v="Google Ads"/>
    <s v="Brand Awareness"/>
    <s v="Add-on Service"/>
    <n v="14378"/>
    <n v="696"/>
    <n v="58"/>
    <n v="987.09"/>
    <n v="7730.67"/>
    <n v="4.84"/>
    <n v="8.33"/>
    <n v="17.02"/>
    <n v="7.83"/>
    <n v="6743.58"/>
  </r>
  <r>
    <x v="273"/>
    <s v="Facebook Ads"/>
    <s v="Seasonal Promotion"/>
    <s v="Premium Plan"/>
    <n v="12986"/>
    <n v="331"/>
    <n v="27"/>
    <n v="1100.7"/>
    <n v="2836.95"/>
    <n v="2.5499999999999998"/>
    <n v="8.16"/>
    <n v="40.770000000000003"/>
    <n v="2.58"/>
    <n v="1736.25"/>
  </r>
  <r>
    <x v="273"/>
    <s v="Instagram Ads"/>
    <s v="Lead Generation"/>
    <s v="Enterprise Plan"/>
    <n v="11784"/>
    <n v="441"/>
    <n v="18"/>
    <n v="924.74"/>
    <n v="1437.24"/>
    <n v="3.74"/>
    <n v="4.08"/>
    <n v="51.37"/>
    <n v="1.55"/>
    <n v="512.5"/>
  </r>
  <r>
    <x v="273"/>
    <s v="LinkedIn Ads"/>
    <s v="Lead Generation"/>
    <s v="Premium Plan"/>
    <n v="4065"/>
    <n v="103"/>
    <n v="11"/>
    <n v="940.81"/>
    <n v="2832.42"/>
    <n v="2.5299999999999998"/>
    <n v="10.68"/>
    <n v="85.53"/>
    <n v="3.01"/>
    <n v="1891.61"/>
  </r>
  <r>
    <x v="273"/>
    <s v="Email Marketing"/>
    <s v="Product Launch"/>
    <s v="Starter Kit"/>
    <n v="18798"/>
    <n v="4504"/>
    <n v="466"/>
    <n v="106.65"/>
    <n v="48679.07"/>
    <n v="23.96"/>
    <n v="10.35"/>
    <n v="0.23"/>
    <n v="456.44"/>
    <n v="48572.42"/>
  </r>
  <r>
    <x v="273"/>
    <s v="Organic Search"/>
    <s v="Retargeting"/>
    <s v="Enterprise Plan"/>
    <n v="20532"/>
    <n v="1274"/>
    <n v="176"/>
    <n v="0"/>
    <n v="17030.77"/>
    <n v="6.2"/>
    <n v="13.81"/>
    <n v="0"/>
    <n v="0"/>
    <n v="17030.77"/>
  </r>
  <r>
    <x v="273"/>
    <s v="Display Ads"/>
    <s v="Retargeting"/>
    <s v="Enterprise Plan"/>
    <n v="28652"/>
    <n v="378"/>
    <n v="16"/>
    <n v="778.46"/>
    <n v="1781.17"/>
    <n v="1.32"/>
    <n v="4.2300000000000004"/>
    <n v="48.65"/>
    <n v="2.29"/>
    <n v="1002.71"/>
  </r>
  <r>
    <x v="273"/>
    <s v="YouTube Ads"/>
    <s v="Lead Generation"/>
    <s v="Basic Plan"/>
    <n v="21547"/>
    <n v="325"/>
    <n v="13"/>
    <n v="883.03"/>
    <n v="1608.01"/>
    <n v="1.51"/>
    <n v="4"/>
    <n v="67.930000000000007"/>
    <n v="1.82"/>
    <n v="724.98"/>
  </r>
  <r>
    <x v="273"/>
    <s v="Twitter Ads"/>
    <s v="Brand Awareness"/>
    <s v="Basic Plan"/>
    <n v="9137"/>
    <n v="201"/>
    <n v="7"/>
    <n v="795.35"/>
    <n v="738.81"/>
    <n v="2.2000000000000002"/>
    <n v="3.48"/>
    <n v="113.62"/>
    <n v="0.93"/>
    <n v="-56.54"/>
  </r>
  <r>
    <x v="273"/>
    <s v="TikTok Ads"/>
    <s v="Lead Generation"/>
    <s v="Premium Plan"/>
    <n v="28363"/>
    <n v="777"/>
    <n v="32"/>
    <n v="636.41999999999996"/>
    <n v="3065.25"/>
    <n v="2.74"/>
    <n v="4.12"/>
    <n v="19.89"/>
    <n v="4.82"/>
    <n v="2428.83"/>
  </r>
  <r>
    <x v="273"/>
    <s v="Affiliate Marketing"/>
    <s v="Seasonal Promotion"/>
    <s v="Add-on Service"/>
    <n v="7041"/>
    <n v="333"/>
    <n v="31"/>
    <n v="421.33"/>
    <n v="4688.95"/>
    <n v="4.7300000000000004"/>
    <n v="9.31"/>
    <n v="13.59"/>
    <n v="11.13"/>
    <n v="4267.62"/>
  </r>
  <r>
    <x v="273"/>
    <s v="Referral"/>
    <s v="Product Launch"/>
    <s v="Add-on Service"/>
    <n v="4619"/>
    <n v="374"/>
    <n v="59"/>
    <n v="133.03"/>
    <n v="9185.91"/>
    <n v="8.1"/>
    <n v="15.78"/>
    <n v="2.25"/>
    <n v="69.05"/>
    <n v="9052.8799999999992"/>
  </r>
  <r>
    <x v="274"/>
    <s v="Google Ads"/>
    <s v="Seasonal Promotion"/>
    <s v="Add-on Service"/>
    <n v="13249"/>
    <n v="445"/>
    <n v="45"/>
    <n v="1495.62"/>
    <n v="7899.01"/>
    <n v="3.36"/>
    <n v="10.11"/>
    <n v="33.24"/>
    <n v="5.28"/>
    <n v="6403.39"/>
  </r>
  <r>
    <x v="274"/>
    <s v="Facebook Ads"/>
    <s v="Lead Generation"/>
    <s v="Add-on Service"/>
    <n v="18068"/>
    <n v="491"/>
    <n v="38"/>
    <n v="788.59"/>
    <n v="3576.53"/>
    <n v="2.72"/>
    <n v="7.74"/>
    <n v="20.75"/>
    <n v="4.54"/>
    <n v="2787.94"/>
  </r>
  <r>
    <x v="274"/>
    <s v="Instagram Ads"/>
    <s v="Lead Generation"/>
    <s v="Basic Plan"/>
    <n v="12988"/>
    <n v="326"/>
    <n v="24"/>
    <n v="857"/>
    <n v="2070.52"/>
    <n v="2.5099999999999998"/>
    <n v="7.36"/>
    <n v="35.71"/>
    <n v="2.42"/>
    <n v="1213.52"/>
  </r>
  <r>
    <x v="274"/>
    <s v="LinkedIn Ads"/>
    <s v="Flash Sale"/>
    <s v="Premium Plan"/>
    <n v="5532"/>
    <n v="130"/>
    <n v="19"/>
    <n v="1276.1199999999999"/>
    <n v="5955.39"/>
    <n v="2.35"/>
    <n v="14.62"/>
    <n v="67.16"/>
    <n v="4.67"/>
    <n v="4679.2700000000004"/>
  </r>
  <r>
    <x v="274"/>
    <s v="Email Marketing"/>
    <s v="Product Launch"/>
    <s v="Premium Plan"/>
    <n v="19768"/>
    <n v="4835"/>
    <n v="498"/>
    <n v="202.85"/>
    <n v="74898.44"/>
    <n v="24.46"/>
    <n v="10.3"/>
    <n v="0.41"/>
    <n v="369.23"/>
    <n v="74695.59"/>
  </r>
  <r>
    <x v="274"/>
    <s v="Organic Search"/>
    <s v="Flash Sale"/>
    <s v="Starter Kit"/>
    <n v="20966"/>
    <n v="1111"/>
    <n v="148"/>
    <n v="0"/>
    <n v="22145.35"/>
    <n v="5.3"/>
    <n v="13.32"/>
    <n v="0"/>
    <n v="0"/>
    <n v="22145.35"/>
  </r>
  <r>
    <x v="274"/>
    <s v="Display Ads"/>
    <s v="Lead Generation"/>
    <s v="Add-on Service"/>
    <n v="32980"/>
    <n v="380"/>
    <n v="11"/>
    <n v="1045.6400000000001"/>
    <n v="1180.51"/>
    <n v="1.1499999999999999"/>
    <n v="2.89"/>
    <n v="95.06"/>
    <n v="1.1299999999999999"/>
    <n v="134.87"/>
  </r>
  <r>
    <x v="274"/>
    <s v="YouTube Ads"/>
    <s v="Seasonal Promotion"/>
    <s v="Starter Kit"/>
    <n v="16119"/>
    <n v="392"/>
    <n v="16"/>
    <n v="1064.0999999999999"/>
    <n v="1810.36"/>
    <n v="2.4300000000000002"/>
    <n v="4.08"/>
    <n v="66.510000000000005"/>
    <n v="1.7"/>
    <n v="746.26"/>
  </r>
  <r>
    <x v="274"/>
    <s v="Twitter Ads"/>
    <s v="Flash Sale"/>
    <s v="Enterprise Plan"/>
    <n v="12786"/>
    <n v="408"/>
    <n v="16"/>
    <n v="655.89"/>
    <n v="1761.54"/>
    <n v="3.19"/>
    <n v="3.92"/>
    <n v="40.99"/>
    <n v="2.69"/>
    <n v="1105.6500000000001"/>
  </r>
  <r>
    <x v="274"/>
    <s v="TikTok Ads"/>
    <s v="Lead Generation"/>
    <s v="Starter Kit"/>
    <n v="21327"/>
    <n v="593"/>
    <n v="36"/>
    <n v="783.72"/>
    <n v="3159.96"/>
    <n v="2.78"/>
    <n v="6.07"/>
    <n v="21.77"/>
    <n v="4.03"/>
    <n v="2376.2399999999998"/>
  </r>
  <r>
    <x v="274"/>
    <s v="Affiliate Marketing"/>
    <s v="Retargeting"/>
    <s v="Starter Kit"/>
    <n v="9187"/>
    <n v="574"/>
    <n v="69"/>
    <n v="344.52"/>
    <n v="9520.85"/>
    <n v="6.25"/>
    <n v="12.02"/>
    <n v="4.99"/>
    <n v="27.64"/>
    <n v="9176.33"/>
  </r>
  <r>
    <x v="274"/>
    <s v="Referral"/>
    <s v="Lead Generation"/>
    <s v="Basic Plan"/>
    <n v="6864"/>
    <n v="674"/>
    <n v="91"/>
    <n v="115.11"/>
    <n v="16412.39"/>
    <n v="9.82"/>
    <n v="13.5"/>
    <n v="1.26"/>
    <n v="142.58000000000001"/>
    <n v="16297.28"/>
  </r>
  <r>
    <x v="275"/>
    <s v="Google Ads"/>
    <s v="Lead Generation"/>
    <s v="Basic Plan"/>
    <n v="8388"/>
    <n v="275"/>
    <n v="31"/>
    <n v="1463.55"/>
    <n v="4096.49"/>
    <n v="3.28"/>
    <n v="11.27"/>
    <n v="47.21"/>
    <n v="2.8"/>
    <n v="2632.94"/>
  </r>
  <r>
    <x v="275"/>
    <s v="Facebook Ads"/>
    <s v="Brand Awareness"/>
    <s v="Starter Kit"/>
    <n v="19330"/>
    <n v="694"/>
    <n v="59"/>
    <n v="1199.8800000000001"/>
    <n v="7718.75"/>
    <n v="3.59"/>
    <n v="8.5"/>
    <n v="20.34"/>
    <n v="6.43"/>
    <n v="6518.87"/>
  </r>
  <r>
    <x v="275"/>
    <s v="Instagram Ads"/>
    <s v="Brand Awareness"/>
    <s v="Enterprise Plan"/>
    <n v="14475"/>
    <n v="383"/>
    <n v="15"/>
    <n v="850.62"/>
    <n v="1499.16"/>
    <n v="2.65"/>
    <n v="3.92"/>
    <n v="56.71"/>
    <n v="1.76"/>
    <n v="648.54"/>
  </r>
  <r>
    <x v="275"/>
    <s v="LinkedIn Ads"/>
    <s v="Retargeting"/>
    <s v="Basic Plan"/>
    <n v="5933"/>
    <n v="99"/>
    <n v="10"/>
    <n v="1560.59"/>
    <n v="2661.83"/>
    <n v="1.67"/>
    <n v="10.1"/>
    <n v="156.06"/>
    <n v="1.71"/>
    <n v="1101.24"/>
  </r>
  <r>
    <x v="275"/>
    <s v="Email Marketing"/>
    <s v="Flash Sale"/>
    <s v="Basic Plan"/>
    <n v="24030"/>
    <n v="5477"/>
    <n v="499"/>
    <n v="184.52"/>
    <n v="64721.36"/>
    <n v="22.79"/>
    <n v="9.11"/>
    <n v="0.37"/>
    <n v="350.76"/>
    <n v="64536.84"/>
  </r>
  <r>
    <x v="275"/>
    <s v="Organic Search"/>
    <s v="Lead Generation"/>
    <s v="Premium Plan"/>
    <n v="20012"/>
    <n v="1120"/>
    <n v="127"/>
    <n v="0"/>
    <n v="13635.9"/>
    <n v="5.6"/>
    <n v="11.34"/>
    <n v="0"/>
    <n v="0"/>
    <n v="13635.9"/>
  </r>
  <r>
    <x v="275"/>
    <s v="Display Ads"/>
    <s v="Lead Generation"/>
    <s v="Starter Kit"/>
    <n v="28578"/>
    <n v="313"/>
    <n v="9"/>
    <n v="1023.19"/>
    <n v="1067.3699999999999"/>
    <n v="1.1000000000000001"/>
    <n v="2.88"/>
    <n v="113.69"/>
    <n v="1.04"/>
    <n v="44.18"/>
  </r>
  <r>
    <x v="275"/>
    <s v="YouTube Ads"/>
    <s v="Seasonal Promotion"/>
    <s v="Starter Kit"/>
    <n v="16327"/>
    <n v="458"/>
    <n v="29"/>
    <n v="1191.3699999999999"/>
    <n v="3426.28"/>
    <n v="2.81"/>
    <n v="6.33"/>
    <n v="41.08"/>
    <n v="2.88"/>
    <n v="2234.91"/>
  </r>
  <r>
    <x v="275"/>
    <s v="Twitter Ads"/>
    <s v="Flash Sale"/>
    <s v="Enterprise Plan"/>
    <n v="10077"/>
    <n v="255"/>
    <n v="14"/>
    <n v="461.75"/>
    <n v="1673.3"/>
    <n v="2.5299999999999998"/>
    <n v="5.49"/>
    <n v="32.979999999999997"/>
    <n v="3.62"/>
    <n v="1211.55"/>
  </r>
  <r>
    <x v="275"/>
    <s v="TikTok Ads"/>
    <s v="Retargeting"/>
    <s v="Basic Plan"/>
    <n v="27973"/>
    <n v="824"/>
    <n v="31"/>
    <n v="796.83"/>
    <n v="2989.15"/>
    <n v="2.95"/>
    <n v="3.76"/>
    <n v="25.7"/>
    <n v="3.75"/>
    <n v="2192.3200000000002"/>
  </r>
  <r>
    <x v="275"/>
    <s v="Affiliate Marketing"/>
    <s v="Retargeting"/>
    <s v="Starter Kit"/>
    <n v="8008"/>
    <n v="396"/>
    <n v="48"/>
    <n v="660.43"/>
    <n v="6304.8"/>
    <n v="4.95"/>
    <n v="12.12"/>
    <n v="13.76"/>
    <n v="9.5500000000000007"/>
    <n v="5644.37"/>
  </r>
  <r>
    <x v="275"/>
    <s v="Referral"/>
    <s v="Brand Awareness"/>
    <s v="Add-on Service"/>
    <n v="5435"/>
    <n v="351"/>
    <n v="55"/>
    <n v="69.45"/>
    <n v="9849.9699999999993"/>
    <n v="6.46"/>
    <n v="15.67"/>
    <n v="1.26"/>
    <n v="141.83000000000001"/>
    <n v="9780.52"/>
  </r>
  <r>
    <x v="276"/>
    <s v="Google Ads"/>
    <s v="Flash Sale"/>
    <s v="Starter Kit"/>
    <n v="14164"/>
    <n v="573"/>
    <n v="51"/>
    <n v="947.74"/>
    <n v="7273.07"/>
    <n v="4.05"/>
    <n v="8.9"/>
    <n v="18.579999999999998"/>
    <n v="7.67"/>
    <n v="6325.33"/>
  </r>
  <r>
    <x v="276"/>
    <s v="Facebook Ads"/>
    <s v="Flash Sale"/>
    <s v="Enterprise Plan"/>
    <n v="18483"/>
    <n v="415"/>
    <n v="24"/>
    <n v="977.01"/>
    <n v="3097.07"/>
    <n v="2.25"/>
    <n v="5.78"/>
    <n v="40.71"/>
    <n v="3.17"/>
    <n v="2120.06"/>
  </r>
  <r>
    <x v="276"/>
    <s v="Instagram Ads"/>
    <s v="Retargeting"/>
    <s v="Add-on Service"/>
    <n v="12242"/>
    <n v="392"/>
    <n v="25"/>
    <n v="651.65"/>
    <n v="2326.67"/>
    <n v="3.2"/>
    <n v="6.38"/>
    <n v="26.07"/>
    <n v="3.57"/>
    <n v="1675.02"/>
  </r>
  <r>
    <x v="276"/>
    <s v="LinkedIn Ads"/>
    <s v="Flash Sale"/>
    <s v="Add-on Service"/>
    <n v="3804"/>
    <n v="69"/>
    <n v="7"/>
    <n v="1413.83"/>
    <n v="2220.27"/>
    <n v="1.81"/>
    <n v="10.14"/>
    <n v="201.98"/>
    <n v="1.57"/>
    <n v="806.44"/>
  </r>
  <r>
    <x v="276"/>
    <s v="Email Marketing"/>
    <s v="Seasonal Promotion"/>
    <s v="Add-on Service"/>
    <n v="20646"/>
    <n v="4475"/>
    <n v="401"/>
    <n v="170.01"/>
    <n v="56080.02"/>
    <n v="21.67"/>
    <n v="8.9600000000000009"/>
    <n v="0.42"/>
    <n v="329.86"/>
    <n v="55910.01"/>
  </r>
  <r>
    <x v="276"/>
    <s v="Organic Search"/>
    <s v="Seasonal Promotion"/>
    <s v="Premium Plan"/>
    <n v="20538"/>
    <n v="1431"/>
    <n v="210"/>
    <n v="0"/>
    <n v="27334.9"/>
    <n v="6.97"/>
    <n v="14.68"/>
    <n v="0"/>
    <n v="0"/>
    <n v="27334.9"/>
  </r>
  <r>
    <x v="276"/>
    <s v="Display Ads"/>
    <s v="Seasonal Promotion"/>
    <s v="Premium Plan"/>
    <n v="25875"/>
    <n v="377"/>
    <n v="9"/>
    <n v="1292.68"/>
    <n v="813.24"/>
    <n v="1.46"/>
    <n v="2.39"/>
    <n v="143.63"/>
    <n v="0.63"/>
    <n v="-479.44"/>
  </r>
  <r>
    <x v="276"/>
    <s v="YouTube Ads"/>
    <s v="Retargeting"/>
    <s v="Starter Kit"/>
    <n v="23784"/>
    <n v="364"/>
    <n v="18"/>
    <n v="1069.0899999999999"/>
    <n v="2773.01"/>
    <n v="1.53"/>
    <n v="4.95"/>
    <n v="59.39"/>
    <n v="2.59"/>
    <n v="1703.92"/>
  </r>
  <r>
    <x v="276"/>
    <s v="Twitter Ads"/>
    <s v="Brand Awareness"/>
    <s v="Basic Plan"/>
    <n v="13069"/>
    <n v="357"/>
    <n v="17"/>
    <n v="430.99"/>
    <n v="1567.33"/>
    <n v="2.73"/>
    <n v="4.76"/>
    <n v="25.35"/>
    <n v="3.64"/>
    <n v="1136.3399999999999"/>
  </r>
  <r>
    <x v="276"/>
    <s v="TikTok Ads"/>
    <s v="Seasonal Promotion"/>
    <s v="Add-on Service"/>
    <n v="21864"/>
    <n v="582"/>
    <n v="37"/>
    <n v="926.74"/>
    <n v="3411.69"/>
    <n v="2.66"/>
    <n v="6.36"/>
    <n v="25.05"/>
    <n v="3.68"/>
    <n v="2484.9499999999998"/>
  </r>
  <r>
    <x v="276"/>
    <s v="Affiliate Marketing"/>
    <s v="Retargeting"/>
    <s v="Premium Plan"/>
    <n v="9538"/>
    <n v="493"/>
    <n v="44"/>
    <n v="318.20999999999998"/>
    <n v="6268.6"/>
    <n v="5.17"/>
    <n v="8.92"/>
    <n v="7.23"/>
    <n v="19.7"/>
    <n v="5950.39"/>
  </r>
  <r>
    <x v="276"/>
    <s v="Referral"/>
    <s v="Seasonal Promotion"/>
    <s v="Starter Kit"/>
    <n v="4318"/>
    <n v="333"/>
    <n v="46"/>
    <n v="61.58"/>
    <n v="7537.8"/>
    <n v="7.71"/>
    <n v="13.81"/>
    <n v="1.34"/>
    <n v="122.41"/>
    <n v="7476.22"/>
  </r>
  <r>
    <x v="277"/>
    <s v="Google Ads"/>
    <s v="Seasonal Promotion"/>
    <s v="Premium Plan"/>
    <n v="11322"/>
    <n v="491"/>
    <n v="50"/>
    <n v="981.82"/>
    <n v="6352.89"/>
    <n v="4.34"/>
    <n v="10.18"/>
    <n v="19.64"/>
    <n v="6.47"/>
    <n v="5371.07"/>
  </r>
  <r>
    <x v="277"/>
    <s v="Facebook Ads"/>
    <s v="Lead Generation"/>
    <s v="Enterprise Plan"/>
    <n v="17636"/>
    <n v="592"/>
    <n v="51"/>
    <n v="810.82"/>
    <n v="5972.31"/>
    <n v="3.36"/>
    <n v="8.61"/>
    <n v="15.9"/>
    <n v="7.37"/>
    <n v="5161.49"/>
  </r>
  <r>
    <x v="277"/>
    <s v="Instagram Ads"/>
    <s v="Retargeting"/>
    <s v="Starter Kit"/>
    <n v="13893"/>
    <n v="368"/>
    <n v="19"/>
    <n v="781.04"/>
    <n v="1574.89"/>
    <n v="2.65"/>
    <n v="5.16"/>
    <n v="41.11"/>
    <n v="2.02"/>
    <n v="793.85"/>
  </r>
  <r>
    <x v="277"/>
    <s v="LinkedIn Ads"/>
    <s v="Product Launch"/>
    <s v="Enterprise Plan"/>
    <n v="3965"/>
    <n v="81"/>
    <n v="8"/>
    <n v="1726.78"/>
    <n v="1620.27"/>
    <n v="2.04"/>
    <n v="9.8800000000000008"/>
    <n v="215.85"/>
    <n v="0.94"/>
    <n v="-106.51"/>
  </r>
  <r>
    <x v="277"/>
    <s v="Email Marketing"/>
    <s v="Retargeting"/>
    <s v="Basic Plan"/>
    <n v="24265"/>
    <n v="5327"/>
    <n v="647"/>
    <n v="236.83"/>
    <n v="91268.97"/>
    <n v="21.95"/>
    <n v="12.15"/>
    <n v="0.37"/>
    <n v="385.38"/>
    <n v="91032.14"/>
  </r>
  <r>
    <x v="277"/>
    <s v="Organic Search"/>
    <s v="Retargeting"/>
    <s v="Enterprise Plan"/>
    <n v="23364"/>
    <n v="1011"/>
    <n v="153"/>
    <n v="0"/>
    <n v="18864.57"/>
    <n v="4.33"/>
    <n v="15.13"/>
    <n v="0"/>
    <n v="0"/>
    <n v="18864.57"/>
  </r>
  <r>
    <x v="277"/>
    <s v="Display Ads"/>
    <s v="Seasonal Promotion"/>
    <s v="Premium Plan"/>
    <n v="26812"/>
    <n v="281"/>
    <n v="13"/>
    <n v="712.19"/>
    <n v="1357.85"/>
    <n v="1.05"/>
    <n v="4.63"/>
    <n v="54.78"/>
    <n v="1.91"/>
    <n v="645.66"/>
  </r>
  <r>
    <x v="277"/>
    <s v="YouTube Ads"/>
    <s v="Flash Sale"/>
    <s v="Add-on Service"/>
    <n v="17649"/>
    <n v="278"/>
    <n v="20"/>
    <n v="1140.05"/>
    <n v="2171.9699999999998"/>
    <n v="1.58"/>
    <n v="7.19"/>
    <n v="57"/>
    <n v="1.91"/>
    <n v="1031.92"/>
  </r>
  <r>
    <x v="277"/>
    <s v="Twitter Ads"/>
    <s v="Lead Generation"/>
    <s v="Starter Kit"/>
    <n v="9151"/>
    <n v="217"/>
    <n v="7"/>
    <n v="449.54"/>
    <n v="758.81"/>
    <n v="2.37"/>
    <n v="3.23"/>
    <n v="64.22"/>
    <n v="1.69"/>
    <n v="309.27"/>
  </r>
  <r>
    <x v="277"/>
    <s v="TikTok Ads"/>
    <s v="Flash Sale"/>
    <s v="Starter Kit"/>
    <n v="25150"/>
    <n v="845"/>
    <n v="30"/>
    <n v="883.43"/>
    <n v="2715.4"/>
    <n v="3.36"/>
    <n v="3.55"/>
    <n v="29.45"/>
    <n v="3.07"/>
    <n v="1831.97"/>
  </r>
  <r>
    <x v="277"/>
    <s v="Affiliate Marketing"/>
    <s v="Brand Awareness"/>
    <s v="Add-on Service"/>
    <n v="9591"/>
    <n v="572"/>
    <n v="57"/>
    <n v="504.85"/>
    <n v="8088.81"/>
    <n v="5.96"/>
    <n v="9.9700000000000006"/>
    <n v="8.86"/>
    <n v="16.02"/>
    <n v="7583.96"/>
  </r>
  <r>
    <x v="277"/>
    <s v="Referral"/>
    <s v="Brand Awareness"/>
    <s v="Basic Plan"/>
    <n v="3000"/>
    <n v="205"/>
    <n v="31"/>
    <n v="176.59"/>
    <n v="4392.2"/>
    <n v="6.83"/>
    <n v="15.12"/>
    <n v="5.7"/>
    <n v="24.87"/>
    <n v="4215.6099999999997"/>
  </r>
  <r>
    <x v="278"/>
    <s v="Google Ads"/>
    <s v="Seasonal Promotion"/>
    <s v="Add-on Service"/>
    <n v="6596"/>
    <n v="325"/>
    <n v="34"/>
    <n v="590.85"/>
    <n v="4446.1400000000003"/>
    <n v="4.93"/>
    <n v="10.46"/>
    <n v="17.38"/>
    <n v="7.52"/>
    <n v="3855.29"/>
  </r>
  <r>
    <x v="278"/>
    <s v="Facebook Ads"/>
    <s v="Lead Generation"/>
    <s v="Starter Kit"/>
    <n v="9466"/>
    <n v="282"/>
    <n v="16"/>
    <n v="726.18"/>
    <n v="1731.46"/>
    <n v="2.98"/>
    <n v="5.67"/>
    <n v="45.39"/>
    <n v="2.38"/>
    <n v="1005.28"/>
  </r>
  <r>
    <x v="278"/>
    <s v="Instagram Ads"/>
    <s v="Retargeting"/>
    <s v="Enterprise Plan"/>
    <n v="9012"/>
    <n v="334"/>
    <n v="13"/>
    <n v="684.02"/>
    <n v="1376.67"/>
    <n v="3.71"/>
    <n v="3.89"/>
    <n v="52.62"/>
    <n v="2.0099999999999998"/>
    <n v="692.65"/>
  </r>
  <r>
    <x v="278"/>
    <s v="LinkedIn Ads"/>
    <s v="Retargeting"/>
    <s v="Premium Plan"/>
    <n v="2219"/>
    <n v="35"/>
    <n v="3"/>
    <n v="779.04"/>
    <n v="752.13"/>
    <n v="1.58"/>
    <n v="8.57"/>
    <n v="259.68"/>
    <n v="0.97"/>
    <n v="-26.91"/>
  </r>
  <r>
    <x v="278"/>
    <s v="Email Marketing"/>
    <s v="Lead Generation"/>
    <s v="Starter Kit"/>
    <n v="14856"/>
    <n v="2778"/>
    <n v="247"/>
    <n v="141.97"/>
    <n v="27762.63"/>
    <n v="18.7"/>
    <n v="8.89"/>
    <n v="0.56999999999999995"/>
    <n v="195.55"/>
    <n v="27620.66"/>
  </r>
  <r>
    <x v="278"/>
    <s v="Organic Search"/>
    <s v="Seasonal Promotion"/>
    <s v="Basic Plan"/>
    <n v="21065"/>
    <n v="1166"/>
    <n v="175"/>
    <n v="0"/>
    <n v="25848.15"/>
    <n v="5.54"/>
    <n v="15.01"/>
    <n v="0"/>
    <n v="0"/>
    <n v="25848.15"/>
  </r>
  <r>
    <x v="278"/>
    <s v="Display Ads"/>
    <s v="Retargeting"/>
    <s v="Premium Plan"/>
    <n v="27747"/>
    <n v="446"/>
    <n v="13"/>
    <n v="625.36"/>
    <n v="1420.61"/>
    <n v="1.61"/>
    <n v="2.91"/>
    <n v="48.1"/>
    <n v="2.27"/>
    <n v="795.25"/>
  </r>
  <r>
    <x v="278"/>
    <s v="YouTube Ads"/>
    <s v="Product Launch"/>
    <s v="Enterprise Plan"/>
    <n v="16116"/>
    <n v="440"/>
    <n v="17"/>
    <n v="719.02"/>
    <n v="2306.7800000000002"/>
    <n v="2.73"/>
    <n v="3.86"/>
    <n v="42.3"/>
    <n v="3.21"/>
    <n v="1587.76"/>
  </r>
  <r>
    <x v="278"/>
    <s v="Twitter Ads"/>
    <s v="Flash Sale"/>
    <s v="Basic Plan"/>
    <n v="6734"/>
    <n v="145"/>
    <n v="4"/>
    <n v="287.08"/>
    <n v="450.8"/>
    <n v="2.15"/>
    <n v="2.76"/>
    <n v="71.77"/>
    <n v="1.57"/>
    <n v="163.72"/>
  </r>
  <r>
    <x v="278"/>
    <s v="TikTok Ads"/>
    <s v="Flash Sale"/>
    <s v="Premium Plan"/>
    <n v="19345"/>
    <n v="770"/>
    <n v="26"/>
    <n v="749.45"/>
    <n v="2645.43"/>
    <n v="3.98"/>
    <n v="3.38"/>
    <n v="28.83"/>
    <n v="3.53"/>
    <n v="1895.98"/>
  </r>
  <r>
    <x v="278"/>
    <s v="Affiliate Marketing"/>
    <s v="Brand Awareness"/>
    <s v="Premium Plan"/>
    <n v="6428"/>
    <n v="321"/>
    <n v="33"/>
    <n v="418.64"/>
    <n v="3804.5"/>
    <n v="4.99"/>
    <n v="10.28"/>
    <n v="12.69"/>
    <n v="9.09"/>
    <n v="3385.86"/>
  </r>
  <r>
    <x v="278"/>
    <s v="Referral"/>
    <s v="Flash Sale"/>
    <s v="Starter Kit"/>
    <n v="4779"/>
    <n v="456"/>
    <n v="65"/>
    <n v="106.62"/>
    <n v="11959.75"/>
    <n v="9.5399999999999991"/>
    <n v="14.25"/>
    <n v="1.64"/>
    <n v="112.17"/>
    <n v="11853.13"/>
  </r>
  <r>
    <x v="279"/>
    <s v="Google Ads"/>
    <s v="Flash Sale"/>
    <s v="Enterprise Plan"/>
    <n v="6790"/>
    <n v="291"/>
    <n v="28"/>
    <n v="896.56"/>
    <n v="4587.24"/>
    <n v="4.29"/>
    <n v="9.6199999999999992"/>
    <n v="32.020000000000003"/>
    <n v="5.12"/>
    <n v="3690.68"/>
  </r>
  <r>
    <x v="279"/>
    <s v="Facebook Ads"/>
    <s v="Brand Awareness"/>
    <s v="Add-on Service"/>
    <n v="12972"/>
    <n v="474"/>
    <n v="32"/>
    <n v="600.09"/>
    <n v="3199.15"/>
    <n v="3.65"/>
    <n v="6.75"/>
    <n v="18.75"/>
    <n v="5.33"/>
    <n v="2599.06"/>
  </r>
  <r>
    <x v="279"/>
    <s v="Instagram Ads"/>
    <s v="Flash Sale"/>
    <s v="Starter Kit"/>
    <n v="7045"/>
    <n v="215"/>
    <n v="11"/>
    <n v="446.61"/>
    <n v="1092.3800000000001"/>
    <n v="3.05"/>
    <n v="5.12"/>
    <n v="40.6"/>
    <n v="2.4500000000000002"/>
    <n v="645.77"/>
  </r>
  <r>
    <x v="279"/>
    <s v="LinkedIn Ads"/>
    <s v="Flash Sale"/>
    <s v="Add-on Service"/>
    <n v="4024"/>
    <n v="112"/>
    <n v="15"/>
    <n v="829.18"/>
    <n v="3066.36"/>
    <n v="2.78"/>
    <n v="13.39"/>
    <n v="55.28"/>
    <n v="3.7"/>
    <n v="2237.1799999999998"/>
  </r>
  <r>
    <x v="279"/>
    <s v="Email Marketing"/>
    <s v="Seasonal Promotion"/>
    <s v="Basic Plan"/>
    <n v="10868"/>
    <n v="1922"/>
    <n v="186"/>
    <n v="208.76"/>
    <n v="24945.16"/>
    <n v="17.68"/>
    <n v="9.68"/>
    <n v="1.1200000000000001"/>
    <n v="119.49"/>
    <n v="24736.400000000001"/>
  </r>
  <r>
    <x v="279"/>
    <s v="Organic Search"/>
    <s v="Retargeting"/>
    <s v="Add-on Service"/>
    <n v="17810"/>
    <n v="1423"/>
    <n v="205"/>
    <n v="0"/>
    <n v="24129.97"/>
    <n v="7.99"/>
    <n v="14.41"/>
    <n v="0"/>
    <n v="0"/>
    <n v="24129.97"/>
  </r>
  <r>
    <x v="279"/>
    <s v="Display Ads"/>
    <s v="Retargeting"/>
    <s v="Premium Plan"/>
    <n v="20975"/>
    <n v="367"/>
    <n v="10"/>
    <n v="786.54"/>
    <n v="1145.1099999999999"/>
    <n v="1.75"/>
    <n v="2.72"/>
    <n v="78.650000000000006"/>
    <n v="1.46"/>
    <n v="358.57"/>
  </r>
  <r>
    <x v="279"/>
    <s v="YouTube Ads"/>
    <s v="Lead Generation"/>
    <s v="Enterprise Plan"/>
    <n v="11042"/>
    <n v="184"/>
    <n v="13"/>
    <n v="907.6"/>
    <n v="1562.04"/>
    <n v="1.67"/>
    <n v="7.07"/>
    <n v="69.819999999999993"/>
    <n v="1.72"/>
    <n v="654.44000000000005"/>
  </r>
  <r>
    <x v="279"/>
    <s v="Twitter Ads"/>
    <s v="Seasonal Promotion"/>
    <s v="Basic Plan"/>
    <n v="7944"/>
    <n v="172"/>
    <n v="7"/>
    <n v="351.17"/>
    <n v="561.59"/>
    <n v="2.17"/>
    <n v="4.07"/>
    <n v="50.17"/>
    <n v="1.6"/>
    <n v="210.42"/>
  </r>
  <r>
    <x v="279"/>
    <s v="TikTok Ads"/>
    <s v="Lead Generation"/>
    <s v="Basic Plan"/>
    <n v="18079"/>
    <n v="495"/>
    <n v="30"/>
    <n v="455.07"/>
    <n v="2220.44"/>
    <n v="2.74"/>
    <n v="6.06"/>
    <n v="15.17"/>
    <n v="4.88"/>
    <n v="1765.37"/>
  </r>
  <r>
    <x v="279"/>
    <s v="Affiliate Marketing"/>
    <s v="Lead Generation"/>
    <s v="Premium Plan"/>
    <n v="6187"/>
    <n v="429"/>
    <n v="43"/>
    <n v="261.2"/>
    <n v="5277.75"/>
    <n v="6.93"/>
    <n v="10.02"/>
    <n v="6.07"/>
    <n v="20.21"/>
    <n v="5016.55"/>
  </r>
  <r>
    <x v="279"/>
    <s v="Referral"/>
    <s v="Retargeting"/>
    <s v="Enterprise Plan"/>
    <n v="3791"/>
    <n v="258"/>
    <n v="37"/>
    <n v="110.68"/>
    <n v="5151.08"/>
    <n v="6.81"/>
    <n v="14.34"/>
    <n v="2.99"/>
    <n v="46.54"/>
    <n v="5040.3999999999996"/>
  </r>
  <r>
    <x v="280"/>
    <s v="Google Ads"/>
    <s v="Product Launch"/>
    <s v="Starter Kit"/>
    <n v="10244"/>
    <n v="354"/>
    <n v="41"/>
    <n v="1026.8599999999999"/>
    <n v="7300.95"/>
    <n v="3.46"/>
    <n v="11.58"/>
    <n v="25.05"/>
    <n v="7.11"/>
    <n v="6274.09"/>
  </r>
  <r>
    <x v="280"/>
    <s v="Facebook Ads"/>
    <s v="Product Launch"/>
    <s v="Basic Plan"/>
    <n v="14515"/>
    <n v="327"/>
    <n v="21"/>
    <n v="981.31"/>
    <n v="2049.0500000000002"/>
    <n v="2.25"/>
    <n v="6.42"/>
    <n v="46.73"/>
    <n v="2.09"/>
    <n v="1067.74"/>
  </r>
  <r>
    <x v="280"/>
    <s v="Instagram Ads"/>
    <s v="Brand Awareness"/>
    <s v="Basic Plan"/>
    <n v="10648"/>
    <n v="342"/>
    <n v="20"/>
    <n v="649.82000000000005"/>
    <n v="2224.09"/>
    <n v="3.21"/>
    <n v="5.85"/>
    <n v="32.49"/>
    <n v="3.42"/>
    <n v="1574.27"/>
  </r>
  <r>
    <x v="280"/>
    <s v="LinkedIn Ads"/>
    <s v="Lead Generation"/>
    <s v="Premium Plan"/>
    <n v="5597"/>
    <n v="157"/>
    <n v="15"/>
    <n v="931.98"/>
    <n v="4603.42"/>
    <n v="2.81"/>
    <n v="9.5500000000000007"/>
    <n v="62.13"/>
    <n v="4.9400000000000004"/>
    <n v="3671.44"/>
  </r>
  <r>
    <x v="280"/>
    <s v="Email Marketing"/>
    <s v="Seasonal Promotion"/>
    <s v="Enterprise Plan"/>
    <n v="19611"/>
    <n v="4428"/>
    <n v="549"/>
    <n v="194.11"/>
    <n v="68423.64"/>
    <n v="22.58"/>
    <n v="12.4"/>
    <n v="0.35"/>
    <n v="352.5"/>
    <n v="68229.53"/>
  </r>
  <r>
    <x v="280"/>
    <s v="Organic Search"/>
    <s v="Brand Awareness"/>
    <s v="Starter Kit"/>
    <n v="24295"/>
    <n v="1176"/>
    <n v="174"/>
    <n v="0"/>
    <n v="22232.93"/>
    <n v="4.84"/>
    <n v="14.8"/>
    <n v="0"/>
    <n v="0"/>
    <n v="22232.93"/>
  </r>
  <r>
    <x v="280"/>
    <s v="Display Ads"/>
    <s v="Retargeting"/>
    <s v="Starter Kit"/>
    <n v="28494"/>
    <n v="352"/>
    <n v="8"/>
    <n v="1148.46"/>
    <n v="1013.67"/>
    <n v="1.24"/>
    <n v="2.27"/>
    <n v="143.56"/>
    <n v="0.88"/>
    <n v="-134.79"/>
  </r>
  <r>
    <x v="280"/>
    <s v="YouTube Ads"/>
    <s v="Seasonal Promotion"/>
    <s v="Premium Plan"/>
    <n v="24000"/>
    <n v="651"/>
    <n v="46"/>
    <n v="1203.6099999999999"/>
    <n v="4764.6000000000004"/>
    <n v="2.71"/>
    <n v="7.07"/>
    <n v="26.17"/>
    <n v="3.96"/>
    <n v="3560.99"/>
  </r>
  <r>
    <x v="280"/>
    <s v="Twitter Ads"/>
    <s v="Seasonal Promotion"/>
    <s v="Starter Kit"/>
    <n v="13912"/>
    <n v="438"/>
    <n v="25"/>
    <n v="455.69"/>
    <n v="2157.23"/>
    <n v="3.15"/>
    <n v="5.71"/>
    <n v="18.23"/>
    <n v="4.7300000000000004"/>
    <n v="1701.54"/>
  </r>
  <r>
    <x v="280"/>
    <s v="TikTok Ads"/>
    <s v="Lead Generation"/>
    <s v="Basic Plan"/>
    <n v="20915"/>
    <n v="875"/>
    <n v="31"/>
    <n v="991.83"/>
    <n v="2871.49"/>
    <n v="4.18"/>
    <n v="3.54"/>
    <n v="31.99"/>
    <n v="2.9"/>
    <n v="1879.66"/>
  </r>
  <r>
    <x v="280"/>
    <s v="Affiliate Marketing"/>
    <s v="Seasonal Promotion"/>
    <s v="Starter Kit"/>
    <n v="9314"/>
    <n v="522"/>
    <n v="53"/>
    <n v="694.37"/>
    <n v="6052.7"/>
    <n v="5.6"/>
    <n v="10.15"/>
    <n v="13.1"/>
    <n v="8.7200000000000006"/>
    <n v="5358.33"/>
  </r>
  <r>
    <x v="280"/>
    <s v="Referral"/>
    <s v="Retargeting"/>
    <s v="Starter Kit"/>
    <n v="3865"/>
    <n v="269"/>
    <n v="32"/>
    <n v="146.49"/>
    <n v="5211.5200000000004"/>
    <n v="6.96"/>
    <n v="11.9"/>
    <n v="4.58"/>
    <n v="35.58"/>
    <n v="5065.03"/>
  </r>
  <r>
    <x v="281"/>
    <s v="Google Ads"/>
    <s v="Retargeting"/>
    <s v="Premium Plan"/>
    <n v="8561"/>
    <n v="363"/>
    <n v="38"/>
    <n v="892.82"/>
    <n v="5620.47"/>
    <n v="4.24"/>
    <n v="10.47"/>
    <n v="23.5"/>
    <n v="6.3"/>
    <n v="4727.6499999999996"/>
  </r>
  <r>
    <x v="281"/>
    <s v="Facebook Ads"/>
    <s v="Seasonal Promotion"/>
    <s v="Add-on Service"/>
    <n v="19884"/>
    <n v="764"/>
    <n v="50"/>
    <n v="800.31"/>
    <n v="4978.8599999999997"/>
    <n v="3.84"/>
    <n v="6.54"/>
    <n v="16.010000000000002"/>
    <n v="6.22"/>
    <n v="4178.55"/>
  </r>
  <r>
    <x v="281"/>
    <s v="Instagram Ads"/>
    <s v="Brand Awareness"/>
    <s v="Basic Plan"/>
    <n v="15540"/>
    <n v="653"/>
    <n v="36"/>
    <n v="986.55"/>
    <n v="4597.1499999999996"/>
    <n v="4.2"/>
    <n v="5.51"/>
    <n v="27.4"/>
    <n v="4.66"/>
    <n v="3610.6"/>
  </r>
  <r>
    <x v="281"/>
    <s v="LinkedIn Ads"/>
    <s v="Seasonal Promotion"/>
    <s v="Enterprise Plan"/>
    <n v="3091"/>
    <n v="49"/>
    <n v="6"/>
    <n v="1427.42"/>
    <n v="1460.3"/>
    <n v="1.59"/>
    <n v="12.24"/>
    <n v="237.9"/>
    <n v="1.02"/>
    <n v="32.880000000000003"/>
  </r>
  <r>
    <x v="281"/>
    <s v="Email Marketing"/>
    <s v="Seasonal Promotion"/>
    <s v="Add-on Service"/>
    <n v="18102"/>
    <n v="3364"/>
    <n v="414"/>
    <n v="266.92"/>
    <n v="67932.460000000006"/>
    <n v="18.579999999999998"/>
    <n v="12.31"/>
    <n v="0.64"/>
    <n v="254.5"/>
    <n v="67665.539999999994"/>
  </r>
  <r>
    <x v="281"/>
    <s v="Organic Search"/>
    <s v="Lead Generation"/>
    <s v="Premium Plan"/>
    <n v="27591"/>
    <n v="1956"/>
    <n v="229"/>
    <n v="0"/>
    <n v="35003.54"/>
    <n v="7.09"/>
    <n v="11.71"/>
    <n v="0"/>
    <n v="0"/>
    <n v="35003.54"/>
  </r>
  <r>
    <x v="281"/>
    <s v="Display Ads"/>
    <s v="Lead Generation"/>
    <s v="Basic Plan"/>
    <n v="34521"/>
    <n v="478"/>
    <n v="21"/>
    <n v="1168.4000000000001"/>
    <n v="1866.42"/>
    <n v="1.38"/>
    <n v="4.3899999999999997"/>
    <n v="55.64"/>
    <n v="1.6"/>
    <n v="698.02"/>
  </r>
  <r>
    <x v="281"/>
    <s v="YouTube Ads"/>
    <s v="Brand Awareness"/>
    <s v="Enterprise Plan"/>
    <n v="24390"/>
    <n v="428"/>
    <n v="18"/>
    <n v="1161.8"/>
    <n v="1990.55"/>
    <n v="1.75"/>
    <n v="4.21"/>
    <n v="64.540000000000006"/>
    <n v="1.71"/>
    <n v="828.75"/>
  </r>
  <r>
    <x v="281"/>
    <s v="Twitter Ads"/>
    <s v="Brand Awareness"/>
    <s v="Basic Plan"/>
    <n v="9191"/>
    <n v="301"/>
    <n v="15"/>
    <n v="499.23"/>
    <n v="1479.96"/>
    <n v="3.27"/>
    <n v="4.9800000000000004"/>
    <n v="33.28"/>
    <n v="2.96"/>
    <n v="980.73"/>
  </r>
  <r>
    <x v="281"/>
    <s v="TikTok Ads"/>
    <s v="Brand Awareness"/>
    <s v="Add-on Service"/>
    <n v="26874"/>
    <n v="775"/>
    <n v="50"/>
    <n v="1038.97"/>
    <n v="3980.32"/>
    <n v="2.88"/>
    <n v="6.45"/>
    <n v="20.78"/>
    <n v="3.83"/>
    <n v="2941.35"/>
  </r>
  <r>
    <x v="281"/>
    <s v="Affiliate Marketing"/>
    <s v="Seasonal Promotion"/>
    <s v="Enterprise Plan"/>
    <n v="7992"/>
    <n v="418"/>
    <n v="50"/>
    <n v="542.23"/>
    <n v="6252.85"/>
    <n v="5.23"/>
    <n v="11.96"/>
    <n v="10.84"/>
    <n v="11.53"/>
    <n v="5710.62"/>
  </r>
  <r>
    <x v="281"/>
    <s v="Referral"/>
    <s v="Product Launch"/>
    <s v="Premium Plan"/>
    <n v="5143"/>
    <n v="417"/>
    <n v="71"/>
    <n v="151.44"/>
    <n v="9666.31"/>
    <n v="8.11"/>
    <n v="17.03"/>
    <n v="2.13"/>
    <n v="63.83"/>
    <n v="9514.8700000000008"/>
  </r>
  <r>
    <x v="282"/>
    <s v="Google Ads"/>
    <s v="Brand Awareness"/>
    <s v="Premium Plan"/>
    <n v="13455"/>
    <n v="671"/>
    <n v="78"/>
    <n v="1234.6500000000001"/>
    <n v="13090.03"/>
    <n v="4.99"/>
    <n v="11.62"/>
    <n v="15.83"/>
    <n v="10.6"/>
    <n v="11855.38"/>
  </r>
  <r>
    <x v="282"/>
    <s v="Facebook Ads"/>
    <s v="Retargeting"/>
    <s v="Basic Plan"/>
    <n v="17898"/>
    <n v="384"/>
    <n v="32"/>
    <n v="605.35"/>
    <n v="3131.83"/>
    <n v="2.15"/>
    <n v="8.33"/>
    <n v="18.920000000000002"/>
    <n v="5.17"/>
    <n v="2526.48"/>
  </r>
  <r>
    <x v="282"/>
    <s v="Instagram Ads"/>
    <s v="Lead Generation"/>
    <s v="Enterprise Plan"/>
    <n v="14832"/>
    <n v="505"/>
    <n v="22"/>
    <n v="640.47"/>
    <n v="1830.41"/>
    <n v="3.4"/>
    <n v="4.3600000000000003"/>
    <n v="29.11"/>
    <n v="2.86"/>
    <n v="1189.94"/>
  </r>
  <r>
    <x v="282"/>
    <s v="LinkedIn Ads"/>
    <s v="Seasonal Promotion"/>
    <s v="Add-on Service"/>
    <n v="4012"/>
    <n v="71"/>
    <n v="8"/>
    <n v="1058"/>
    <n v="2887.99"/>
    <n v="1.77"/>
    <n v="11.27"/>
    <n v="132.25"/>
    <n v="2.73"/>
    <n v="1829.99"/>
  </r>
  <r>
    <x v="282"/>
    <s v="Email Marketing"/>
    <s v="Seasonal Promotion"/>
    <s v="Add-on Service"/>
    <n v="24606"/>
    <n v="4757"/>
    <n v="432"/>
    <n v="215.27"/>
    <n v="59347.040000000001"/>
    <n v="19.329999999999998"/>
    <n v="9.08"/>
    <n v="0.5"/>
    <n v="275.69"/>
    <n v="59131.77"/>
  </r>
  <r>
    <x v="282"/>
    <s v="Organic Search"/>
    <s v="Lead Generation"/>
    <s v="Starter Kit"/>
    <n v="34165"/>
    <n v="2671"/>
    <n v="389"/>
    <n v="0"/>
    <n v="42320.82"/>
    <n v="7.82"/>
    <n v="14.56"/>
    <n v="0"/>
    <n v="0"/>
    <n v="42320.82"/>
  </r>
  <r>
    <x v="282"/>
    <s v="Display Ads"/>
    <s v="Flash Sale"/>
    <s v="Add-on Service"/>
    <n v="37333"/>
    <n v="551"/>
    <n v="26"/>
    <n v="1056.99"/>
    <n v="2950.71"/>
    <n v="1.48"/>
    <n v="4.72"/>
    <n v="40.65"/>
    <n v="2.79"/>
    <n v="1893.72"/>
  </r>
  <r>
    <x v="282"/>
    <s v="YouTube Ads"/>
    <s v="Product Launch"/>
    <s v="Premium Plan"/>
    <n v="18157"/>
    <n v="389"/>
    <n v="29"/>
    <n v="987.7"/>
    <n v="2785.61"/>
    <n v="2.14"/>
    <n v="7.46"/>
    <n v="34.06"/>
    <n v="2.82"/>
    <n v="1797.91"/>
  </r>
  <r>
    <x v="282"/>
    <s v="Twitter Ads"/>
    <s v="Brand Awareness"/>
    <s v="Enterprise Plan"/>
    <n v="8773"/>
    <n v="306"/>
    <n v="16"/>
    <n v="644.71"/>
    <n v="1228.4100000000001"/>
    <n v="3.49"/>
    <n v="5.23"/>
    <n v="40.29"/>
    <n v="1.91"/>
    <n v="583.70000000000005"/>
  </r>
  <r>
    <x v="282"/>
    <s v="TikTok Ads"/>
    <s v="Product Launch"/>
    <s v="Enterprise Plan"/>
    <n v="29778"/>
    <n v="974"/>
    <n v="50"/>
    <n v="773.15"/>
    <n v="3890.65"/>
    <n v="3.27"/>
    <n v="5.13"/>
    <n v="15.46"/>
    <n v="5.03"/>
    <n v="3117.5"/>
  </r>
  <r>
    <x v="282"/>
    <s v="Affiliate Marketing"/>
    <s v="Retargeting"/>
    <s v="Premium Plan"/>
    <n v="5132"/>
    <n v="321"/>
    <n v="40"/>
    <n v="478.62"/>
    <n v="4819.32"/>
    <n v="6.25"/>
    <n v="12.46"/>
    <n v="11.97"/>
    <n v="10.07"/>
    <n v="4340.7"/>
  </r>
  <r>
    <x v="282"/>
    <s v="Referral"/>
    <s v="Retargeting"/>
    <s v="Add-on Service"/>
    <n v="5694"/>
    <n v="335"/>
    <n v="42"/>
    <n v="59.49"/>
    <n v="5528.4"/>
    <n v="5.88"/>
    <n v="12.54"/>
    <n v="1.42"/>
    <n v="92.93"/>
    <n v="5468.91"/>
  </r>
  <r>
    <x v="283"/>
    <s v="Google Ads"/>
    <s v="Brand Awareness"/>
    <s v="Enterprise Plan"/>
    <n v="11156"/>
    <n v="404"/>
    <n v="38"/>
    <n v="1343.49"/>
    <n v="5175.68"/>
    <n v="3.62"/>
    <n v="9.41"/>
    <n v="35.35"/>
    <n v="3.85"/>
    <n v="3832.19"/>
  </r>
  <r>
    <x v="283"/>
    <s v="Facebook Ads"/>
    <s v="Retargeting"/>
    <s v="Basic Plan"/>
    <n v="15501"/>
    <n v="594"/>
    <n v="44"/>
    <n v="716.74"/>
    <n v="5765.91"/>
    <n v="3.83"/>
    <n v="7.41"/>
    <n v="16.29"/>
    <n v="8.0399999999999991"/>
    <n v="5049.17"/>
  </r>
  <r>
    <x v="283"/>
    <s v="Instagram Ads"/>
    <s v="Brand Awareness"/>
    <s v="Enterprise Plan"/>
    <n v="13175"/>
    <n v="526"/>
    <n v="28"/>
    <n v="804.22"/>
    <n v="2456.42"/>
    <n v="3.99"/>
    <n v="5.32"/>
    <n v="28.72"/>
    <n v="3.05"/>
    <n v="1652.2"/>
  </r>
  <r>
    <x v="283"/>
    <s v="LinkedIn Ads"/>
    <s v="Product Launch"/>
    <s v="Add-on Service"/>
    <n v="4024"/>
    <n v="62"/>
    <n v="7"/>
    <n v="1111.3399999999999"/>
    <n v="1902.98"/>
    <n v="1.54"/>
    <n v="11.29"/>
    <n v="158.76"/>
    <n v="1.71"/>
    <n v="791.64"/>
  </r>
  <r>
    <x v="283"/>
    <s v="Email Marketing"/>
    <s v="Retargeting"/>
    <s v="Add-on Service"/>
    <n v="19217"/>
    <n v="3748"/>
    <n v="338"/>
    <n v="208.3"/>
    <n v="43321.75"/>
    <n v="19.5"/>
    <n v="9.02"/>
    <n v="0.62"/>
    <n v="207.98"/>
    <n v="43113.45"/>
  </r>
  <r>
    <x v="283"/>
    <s v="Organic Search"/>
    <s v="Lead Generation"/>
    <s v="Basic Plan"/>
    <n v="26957"/>
    <n v="1597"/>
    <n v="188"/>
    <n v="0"/>
    <n v="23755.599999999999"/>
    <n v="5.92"/>
    <n v="11.77"/>
    <n v="0"/>
    <n v="0"/>
    <n v="23755.599999999999"/>
  </r>
  <r>
    <x v="283"/>
    <s v="Display Ads"/>
    <s v="Seasonal Promotion"/>
    <s v="Premium Plan"/>
    <n v="30852"/>
    <n v="608"/>
    <n v="26"/>
    <n v="1174.58"/>
    <n v="3679.48"/>
    <n v="1.97"/>
    <n v="4.28"/>
    <n v="45.18"/>
    <n v="3.13"/>
    <n v="2504.9"/>
  </r>
  <r>
    <x v="283"/>
    <s v="YouTube Ads"/>
    <s v="Brand Awareness"/>
    <s v="Add-on Service"/>
    <n v="18251"/>
    <n v="281"/>
    <n v="16"/>
    <n v="1131.4100000000001"/>
    <n v="1992.11"/>
    <n v="1.54"/>
    <n v="5.69"/>
    <n v="70.709999999999994"/>
    <n v="1.76"/>
    <n v="860.7"/>
  </r>
  <r>
    <x v="283"/>
    <s v="Twitter Ads"/>
    <s v="Flash Sale"/>
    <s v="Add-on Service"/>
    <n v="10050"/>
    <n v="311"/>
    <n v="12"/>
    <n v="541.88"/>
    <n v="1263.1600000000001"/>
    <n v="3.09"/>
    <n v="3.86"/>
    <n v="45.16"/>
    <n v="2.33"/>
    <n v="721.28"/>
  </r>
  <r>
    <x v="283"/>
    <s v="TikTok Ads"/>
    <s v="Brand Awareness"/>
    <s v="Starter Kit"/>
    <n v="27855"/>
    <n v="1032"/>
    <n v="60"/>
    <n v="1067.03"/>
    <n v="5288.51"/>
    <n v="3.7"/>
    <n v="5.81"/>
    <n v="17.78"/>
    <n v="4.96"/>
    <n v="4221.4799999999996"/>
  </r>
  <r>
    <x v="283"/>
    <s v="Affiliate Marketing"/>
    <s v="Flash Sale"/>
    <s v="Add-on Service"/>
    <n v="5259"/>
    <n v="308"/>
    <n v="28"/>
    <n v="565.62"/>
    <n v="3873.25"/>
    <n v="5.86"/>
    <n v="9.09"/>
    <n v="20.2"/>
    <n v="6.85"/>
    <n v="3307.63"/>
  </r>
  <r>
    <x v="283"/>
    <s v="Referral"/>
    <s v="Flash Sale"/>
    <s v="Enterprise Plan"/>
    <n v="4252"/>
    <n v="216"/>
    <n v="29"/>
    <n v="175.45"/>
    <n v="4006.51"/>
    <n v="5.08"/>
    <n v="13.43"/>
    <n v="6.05"/>
    <n v="22.84"/>
    <n v="3831.06"/>
  </r>
  <r>
    <x v="284"/>
    <s v="Google Ads"/>
    <s v="Retargeting"/>
    <s v="Add-on Service"/>
    <n v="11424"/>
    <n v="364"/>
    <n v="36"/>
    <n v="1065.46"/>
    <n v="4691.9399999999996"/>
    <n v="3.19"/>
    <n v="9.89"/>
    <n v="29.6"/>
    <n v="4.4000000000000004"/>
    <n v="3626.48"/>
  </r>
  <r>
    <x v="284"/>
    <s v="Facebook Ads"/>
    <s v="Product Launch"/>
    <s v="Enterprise Plan"/>
    <n v="13790"/>
    <n v="440"/>
    <n v="25"/>
    <n v="1113.19"/>
    <n v="2374.61"/>
    <n v="3.19"/>
    <n v="5.68"/>
    <n v="44.53"/>
    <n v="2.13"/>
    <n v="1261.42"/>
  </r>
  <r>
    <x v="284"/>
    <s v="Instagram Ads"/>
    <s v="Seasonal Promotion"/>
    <s v="Add-on Service"/>
    <n v="16131"/>
    <n v="489"/>
    <n v="37"/>
    <n v="763.39"/>
    <n v="3501.72"/>
    <n v="3.03"/>
    <n v="7.57"/>
    <n v="20.63"/>
    <n v="4.59"/>
    <n v="2738.33"/>
  </r>
  <r>
    <x v="284"/>
    <s v="LinkedIn Ads"/>
    <s v="Seasonal Promotion"/>
    <s v="Enterprise Plan"/>
    <n v="3157"/>
    <n v="77"/>
    <n v="8"/>
    <n v="1107.3399999999999"/>
    <n v="2556.36"/>
    <n v="2.44"/>
    <n v="10.39"/>
    <n v="138.41999999999999"/>
    <n v="2.31"/>
    <n v="1449.02"/>
  </r>
  <r>
    <x v="284"/>
    <s v="Email Marketing"/>
    <s v="Lead Generation"/>
    <s v="Add-on Service"/>
    <n v="17877"/>
    <n v="3819"/>
    <n v="414"/>
    <n v="273.12"/>
    <n v="48111.05"/>
    <n v="21.36"/>
    <n v="10.84"/>
    <n v="0.66"/>
    <n v="176.15"/>
    <n v="47837.93"/>
  </r>
  <r>
    <x v="284"/>
    <s v="Organic Search"/>
    <s v="Seasonal Promotion"/>
    <s v="Starter Kit"/>
    <n v="23780"/>
    <n v="1304"/>
    <n v="135"/>
    <n v="0"/>
    <n v="19214.27"/>
    <n v="5.48"/>
    <n v="10.35"/>
    <n v="0"/>
    <n v="0"/>
    <n v="19214.27"/>
  </r>
  <r>
    <x v="284"/>
    <s v="Display Ads"/>
    <s v="Seasonal Promotion"/>
    <s v="Starter Kit"/>
    <n v="38769"/>
    <n v="424"/>
    <n v="17"/>
    <n v="911.62"/>
    <n v="2030.27"/>
    <n v="1.0900000000000001"/>
    <n v="4.01"/>
    <n v="53.62"/>
    <n v="2.23"/>
    <n v="1118.6500000000001"/>
  </r>
  <r>
    <x v="284"/>
    <s v="YouTube Ads"/>
    <s v="Retargeting"/>
    <s v="Basic Plan"/>
    <n v="23613"/>
    <n v="591"/>
    <n v="43"/>
    <n v="1319.38"/>
    <n v="4517.26"/>
    <n v="2.5"/>
    <n v="7.28"/>
    <n v="30.68"/>
    <n v="3.42"/>
    <n v="3197.88"/>
  </r>
  <r>
    <x v="284"/>
    <s v="Twitter Ads"/>
    <s v="Seasonal Promotion"/>
    <s v="Basic Plan"/>
    <n v="12426"/>
    <n v="257"/>
    <n v="9"/>
    <n v="636.84"/>
    <n v="1045.48"/>
    <n v="2.0699999999999998"/>
    <n v="3.5"/>
    <n v="70.760000000000005"/>
    <n v="1.64"/>
    <n v="408.64"/>
  </r>
  <r>
    <x v="284"/>
    <s v="TikTok Ads"/>
    <s v="Flash Sale"/>
    <s v="Enterprise Plan"/>
    <n v="26446"/>
    <n v="735"/>
    <n v="38"/>
    <n v="998.3"/>
    <n v="2538.41"/>
    <n v="2.78"/>
    <n v="5.17"/>
    <n v="26.27"/>
    <n v="2.54"/>
    <n v="1540.11"/>
  </r>
  <r>
    <x v="284"/>
    <s v="Affiliate Marketing"/>
    <s v="Lead Generation"/>
    <s v="Premium Plan"/>
    <n v="7305"/>
    <n v="299"/>
    <n v="36"/>
    <n v="300.76"/>
    <n v="4495.55"/>
    <n v="4.09"/>
    <n v="12.04"/>
    <n v="8.35"/>
    <n v="14.95"/>
    <n v="4194.79"/>
  </r>
  <r>
    <x v="284"/>
    <s v="Referral"/>
    <s v="Brand Awareness"/>
    <s v="Premium Plan"/>
    <n v="3496"/>
    <n v="292"/>
    <n v="35"/>
    <n v="198.34"/>
    <n v="5968.41"/>
    <n v="8.35"/>
    <n v="11.99"/>
    <n v="5.67"/>
    <n v="30.09"/>
    <n v="5770.07"/>
  </r>
  <r>
    <x v="285"/>
    <s v="Google Ads"/>
    <s v="Retargeting"/>
    <s v="Premium Plan"/>
    <n v="7398"/>
    <n v="368"/>
    <n v="35"/>
    <n v="913.9"/>
    <n v="6208.68"/>
    <n v="4.97"/>
    <n v="9.51"/>
    <n v="26.11"/>
    <n v="6.79"/>
    <n v="5294.78"/>
  </r>
  <r>
    <x v="285"/>
    <s v="Facebook Ads"/>
    <s v="Flash Sale"/>
    <s v="Basic Plan"/>
    <n v="8758"/>
    <n v="185"/>
    <n v="9"/>
    <n v="796.24"/>
    <n v="919.44"/>
    <n v="2.11"/>
    <n v="4.8600000000000003"/>
    <n v="88.47"/>
    <n v="1.1499999999999999"/>
    <n v="123.2"/>
  </r>
  <r>
    <x v="285"/>
    <s v="Instagram Ads"/>
    <s v="Seasonal Promotion"/>
    <s v="Starter Kit"/>
    <n v="8890"/>
    <n v="357"/>
    <n v="22"/>
    <n v="594.07000000000005"/>
    <n v="2013.12"/>
    <n v="4.0199999999999996"/>
    <n v="6.16"/>
    <n v="27"/>
    <n v="3.39"/>
    <n v="1419.05"/>
  </r>
  <r>
    <x v="285"/>
    <s v="LinkedIn Ads"/>
    <s v="Retargeting"/>
    <s v="Premium Plan"/>
    <n v="2362"/>
    <n v="45"/>
    <n v="4"/>
    <n v="1150.72"/>
    <n v="1081.8499999999999"/>
    <n v="1.91"/>
    <n v="8.89"/>
    <n v="287.68"/>
    <n v="0.94"/>
    <n v="-68.87"/>
  </r>
  <r>
    <x v="285"/>
    <s v="Email Marketing"/>
    <s v="Product Launch"/>
    <s v="Enterprise Plan"/>
    <n v="10738"/>
    <n v="2317"/>
    <n v="293"/>
    <n v="135.93"/>
    <n v="37845.839999999997"/>
    <n v="21.58"/>
    <n v="12.65"/>
    <n v="0.46"/>
    <n v="278.42"/>
    <n v="37709.910000000003"/>
  </r>
  <r>
    <x v="285"/>
    <s v="Organic Search"/>
    <s v="Seasonal Promotion"/>
    <s v="Basic Plan"/>
    <n v="16780"/>
    <n v="1082"/>
    <n v="146"/>
    <n v="0"/>
    <n v="17416.03"/>
    <n v="6.45"/>
    <n v="13.49"/>
    <n v="0"/>
    <n v="0"/>
    <n v="17416.03"/>
  </r>
  <r>
    <x v="285"/>
    <s v="Display Ads"/>
    <s v="Brand Awareness"/>
    <s v="Basic Plan"/>
    <n v="21854"/>
    <n v="366"/>
    <n v="7"/>
    <n v="762.17"/>
    <n v="780.38"/>
    <n v="1.67"/>
    <n v="1.91"/>
    <n v="108.88"/>
    <n v="1.02"/>
    <n v="18.21"/>
  </r>
  <r>
    <x v="285"/>
    <s v="YouTube Ads"/>
    <s v="Flash Sale"/>
    <s v="Enterprise Plan"/>
    <n v="12928"/>
    <n v="352"/>
    <n v="21"/>
    <n v="615.1"/>
    <n v="2645.08"/>
    <n v="2.72"/>
    <n v="5.97"/>
    <n v="29.29"/>
    <n v="4.3"/>
    <n v="2029.98"/>
  </r>
  <r>
    <x v="285"/>
    <s v="Twitter Ads"/>
    <s v="Product Launch"/>
    <s v="Premium Plan"/>
    <n v="8717"/>
    <n v="205"/>
    <n v="7"/>
    <n v="457.24"/>
    <n v="668.85"/>
    <n v="2.35"/>
    <n v="3.41"/>
    <n v="65.319999999999993"/>
    <n v="1.46"/>
    <n v="211.61"/>
  </r>
  <r>
    <x v="285"/>
    <s v="TikTok Ads"/>
    <s v="Product Launch"/>
    <s v="Enterprise Plan"/>
    <n v="20183"/>
    <n v="510"/>
    <n v="27"/>
    <n v="750.04"/>
    <n v="2248.41"/>
    <n v="2.5299999999999998"/>
    <n v="5.29"/>
    <n v="27.78"/>
    <n v="3"/>
    <n v="1498.37"/>
  </r>
  <r>
    <x v="285"/>
    <s v="Affiliate Marketing"/>
    <s v="Seasonal Promotion"/>
    <s v="Add-on Service"/>
    <n v="3995"/>
    <n v="242"/>
    <n v="22"/>
    <n v="320.12"/>
    <n v="2547.66"/>
    <n v="6.06"/>
    <n v="9.09"/>
    <n v="14.55"/>
    <n v="7.96"/>
    <n v="2227.54"/>
  </r>
  <r>
    <x v="285"/>
    <s v="Referral"/>
    <s v="Product Launch"/>
    <s v="Premium Plan"/>
    <n v="2895"/>
    <n v="208"/>
    <n v="28"/>
    <n v="105.89"/>
    <n v="4036.33"/>
    <n v="7.18"/>
    <n v="13.46"/>
    <n v="3.78"/>
    <n v="38.119999999999997"/>
    <n v="3930.44"/>
  </r>
  <r>
    <x v="286"/>
    <s v="Google Ads"/>
    <s v="Brand Awareness"/>
    <s v="Enterprise Plan"/>
    <n v="7972"/>
    <n v="335"/>
    <n v="37"/>
    <n v="657.18"/>
    <n v="4871.42"/>
    <n v="4.2"/>
    <n v="11.04"/>
    <n v="17.760000000000002"/>
    <n v="7.41"/>
    <n v="4214.24"/>
  </r>
  <r>
    <x v="286"/>
    <s v="Facebook Ads"/>
    <s v="Product Launch"/>
    <s v="Starter Kit"/>
    <n v="9572"/>
    <n v="226"/>
    <n v="19"/>
    <n v="695.67"/>
    <n v="1828.41"/>
    <n v="2.36"/>
    <n v="8.41"/>
    <n v="36.61"/>
    <n v="2.63"/>
    <n v="1132.74"/>
  </r>
  <r>
    <x v="286"/>
    <s v="Instagram Ads"/>
    <s v="Flash Sale"/>
    <s v="Add-on Service"/>
    <n v="10662"/>
    <n v="478"/>
    <n v="30"/>
    <n v="579.44000000000005"/>
    <n v="2838"/>
    <n v="4.4800000000000004"/>
    <n v="6.28"/>
    <n v="19.309999999999999"/>
    <n v="4.9000000000000004"/>
    <n v="2258.56"/>
  </r>
  <r>
    <x v="286"/>
    <s v="LinkedIn Ads"/>
    <s v="Seasonal Promotion"/>
    <s v="Premium Plan"/>
    <n v="3053"/>
    <n v="77"/>
    <n v="9"/>
    <n v="1116.54"/>
    <n v="3014.89"/>
    <n v="2.52"/>
    <n v="11.69"/>
    <n v="124.06"/>
    <n v="2.7"/>
    <n v="1898.35"/>
  </r>
  <r>
    <x v="286"/>
    <s v="Email Marketing"/>
    <s v="Lead Generation"/>
    <s v="Basic Plan"/>
    <n v="13643"/>
    <n v="2501"/>
    <n v="265"/>
    <n v="104.95"/>
    <n v="35026.730000000003"/>
    <n v="18.329999999999998"/>
    <n v="10.6"/>
    <n v="0.4"/>
    <n v="333.75"/>
    <n v="34921.78"/>
  </r>
  <r>
    <x v="286"/>
    <s v="Organic Search"/>
    <s v="Product Launch"/>
    <s v="Enterprise Plan"/>
    <n v="18262"/>
    <n v="893"/>
    <n v="93"/>
    <n v="0"/>
    <n v="10191.120000000001"/>
    <n v="4.8899999999999997"/>
    <n v="10.41"/>
    <n v="0"/>
    <n v="0"/>
    <n v="10191.120000000001"/>
  </r>
  <r>
    <x v="286"/>
    <s v="Display Ads"/>
    <s v="Flash Sale"/>
    <s v="Starter Kit"/>
    <n v="26665"/>
    <n v="313"/>
    <n v="10"/>
    <n v="587.35"/>
    <n v="811.37"/>
    <n v="1.17"/>
    <n v="3.19"/>
    <n v="58.74"/>
    <n v="1.38"/>
    <n v="224.02"/>
  </r>
  <r>
    <x v="286"/>
    <s v="YouTube Ads"/>
    <s v="Retargeting"/>
    <s v="Premium Plan"/>
    <n v="12570"/>
    <n v="303"/>
    <n v="21"/>
    <n v="860.68"/>
    <n v="2208.56"/>
    <n v="2.41"/>
    <n v="6.93"/>
    <n v="40.98"/>
    <n v="2.57"/>
    <n v="1347.88"/>
  </r>
  <r>
    <x v="286"/>
    <s v="Twitter Ads"/>
    <s v="Flash Sale"/>
    <s v="Basic Plan"/>
    <n v="8848"/>
    <n v="220"/>
    <n v="6"/>
    <n v="302.64"/>
    <n v="497.82"/>
    <n v="2.4900000000000002"/>
    <n v="2.73"/>
    <n v="50.44"/>
    <n v="1.64"/>
    <n v="195.18"/>
  </r>
  <r>
    <x v="286"/>
    <s v="TikTok Ads"/>
    <s v="Retargeting"/>
    <s v="Basic Plan"/>
    <n v="15673"/>
    <n v="478"/>
    <n v="18"/>
    <n v="642.67999999999995"/>
    <n v="1998.56"/>
    <n v="3.05"/>
    <n v="3.77"/>
    <n v="35.700000000000003"/>
    <n v="3.11"/>
    <n v="1355.88"/>
  </r>
  <r>
    <x v="286"/>
    <s v="Affiliate Marketing"/>
    <s v="Flash Sale"/>
    <s v="Starter Kit"/>
    <n v="5024"/>
    <n v="305"/>
    <n v="34"/>
    <n v="462.72"/>
    <n v="4838.79"/>
    <n v="6.07"/>
    <n v="11.15"/>
    <n v="13.61"/>
    <n v="10.46"/>
    <n v="4376.07"/>
  </r>
  <r>
    <x v="286"/>
    <s v="Referral"/>
    <s v="Seasonal Promotion"/>
    <s v="Enterprise Plan"/>
    <n v="3885"/>
    <n v="347"/>
    <n v="48"/>
    <n v="56.28"/>
    <n v="6618.37"/>
    <n v="8.93"/>
    <n v="13.83"/>
    <n v="1.17"/>
    <n v="117.6"/>
    <n v="6562.09"/>
  </r>
  <r>
    <x v="287"/>
    <s v="Google Ads"/>
    <s v="Retargeting"/>
    <s v="Starter Kit"/>
    <n v="12226"/>
    <n v="545"/>
    <n v="47"/>
    <n v="1421.85"/>
    <n v="6661.71"/>
    <n v="4.46"/>
    <n v="8.6199999999999992"/>
    <n v="30.25"/>
    <n v="4.6900000000000004"/>
    <n v="5239.8599999999997"/>
  </r>
  <r>
    <x v="287"/>
    <s v="Facebook Ads"/>
    <s v="Flash Sale"/>
    <s v="Premium Plan"/>
    <n v="15656"/>
    <n v="316"/>
    <n v="16"/>
    <n v="829.88"/>
    <n v="1545.15"/>
    <n v="2.02"/>
    <n v="5.0599999999999996"/>
    <n v="51.87"/>
    <n v="1.86"/>
    <n v="715.27"/>
  </r>
  <r>
    <x v="287"/>
    <s v="Instagram Ads"/>
    <s v="Seasonal Promotion"/>
    <s v="Enterprise Plan"/>
    <n v="15105"/>
    <n v="679"/>
    <n v="44"/>
    <n v="571.07000000000005"/>
    <n v="5274.01"/>
    <n v="4.5"/>
    <n v="6.48"/>
    <n v="12.98"/>
    <n v="9.24"/>
    <n v="4702.9399999999996"/>
  </r>
  <r>
    <x v="287"/>
    <s v="LinkedIn Ads"/>
    <s v="Seasonal Promotion"/>
    <s v="Enterprise Plan"/>
    <n v="3557"/>
    <n v="78"/>
    <n v="9"/>
    <n v="1332.07"/>
    <n v="2897.43"/>
    <n v="2.19"/>
    <n v="11.54"/>
    <n v="148.01"/>
    <n v="2.1800000000000002"/>
    <n v="1565.36"/>
  </r>
  <r>
    <x v="287"/>
    <s v="Email Marketing"/>
    <s v="Seasonal Promotion"/>
    <s v="Add-on Service"/>
    <n v="20954"/>
    <n v="5215"/>
    <n v="542"/>
    <n v="111.51"/>
    <n v="91421.15"/>
    <n v="24.89"/>
    <n v="10.39"/>
    <n v="0.21"/>
    <n v="819.85"/>
    <n v="91309.64"/>
  </r>
  <r>
    <x v="287"/>
    <s v="Organic Search"/>
    <s v="Brand Awareness"/>
    <s v="Basic Plan"/>
    <n v="31186"/>
    <n v="1678"/>
    <n v="231"/>
    <n v="0"/>
    <n v="32616"/>
    <n v="5.38"/>
    <n v="13.77"/>
    <n v="0"/>
    <n v="0"/>
    <n v="32616"/>
  </r>
  <r>
    <x v="287"/>
    <s v="Display Ads"/>
    <s v="Seasonal Promotion"/>
    <s v="Enterprise Plan"/>
    <n v="39735"/>
    <n v="714"/>
    <n v="20"/>
    <n v="744.02"/>
    <n v="2307.54"/>
    <n v="1.8"/>
    <n v="2.8"/>
    <n v="37.200000000000003"/>
    <n v="3.1"/>
    <n v="1563.52"/>
  </r>
  <r>
    <x v="287"/>
    <s v="YouTube Ads"/>
    <s v="Product Launch"/>
    <s v="Premium Plan"/>
    <n v="23720"/>
    <n v="460"/>
    <n v="20"/>
    <n v="846.79"/>
    <n v="2166.2800000000002"/>
    <n v="1.94"/>
    <n v="4.3499999999999996"/>
    <n v="42.34"/>
    <n v="2.56"/>
    <n v="1319.49"/>
  </r>
  <r>
    <x v="287"/>
    <s v="Twitter Ads"/>
    <s v="Lead Generation"/>
    <s v="Enterprise Plan"/>
    <n v="9300"/>
    <n v="265"/>
    <n v="12"/>
    <n v="480.53"/>
    <n v="1278.96"/>
    <n v="2.85"/>
    <n v="4.53"/>
    <n v="40.04"/>
    <n v="2.66"/>
    <n v="798.43"/>
  </r>
  <r>
    <x v="287"/>
    <s v="TikTok Ads"/>
    <s v="Brand Awareness"/>
    <s v="Enterprise Plan"/>
    <n v="27942"/>
    <n v="936"/>
    <n v="30"/>
    <n v="828.73"/>
    <n v="3161.63"/>
    <n v="3.35"/>
    <n v="3.21"/>
    <n v="27.62"/>
    <n v="3.82"/>
    <n v="2332.9"/>
  </r>
  <r>
    <x v="287"/>
    <s v="Affiliate Marketing"/>
    <s v="Retargeting"/>
    <s v="Add-on Service"/>
    <n v="6590"/>
    <n v="288"/>
    <n v="27"/>
    <n v="534.94000000000005"/>
    <n v="3155.43"/>
    <n v="4.37"/>
    <n v="9.3800000000000008"/>
    <n v="19.809999999999999"/>
    <n v="5.9"/>
    <n v="2620.4899999999998"/>
  </r>
  <r>
    <x v="287"/>
    <s v="Referral"/>
    <s v="Lead Generation"/>
    <s v="Add-on Service"/>
    <n v="6569"/>
    <n v="472"/>
    <n v="76"/>
    <n v="80.510000000000005"/>
    <n v="13161.82"/>
    <n v="7.19"/>
    <n v="16.100000000000001"/>
    <n v="1.06"/>
    <n v="163.47999999999999"/>
    <n v="13081.31"/>
  </r>
  <r>
    <x v="288"/>
    <s v="Google Ads"/>
    <s v="Seasonal Promotion"/>
    <s v="Starter Kit"/>
    <n v="9262"/>
    <n v="441"/>
    <n v="36"/>
    <n v="966.21"/>
    <n v="5549.04"/>
    <n v="4.76"/>
    <n v="8.16"/>
    <n v="26.84"/>
    <n v="5.74"/>
    <n v="4582.83"/>
  </r>
  <r>
    <x v="288"/>
    <s v="Facebook Ads"/>
    <s v="Lead Generation"/>
    <s v="Add-on Service"/>
    <n v="15990"/>
    <n v="391"/>
    <n v="22"/>
    <n v="844.33"/>
    <n v="2802.1"/>
    <n v="2.4500000000000002"/>
    <n v="5.63"/>
    <n v="38.380000000000003"/>
    <n v="3.32"/>
    <n v="1957.77"/>
  </r>
  <r>
    <x v="288"/>
    <s v="Instagram Ads"/>
    <s v="Brand Awareness"/>
    <s v="Enterprise Plan"/>
    <n v="15824"/>
    <n v="599"/>
    <n v="38"/>
    <n v="570.16"/>
    <n v="3268.13"/>
    <n v="3.79"/>
    <n v="6.34"/>
    <n v="15"/>
    <n v="5.73"/>
    <n v="2697.97"/>
  </r>
  <r>
    <x v="288"/>
    <s v="LinkedIn Ads"/>
    <s v="Flash Sale"/>
    <s v="Enterprise Plan"/>
    <n v="5892"/>
    <n v="150"/>
    <n v="15"/>
    <n v="1419.4"/>
    <n v="3557.67"/>
    <n v="2.5499999999999998"/>
    <n v="10"/>
    <n v="94.63"/>
    <n v="2.5099999999999998"/>
    <n v="2138.27"/>
  </r>
  <r>
    <x v="288"/>
    <s v="Email Marketing"/>
    <s v="Flash Sale"/>
    <s v="Premium Plan"/>
    <n v="17675"/>
    <n v="3158"/>
    <n v="316"/>
    <n v="111.34"/>
    <n v="50536.26"/>
    <n v="17.87"/>
    <n v="10.01"/>
    <n v="0.35"/>
    <n v="453.89"/>
    <n v="50424.92"/>
  </r>
  <r>
    <x v="288"/>
    <s v="Organic Search"/>
    <s v="Product Launch"/>
    <s v="Starter Kit"/>
    <n v="32134"/>
    <n v="2389"/>
    <n v="343"/>
    <n v="0"/>
    <n v="49479.82"/>
    <n v="7.43"/>
    <n v="14.36"/>
    <n v="0"/>
    <n v="0"/>
    <n v="49479.82"/>
  </r>
  <r>
    <x v="288"/>
    <s v="Display Ads"/>
    <s v="Brand Awareness"/>
    <s v="Starter Kit"/>
    <n v="33740"/>
    <n v="473"/>
    <n v="10"/>
    <n v="1106.23"/>
    <n v="996.45"/>
    <n v="1.4"/>
    <n v="2.11"/>
    <n v="110.62"/>
    <n v="0.9"/>
    <n v="-109.78"/>
  </r>
  <r>
    <x v="288"/>
    <s v="YouTube Ads"/>
    <s v="Lead Generation"/>
    <s v="Enterprise Plan"/>
    <n v="18186"/>
    <n v="414"/>
    <n v="18"/>
    <n v="1251.8399999999999"/>
    <n v="2350.5"/>
    <n v="2.2799999999999998"/>
    <n v="4.3499999999999996"/>
    <n v="69.55"/>
    <n v="1.88"/>
    <n v="1098.6600000000001"/>
  </r>
  <r>
    <x v="288"/>
    <s v="Twitter Ads"/>
    <s v="Retargeting"/>
    <s v="Enterprise Plan"/>
    <n v="9443"/>
    <n v="300"/>
    <n v="9"/>
    <n v="631.15"/>
    <n v="845.98"/>
    <n v="3.18"/>
    <n v="3"/>
    <n v="70.13"/>
    <n v="1.34"/>
    <n v="214.83"/>
  </r>
  <r>
    <x v="288"/>
    <s v="TikTok Ads"/>
    <s v="Lead Generation"/>
    <s v="Add-on Service"/>
    <n v="20182"/>
    <n v="723"/>
    <n v="39"/>
    <n v="682.94"/>
    <n v="4033.69"/>
    <n v="3.58"/>
    <n v="5.39"/>
    <n v="17.510000000000002"/>
    <n v="5.91"/>
    <n v="3350.75"/>
  </r>
  <r>
    <x v="288"/>
    <s v="Affiliate Marketing"/>
    <s v="Product Launch"/>
    <s v="Basic Plan"/>
    <n v="5055"/>
    <n v="256"/>
    <n v="30"/>
    <n v="303.02999999999997"/>
    <n v="4423.87"/>
    <n v="5.0599999999999996"/>
    <n v="11.72"/>
    <n v="10.1"/>
    <n v="14.6"/>
    <n v="4120.84"/>
  </r>
  <r>
    <x v="288"/>
    <s v="Referral"/>
    <s v="Brand Awareness"/>
    <s v="Enterprise Plan"/>
    <n v="4427"/>
    <n v="229"/>
    <n v="31"/>
    <n v="191.45"/>
    <n v="4326.2700000000004"/>
    <n v="5.17"/>
    <n v="13.54"/>
    <n v="6.18"/>
    <n v="22.6"/>
    <n v="4134.82"/>
  </r>
  <r>
    <x v="289"/>
    <s v="Google Ads"/>
    <s v="Brand Awareness"/>
    <s v="Basic Plan"/>
    <n v="8840"/>
    <n v="270"/>
    <n v="24"/>
    <n v="845.43"/>
    <n v="4092.63"/>
    <n v="3.05"/>
    <n v="8.89"/>
    <n v="35.229999999999997"/>
    <n v="4.84"/>
    <n v="3247.2"/>
  </r>
  <r>
    <x v="289"/>
    <s v="Facebook Ads"/>
    <s v="Brand Awareness"/>
    <s v="Starter Kit"/>
    <n v="14263"/>
    <n v="289"/>
    <n v="25"/>
    <n v="1074.07"/>
    <n v="2188.0100000000002"/>
    <n v="2.0299999999999998"/>
    <n v="8.65"/>
    <n v="42.96"/>
    <n v="2.04"/>
    <n v="1113.94"/>
  </r>
  <r>
    <x v="289"/>
    <s v="Instagram Ads"/>
    <s v="Seasonal Promotion"/>
    <s v="Premium Plan"/>
    <n v="11588"/>
    <n v="392"/>
    <n v="29"/>
    <n v="807.94"/>
    <n v="3523.39"/>
    <n v="3.38"/>
    <n v="7.4"/>
    <n v="27.86"/>
    <n v="4.3600000000000003"/>
    <n v="2715.45"/>
  </r>
  <r>
    <x v="289"/>
    <s v="LinkedIn Ads"/>
    <s v="Retargeting"/>
    <s v="Add-on Service"/>
    <n v="5971"/>
    <n v="138"/>
    <n v="16"/>
    <n v="1002.83"/>
    <n v="4639.96"/>
    <n v="2.31"/>
    <n v="11.59"/>
    <n v="62.68"/>
    <n v="4.63"/>
    <n v="3637.13"/>
  </r>
  <r>
    <x v="289"/>
    <s v="Email Marketing"/>
    <s v="Lead Generation"/>
    <s v="Basic Plan"/>
    <n v="16519"/>
    <n v="3073"/>
    <n v="252"/>
    <n v="193.9"/>
    <n v="27405.5"/>
    <n v="18.600000000000001"/>
    <n v="8.1999999999999993"/>
    <n v="0.77"/>
    <n v="141.34"/>
    <n v="27211.599999999999"/>
  </r>
  <r>
    <x v="289"/>
    <s v="Organic Search"/>
    <s v="Product Launch"/>
    <s v="Starter Kit"/>
    <n v="25922"/>
    <n v="1453"/>
    <n v="163"/>
    <n v="0"/>
    <n v="21752.71"/>
    <n v="5.61"/>
    <n v="11.22"/>
    <n v="0"/>
    <n v="0"/>
    <n v="21752.71"/>
  </r>
  <r>
    <x v="289"/>
    <s v="Display Ads"/>
    <s v="Flash Sale"/>
    <s v="Add-on Service"/>
    <n v="27405"/>
    <n v="373"/>
    <n v="13"/>
    <n v="1081.5999999999999"/>
    <n v="1604.97"/>
    <n v="1.36"/>
    <n v="3.49"/>
    <n v="83.2"/>
    <n v="1.48"/>
    <n v="523.37"/>
  </r>
  <r>
    <x v="289"/>
    <s v="YouTube Ads"/>
    <s v="Product Launch"/>
    <s v="Enterprise Plan"/>
    <n v="23436"/>
    <n v="587"/>
    <n v="37"/>
    <n v="918.22"/>
    <n v="4823.8"/>
    <n v="2.5"/>
    <n v="6.3"/>
    <n v="24.82"/>
    <n v="5.25"/>
    <n v="3905.58"/>
  </r>
  <r>
    <x v="289"/>
    <s v="Twitter Ads"/>
    <s v="Lead Generation"/>
    <s v="Premium Plan"/>
    <n v="8208"/>
    <n v="258"/>
    <n v="9"/>
    <n v="547.16"/>
    <n v="790.46"/>
    <n v="3.14"/>
    <n v="3.49"/>
    <n v="60.8"/>
    <n v="1.44"/>
    <n v="243.3"/>
  </r>
  <r>
    <x v="289"/>
    <s v="TikTok Ads"/>
    <s v="Seasonal Promotion"/>
    <s v="Basic Plan"/>
    <n v="25550"/>
    <n v="999"/>
    <n v="43"/>
    <n v="1054.53"/>
    <n v="3179.34"/>
    <n v="3.91"/>
    <n v="4.3"/>
    <n v="24.52"/>
    <n v="3.01"/>
    <n v="2124.81"/>
  </r>
  <r>
    <x v="289"/>
    <s v="Affiliate Marketing"/>
    <s v="Lead Generation"/>
    <s v="Premium Plan"/>
    <n v="9334"/>
    <n v="460"/>
    <n v="51"/>
    <n v="612.54999999999995"/>
    <n v="5155.88"/>
    <n v="4.93"/>
    <n v="11.09"/>
    <n v="12.01"/>
    <n v="8.42"/>
    <n v="4543.33"/>
  </r>
  <r>
    <x v="289"/>
    <s v="Referral"/>
    <s v="Retargeting"/>
    <s v="Starter Kit"/>
    <n v="3091"/>
    <n v="305"/>
    <n v="53"/>
    <n v="144.19999999999999"/>
    <n v="7407.54"/>
    <n v="9.8699999999999992"/>
    <n v="17.38"/>
    <n v="2.72"/>
    <n v="51.37"/>
    <n v="7263.34"/>
  </r>
  <r>
    <x v="290"/>
    <s v="Google Ads"/>
    <s v="Flash Sale"/>
    <s v="Add-on Service"/>
    <n v="12002"/>
    <n v="411"/>
    <n v="44"/>
    <n v="1226.6099999999999"/>
    <n v="6488.17"/>
    <n v="3.42"/>
    <n v="10.71"/>
    <n v="27.88"/>
    <n v="5.29"/>
    <n v="5261.56"/>
  </r>
  <r>
    <x v="290"/>
    <s v="Facebook Ads"/>
    <s v="Brand Awareness"/>
    <s v="Premium Plan"/>
    <n v="17575"/>
    <n v="403"/>
    <n v="30"/>
    <n v="1165.58"/>
    <n v="3647.25"/>
    <n v="2.29"/>
    <n v="7.44"/>
    <n v="38.85"/>
    <n v="3.13"/>
    <n v="2481.67"/>
  </r>
  <r>
    <x v="290"/>
    <s v="Instagram Ads"/>
    <s v="Product Launch"/>
    <s v="Premium Plan"/>
    <n v="12099"/>
    <n v="460"/>
    <n v="25"/>
    <n v="546.71"/>
    <n v="2678.95"/>
    <n v="3.8"/>
    <n v="5.43"/>
    <n v="21.87"/>
    <n v="4.9000000000000004"/>
    <n v="2132.2399999999998"/>
  </r>
  <r>
    <x v="290"/>
    <s v="LinkedIn Ads"/>
    <s v="Flash Sale"/>
    <s v="Add-on Service"/>
    <n v="5996"/>
    <n v="112"/>
    <n v="13"/>
    <n v="1026.4000000000001"/>
    <n v="3780.01"/>
    <n v="1.87"/>
    <n v="11.61"/>
    <n v="78.95"/>
    <n v="3.68"/>
    <n v="2753.61"/>
  </r>
  <r>
    <x v="290"/>
    <s v="Email Marketing"/>
    <s v="Brand Awareness"/>
    <s v="Enterprise Plan"/>
    <n v="21177"/>
    <n v="4367"/>
    <n v="421"/>
    <n v="236.62"/>
    <n v="50218.04"/>
    <n v="20.62"/>
    <n v="9.64"/>
    <n v="0.56000000000000005"/>
    <n v="212.23"/>
    <n v="49981.42"/>
  </r>
  <r>
    <x v="290"/>
    <s v="Organic Search"/>
    <s v="Retargeting"/>
    <s v="Premium Plan"/>
    <n v="21220"/>
    <n v="1372"/>
    <n v="214"/>
    <n v="0"/>
    <n v="31709.23"/>
    <n v="6.47"/>
    <n v="15.6"/>
    <n v="0"/>
    <n v="0"/>
    <n v="31709.23"/>
  </r>
  <r>
    <x v="290"/>
    <s v="Display Ads"/>
    <s v="Brand Awareness"/>
    <s v="Add-on Service"/>
    <n v="30005"/>
    <n v="372"/>
    <n v="17"/>
    <n v="929.74"/>
    <n v="1457.56"/>
    <n v="1.24"/>
    <n v="4.57"/>
    <n v="54.69"/>
    <n v="1.57"/>
    <n v="527.82000000000005"/>
  </r>
  <r>
    <x v="290"/>
    <s v="YouTube Ads"/>
    <s v="Flash Sale"/>
    <s v="Enterprise Plan"/>
    <n v="19714"/>
    <n v="499"/>
    <n v="29"/>
    <n v="1397.62"/>
    <n v="3520.3"/>
    <n v="2.5299999999999998"/>
    <n v="5.81"/>
    <n v="48.19"/>
    <n v="2.52"/>
    <n v="2122.6799999999998"/>
  </r>
  <r>
    <x v="290"/>
    <s v="Twitter Ads"/>
    <s v="Brand Awareness"/>
    <s v="Add-on Service"/>
    <n v="13808"/>
    <n v="283"/>
    <n v="9"/>
    <n v="786.76"/>
    <n v="939.77"/>
    <n v="2.0499999999999998"/>
    <n v="3.18"/>
    <n v="87.42"/>
    <n v="1.19"/>
    <n v="153.01"/>
  </r>
  <r>
    <x v="290"/>
    <s v="TikTok Ads"/>
    <s v="Product Launch"/>
    <s v="Basic Plan"/>
    <n v="22316"/>
    <n v="591"/>
    <n v="23"/>
    <n v="947.48"/>
    <n v="2239.0100000000002"/>
    <n v="2.65"/>
    <n v="3.89"/>
    <n v="41.19"/>
    <n v="2.36"/>
    <n v="1291.53"/>
  </r>
  <r>
    <x v="290"/>
    <s v="Affiliate Marketing"/>
    <s v="Product Launch"/>
    <s v="Basic Plan"/>
    <n v="5554"/>
    <n v="245"/>
    <n v="25"/>
    <n v="590.13"/>
    <n v="2526.61"/>
    <n v="4.41"/>
    <n v="10.199999999999999"/>
    <n v="23.61"/>
    <n v="4.28"/>
    <n v="1936.48"/>
  </r>
  <r>
    <x v="290"/>
    <s v="Referral"/>
    <s v="Lead Generation"/>
    <s v="Enterprise Plan"/>
    <n v="5946"/>
    <n v="340"/>
    <n v="49"/>
    <n v="124.59"/>
    <n v="7891.8"/>
    <n v="5.72"/>
    <n v="14.41"/>
    <n v="2.54"/>
    <n v="63.34"/>
    <n v="7767.21"/>
  </r>
  <r>
    <x v="291"/>
    <s v="Google Ads"/>
    <s v="Product Launch"/>
    <s v="Add-on Service"/>
    <n v="11402"/>
    <n v="550"/>
    <n v="64"/>
    <n v="1062.8599999999999"/>
    <n v="9648.44"/>
    <n v="4.82"/>
    <n v="11.64"/>
    <n v="16.61"/>
    <n v="9.08"/>
    <n v="8585.58"/>
  </r>
  <r>
    <x v="291"/>
    <s v="Facebook Ads"/>
    <s v="Product Launch"/>
    <s v="Starter Kit"/>
    <n v="12306"/>
    <n v="265"/>
    <n v="20"/>
    <n v="1148.7"/>
    <n v="2080.64"/>
    <n v="2.15"/>
    <n v="7.55"/>
    <n v="57.44"/>
    <n v="1.81"/>
    <n v="931.94"/>
  </r>
  <r>
    <x v="291"/>
    <s v="Instagram Ads"/>
    <s v="Flash Sale"/>
    <s v="Premium Plan"/>
    <n v="11218"/>
    <n v="288"/>
    <n v="16"/>
    <n v="825.6"/>
    <n v="2071.5500000000002"/>
    <n v="2.57"/>
    <n v="5.56"/>
    <n v="51.6"/>
    <n v="2.5099999999999998"/>
    <n v="1245.95"/>
  </r>
  <r>
    <x v="291"/>
    <s v="LinkedIn Ads"/>
    <s v="Product Launch"/>
    <s v="Basic Plan"/>
    <n v="3904"/>
    <n v="94"/>
    <n v="14"/>
    <n v="920.51"/>
    <n v="3919.71"/>
    <n v="2.41"/>
    <n v="14.89"/>
    <n v="65.75"/>
    <n v="4.26"/>
    <n v="2999.2"/>
  </r>
  <r>
    <x v="291"/>
    <s v="Email Marketing"/>
    <s v="Lead Generation"/>
    <s v="Enterprise Plan"/>
    <n v="20845"/>
    <n v="3443"/>
    <n v="397"/>
    <n v="127.97"/>
    <n v="60135.02"/>
    <n v="16.52"/>
    <n v="11.53"/>
    <n v="0.32"/>
    <n v="469.91"/>
    <n v="60007.05"/>
  </r>
  <r>
    <x v="291"/>
    <s v="Organic Search"/>
    <s v="Brand Awareness"/>
    <s v="Premium Plan"/>
    <n v="28563"/>
    <n v="2046"/>
    <n v="236"/>
    <n v="0"/>
    <n v="26234.62"/>
    <n v="7.16"/>
    <n v="11.53"/>
    <n v="0"/>
    <n v="0"/>
    <n v="26234.62"/>
  </r>
  <r>
    <x v="291"/>
    <s v="Display Ads"/>
    <s v="Seasonal Promotion"/>
    <s v="Add-on Service"/>
    <n v="33611"/>
    <n v="447"/>
    <n v="14"/>
    <n v="702.6"/>
    <n v="1674.51"/>
    <n v="1.33"/>
    <n v="3.13"/>
    <n v="50.19"/>
    <n v="2.38"/>
    <n v="971.91"/>
  </r>
  <r>
    <x v="291"/>
    <s v="YouTube Ads"/>
    <s v="Seasonal Promotion"/>
    <s v="Premium Plan"/>
    <n v="21549"/>
    <n v="454"/>
    <n v="28"/>
    <n v="962.92"/>
    <n v="3579.86"/>
    <n v="2.11"/>
    <n v="6.17"/>
    <n v="34.39"/>
    <n v="3.72"/>
    <n v="2616.94"/>
  </r>
  <r>
    <x v="291"/>
    <s v="Twitter Ads"/>
    <s v="Lead Generation"/>
    <s v="Add-on Service"/>
    <n v="8404"/>
    <n v="241"/>
    <n v="11"/>
    <n v="693.95"/>
    <n v="976.84"/>
    <n v="2.87"/>
    <n v="4.5599999999999996"/>
    <n v="63.09"/>
    <n v="1.41"/>
    <n v="282.89"/>
  </r>
  <r>
    <x v="291"/>
    <s v="TikTok Ads"/>
    <s v="Product Launch"/>
    <s v="Add-on Service"/>
    <n v="27438"/>
    <n v="708"/>
    <n v="22"/>
    <n v="964.55"/>
    <n v="2131.3200000000002"/>
    <n v="2.58"/>
    <n v="3.11"/>
    <n v="43.84"/>
    <n v="2.21"/>
    <n v="1166.77"/>
  </r>
  <r>
    <x v="291"/>
    <s v="Affiliate Marketing"/>
    <s v="Product Launch"/>
    <s v="Enterprise Plan"/>
    <n v="8049"/>
    <n v="361"/>
    <n v="44"/>
    <n v="613.22"/>
    <n v="6112.32"/>
    <n v="4.49"/>
    <n v="12.19"/>
    <n v="13.94"/>
    <n v="9.9700000000000006"/>
    <n v="5499.1"/>
  </r>
  <r>
    <x v="291"/>
    <s v="Referral"/>
    <s v="Lead Generation"/>
    <s v="Enterprise Plan"/>
    <n v="4770"/>
    <n v="337"/>
    <n v="58"/>
    <n v="98.42"/>
    <n v="7010"/>
    <n v="7.06"/>
    <n v="17.21"/>
    <n v="1.7"/>
    <n v="71.23"/>
    <n v="6911.58"/>
  </r>
  <r>
    <x v="292"/>
    <s v="Google Ads"/>
    <s v="Seasonal Promotion"/>
    <s v="Basic Plan"/>
    <n v="7956"/>
    <n v="338"/>
    <n v="35"/>
    <n v="786.04"/>
    <n v="4618.18"/>
    <n v="4.25"/>
    <n v="10.36"/>
    <n v="22.46"/>
    <n v="5.88"/>
    <n v="3832.14"/>
  </r>
  <r>
    <x v="292"/>
    <s v="Facebook Ads"/>
    <s v="Lead Generation"/>
    <s v="Premium Plan"/>
    <n v="13444"/>
    <n v="510"/>
    <n v="43"/>
    <n v="769.67"/>
    <n v="4898.37"/>
    <n v="3.79"/>
    <n v="8.43"/>
    <n v="17.899999999999999"/>
    <n v="6.36"/>
    <n v="4128.7"/>
  </r>
  <r>
    <x v="292"/>
    <s v="Instagram Ads"/>
    <s v="Product Launch"/>
    <s v="Add-on Service"/>
    <n v="9452"/>
    <n v="348"/>
    <n v="20"/>
    <n v="487.69"/>
    <n v="2101.9499999999998"/>
    <n v="3.68"/>
    <n v="5.75"/>
    <n v="24.38"/>
    <n v="4.3099999999999996"/>
    <n v="1614.26"/>
  </r>
  <r>
    <x v="292"/>
    <s v="LinkedIn Ads"/>
    <s v="Product Launch"/>
    <s v="Add-on Service"/>
    <n v="2366"/>
    <n v="54"/>
    <n v="5"/>
    <n v="671.05"/>
    <n v="1815.19"/>
    <n v="2.2799999999999998"/>
    <n v="9.26"/>
    <n v="134.21"/>
    <n v="2.7"/>
    <n v="1144.1400000000001"/>
  </r>
  <r>
    <x v="292"/>
    <s v="Email Marketing"/>
    <s v="Retargeting"/>
    <s v="Premium Plan"/>
    <n v="11060"/>
    <n v="2566"/>
    <n v="281"/>
    <n v="209.94"/>
    <n v="37075.980000000003"/>
    <n v="23.2"/>
    <n v="10.95"/>
    <n v="0.75"/>
    <n v="176.6"/>
    <n v="36866.04"/>
  </r>
  <r>
    <x v="292"/>
    <s v="Organic Search"/>
    <s v="Lead Generation"/>
    <s v="Premium Plan"/>
    <n v="15348"/>
    <n v="695"/>
    <n v="86"/>
    <n v="0"/>
    <n v="10295.290000000001"/>
    <n v="4.53"/>
    <n v="12.37"/>
    <n v="0"/>
    <n v="0"/>
    <n v="10295.290000000001"/>
  </r>
  <r>
    <x v="292"/>
    <s v="Display Ads"/>
    <s v="Retargeting"/>
    <s v="Premium Plan"/>
    <n v="24557"/>
    <n v="448"/>
    <n v="18"/>
    <n v="511.02"/>
    <n v="1616.11"/>
    <n v="1.82"/>
    <n v="4.0199999999999996"/>
    <n v="28.39"/>
    <n v="3.16"/>
    <n v="1105.0899999999999"/>
  </r>
  <r>
    <x v="292"/>
    <s v="YouTube Ads"/>
    <s v="Brand Awareness"/>
    <s v="Starter Kit"/>
    <n v="16031"/>
    <n v="243"/>
    <n v="15"/>
    <n v="730.92"/>
    <n v="1831.26"/>
    <n v="1.52"/>
    <n v="6.17"/>
    <n v="48.73"/>
    <n v="2.5099999999999998"/>
    <n v="1100.3399999999999"/>
  </r>
  <r>
    <x v="292"/>
    <s v="Twitter Ads"/>
    <s v="Brand Awareness"/>
    <s v="Premium Plan"/>
    <n v="6404"/>
    <n v="219"/>
    <n v="7"/>
    <n v="476.85"/>
    <n v="710.96"/>
    <n v="3.42"/>
    <n v="3.2"/>
    <n v="68.12"/>
    <n v="1.49"/>
    <n v="234.11"/>
  </r>
  <r>
    <x v="292"/>
    <s v="TikTok Ads"/>
    <s v="Retargeting"/>
    <s v="Starter Kit"/>
    <n v="13461"/>
    <n v="350"/>
    <n v="14"/>
    <n v="439.23"/>
    <n v="1464.65"/>
    <n v="2.6"/>
    <n v="4"/>
    <n v="31.37"/>
    <n v="3.33"/>
    <n v="1025.42"/>
  </r>
  <r>
    <x v="292"/>
    <s v="Affiliate Marketing"/>
    <s v="Lead Generation"/>
    <s v="Add-on Service"/>
    <n v="5259"/>
    <n v="354"/>
    <n v="37"/>
    <n v="470.85"/>
    <n v="5244.95"/>
    <n v="6.73"/>
    <n v="10.45"/>
    <n v="12.73"/>
    <n v="11.14"/>
    <n v="4774.1000000000004"/>
  </r>
  <r>
    <x v="292"/>
    <s v="Referral"/>
    <s v="Seasonal Promotion"/>
    <s v="Starter Kit"/>
    <n v="3567"/>
    <n v="233"/>
    <n v="37"/>
    <n v="135.79"/>
    <n v="4148.7700000000004"/>
    <n v="6.53"/>
    <n v="15.88"/>
    <n v="3.67"/>
    <n v="30.55"/>
    <n v="4012.98"/>
  </r>
  <r>
    <x v="293"/>
    <s v="Google Ads"/>
    <s v="Seasonal Promotion"/>
    <s v="Enterprise Plan"/>
    <n v="8312"/>
    <n v="336"/>
    <n v="28"/>
    <n v="907"/>
    <n v="3772.63"/>
    <n v="4.04"/>
    <n v="8.33"/>
    <n v="32.39"/>
    <n v="4.16"/>
    <n v="2865.63"/>
  </r>
  <r>
    <x v="293"/>
    <s v="Facebook Ads"/>
    <s v="Product Launch"/>
    <s v="Enterprise Plan"/>
    <n v="13340"/>
    <n v="503"/>
    <n v="25"/>
    <n v="732.49"/>
    <n v="2869.72"/>
    <n v="3.77"/>
    <n v="4.97"/>
    <n v="29.3"/>
    <n v="3.92"/>
    <n v="2137.23"/>
  </r>
  <r>
    <x v="293"/>
    <s v="Instagram Ads"/>
    <s v="Lead Generation"/>
    <s v="Add-on Service"/>
    <n v="10810"/>
    <n v="460"/>
    <n v="21"/>
    <n v="515.05999999999995"/>
    <n v="2109.1999999999998"/>
    <n v="4.26"/>
    <n v="4.57"/>
    <n v="24.53"/>
    <n v="4.0999999999999996"/>
    <n v="1594.14"/>
  </r>
  <r>
    <x v="293"/>
    <s v="LinkedIn Ads"/>
    <s v="Brand Awareness"/>
    <s v="Starter Kit"/>
    <n v="2965"/>
    <n v="54"/>
    <n v="7"/>
    <n v="996.27"/>
    <n v="1979.44"/>
    <n v="1.82"/>
    <n v="12.96"/>
    <n v="142.32"/>
    <n v="1.99"/>
    <n v="983.17"/>
  </r>
  <r>
    <x v="293"/>
    <s v="Email Marketing"/>
    <s v="Seasonal Promotion"/>
    <s v="Basic Plan"/>
    <n v="12731"/>
    <n v="2947"/>
    <n v="284"/>
    <n v="140.69"/>
    <n v="44020.81"/>
    <n v="23.15"/>
    <n v="9.64"/>
    <n v="0.5"/>
    <n v="312.89"/>
    <n v="43880.12"/>
  </r>
  <r>
    <x v="293"/>
    <s v="Organic Search"/>
    <s v="Brand Awareness"/>
    <s v="Starter Kit"/>
    <n v="21674"/>
    <n v="1563"/>
    <n v="208"/>
    <n v="0"/>
    <n v="22584.1"/>
    <n v="7.21"/>
    <n v="13.31"/>
    <n v="0"/>
    <n v="0"/>
    <n v="22584.1"/>
  </r>
  <r>
    <x v="293"/>
    <s v="Display Ads"/>
    <s v="Brand Awareness"/>
    <s v="Starter Kit"/>
    <n v="18958"/>
    <n v="195"/>
    <n v="5"/>
    <n v="659.96"/>
    <n v="642.58000000000004"/>
    <n v="1.03"/>
    <n v="2.56"/>
    <n v="131.99"/>
    <n v="0.97"/>
    <n v="-17.38"/>
  </r>
  <r>
    <x v="293"/>
    <s v="YouTube Ads"/>
    <s v="Product Launch"/>
    <s v="Starter Kit"/>
    <n v="12967"/>
    <n v="355"/>
    <n v="23"/>
    <n v="925.54"/>
    <n v="3069.88"/>
    <n v="2.74"/>
    <n v="6.48"/>
    <n v="40.24"/>
    <n v="3.32"/>
    <n v="2144.34"/>
  </r>
  <r>
    <x v="293"/>
    <s v="Twitter Ads"/>
    <s v="Retargeting"/>
    <s v="Basic Plan"/>
    <n v="9723"/>
    <n v="242"/>
    <n v="13"/>
    <n v="325.86"/>
    <n v="1260.42"/>
    <n v="2.4900000000000002"/>
    <n v="5.37"/>
    <n v="25.07"/>
    <n v="3.87"/>
    <n v="934.56"/>
  </r>
  <r>
    <x v="293"/>
    <s v="TikTok Ads"/>
    <s v="Lead Generation"/>
    <s v="Basic Plan"/>
    <n v="19516"/>
    <n v="649"/>
    <n v="26"/>
    <n v="694.95"/>
    <n v="1821.31"/>
    <n v="3.33"/>
    <n v="4.01"/>
    <n v="26.73"/>
    <n v="2.62"/>
    <n v="1126.3599999999999"/>
  </r>
  <r>
    <x v="293"/>
    <s v="Affiliate Marketing"/>
    <s v="Seasonal Promotion"/>
    <s v="Enterprise Plan"/>
    <n v="6668"/>
    <n v="309"/>
    <n v="37"/>
    <n v="359.2"/>
    <n v="4174.1899999999996"/>
    <n v="4.63"/>
    <n v="11.97"/>
    <n v="9.7100000000000009"/>
    <n v="11.62"/>
    <n v="3814.99"/>
  </r>
  <r>
    <x v="293"/>
    <s v="Referral"/>
    <s v="Product Launch"/>
    <s v="Starter Kit"/>
    <n v="2907"/>
    <n v="220"/>
    <n v="34"/>
    <n v="79.48"/>
    <n v="6472.26"/>
    <n v="7.57"/>
    <n v="15.45"/>
    <n v="2.34"/>
    <n v="81.430000000000007"/>
    <n v="6392.78"/>
  </r>
  <r>
    <x v="294"/>
    <s v="Google Ads"/>
    <s v="Lead Generation"/>
    <s v="Enterprise Plan"/>
    <n v="8644"/>
    <n v="429"/>
    <n v="35"/>
    <n v="1081.2"/>
    <n v="5818.6"/>
    <n v="4.96"/>
    <n v="8.16"/>
    <n v="30.89"/>
    <n v="5.38"/>
    <n v="4737.3999999999996"/>
  </r>
  <r>
    <x v="294"/>
    <s v="Facebook Ads"/>
    <s v="Product Launch"/>
    <s v="Starter Kit"/>
    <n v="16348"/>
    <n v="595"/>
    <n v="48"/>
    <n v="770.14"/>
    <n v="5639.27"/>
    <n v="3.64"/>
    <n v="8.07"/>
    <n v="16.04"/>
    <n v="7.32"/>
    <n v="4869.13"/>
  </r>
  <r>
    <x v="294"/>
    <s v="Instagram Ads"/>
    <s v="Retargeting"/>
    <s v="Premium Plan"/>
    <n v="14757"/>
    <n v="396"/>
    <n v="18"/>
    <n v="641.62"/>
    <n v="1715.33"/>
    <n v="2.68"/>
    <n v="4.55"/>
    <n v="35.65"/>
    <n v="2.67"/>
    <n v="1073.71"/>
  </r>
  <r>
    <x v="294"/>
    <s v="LinkedIn Ads"/>
    <s v="Brand Awareness"/>
    <s v="Starter Kit"/>
    <n v="3454"/>
    <n v="95"/>
    <n v="11"/>
    <n v="1395.38"/>
    <n v="2575.42"/>
    <n v="2.75"/>
    <n v="11.58"/>
    <n v="126.85"/>
    <n v="1.85"/>
    <n v="1180.04"/>
  </r>
  <r>
    <x v="294"/>
    <s v="Email Marketing"/>
    <s v="Brand Awareness"/>
    <s v="Enterprise Plan"/>
    <n v="18473"/>
    <n v="2819"/>
    <n v="369"/>
    <n v="129.97"/>
    <n v="58702.33"/>
    <n v="15.26"/>
    <n v="13.09"/>
    <n v="0.35"/>
    <n v="451.66"/>
    <n v="58572.36"/>
  </r>
  <r>
    <x v="294"/>
    <s v="Organic Search"/>
    <s v="Retargeting"/>
    <s v="Starter Kit"/>
    <n v="21835"/>
    <n v="1645"/>
    <n v="227"/>
    <n v="0"/>
    <n v="26681.52"/>
    <n v="7.53"/>
    <n v="13.8"/>
    <n v="0"/>
    <n v="0"/>
    <n v="26681.52"/>
  </r>
  <r>
    <x v="294"/>
    <s v="Display Ads"/>
    <s v="Lead Generation"/>
    <s v="Enterprise Plan"/>
    <n v="35372"/>
    <n v="356"/>
    <n v="14"/>
    <n v="921.55"/>
    <n v="1335.99"/>
    <n v="1.01"/>
    <n v="3.93"/>
    <n v="65.819999999999993"/>
    <n v="1.45"/>
    <n v="414.44"/>
  </r>
  <r>
    <x v="294"/>
    <s v="YouTube Ads"/>
    <s v="Product Launch"/>
    <s v="Add-on Service"/>
    <n v="17983"/>
    <n v="392"/>
    <n v="18"/>
    <n v="1266.1600000000001"/>
    <n v="2291.02"/>
    <n v="2.1800000000000002"/>
    <n v="4.59"/>
    <n v="70.34"/>
    <n v="1.81"/>
    <n v="1024.8599999999999"/>
  </r>
  <r>
    <x v="294"/>
    <s v="Twitter Ads"/>
    <s v="Seasonal Promotion"/>
    <s v="Basic Plan"/>
    <n v="12081"/>
    <n v="281"/>
    <n v="16"/>
    <n v="412.8"/>
    <n v="1599.22"/>
    <n v="2.33"/>
    <n v="5.69"/>
    <n v="25.8"/>
    <n v="3.87"/>
    <n v="1186.42"/>
  </r>
  <r>
    <x v="294"/>
    <s v="TikTok Ads"/>
    <s v="Seasonal Promotion"/>
    <s v="Premium Plan"/>
    <n v="22913"/>
    <n v="757"/>
    <n v="28"/>
    <n v="687.47"/>
    <n v="2144.5500000000002"/>
    <n v="3.3"/>
    <n v="3.7"/>
    <n v="24.55"/>
    <n v="3.12"/>
    <n v="1457.08"/>
  </r>
  <r>
    <x v="294"/>
    <s v="Affiliate Marketing"/>
    <s v="Retargeting"/>
    <s v="Premium Plan"/>
    <n v="6700"/>
    <n v="461"/>
    <n v="39"/>
    <n v="540.39"/>
    <n v="4959.54"/>
    <n v="6.88"/>
    <n v="8.4600000000000009"/>
    <n v="13.86"/>
    <n v="9.18"/>
    <n v="4419.1499999999996"/>
  </r>
  <r>
    <x v="294"/>
    <s v="Referral"/>
    <s v="Product Launch"/>
    <s v="Add-on Service"/>
    <n v="5542"/>
    <n v="479"/>
    <n v="71"/>
    <n v="132.85"/>
    <n v="8066.73"/>
    <n v="8.64"/>
    <n v="14.82"/>
    <n v="1.87"/>
    <n v="60.72"/>
    <n v="7933.88"/>
  </r>
  <r>
    <x v="295"/>
    <s v="Google Ads"/>
    <s v="Flash Sale"/>
    <s v="Premium Plan"/>
    <n v="9773"/>
    <n v="347"/>
    <n v="35"/>
    <n v="887.19"/>
    <n v="5494.71"/>
    <n v="3.55"/>
    <n v="10.09"/>
    <n v="25.35"/>
    <n v="6.19"/>
    <n v="4607.5200000000004"/>
  </r>
  <r>
    <x v="295"/>
    <s v="Facebook Ads"/>
    <s v="Product Launch"/>
    <s v="Add-on Service"/>
    <n v="18629"/>
    <n v="527"/>
    <n v="46"/>
    <n v="871.5"/>
    <n v="4345.46"/>
    <n v="2.83"/>
    <n v="8.73"/>
    <n v="18.95"/>
    <n v="4.99"/>
    <n v="3473.96"/>
  </r>
  <r>
    <x v="295"/>
    <s v="Instagram Ads"/>
    <s v="Retargeting"/>
    <s v="Starter Kit"/>
    <n v="17542"/>
    <n v="440"/>
    <n v="25"/>
    <n v="707.24"/>
    <n v="2366.19"/>
    <n v="2.5099999999999998"/>
    <n v="5.68"/>
    <n v="28.29"/>
    <n v="3.35"/>
    <n v="1658.95"/>
  </r>
  <r>
    <x v="295"/>
    <s v="LinkedIn Ads"/>
    <s v="Seasonal Promotion"/>
    <s v="Starter Kit"/>
    <n v="5751"/>
    <n v="107"/>
    <n v="12"/>
    <n v="1407.31"/>
    <n v="3754.76"/>
    <n v="1.86"/>
    <n v="11.21"/>
    <n v="117.28"/>
    <n v="2.67"/>
    <n v="2347.4499999999998"/>
  </r>
  <r>
    <x v="295"/>
    <s v="Email Marketing"/>
    <s v="Lead Generation"/>
    <s v="Add-on Service"/>
    <n v="21709"/>
    <n v="4975"/>
    <n v="633"/>
    <n v="120.82"/>
    <n v="86528.12"/>
    <n v="22.92"/>
    <n v="12.72"/>
    <n v="0.19"/>
    <n v="716.17"/>
    <n v="86407.3"/>
  </r>
  <r>
    <x v="295"/>
    <s v="Organic Search"/>
    <s v="Lead Generation"/>
    <s v="Add-on Service"/>
    <n v="33736"/>
    <n v="1454"/>
    <n v="189"/>
    <n v="0"/>
    <n v="21238.560000000001"/>
    <n v="4.3099999999999996"/>
    <n v="13"/>
    <n v="0"/>
    <n v="0"/>
    <n v="21238.560000000001"/>
  </r>
  <r>
    <x v="295"/>
    <s v="Display Ads"/>
    <s v="Lead Generation"/>
    <s v="Starter Kit"/>
    <n v="35537"/>
    <n v="532"/>
    <n v="10"/>
    <n v="821.29"/>
    <n v="1233.08"/>
    <n v="1.5"/>
    <n v="1.88"/>
    <n v="82.13"/>
    <n v="1.5"/>
    <n v="411.79"/>
  </r>
  <r>
    <x v="295"/>
    <s v="YouTube Ads"/>
    <s v="Retargeting"/>
    <s v="Premium Plan"/>
    <n v="15528"/>
    <n v="308"/>
    <n v="17"/>
    <n v="825.81"/>
    <n v="1663.01"/>
    <n v="1.98"/>
    <n v="5.52"/>
    <n v="48.58"/>
    <n v="2.0099999999999998"/>
    <n v="837.2"/>
  </r>
  <r>
    <x v="295"/>
    <s v="Twitter Ads"/>
    <s v="Product Launch"/>
    <s v="Basic Plan"/>
    <n v="11070"/>
    <n v="335"/>
    <n v="10"/>
    <n v="737.64"/>
    <n v="958.01"/>
    <n v="3.03"/>
    <n v="2.99"/>
    <n v="73.760000000000005"/>
    <n v="1.3"/>
    <n v="220.37"/>
  </r>
  <r>
    <x v="295"/>
    <s v="TikTok Ads"/>
    <s v="Flash Sale"/>
    <s v="Add-on Service"/>
    <n v="21835"/>
    <n v="633"/>
    <n v="41"/>
    <n v="741.9"/>
    <n v="3206.45"/>
    <n v="2.9"/>
    <n v="6.48"/>
    <n v="18.100000000000001"/>
    <n v="4.32"/>
    <n v="2464.5500000000002"/>
  </r>
  <r>
    <x v="295"/>
    <s v="Affiliate Marketing"/>
    <s v="Retargeting"/>
    <s v="Starter Kit"/>
    <n v="8070"/>
    <n v="461"/>
    <n v="38"/>
    <n v="643.17999999999995"/>
    <n v="4847.4799999999996"/>
    <n v="5.71"/>
    <n v="8.24"/>
    <n v="16.93"/>
    <n v="7.54"/>
    <n v="4204.3"/>
  </r>
  <r>
    <x v="295"/>
    <s v="Referral"/>
    <s v="Seasonal Promotion"/>
    <s v="Enterprise Plan"/>
    <n v="6387"/>
    <n v="420"/>
    <n v="52"/>
    <n v="119"/>
    <n v="6415.2"/>
    <n v="6.58"/>
    <n v="12.38"/>
    <n v="2.29"/>
    <n v="53.91"/>
    <n v="6296.2"/>
  </r>
  <r>
    <x v="296"/>
    <s v="Google Ads"/>
    <s v="Seasonal Promotion"/>
    <s v="Basic Plan"/>
    <n v="13805"/>
    <n v="515"/>
    <n v="54"/>
    <n v="1268.6199999999999"/>
    <n v="7525.81"/>
    <n v="3.73"/>
    <n v="10.49"/>
    <n v="23.49"/>
    <n v="5.93"/>
    <n v="6257.19"/>
  </r>
  <r>
    <x v="296"/>
    <s v="Facebook Ads"/>
    <s v="Lead Generation"/>
    <s v="Premium Plan"/>
    <n v="12101"/>
    <n v="364"/>
    <n v="25"/>
    <n v="1168.25"/>
    <n v="3508.36"/>
    <n v="3.01"/>
    <n v="6.87"/>
    <n v="46.73"/>
    <n v="3"/>
    <n v="2340.11"/>
  </r>
  <r>
    <x v="296"/>
    <s v="Instagram Ads"/>
    <s v="Flash Sale"/>
    <s v="Add-on Service"/>
    <n v="13941"/>
    <n v="429"/>
    <n v="18"/>
    <n v="548.58000000000004"/>
    <n v="1998.12"/>
    <n v="3.08"/>
    <n v="4.2"/>
    <n v="30.48"/>
    <n v="3.64"/>
    <n v="1449.54"/>
  </r>
  <r>
    <x v="296"/>
    <s v="LinkedIn Ads"/>
    <s v="Retargeting"/>
    <s v="Premium Plan"/>
    <n v="3531"/>
    <n v="75"/>
    <n v="9"/>
    <n v="1033.8599999999999"/>
    <n v="2042.6"/>
    <n v="2.12"/>
    <n v="12"/>
    <n v="114.87"/>
    <n v="1.98"/>
    <n v="1008.74"/>
  </r>
  <r>
    <x v="296"/>
    <s v="Email Marketing"/>
    <s v="Seasonal Promotion"/>
    <s v="Add-on Service"/>
    <n v="17408"/>
    <n v="2614"/>
    <n v="252"/>
    <n v="125.54"/>
    <n v="31687.75"/>
    <n v="15.02"/>
    <n v="9.64"/>
    <n v="0.5"/>
    <n v="252.41"/>
    <n v="31562.21"/>
  </r>
  <r>
    <x v="296"/>
    <s v="Organic Search"/>
    <s v="Retargeting"/>
    <s v="Enterprise Plan"/>
    <n v="30031"/>
    <n v="1942"/>
    <n v="254"/>
    <n v="0"/>
    <n v="32213.43"/>
    <n v="6.47"/>
    <n v="13.08"/>
    <n v="0"/>
    <n v="0"/>
    <n v="32213.43"/>
  </r>
  <r>
    <x v="296"/>
    <s v="Display Ads"/>
    <s v="Seasonal Promotion"/>
    <s v="Premium Plan"/>
    <n v="38577"/>
    <n v="476"/>
    <n v="10"/>
    <n v="1113.07"/>
    <n v="853.93"/>
    <n v="1.23"/>
    <n v="2.1"/>
    <n v="111.31"/>
    <n v="0.77"/>
    <n v="-259.14"/>
  </r>
  <r>
    <x v="296"/>
    <s v="YouTube Ads"/>
    <s v="Retargeting"/>
    <s v="Basic Plan"/>
    <n v="16445"/>
    <n v="447"/>
    <n v="33"/>
    <n v="1097.24"/>
    <n v="2918.38"/>
    <n v="2.72"/>
    <n v="7.38"/>
    <n v="33.25"/>
    <n v="2.66"/>
    <n v="1821.14"/>
  </r>
  <r>
    <x v="296"/>
    <s v="Twitter Ads"/>
    <s v="Product Launch"/>
    <s v="Starter Kit"/>
    <n v="13728"/>
    <n v="437"/>
    <n v="18"/>
    <n v="588.45000000000005"/>
    <n v="1921.69"/>
    <n v="3.18"/>
    <n v="4.12"/>
    <n v="32.69"/>
    <n v="3.27"/>
    <n v="1333.24"/>
  </r>
  <r>
    <x v="296"/>
    <s v="TikTok Ads"/>
    <s v="Brand Awareness"/>
    <s v="Add-on Service"/>
    <n v="29505"/>
    <n v="1019"/>
    <n v="63"/>
    <n v="800.17"/>
    <n v="5221.66"/>
    <n v="3.45"/>
    <n v="6.18"/>
    <n v="12.7"/>
    <n v="6.53"/>
    <n v="4421.49"/>
  </r>
  <r>
    <x v="296"/>
    <s v="Affiliate Marketing"/>
    <s v="Brand Awareness"/>
    <s v="Add-on Service"/>
    <n v="5375"/>
    <n v="312"/>
    <n v="34"/>
    <n v="521.25"/>
    <n v="5018.87"/>
    <n v="5.8"/>
    <n v="10.9"/>
    <n v="15.33"/>
    <n v="9.6300000000000008"/>
    <n v="4497.62"/>
  </r>
  <r>
    <x v="296"/>
    <s v="Referral"/>
    <s v="Retargeting"/>
    <s v="Enterprise Plan"/>
    <n v="4490"/>
    <n v="272"/>
    <n v="35"/>
    <n v="182.48"/>
    <n v="5359.3"/>
    <n v="6.06"/>
    <n v="12.87"/>
    <n v="5.21"/>
    <n v="29.37"/>
    <n v="5176.82"/>
  </r>
  <r>
    <x v="297"/>
    <s v="Google Ads"/>
    <s v="Retargeting"/>
    <s v="Premium Plan"/>
    <n v="11335"/>
    <n v="532"/>
    <n v="53"/>
    <n v="1092.49"/>
    <n v="9094.41"/>
    <n v="4.6900000000000004"/>
    <n v="9.9600000000000009"/>
    <n v="20.61"/>
    <n v="8.32"/>
    <n v="8001.92"/>
  </r>
  <r>
    <x v="297"/>
    <s v="Facebook Ads"/>
    <s v="Brand Awareness"/>
    <s v="Basic Plan"/>
    <n v="14470"/>
    <n v="519"/>
    <n v="36"/>
    <n v="886.57"/>
    <n v="3434.02"/>
    <n v="3.59"/>
    <n v="6.94"/>
    <n v="24.63"/>
    <n v="3.87"/>
    <n v="2547.4499999999998"/>
  </r>
  <r>
    <x v="297"/>
    <s v="Instagram Ads"/>
    <s v="Lead Generation"/>
    <s v="Add-on Service"/>
    <n v="17140"/>
    <n v="689"/>
    <n v="42"/>
    <n v="932.65"/>
    <n v="4633.34"/>
    <n v="4.0199999999999996"/>
    <n v="6.1"/>
    <n v="22.21"/>
    <n v="4.97"/>
    <n v="3700.69"/>
  </r>
  <r>
    <x v="297"/>
    <s v="LinkedIn Ads"/>
    <s v="Flash Sale"/>
    <s v="Premium Plan"/>
    <n v="5133"/>
    <n v="78"/>
    <n v="9"/>
    <n v="1045.18"/>
    <n v="2866.38"/>
    <n v="1.52"/>
    <n v="11.54"/>
    <n v="116.13"/>
    <n v="2.74"/>
    <n v="1821.2"/>
  </r>
  <r>
    <x v="297"/>
    <s v="Email Marketing"/>
    <s v="Lead Generation"/>
    <s v="Basic Plan"/>
    <n v="23163"/>
    <n v="3679"/>
    <n v="338"/>
    <n v="227.85"/>
    <n v="36556.17"/>
    <n v="15.88"/>
    <n v="9.19"/>
    <n v="0.67"/>
    <n v="160.44"/>
    <n v="36328.32"/>
  </r>
  <r>
    <x v="297"/>
    <s v="Organic Search"/>
    <s v="Retargeting"/>
    <s v="Add-on Service"/>
    <n v="30830"/>
    <n v="2179"/>
    <n v="303"/>
    <n v="0"/>
    <n v="41339.93"/>
    <n v="7.07"/>
    <n v="13.91"/>
    <n v="0"/>
    <n v="0"/>
    <n v="41339.93"/>
  </r>
  <r>
    <x v="297"/>
    <s v="Display Ads"/>
    <s v="Product Launch"/>
    <s v="Starter Kit"/>
    <n v="30508"/>
    <n v="589"/>
    <n v="26"/>
    <n v="1021.89"/>
    <n v="2211.4699999999998"/>
    <n v="1.93"/>
    <n v="4.41"/>
    <n v="39.299999999999997"/>
    <n v="2.16"/>
    <n v="1189.58"/>
  </r>
  <r>
    <x v="297"/>
    <s v="YouTube Ads"/>
    <s v="Seasonal Promotion"/>
    <s v="Add-on Service"/>
    <n v="22533"/>
    <n v="620"/>
    <n v="43"/>
    <n v="904.8"/>
    <n v="5561.53"/>
    <n v="2.75"/>
    <n v="6.94"/>
    <n v="21.04"/>
    <n v="6.15"/>
    <n v="4656.7299999999996"/>
  </r>
  <r>
    <x v="297"/>
    <s v="Twitter Ads"/>
    <s v="Retargeting"/>
    <s v="Basic Plan"/>
    <n v="13403"/>
    <n v="427"/>
    <n v="24"/>
    <n v="764.88"/>
    <n v="2638.38"/>
    <n v="3.19"/>
    <n v="5.62"/>
    <n v="31.87"/>
    <n v="3.45"/>
    <n v="1873.5"/>
  </r>
  <r>
    <x v="297"/>
    <s v="TikTok Ads"/>
    <s v="Lead Generation"/>
    <s v="Enterprise Plan"/>
    <n v="23225"/>
    <n v="807"/>
    <n v="45"/>
    <n v="715.06"/>
    <n v="4756.28"/>
    <n v="3.47"/>
    <n v="5.58"/>
    <n v="15.89"/>
    <n v="6.65"/>
    <n v="4041.22"/>
  </r>
  <r>
    <x v="297"/>
    <s v="Affiliate Marketing"/>
    <s v="Product Launch"/>
    <s v="Add-on Service"/>
    <n v="7480"/>
    <n v="428"/>
    <n v="52"/>
    <n v="683.8"/>
    <n v="5212.47"/>
    <n v="5.72"/>
    <n v="12.15"/>
    <n v="13.15"/>
    <n v="7.62"/>
    <n v="4528.67"/>
  </r>
  <r>
    <x v="297"/>
    <s v="Referral"/>
    <s v="Flash Sale"/>
    <s v="Enterprise Plan"/>
    <n v="5118"/>
    <n v="457"/>
    <n v="79"/>
    <n v="146.09"/>
    <n v="11394.84"/>
    <n v="8.93"/>
    <n v="17.29"/>
    <n v="1.85"/>
    <n v="78"/>
    <n v="11248.75"/>
  </r>
  <r>
    <x v="298"/>
    <s v="Google Ads"/>
    <s v="Retargeting"/>
    <s v="Enterprise Plan"/>
    <n v="14384"/>
    <n v="533"/>
    <n v="61"/>
    <n v="965.65"/>
    <n v="11181.44"/>
    <n v="3.71"/>
    <n v="11.44"/>
    <n v="15.83"/>
    <n v="11.58"/>
    <n v="10215.790000000001"/>
  </r>
  <r>
    <x v="298"/>
    <s v="Facebook Ads"/>
    <s v="Brand Awareness"/>
    <s v="Add-on Service"/>
    <n v="17803"/>
    <n v="596"/>
    <n v="30"/>
    <n v="862.86"/>
    <n v="3325.66"/>
    <n v="3.35"/>
    <n v="5.03"/>
    <n v="28.76"/>
    <n v="3.85"/>
    <n v="2462.8000000000002"/>
  </r>
  <r>
    <x v="298"/>
    <s v="Instagram Ads"/>
    <s v="Brand Awareness"/>
    <s v="Add-on Service"/>
    <n v="12458"/>
    <n v="518"/>
    <n v="33"/>
    <n v="873.65"/>
    <n v="3908.62"/>
    <n v="4.16"/>
    <n v="6.37"/>
    <n v="26.47"/>
    <n v="4.47"/>
    <n v="3034.97"/>
  </r>
  <r>
    <x v="298"/>
    <s v="LinkedIn Ads"/>
    <s v="Seasonal Promotion"/>
    <s v="Starter Kit"/>
    <n v="5316"/>
    <n v="81"/>
    <n v="11"/>
    <n v="1353.81"/>
    <n v="2437.46"/>
    <n v="1.52"/>
    <n v="13.58"/>
    <n v="123.07"/>
    <n v="1.8"/>
    <n v="1083.6500000000001"/>
  </r>
  <r>
    <x v="298"/>
    <s v="Email Marketing"/>
    <s v="Lead Generation"/>
    <s v="Enterprise Plan"/>
    <n v="20796"/>
    <n v="3330"/>
    <n v="378"/>
    <n v="215.63"/>
    <n v="58776.37"/>
    <n v="16.010000000000002"/>
    <n v="11.35"/>
    <n v="0.56999999999999995"/>
    <n v="272.58"/>
    <n v="58560.74"/>
  </r>
  <r>
    <x v="298"/>
    <s v="Organic Search"/>
    <s v="Brand Awareness"/>
    <s v="Enterprise Plan"/>
    <n v="21172"/>
    <n v="1148"/>
    <n v="154"/>
    <n v="0"/>
    <n v="16897.080000000002"/>
    <n v="5.42"/>
    <n v="13.41"/>
    <n v="0"/>
    <n v="0"/>
    <n v="16897.080000000002"/>
  </r>
  <r>
    <x v="298"/>
    <s v="Display Ads"/>
    <s v="Seasonal Promotion"/>
    <s v="Premium Plan"/>
    <n v="31305"/>
    <n v="581"/>
    <n v="12"/>
    <n v="863.77"/>
    <n v="1165.4100000000001"/>
    <n v="1.86"/>
    <n v="2.0699999999999998"/>
    <n v="71.98"/>
    <n v="1.35"/>
    <n v="301.64"/>
  </r>
  <r>
    <x v="298"/>
    <s v="YouTube Ads"/>
    <s v="Brand Awareness"/>
    <s v="Add-on Service"/>
    <n v="16190"/>
    <n v="304"/>
    <n v="18"/>
    <n v="1156.82"/>
    <n v="2377.64"/>
    <n v="1.88"/>
    <n v="5.92"/>
    <n v="64.27"/>
    <n v="2.06"/>
    <n v="1220.82"/>
  </r>
  <r>
    <x v="298"/>
    <s v="Twitter Ads"/>
    <s v="Product Launch"/>
    <s v="Premium Plan"/>
    <n v="13235"/>
    <n v="267"/>
    <n v="11"/>
    <n v="624.78"/>
    <n v="1343.85"/>
    <n v="2.02"/>
    <n v="4.12"/>
    <n v="56.8"/>
    <n v="2.15"/>
    <n v="719.07"/>
  </r>
  <r>
    <x v="298"/>
    <s v="TikTok Ads"/>
    <s v="Product Launch"/>
    <s v="Premium Plan"/>
    <n v="19950"/>
    <n v="547"/>
    <n v="17"/>
    <n v="1096.7"/>
    <n v="1535.63"/>
    <n v="2.74"/>
    <n v="3.11"/>
    <n v="64.510000000000005"/>
    <n v="1.4"/>
    <n v="438.93"/>
  </r>
  <r>
    <x v="298"/>
    <s v="Affiliate Marketing"/>
    <s v="Lead Generation"/>
    <s v="Starter Kit"/>
    <n v="6448"/>
    <n v="384"/>
    <n v="40"/>
    <n v="671.6"/>
    <n v="5019.47"/>
    <n v="5.96"/>
    <n v="10.42"/>
    <n v="16.79"/>
    <n v="7.47"/>
    <n v="4347.87"/>
  </r>
  <r>
    <x v="298"/>
    <s v="Referral"/>
    <s v="Flash Sale"/>
    <s v="Add-on Service"/>
    <n v="3953"/>
    <n v="275"/>
    <n v="48"/>
    <n v="99.84"/>
    <n v="8332.5300000000007"/>
    <n v="6.96"/>
    <n v="17.45"/>
    <n v="2.08"/>
    <n v="83.46"/>
    <n v="8232.69"/>
  </r>
  <r>
    <x v="299"/>
    <s v="Google Ads"/>
    <s v="Retargeting"/>
    <s v="Enterprise Plan"/>
    <n v="9246"/>
    <n v="345"/>
    <n v="30"/>
    <n v="762.69"/>
    <n v="5433.07"/>
    <n v="3.73"/>
    <n v="8.6999999999999993"/>
    <n v="25.42"/>
    <n v="7.12"/>
    <n v="4670.38"/>
  </r>
  <r>
    <x v="299"/>
    <s v="Facebook Ads"/>
    <s v="Flash Sale"/>
    <s v="Starter Kit"/>
    <n v="13277"/>
    <n v="321"/>
    <n v="24"/>
    <n v="780.61"/>
    <n v="2841.68"/>
    <n v="2.42"/>
    <n v="7.48"/>
    <n v="32.53"/>
    <n v="3.64"/>
    <n v="2061.0700000000002"/>
  </r>
  <r>
    <x v="299"/>
    <s v="Instagram Ads"/>
    <s v="Retargeting"/>
    <s v="Starter Kit"/>
    <n v="11693"/>
    <n v="499"/>
    <n v="30"/>
    <n v="681.2"/>
    <n v="2981.35"/>
    <n v="4.2699999999999996"/>
    <n v="6.01"/>
    <n v="22.71"/>
    <n v="4.38"/>
    <n v="2300.15"/>
  </r>
  <r>
    <x v="299"/>
    <s v="LinkedIn Ads"/>
    <s v="Retargeting"/>
    <s v="Add-on Service"/>
    <n v="2777"/>
    <n v="74"/>
    <n v="9"/>
    <n v="1166.97"/>
    <n v="2552.38"/>
    <n v="2.66"/>
    <n v="12.16"/>
    <n v="129.66"/>
    <n v="2.19"/>
    <n v="1385.41"/>
  </r>
  <r>
    <x v="299"/>
    <s v="Email Marketing"/>
    <s v="Lead Generation"/>
    <s v="Basic Plan"/>
    <n v="16408"/>
    <n v="2778"/>
    <n v="244"/>
    <n v="174.5"/>
    <n v="31718.84"/>
    <n v="16.93"/>
    <n v="8.7799999999999994"/>
    <n v="0.72"/>
    <n v="181.77"/>
    <n v="31544.34"/>
  </r>
  <r>
    <x v="299"/>
    <s v="Organic Search"/>
    <s v="Retargeting"/>
    <s v="Basic Plan"/>
    <n v="20022"/>
    <n v="1031"/>
    <n v="116"/>
    <n v="0"/>
    <n v="14404.15"/>
    <n v="5.15"/>
    <n v="11.25"/>
    <n v="0"/>
    <n v="0"/>
    <n v="14404.15"/>
  </r>
  <r>
    <x v="299"/>
    <s v="Display Ads"/>
    <s v="Lead Generation"/>
    <s v="Add-on Service"/>
    <n v="18544"/>
    <n v="345"/>
    <n v="8"/>
    <n v="720.69"/>
    <n v="952.56"/>
    <n v="1.86"/>
    <n v="2.3199999999999998"/>
    <n v="90.09"/>
    <n v="1.32"/>
    <n v="231.87"/>
  </r>
  <r>
    <x v="299"/>
    <s v="YouTube Ads"/>
    <s v="Retargeting"/>
    <s v="Enterprise Plan"/>
    <n v="15668"/>
    <n v="340"/>
    <n v="23"/>
    <n v="892.63"/>
    <n v="2064.48"/>
    <n v="2.17"/>
    <n v="6.76"/>
    <n v="38.81"/>
    <n v="2.31"/>
    <n v="1171.8499999999999"/>
  </r>
  <r>
    <x v="299"/>
    <s v="Twitter Ads"/>
    <s v="Retargeting"/>
    <s v="Basic Plan"/>
    <n v="7003"/>
    <n v="162"/>
    <n v="9"/>
    <n v="452.41"/>
    <n v="988.36"/>
    <n v="2.31"/>
    <n v="5.56"/>
    <n v="50.27"/>
    <n v="2.1800000000000002"/>
    <n v="535.95000000000005"/>
  </r>
  <r>
    <x v="299"/>
    <s v="TikTok Ads"/>
    <s v="Product Launch"/>
    <s v="Basic Plan"/>
    <n v="19210"/>
    <n v="718"/>
    <n v="48"/>
    <n v="435.55"/>
    <n v="4824.28"/>
    <n v="3.74"/>
    <n v="6.69"/>
    <n v="9.07"/>
    <n v="11.08"/>
    <n v="4388.7299999999996"/>
  </r>
  <r>
    <x v="299"/>
    <s v="Affiliate Marketing"/>
    <s v="Lead Generation"/>
    <s v="Premium Plan"/>
    <n v="6799"/>
    <n v="319"/>
    <n v="30"/>
    <n v="303.54000000000002"/>
    <n v="4031.41"/>
    <n v="4.6900000000000004"/>
    <n v="9.4"/>
    <n v="10.119999999999999"/>
    <n v="13.28"/>
    <n v="3727.87"/>
  </r>
  <r>
    <x v="299"/>
    <s v="Referral"/>
    <s v="Brand Awareness"/>
    <s v="Premium Plan"/>
    <n v="4292"/>
    <n v="282"/>
    <n v="40"/>
    <n v="103.55"/>
    <n v="7043.89"/>
    <n v="6.57"/>
    <n v="14.18"/>
    <n v="2.59"/>
    <n v="68.02"/>
    <n v="6940.34"/>
  </r>
  <r>
    <x v="300"/>
    <s v="Google Ads"/>
    <s v="Lead Generation"/>
    <s v="Starter Kit"/>
    <n v="8682"/>
    <n v="415"/>
    <n v="47"/>
    <n v="783.58"/>
    <n v="6515.88"/>
    <n v="4.78"/>
    <n v="11.33"/>
    <n v="16.670000000000002"/>
    <n v="8.32"/>
    <n v="5732.3"/>
  </r>
  <r>
    <x v="300"/>
    <s v="Facebook Ads"/>
    <s v="Flash Sale"/>
    <s v="Starter Kit"/>
    <n v="8769"/>
    <n v="343"/>
    <n v="30"/>
    <n v="729.06"/>
    <n v="2676.19"/>
    <n v="3.91"/>
    <n v="8.75"/>
    <n v="24.3"/>
    <n v="3.67"/>
    <n v="1947.13"/>
  </r>
  <r>
    <x v="300"/>
    <s v="Instagram Ads"/>
    <s v="Lead Generation"/>
    <s v="Premium Plan"/>
    <n v="8915"/>
    <n v="378"/>
    <n v="21"/>
    <n v="528.79"/>
    <n v="1869.61"/>
    <n v="4.24"/>
    <n v="5.56"/>
    <n v="25.18"/>
    <n v="3.54"/>
    <n v="1340.82"/>
  </r>
  <r>
    <x v="300"/>
    <s v="LinkedIn Ads"/>
    <s v="Lead Generation"/>
    <s v="Starter Kit"/>
    <n v="2480"/>
    <n v="44"/>
    <n v="4"/>
    <n v="918.29"/>
    <n v="974.69"/>
    <n v="1.77"/>
    <n v="9.09"/>
    <n v="229.57"/>
    <n v="1.06"/>
    <n v="56.4"/>
  </r>
  <r>
    <x v="300"/>
    <s v="Email Marketing"/>
    <s v="Retargeting"/>
    <s v="Add-on Service"/>
    <n v="12475"/>
    <n v="1966"/>
    <n v="190"/>
    <n v="101.1"/>
    <n v="21431.24"/>
    <n v="15.76"/>
    <n v="9.66"/>
    <n v="0.53"/>
    <n v="211.98"/>
    <n v="21330.14"/>
  </r>
  <r>
    <x v="300"/>
    <s v="Organic Search"/>
    <s v="Retargeting"/>
    <s v="Add-on Service"/>
    <n v="21576"/>
    <n v="1059"/>
    <n v="162"/>
    <n v="0"/>
    <n v="21342.03"/>
    <n v="4.91"/>
    <n v="15.3"/>
    <n v="0"/>
    <n v="0"/>
    <n v="21342.03"/>
  </r>
  <r>
    <x v="300"/>
    <s v="Display Ads"/>
    <s v="Lead Generation"/>
    <s v="Starter Kit"/>
    <n v="20821"/>
    <n v="345"/>
    <n v="11"/>
    <n v="694.1"/>
    <n v="1335.77"/>
    <n v="1.66"/>
    <n v="3.19"/>
    <n v="63.1"/>
    <n v="1.92"/>
    <n v="641.66999999999996"/>
  </r>
  <r>
    <x v="300"/>
    <s v="YouTube Ads"/>
    <s v="Seasonal Promotion"/>
    <s v="Starter Kit"/>
    <n v="15826"/>
    <n v="253"/>
    <n v="10"/>
    <n v="782.4"/>
    <n v="1337.09"/>
    <n v="1.6"/>
    <n v="3.95"/>
    <n v="78.239999999999995"/>
    <n v="1.71"/>
    <n v="554.69000000000005"/>
  </r>
  <r>
    <x v="300"/>
    <s v="Twitter Ads"/>
    <s v="Seasonal Promotion"/>
    <s v="Starter Kit"/>
    <n v="6939"/>
    <n v="182"/>
    <n v="9"/>
    <n v="422.55"/>
    <n v="852.35"/>
    <n v="2.62"/>
    <n v="4.95"/>
    <n v="46.95"/>
    <n v="2.02"/>
    <n v="429.8"/>
  </r>
  <r>
    <x v="300"/>
    <s v="TikTok Ads"/>
    <s v="Retargeting"/>
    <s v="Enterprise Plan"/>
    <n v="13139"/>
    <n v="435"/>
    <n v="28"/>
    <n v="442.1"/>
    <n v="2678.85"/>
    <n v="3.31"/>
    <n v="6.44"/>
    <n v="15.79"/>
    <n v="6.06"/>
    <n v="2236.75"/>
  </r>
  <r>
    <x v="300"/>
    <s v="Affiliate Marketing"/>
    <s v="Lead Generation"/>
    <s v="Basic Plan"/>
    <n v="4692"/>
    <n v="196"/>
    <n v="22"/>
    <n v="469.52"/>
    <n v="2954.03"/>
    <n v="4.18"/>
    <n v="11.22"/>
    <n v="21.34"/>
    <n v="6.29"/>
    <n v="2484.5100000000002"/>
  </r>
  <r>
    <x v="300"/>
    <s v="Referral"/>
    <s v="Retargeting"/>
    <s v="Add-on Service"/>
    <n v="4144"/>
    <n v="228"/>
    <n v="28"/>
    <n v="36.25"/>
    <n v="3827.64"/>
    <n v="5.5"/>
    <n v="12.28"/>
    <n v="1.29"/>
    <n v="105.59"/>
    <n v="3791.39"/>
  </r>
  <r>
    <x v="301"/>
    <s v="Google Ads"/>
    <s v="Brand Awareness"/>
    <s v="Add-on Service"/>
    <n v="10552"/>
    <n v="331"/>
    <n v="32"/>
    <n v="930.55"/>
    <n v="4553.04"/>
    <n v="3.14"/>
    <n v="9.67"/>
    <n v="29.08"/>
    <n v="4.8899999999999997"/>
    <n v="3622.49"/>
  </r>
  <r>
    <x v="301"/>
    <s v="Facebook Ads"/>
    <s v="Retargeting"/>
    <s v="Basic Plan"/>
    <n v="17648"/>
    <n v="394"/>
    <n v="34"/>
    <n v="913.56"/>
    <n v="3411.54"/>
    <n v="2.23"/>
    <n v="8.6300000000000008"/>
    <n v="26.87"/>
    <n v="3.73"/>
    <n v="2497.98"/>
  </r>
  <r>
    <x v="301"/>
    <s v="Instagram Ads"/>
    <s v="Flash Sale"/>
    <s v="Add-on Service"/>
    <n v="14839"/>
    <n v="604"/>
    <n v="27"/>
    <n v="790.54"/>
    <n v="2271.73"/>
    <n v="4.07"/>
    <n v="4.47"/>
    <n v="29.28"/>
    <n v="2.87"/>
    <n v="1481.19"/>
  </r>
  <r>
    <x v="301"/>
    <s v="LinkedIn Ads"/>
    <s v="Product Launch"/>
    <s v="Starter Kit"/>
    <n v="5545"/>
    <n v="97"/>
    <n v="12"/>
    <n v="1524.5"/>
    <n v="3086.42"/>
    <n v="1.75"/>
    <n v="12.37"/>
    <n v="127.04"/>
    <n v="2.02"/>
    <n v="1561.92"/>
  </r>
  <r>
    <x v="301"/>
    <s v="Email Marketing"/>
    <s v="Seasonal Promotion"/>
    <s v="Add-on Service"/>
    <n v="24617"/>
    <n v="3962"/>
    <n v="381"/>
    <n v="271.42"/>
    <n v="45079.15"/>
    <n v="16.09"/>
    <n v="9.6199999999999992"/>
    <n v="0.71"/>
    <n v="166.09"/>
    <n v="44807.73"/>
  </r>
  <r>
    <x v="301"/>
    <s v="Organic Search"/>
    <s v="Product Launch"/>
    <s v="Premium Plan"/>
    <n v="20902"/>
    <n v="1498"/>
    <n v="162"/>
    <n v="0"/>
    <n v="22627.59"/>
    <n v="7.17"/>
    <n v="10.81"/>
    <n v="0"/>
    <n v="0"/>
    <n v="22627.59"/>
  </r>
  <r>
    <x v="301"/>
    <s v="Display Ads"/>
    <s v="Brand Awareness"/>
    <s v="Add-on Service"/>
    <n v="30624"/>
    <n v="516"/>
    <n v="10"/>
    <n v="1222.5"/>
    <n v="1123.57"/>
    <n v="1.68"/>
    <n v="1.94"/>
    <n v="122.25"/>
    <n v="0.92"/>
    <n v="-98.93"/>
  </r>
  <r>
    <x v="301"/>
    <s v="YouTube Ads"/>
    <s v="Retargeting"/>
    <s v="Enterprise Plan"/>
    <n v="18650"/>
    <n v="489"/>
    <n v="22"/>
    <n v="811.78"/>
    <n v="2870.85"/>
    <n v="2.62"/>
    <n v="4.5"/>
    <n v="36.9"/>
    <n v="3.54"/>
    <n v="2059.0700000000002"/>
  </r>
  <r>
    <x v="301"/>
    <s v="Twitter Ads"/>
    <s v="Brand Awareness"/>
    <s v="Add-on Service"/>
    <n v="11331"/>
    <n v="320"/>
    <n v="13"/>
    <n v="796.41"/>
    <n v="1392.03"/>
    <n v="2.82"/>
    <n v="4.0599999999999996"/>
    <n v="61.26"/>
    <n v="1.75"/>
    <n v="595.62"/>
  </r>
  <r>
    <x v="301"/>
    <s v="TikTok Ads"/>
    <s v="Retargeting"/>
    <s v="Premium Plan"/>
    <n v="28440"/>
    <n v="788"/>
    <n v="50"/>
    <n v="1024.18"/>
    <n v="4037.9"/>
    <n v="2.77"/>
    <n v="6.35"/>
    <n v="20.48"/>
    <n v="3.94"/>
    <n v="3013.72"/>
  </r>
  <r>
    <x v="301"/>
    <s v="Affiliate Marketing"/>
    <s v="Lead Generation"/>
    <s v="Add-on Service"/>
    <n v="9636"/>
    <n v="611"/>
    <n v="72"/>
    <n v="500.85"/>
    <n v="9220"/>
    <n v="6.34"/>
    <n v="11.78"/>
    <n v="6.96"/>
    <n v="18.41"/>
    <n v="8719.15"/>
  </r>
  <r>
    <x v="301"/>
    <s v="Referral"/>
    <s v="Product Launch"/>
    <s v="Starter Kit"/>
    <n v="6055"/>
    <n v="489"/>
    <n v="71"/>
    <n v="57.04"/>
    <n v="11894.58"/>
    <n v="8.08"/>
    <n v="14.52"/>
    <n v="0.8"/>
    <n v="208.53"/>
    <n v="11837.54"/>
  </r>
  <r>
    <x v="302"/>
    <s v="Google Ads"/>
    <s v="Seasonal Promotion"/>
    <s v="Premium Plan"/>
    <n v="12345"/>
    <n v="572"/>
    <n v="49"/>
    <n v="1204.57"/>
    <n v="6511.01"/>
    <n v="4.63"/>
    <n v="8.57"/>
    <n v="24.58"/>
    <n v="5.41"/>
    <n v="5306.44"/>
  </r>
  <r>
    <x v="302"/>
    <s v="Facebook Ads"/>
    <s v="Seasonal Promotion"/>
    <s v="Add-on Service"/>
    <n v="16493"/>
    <n v="411"/>
    <n v="33"/>
    <n v="689.78"/>
    <n v="3519.98"/>
    <n v="2.4900000000000002"/>
    <n v="8.0299999999999994"/>
    <n v="20.9"/>
    <n v="5.0999999999999996"/>
    <n v="2830.2"/>
  </r>
  <r>
    <x v="302"/>
    <s v="Instagram Ads"/>
    <s v="Brand Awareness"/>
    <s v="Basic Plan"/>
    <n v="15998"/>
    <n v="621"/>
    <n v="48"/>
    <n v="647.25"/>
    <n v="5715.14"/>
    <n v="3.88"/>
    <n v="7.73"/>
    <n v="13.48"/>
    <n v="8.83"/>
    <n v="5067.8900000000003"/>
  </r>
  <r>
    <x v="302"/>
    <s v="LinkedIn Ads"/>
    <s v="Retargeting"/>
    <s v="Premium Plan"/>
    <n v="4758"/>
    <n v="138"/>
    <n v="18"/>
    <n v="1003.81"/>
    <n v="3979.55"/>
    <n v="2.9"/>
    <n v="13.04"/>
    <n v="55.77"/>
    <n v="3.96"/>
    <n v="2975.74"/>
  </r>
  <r>
    <x v="302"/>
    <s v="Email Marketing"/>
    <s v="Flash Sale"/>
    <s v="Add-on Service"/>
    <n v="21728"/>
    <n v="5016"/>
    <n v="408"/>
    <n v="191.75"/>
    <n v="55770.43"/>
    <n v="23.09"/>
    <n v="8.1300000000000008"/>
    <n v="0.47"/>
    <n v="290.85000000000002"/>
    <n v="55578.68"/>
  </r>
  <r>
    <x v="302"/>
    <s v="Organic Search"/>
    <s v="Seasonal Promotion"/>
    <s v="Enterprise Plan"/>
    <n v="32593"/>
    <n v="1472"/>
    <n v="215"/>
    <n v="0"/>
    <n v="26291.32"/>
    <n v="4.5199999999999996"/>
    <n v="14.61"/>
    <n v="0"/>
    <n v="0"/>
    <n v="26291.32"/>
  </r>
  <r>
    <x v="302"/>
    <s v="Display Ads"/>
    <s v="Seasonal Promotion"/>
    <s v="Premium Plan"/>
    <n v="32640"/>
    <n v="593"/>
    <n v="20"/>
    <n v="1054.24"/>
    <n v="1623.83"/>
    <n v="1.82"/>
    <n v="3.37"/>
    <n v="52.71"/>
    <n v="1.54"/>
    <n v="569.59"/>
  </r>
  <r>
    <x v="302"/>
    <s v="YouTube Ads"/>
    <s v="Product Launch"/>
    <s v="Add-on Service"/>
    <n v="16318"/>
    <n v="487"/>
    <n v="19"/>
    <n v="1195.3699999999999"/>
    <n v="2082.75"/>
    <n v="2.98"/>
    <n v="3.9"/>
    <n v="62.91"/>
    <n v="1.74"/>
    <n v="887.38"/>
  </r>
  <r>
    <x v="302"/>
    <s v="Twitter Ads"/>
    <s v="Brand Awareness"/>
    <s v="Starter Kit"/>
    <n v="12379"/>
    <n v="334"/>
    <n v="16"/>
    <n v="474.86"/>
    <n v="1733.64"/>
    <n v="2.7"/>
    <n v="4.79"/>
    <n v="29.68"/>
    <n v="3.65"/>
    <n v="1258.78"/>
  </r>
  <r>
    <x v="302"/>
    <s v="TikTok Ads"/>
    <s v="Retargeting"/>
    <s v="Add-on Service"/>
    <n v="22045"/>
    <n v="983"/>
    <n v="53"/>
    <n v="1091.6300000000001"/>
    <n v="4143.37"/>
    <n v="4.46"/>
    <n v="5.39"/>
    <n v="20.6"/>
    <n v="3.8"/>
    <n v="3051.74"/>
  </r>
  <r>
    <x v="302"/>
    <s v="Affiliate Marketing"/>
    <s v="Retargeting"/>
    <s v="Add-on Service"/>
    <n v="8630"/>
    <n v="565"/>
    <n v="61"/>
    <n v="422.48"/>
    <n v="7028.73"/>
    <n v="6.55"/>
    <n v="10.8"/>
    <n v="6.93"/>
    <n v="16.64"/>
    <n v="6606.25"/>
  </r>
  <r>
    <x v="302"/>
    <s v="Referral"/>
    <s v="Flash Sale"/>
    <s v="Enterprise Plan"/>
    <n v="4739"/>
    <n v="416"/>
    <n v="71"/>
    <n v="159.24"/>
    <n v="8786.1200000000008"/>
    <n v="8.7799999999999994"/>
    <n v="17.07"/>
    <n v="2.2400000000000002"/>
    <n v="55.18"/>
    <n v="8626.8799999999992"/>
  </r>
  <r>
    <x v="303"/>
    <s v="Google Ads"/>
    <s v="Retargeting"/>
    <s v="Enterprise Plan"/>
    <n v="8670"/>
    <n v="411"/>
    <n v="37"/>
    <n v="982.98"/>
    <n v="5838.23"/>
    <n v="4.74"/>
    <n v="9"/>
    <n v="26.57"/>
    <n v="5.94"/>
    <n v="4855.25"/>
  </r>
  <r>
    <x v="303"/>
    <s v="Facebook Ads"/>
    <s v="Product Launch"/>
    <s v="Enterprise Plan"/>
    <n v="12010"/>
    <n v="329"/>
    <n v="16"/>
    <n v="684.31"/>
    <n v="1799.25"/>
    <n v="2.74"/>
    <n v="4.8600000000000003"/>
    <n v="42.77"/>
    <n v="2.63"/>
    <n v="1114.94"/>
  </r>
  <r>
    <x v="303"/>
    <s v="Instagram Ads"/>
    <s v="Lead Generation"/>
    <s v="Premium Plan"/>
    <n v="15352"/>
    <n v="420"/>
    <n v="17"/>
    <n v="518.12"/>
    <n v="1808.45"/>
    <n v="2.74"/>
    <n v="4.05"/>
    <n v="30.48"/>
    <n v="3.49"/>
    <n v="1290.33"/>
  </r>
  <r>
    <x v="303"/>
    <s v="LinkedIn Ads"/>
    <s v="Flash Sale"/>
    <s v="Add-on Service"/>
    <n v="4856"/>
    <n v="140"/>
    <n v="14"/>
    <n v="909.75"/>
    <n v="4252.17"/>
    <n v="2.88"/>
    <n v="10"/>
    <n v="64.98"/>
    <n v="4.67"/>
    <n v="3342.42"/>
  </r>
  <r>
    <x v="303"/>
    <s v="Email Marketing"/>
    <s v="Flash Sale"/>
    <s v="Enterprise Plan"/>
    <n v="15701"/>
    <n v="3825"/>
    <n v="448"/>
    <n v="117.66"/>
    <n v="68087.070000000007"/>
    <n v="24.36"/>
    <n v="11.71"/>
    <n v="0.26"/>
    <n v="578.67999999999995"/>
    <n v="67969.41"/>
  </r>
  <r>
    <x v="303"/>
    <s v="Organic Search"/>
    <s v="Flash Sale"/>
    <s v="Add-on Service"/>
    <n v="23175"/>
    <n v="997"/>
    <n v="99"/>
    <n v="0"/>
    <n v="12856"/>
    <n v="4.3"/>
    <n v="9.93"/>
    <n v="0"/>
    <n v="0"/>
    <n v="12856"/>
  </r>
  <r>
    <x v="303"/>
    <s v="Display Ads"/>
    <s v="Product Launch"/>
    <s v="Premium Plan"/>
    <n v="39922"/>
    <n v="549"/>
    <n v="15"/>
    <n v="1111.8599999999999"/>
    <n v="1979.88"/>
    <n v="1.38"/>
    <n v="2.73"/>
    <n v="74.12"/>
    <n v="1.78"/>
    <n v="868.02"/>
  </r>
  <r>
    <x v="303"/>
    <s v="YouTube Ads"/>
    <s v="Flash Sale"/>
    <s v="Starter Kit"/>
    <n v="23044"/>
    <n v="559"/>
    <n v="32"/>
    <n v="1290.78"/>
    <n v="2850.93"/>
    <n v="2.4300000000000002"/>
    <n v="5.72"/>
    <n v="40.340000000000003"/>
    <n v="2.21"/>
    <n v="1560.15"/>
  </r>
  <r>
    <x v="303"/>
    <s v="Twitter Ads"/>
    <s v="Seasonal Promotion"/>
    <s v="Basic Plan"/>
    <n v="13185"/>
    <n v="382"/>
    <n v="17"/>
    <n v="535.27"/>
    <n v="1592.84"/>
    <n v="2.9"/>
    <n v="4.45"/>
    <n v="31.49"/>
    <n v="2.98"/>
    <n v="1057.57"/>
  </r>
  <r>
    <x v="303"/>
    <s v="TikTok Ads"/>
    <s v="Seasonal Promotion"/>
    <s v="Premium Plan"/>
    <n v="26510"/>
    <n v="1122"/>
    <n v="47"/>
    <n v="797.42"/>
    <n v="3731.08"/>
    <n v="4.2300000000000004"/>
    <n v="4.1900000000000004"/>
    <n v="16.97"/>
    <n v="4.68"/>
    <n v="2933.66"/>
  </r>
  <r>
    <x v="303"/>
    <s v="Affiliate Marketing"/>
    <s v="Flash Sale"/>
    <s v="Enterprise Plan"/>
    <n v="5312"/>
    <n v="284"/>
    <n v="28"/>
    <n v="683.3"/>
    <n v="3590.91"/>
    <n v="5.35"/>
    <n v="9.86"/>
    <n v="24.4"/>
    <n v="5.26"/>
    <n v="2907.61"/>
  </r>
  <r>
    <x v="303"/>
    <s v="Referral"/>
    <s v="Flash Sale"/>
    <s v="Add-on Service"/>
    <n v="5840"/>
    <n v="314"/>
    <n v="43"/>
    <n v="64.209999999999994"/>
    <n v="5494.6"/>
    <n v="5.38"/>
    <n v="13.69"/>
    <n v="1.49"/>
    <n v="85.57"/>
    <n v="5430.39"/>
  </r>
  <r>
    <x v="304"/>
    <s v="Google Ads"/>
    <s v="Brand Awareness"/>
    <s v="Enterprise Plan"/>
    <n v="12487"/>
    <n v="448"/>
    <n v="44"/>
    <n v="1247.98"/>
    <n v="5907.65"/>
    <n v="3.59"/>
    <n v="9.82"/>
    <n v="28.36"/>
    <n v="4.7300000000000004"/>
    <n v="4659.67"/>
  </r>
  <r>
    <x v="304"/>
    <s v="Facebook Ads"/>
    <s v="Retargeting"/>
    <s v="Premium Plan"/>
    <n v="18612"/>
    <n v="673"/>
    <n v="53"/>
    <n v="769.82"/>
    <n v="4867.1000000000004"/>
    <n v="3.62"/>
    <n v="7.88"/>
    <n v="14.52"/>
    <n v="6.32"/>
    <n v="4097.28"/>
  </r>
  <r>
    <x v="304"/>
    <s v="Instagram Ads"/>
    <s v="Lead Generation"/>
    <s v="Add-on Service"/>
    <n v="10053"/>
    <n v="413"/>
    <n v="30"/>
    <n v="620.92999999999995"/>
    <n v="3528.09"/>
    <n v="4.1100000000000003"/>
    <n v="7.26"/>
    <n v="20.7"/>
    <n v="5.68"/>
    <n v="2907.16"/>
  </r>
  <r>
    <x v="304"/>
    <s v="LinkedIn Ads"/>
    <s v="Brand Awareness"/>
    <s v="Enterprise Plan"/>
    <n v="3704"/>
    <n v="98"/>
    <n v="9"/>
    <n v="1450.55"/>
    <n v="2449.12"/>
    <n v="2.65"/>
    <n v="9.18"/>
    <n v="161.16999999999999"/>
    <n v="1.69"/>
    <n v="998.57"/>
  </r>
  <r>
    <x v="304"/>
    <s v="Email Marketing"/>
    <s v="Product Launch"/>
    <s v="Basic Plan"/>
    <n v="18582"/>
    <n v="2983"/>
    <n v="300"/>
    <n v="194.57"/>
    <n v="30867.360000000001"/>
    <n v="16.05"/>
    <n v="10.06"/>
    <n v="0.65"/>
    <n v="158.63999999999999"/>
    <n v="30672.79"/>
  </r>
  <r>
    <x v="304"/>
    <s v="Organic Search"/>
    <s v="Seasonal Promotion"/>
    <s v="Enterprise Plan"/>
    <n v="29962"/>
    <n v="1315"/>
    <n v="169"/>
    <n v="0"/>
    <n v="25520.89"/>
    <n v="4.3899999999999997"/>
    <n v="12.85"/>
    <n v="0"/>
    <n v="0"/>
    <n v="25520.89"/>
  </r>
  <r>
    <x v="304"/>
    <s v="Display Ads"/>
    <s v="Product Launch"/>
    <s v="Enterprise Plan"/>
    <n v="31950"/>
    <n v="356"/>
    <n v="9"/>
    <n v="859"/>
    <n v="1016.11"/>
    <n v="1.1100000000000001"/>
    <n v="2.5299999999999998"/>
    <n v="95.44"/>
    <n v="1.18"/>
    <n v="157.11000000000001"/>
  </r>
  <r>
    <x v="304"/>
    <s v="YouTube Ads"/>
    <s v="Brand Awareness"/>
    <s v="Premium Plan"/>
    <n v="21200"/>
    <n v="323"/>
    <n v="22"/>
    <n v="1155.8599999999999"/>
    <n v="3072.46"/>
    <n v="1.52"/>
    <n v="6.81"/>
    <n v="52.54"/>
    <n v="2.66"/>
    <n v="1916.6"/>
  </r>
  <r>
    <x v="304"/>
    <s v="Twitter Ads"/>
    <s v="Seasonal Promotion"/>
    <s v="Basic Plan"/>
    <n v="13363"/>
    <n v="331"/>
    <n v="10"/>
    <n v="526.67999999999995"/>
    <n v="1203.3499999999999"/>
    <n v="2.48"/>
    <n v="3.02"/>
    <n v="52.67"/>
    <n v="2.2799999999999998"/>
    <n v="676.67"/>
  </r>
  <r>
    <x v="304"/>
    <s v="TikTok Ads"/>
    <s v="Seasonal Promotion"/>
    <s v="Basic Plan"/>
    <n v="20053"/>
    <n v="784"/>
    <n v="39"/>
    <n v="658.46"/>
    <n v="3539.62"/>
    <n v="3.91"/>
    <n v="4.97"/>
    <n v="16.88"/>
    <n v="5.38"/>
    <n v="2881.16"/>
  </r>
  <r>
    <x v="304"/>
    <s v="Affiliate Marketing"/>
    <s v="Flash Sale"/>
    <s v="Starter Kit"/>
    <n v="6847"/>
    <n v="472"/>
    <n v="50"/>
    <n v="485.17"/>
    <n v="5487.9"/>
    <n v="6.89"/>
    <n v="10.59"/>
    <n v="9.6999999999999993"/>
    <n v="11.31"/>
    <n v="5002.7299999999996"/>
  </r>
  <r>
    <x v="304"/>
    <s v="Referral"/>
    <s v="Product Launch"/>
    <s v="Basic Plan"/>
    <n v="6118"/>
    <n v="498"/>
    <n v="78"/>
    <n v="124"/>
    <n v="12281.75"/>
    <n v="8.14"/>
    <n v="15.66"/>
    <n v="1.59"/>
    <n v="99.05"/>
    <n v="12157.75"/>
  </r>
  <r>
    <x v="305"/>
    <s v="Google Ads"/>
    <s v="Product Launch"/>
    <s v="Basic Plan"/>
    <n v="13991"/>
    <n v="560"/>
    <n v="50"/>
    <n v="881.95"/>
    <n v="6273.06"/>
    <n v="4"/>
    <n v="8.93"/>
    <n v="17.64"/>
    <n v="7.11"/>
    <n v="5391.11"/>
  </r>
  <r>
    <x v="305"/>
    <s v="Facebook Ads"/>
    <s v="Retargeting"/>
    <s v="Basic Plan"/>
    <n v="12916"/>
    <n v="291"/>
    <n v="16"/>
    <n v="1043.3"/>
    <n v="2258.19"/>
    <n v="2.25"/>
    <n v="5.5"/>
    <n v="65.209999999999994"/>
    <n v="2.16"/>
    <n v="1214.8900000000001"/>
  </r>
  <r>
    <x v="305"/>
    <s v="Instagram Ads"/>
    <s v="Seasonal Promotion"/>
    <s v="Premium Plan"/>
    <n v="11390"/>
    <n v="507"/>
    <n v="36"/>
    <n v="917.63"/>
    <n v="3771.7"/>
    <n v="4.45"/>
    <n v="7.1"/>
    <n v="25.49"/>
    <n v="4.1100000000000003"/>
    <n v="2854.07"/>
  </r>
  <r>
    <x v="305"/>
    <s v="LinkedIn Ads"/>
    <s v="Product Launch"/>
    <s v="Premium Plan"/>
    <n v="4431"/>
    <n v="118"/>
    <n v="16"/>
    <n v="1478.37"/>
    <n v="5502.32"/>
    <n v="2.66"/>
    <n v="13.56"/>
    <n v="92.4"/>
    <n v="3.72"/>
    <n v="4023.95"/>
  </r>
  <r>
    <x v="305"/>
    <s v="Email Marketing"/>
    <s v="Lead Generation"/>
    <s v="Add-on Service"/>
    <n v="21504"/>
    <n v="4661"/>
    <n v="545"/>
    <n v="293.20999999999998"/>
    <n v="84452.13"/>
    <n v="21.68"/>
    <n v="11.69"/>
    <n v="0.54"/>
    <n v="288.02999999999997"/>
    <n v="84158.92"/>
  </r>
  <r>
    <x v="305"/>
    <s v="Organic Search"/>
    <s v="Lead Generation"/>
    <s v="Starter Kit"/>
    <n v="30003"/>
    <n v="1483"/>
    <n v="214"/>
    <n v="0"/>
    <n v="26012.37"/>
    <n v="4.9400000000000004"/>
    <n v="14.43"/>
    <n v="0"/>
    <n v="0"/>
    <n v="26012.37"/>
  </r>
  <r>
    <x v="305"/>
    <s v="Display Ads"/>
    <s v="Retargeting"/>
    <s v="Starter Kit"/>
    <n v="28148"/>
    <n v="372"/>
    <n v="7"/>
    <n v="951.81"/>
    <n v="789.82"/>
    <n v="1.32"/>
    <n v="1.88"/>
    <n v="135.97"/>
    <n v="0.83"/>
    <n v="-161.99"/>
  </r>
  <r>
    <x v="305"/>
    <s v="YouTube Ads"/>
    <s v="Lead Generation"/>
    <s v="Starter Kit"/>
    <n v="18975"/>
    <n v="310"/>
    <n v="21"/>
    <n v="1030.0899999999999"/>
    <n v="2547.7800000000002"/>
    <n v="1.63"/>
    <n v="6.77"/>
    <n v="49.05"/>
    <n v="2.4700000000000002"/>
    <n v="1517.69"/>
  </r>
  <r>
    <x v="305"/>
    <s v="Twitter Ads"/>
    <s v="Flash Sale"/>
    <s v="Basic Plan"/>
    <n v="8387"/>
    <n v="185"/>
    <n v="8"/>
    <n v="668.88"/>
    <n v="848.49"/>
    <n v="2.21"/>
    <n v="4.32"/>
    <n v="83.61"/>
    <n v="1.27"/>
    <n v="179.61"/>
  </r>
  <r>
    <x v="305"/>
    <s v="TikTok Ads"/>
    <s v="Lead Generation"/>
    <s v="Add-on Service"/>
    <n v="20307"/>
    <n v="563"/>
    <n v="28"/>
    <n v="783.2"/>
    <n v="3121.13"/>
    <n v="2.77"/>
    <n v="4.97"/>
    <n v="27.97"/>
    <n v="3.99"/>
    <n v="2337.9299999999998"/>
  </r>
  <r>
    <x v="305"/>
    <s v="Affiliate Marketing"/>
    <s v="Flash Sale"/>
    <s v="Enterprise Plan"/>
    <n v="7049"/>
    <n v="341"/>
    <n v="29"/>
    <n v="500.99"/>
    <n v="4033.61"/>
    <n v="4.84"/>
    <n v="8.5"/>
    <n v="17.28"/>
    <n v="8.0500000000000007"/>
    <n v="3532.62"/>
  </r>
  <r>
    <x v="305"/>
    <s v="Referral"/>
    <s v="Brand Awareness"/>
    <s v="Enterprise Plan"/>
    <n v="3500"/>
    <n v="185"/>
    <n v="29"/>
    <n v="137.44"/>
    <n v="3703.34"/>
    <n v="5.29"/>
    <n v="15.68"/>
    <n v="4.74"/>
    <n v="26.95"/>
    <n v="3565.9"/>
  </r>
  <r>
    <x v="306"/>
    <s v="Google Ads"/>
    <s v="Brand Awareness"/>
    <s v="Premium Plan"/>
    <n v="5660"/>
    <n v="254"/>
    <n v="22"/>
    <n v="887.58"/>
    <n v="3232.57"/>
    <n v="4.49"/>
    <n v="8.66"/>
    <n v="40.340000000000003"/>
    <n v="3.64"/>
    <n v="2344.9899999999998"/>
  </r>
  <r>
    <x v="306"/>
    <s v="Facebook Ads"/>
    <s v="Lead Generation"/>
    <s v="Starter Kit"/>
    <n v="12416"/>
    <n v="270"/>
    <n v="14"/>
    <n v="511.68"/>
    <n v="1993.07"/>
    <n v="2.17"/>
    <n v="5.19"/>
    <n v="36.549999999999997"/>
    <n v="3.9"/>
    <n v="1481.39"/>
  </r>
  <r>
    <x v="306"/>
    <s v="Instagram Ads"/>
    <s v="Retargeting"/>
    <s v="Starter Kit"/>
    <n v="11961"/>
    <n v="445"/>
    <n v="20"/>
    <n v="543.33000000000004"/>
    <n v="2013.73"/>
    <n v="3.72"/>
    <n v="4.49"/>
    <n v="27.17"/>
    <n v="3.71"/>
    <n v="1470.4"/>
  </r>
  <r>
    <x v="306"/>
    <s v="LinkedIn Ads"/>
    <s v="Product Launch"/>
    <s v="Starter Kit"/>
    <n v="3135"/>
    <n v="47"/>
    <n v="5"/>
    <n v="867.74"/>
    <n v="1086.58"/>
    <n v="1.5"/>
    <n v="10.64"/>
    <n v="173.55"/>
    <n v="1.25"/>
    <n v="218.84"/>
  </r>
  <r>
    <x v="306"/>
    <s v="Email Marketing"/>
    <s v="Flash Sale"/>
    <s v="Add-on Service"/>
    <n v="10707"/>
    <n v="1693"/>
    <n v="138"/>
    <n v="196.17"/>
    <n v="15935.16"/>
    <n v="15.81"/>
    <n v="8.15"/>
    <n v="1.42"/>
    <n v="81.23"/>
    <n v="15738.99"/>
  </r>
  <r>
    <x v="306"/>
    <s v="Organic Search"/>
    <s v="Lead Generation"/>
    <s v="Starter Kit"/>
    <n v="20487"/>
    <n v="835"/>
    <n v="133"/>
    <n v="0"/>
    <n v="14228.17"/>
    <n v="4.08"/>
    <n v="15.93"/>
    <n v="0"/>
    <n v="0"/>
    <n v="14228.17"/>
  </r>
  <r>
    <x v="306"/>
    <s v="Display Ads"/>
    <s v="Flash Sale"/>
    <s v="Starter Kit"/>
    <n v="24301"/>
    <n v="421"/>
    <n v="17"/>
    <n v="674.81"/>
    <n v="1594.63"/>
    <n v="1.73"/>
    <n v="4.04"/>
    <n v="39.69"/>
    <n v="2.36"/>
    <n v="919.82"/>
  </r>
  <r>
    <x v="306"/>
    <s v="YouTube Ads"/>
    <s v="Retargeting"/>
    <s v="Enterprise Plan"/>
    <n v="12667"/>
    <n v="207"/>
    <n v="15"/>
    <n v="863.28"/>
    <n v="2215.31"/>
    <n v="1.63"/>
    <n v="7.25"/>
    <n v="57.55"/>
    <n v="2.57"/>
    <n v="1352.03"/>
  </r>
  <r>
    <x v="306"/>
    <s v="Twitter Ads"/>
    <s v="Lead Generation"/>
    <s v="Add-on Service"/>
    <n v="8500"/>
    <n v="239"/>
    <n v="7"/>
    <n v="419.46"/>
    <n v="598.19000000000005"/>
    <n v="2.81"/>
    <n v="2.93"/>
    <n v="59.92"/>
    <n v="1.43"/>
    <n v="178.73"/>
  </r>
  <r>
    <x v="306"/>
    <s v="TikTok Ads"/>
    <s v="Retargeting"/>
    <s v="Premium Plan"/>
    <n v="20752"/>
    <n v="819"/>
    <n v="40"/>
    <n v="756.67"/>
    <n v="4608.0200000000004"/>
    <n v="3.95"/>
    <n v="4.88"/>
    <n v="18.920000000000002"/>
    <n v="6.09"/>
    <n v="3851.35"/>
  </r>
  <r>
    <x v="306"/>
    <s v="Affiliate Marketing"/>
    <s v="Product Launch"/>
    <s v="Starter Kit"/>
    <n v="4496"/>
    <n v="223"/>
    <n v="22"/>
    <n v="279.31"/>
    <n v="3008.83"/>
    <n v="4.96"/>
    <n v="9.8699999999999992"/>
    <n v="12.7"/>
    <n v="10.77"/>
    <n v="2729.52"/>
  </r>
  <r>
    <x v="306"/>
    <s v="Referral"/>
    <s v="Retargeting"/>
    <s v="Enterprise Plan"/>
    <n v="3268"/>
    <n v="221"/>
    <n v="32"/>
    <n v="70.209999999999994"/>
    <n v="4578.75"/>
    <n v="6.76"/>
    <n v="14.48"/>
    <n v="2.19"/>
    <n v="65.22"/>
    <n v="4508.54"/>
  </r>
  <r>
    <x v="307"/>
    <s v="Google Ads"/>
    <s v="Seasonal Promotion"/>
    <s v="Premium Plan"/>
    <n v="7409"/>
    <n v="239"/>
    <n v="22"/>
    <n v="609.04"/>
    <n v="2884.08"/>
    <n v="3.23"/>
    <n v="9.2100000000000009"/>
    <n v="27.68"/>
    <n v="4.74"/>
    <n v="2275.04"/>
  </r>
  <r>
    <x v="307"/>
    <s v="Facebook Ads"/>
    <s v="Brand Awareness"/>
    <s v="Add-on Service"/>
    <n v="9118"/>
    <n v="225"/>
    <n v="16"/>
    <n v="643.96"/>
    <n v="1400.27"/>
    <n v="2.4700000000000002"/>
    <n v="7.11"/>
    <n v="40.25"/>
    <n v="2.17"/>
    <n v="756.31"/>
  </r>
  <r>
    <x v="307"/>
    <s v="Instagram Ads"/>
    <s v="Flash Sale"/>
    <s v="Enterprise Plan"/>
    <n v="9804"/>
    <n v="384"/>
    <n v="16"/>
    <n v="400.76"/>
    <n v="1667.8"/>
    <n v="3.92"/>
    <n v="4.17"/>
    <n v="25.05"/>
    <n v="4.16"/>
    <n v="1267.04"/>
  </r>
  <r>
    <x v="307"/>
    <s v="LinkedIn Ads"/>
    <s v="Retargeting"/>
    <s v="Add-on Service"/>
    <n v="2946"/>
    <n v="58"/>
    <n v="7"/>
    <n v="1210"/>
    <n v="2584.63"/>
    <n v="1.97"/>
    <n v="12.07"/>
    <n v="172.86"/>
    <n v="2.14"/>
    <n v="1374.63"/>
  </r>
  <r>
    <x v="307"/>
    <s v="Email Marketing"/>
    <s v="Flash Sale"/>
    <s v="Enterprise Plan"/>
    <n v="14998"/>
    <n v="3115"/>
    <n v="259"/>
    <n v="157.04"/>
    <n v="42623.86"/>
    <n v="20.77"/>
    <n v="8.31"/>
    <n v="0.61"/>
    <n v="271.42"/>
    <n v="42466.82"/>
  </r>
  <r>
    <x v="307"/>
    <s v="Organic Search"/>
    <s v="Product Launch"/>
    <s v="Enterprise Plan"/>
    <n v="17523"/>
    <n v="1213"/>
    <n v="165"/>
    <n v="0"/>
    <n v="23512.36"/>
    <n v="6.92"/>
    <n v="13.6"/>
    <n v="0"/>
    <n v="0"/>
    <n v="23512.36"/>
  </r>
  <r>
    <x v="307"/>
    <s v="Display Ads"/>
    <s v="Product Launch"/>
    <s v="Premium Plan"/>
    <n v="27691"/>
    <n v="305"/>
    <n v="11"/>
    <n v="901.97"/>
    <n v="1164.31"/>
    <n v="1.1000000000000001"/>
    <n v="3.61"/>
    <n v="82"/>
    <n v="1.29"/>
    <n v="262.33999999999997"/>
  </r>
  <r>
    <x v="307"/>
    <s v="YouTube Ads"/>
    <s v="Product Launch"/>
    <s v="Add-on Service"/>
    <n v="11620"/>
    <n v="214"/>
    <n v="14"/>
    <n v="592.41"/>
    <n v="2140.2399999999998"/>
    <n v="1.84"/>
    <n v="6.54"/>
    <n v="42.32"/>
    <n v="3.61"/>
    <n v="1547.83"/>
  </r>
  <r>
    <x v="307"/>
    <s v="Twitter Ads"/>
    <s v="Retargeting"/>
    <s v="Starter Kit"/>
    <n v="7815"/>
    <n v="263"/>
    <n v="13"/>
    <n v="335.89"/>
    <n v="1542.44"/>
    <n v="3.37"/>
    <n v="4.9400000000000004"/>
    <n v="25.84"/>
    <n v="4.59"/>
    <n v="1206.55"/>
  </r>
  <r>
    <x v="307"/>
    <s v="TikTok Ads"/>
    <s v="Flash Sale"/>
    <s v="Basic Plan"/>
    <n v="16417"/>
    <n v="488"/>
    <n v="29"/>
    <n v="479.02"/>
    <n v="2258.62"/>
    <n v="2.97"/>
    <n v="5.94"/>
    <n v="16.52"/>
    <n v="4.72"/>
    <n v="1779.6"/>
  </r>
  <r>
    <x v="307"/>
    <s v="Affiliate Marketing"/>
    <s v="Flash Sale"/>
    <s v="Add-on Service"/>
    <n v="6020"/>
    <n v="359"/>
    <n v="37"/>
    <n v="331.17"/>
    <n v="4534.9399999999996"/>
    <n v="5.96"/>
    <n v="10.31"/>
    <n v="8.9499999999999993"/>
    <n v="13.69"/>
    <n v="4203.7700000000004"/>
  </r>
  <r>
    <x v="307"/>
    <s v="Referral"/>
    <s v="Lead Generation"/>
    <s v="Add-on Service"/>
    <n v="2768"/>
    <n v="161"/>
    <n v="20"/>
    <n v="59.22"/>
    <n v="3144.8"/>
    <n v="5.82"/>
    <n v="12.42"/>
    <n v="2.96"/>
    <n v="53.1"/>
    <n v="3085.58"/>
  </r>
  <r>
    <x v="308"/>
    <s v="Google Ads"/>
    <s v="Product Launch"/>
    <s v="Basic Plan"/>
    <n v="13053"/>
    <n v="530"/>
    <n v="62"/>
    <n v="910.85"/>
    <n v="9911.48"/>
    <n v="4.0599999999999996"/>
    <n v="11.7"/>
    <n v="14.69"/>
    <n v="10.88"/>
    <n v="9000.6299999999992"/>
  </r>
  <r>
    <x v="308"/>
    <s v="Facebook Ads"/>
    <s v="Product Launch"/>
    <s v="Add-on Service"/>
    <n v="13813"/>
    <n v="421"/>
    <n v="26"/>
    <n v="938.31"/>
    <n v="3219.32"/>
    <n v="3.05"/>
    <n v="6.18"/>
    <n v="36.090000000000003"/>
    <n v="3.43"/>
    <n v="2281.0100000000002"/>
  </r>
  <r>
    <x v="308"/>
    <s v="Instagram Ads"/>
    <s v="Brand Awareness"/>
    <s v="Premium Plan"/>
    <n v="16018"/>
    <n v="646"/>
    <n v="38"/>
    <n v="801.33"/>
    <n v="3436.29"/>
    <n v="4.03"/>
    <n v="5.88"/>
    <n v="21.09"/>
    <n v="4.29"/>
    <n v="2634.96"/>
  </r>
  <r>
    <x v="308"/>
    <s v="LinkedIn Ads"/>
    <s v="Brand Awareness"/>
    <s v="Premium Plan"/>
    <n v="4485"/>
    <n v="113"/>
    <n v="12"/>
    <n v="947.68"/>
    <n v="2928.4"/>
    <n v="2.52"/>
    <n v="10.62"/>
    <n v="78.97"/>
    <n v="3.09"/>
    <n v="1980.72"/>
  </r>
  <r>
    <x v="308"/>
    <s v="Email Marketing"/>
    <s v="Retargeting"/>
    <s v="Premium Plan"/>
    <n v="19177"/>
    <n v="4634"/>
    <n v="502"/>
    <n v="148.53"/>
    <n v="68121.78"/>
    <n v="24.16"/>
    <n v="10.83"/>
    <n v="0.3"/>
    <n v="458.64"/>
    <n v="67973.25"/>
  </r>
  <r>
    <x v="308"/>
    <s v="Organic Search"/>
    <s v="Seasonal Promotion"/>
    <s v="Premium Plan"/>
    <n v="34188"/>
    <n v="2518"/>
    <n v="317"/>
    <n v="0"/>
    <n v="31830.65"/>
    <n v="7.37"/>
    <n v="12.59"/>
    <n v="0"/>
    <n v="0"/>
    <n v="31830.65"/>
  </r>
  <r>
    <x v="308"/>
    <s v="Display Ads"/>
    <s v="Flash Sale"/>
    <s v="Starter Kit"/>
    <n v="25114"/>
    <n v="312"/>
    <n v="6"/>
    <n v="1025.26"/>
    <n v="579.44000000000005"/>
    <n v="1.24"/>
    <n v="1.92"/>
    <n v="170.88"/>
    <n v="0.56999999999999995"/>
    <n v="-445.82"/>
  </r>
  <r>
    <x v="308"/>
    <s v="YouTube Ads"/>
    <s v="Product Launch"/>
    <s v="Basic Plan"/>
    <n v="16799"/>
    <n v="316"/>
    <n v="22"/>
    <n v="947.3"/>
    <n v="2232.83"/>
    <n v="1.88"/>
    <n v="6.96"/>
    <n v="43.06"/>
    <n v="2.36"/>
    <n v="1285.53"/>
  </r>
  <r>
    <x v="308"/>
    <s v="Twitter Ads"/>
    <s v="Flash Sale"/>
    <s v="Enterprise Plan"/>
    <n v="9490"/>
    <n v="287"/>
    <n v="13"/>
    <n v="466.19"/>
    <n v="1153.6400000000001"/>
    <n v="3.02"/>
    <n v="4.53"/>
    <n v="35.86"/>
    <n v="2.4700000000000002"/>
    <n v="687.45"/>
  </r>
  <r>
    <x v="308"/>
    <s v="TikTok Ads"/>
    <s v="Product Launch"/>
    <s v="Basic Plan"/>
    <n v="23255"/>
    <n v="633"/>
    <n v="24"/>
    <n v="873.16"/>
    <n v="2004.46"/>
    <n v="2.72"/>
    <n v="3.79"/>
    <n v="36.380000000000003"/>
    <n v="2.2999999999999998"/>
    <n v="1131.3"/>
  </r>
  <r>
    <x v="308"/>
    <s v="Affiliate Marketing"/>
    <s v="Brand Awareness"/>
    <s v="Premium Plan"/>
    <n v="7337"/>
    <n v="441"/>
    <n v="47"/>
    <n v="534.73"/>
    <n v="6066.02"/>
    <n v="6.01"/>
    <n v="10.66"/>
    <n v="11.38"/>
    <n v="11.34"/>
    <n v="5531.29"/>
  </r>
  <r>
    <x v="308"/>
    <s v="Referral"/>
    <s v="Seasonal Promotion"/>
    <s v="Premium Plan"/>
    <n v="3534"/>
    <n v="176"/>
    <n v="21"/>
    <n v="51.6"/>
    <n v="3326.65"/>
    <n v="4.9800000000000004"/>
    <n v="11.93"/>
    <n v="2.46"/>
    <n v="64.47"/>
    <n v="3275.05"/>
  </r>
  <r>
    <x v="309"/>
    <s v="Google Ads"/>
    <s v="Brand Awareness"/>
    <s v="Add-on Service"/>
    <n v="10456"/>
    <n v="339"/>
    <n v="37"/>
    <n v="1254.42"/>
    <n v="5262.29"/>
    <n v="3.24"/>
    <n v="10.91"/>
    <n v="33.9"/>
    <n v="4.1900000000000004"/>
    <n v="4007.87"/>
  </r>
  <r>
    <x v="309"/>
    <s v="Facebook Ads"/>
    <s v="Flash Sale"/>
    <s v="Basic Plan"/>
    <n v="13602"/>
    <n v="351"/>
    <n v="18"/>
    <n v="724.84"/>
    <n v="1808.62"/>
    <n v="2.58"/>
    <n v="5.13"/>
    <n v="40.270000000000003"/>
    <n v="2.5"/>
    <n v="1083.78"/>
  </r>
  <r>
    <x v="309"/>
    <s v="Instagram Ads"/>
    <s v="Seasonal Promotion"/>
    <s v="Premium Plan"/>
    <n v="13112"/>
    <n v="586"/>
    <n v="35"/>
    <n v="993.67"/>
    <n v="3455.76"/>
    <n v="4.47"/>
    <n v="5.97"/>
    <n v="28.39"/>
    <n v="3.48"/>
    <n v="2462.09"/>
  </r>
  <r>
    <x v="309"/>
    <s v="LinkedIn Ads"/>
    <s v="Flash Sale"/>
    <s v="Premium Plan"/>
    <n v="3182"/>
    <n v="86"/>
    <n v="12"/>
    <n v="1307.9000000000001"/>
    <n v="2656.66"/>
    <n v="2.7"/>
    <n v="13.95"/>
    <n v="108.99"/>
    <n v="2.0299999999999998"/>
    <n v="1348.76"/>
  </r>
  <r>
    <x v="309"/>
    <s v="Email Marketing"/>
    <s v="Brand Awareness"/>
    <s v="Add-on Service"/>
    <n v="15008"/>
    <n v="3695"/>
    <n v="495"/>
    <n v="293.64999999999998"/>
    <n v="83450.8"/>
    <n v="24.62"/>
    <n v="13.4"/>
    <n v="0.59"/>
    <n v="284.18"/>
    <n v="83157.149999999994"/>
  </r>
  <r>
    <x v="309"/>
    <s v="Organic Search"/>
    <s v="Lead Generation"/>
    <s v="Starter Kit"/>
    <n v="21551"/>
    <n v="1626"/>
    <n v="183"/>
    <n v="0"/>
    <n v="27245.49"/>
    <n v="7.54"/>
    <n v="11.25"/>
    <n v="0"/>
    <n v="0"/>
    <n v="27245.49"/>
  </r>
  <r>
    <x v="309"/>
    <s v="Display Ads"/>
    <s v="Flash Sale"/>
    <s v="Add-on Service"/>
    <n v="34242"/>
    <n v="523"/>
    <n v="15"/>
    <n v="764.78"/>
    <n v="1321.98"/>
    <n v="1.53"/>
    <n v="2.87"/>
    <n v="50.99"/>
    <n v="1.73"/>
    <n v="557.20000000000005"/>
  </r>
  <r>
    <x v="309"/>
    <s v="YouTube Ads"/>
    <s v="Lead Generation"/>
    <s v="Premium Plan"/>
    <n v="22363"/>
    <n v="500"/>
    <n v="32"/>
    <n v="1321.58"/>
    <n v="4206.7"/>
    <n v="2.2400000000000002"/>
    <n v="6.4"/>
    <n v="41.3"/>
    <n v="3.18"/>
    <n v="2885.12"/>
  </r>
  <r>
    <x v="309"/>
    <s v="Twitter Ads"/>
    <s v="Flash Sale"/>
    <s v="Basic Plan"/>
    <n v="10575"/>
    <n v="258"/>
    <n v="9"/>
    <n v="557.29999999999995"/>
    <n v="840.27"/>
    <n v="2.44"/>
    <n v="3.49"/>
    <n v="61.92"/>
    <n v="1.51"/>
    <n v="282.97000000000003"/>
  </r>
  <r>
    <x v="309"/>
    <s v="TikTok Ads"/>
    <s v="Product Launch"/>
    <s v="Enterprise Plan"/>
    <n v="19577"/>
    <n v="819"/>
    <n v="38"/>
    <n v="1038.3699999999999"/>
    <n v="3287.62"/>
    <n v="4.18"/>
    <n v="4.6399999999999997"/>
    <n v="27.33"/>
    <n v="3.17"/>
    <n v="2249.25"/>
  </r>
  <r>
    <x v="309"/>
    <s v="Affiliate Marketing"/>
    <s v="Retargeting"/>
    <s v="Premium Plan"/>
    <n v="7188"/>
    <n v="329"/>
    <n v="26"/>
    <n v="378.17"/>
    <n v="2882.51"/>
    <n v="4.58"/>
    <n v="7.9"/>
    <n v="14.54"/>
    <n v="7.62"/>
    <n v="2504.34"/>
  </r>
  <r>
    <x v="309"/>
    <s v="Referral"/>
    <s v="Flash Sale"/>
    <s v="Starter Kit"/>
    <n v="3115"/>
    <n v="201"/>
    <n v="32"/>
    <n v="150.22"/>
    <n v="4600.53"/>
    <n v="6.45"/>
    <n v="15.92"/>
    <n v="4.6900000000000004"/>
    <n v="30.63"/>
    <n v="4450.3100000000004"/>
  </r>
  <r>
    <x v="310"/>
    <s v="Google Ads"/>
    <s v="Product Launch"/>
    <s v="Starter Kit"/>
    <n v="14589"/>
    <n v="645"/>
    <n v="71"/>
    <n v="1408.87"/>
    <n v="10823.93"/>
    <n v="4.42"/>
    <n v="11.01"/>
    <n v="19.84"/>
    <n v="7.68"/>
    <n v="9415.06"/>
  </r>
  <r>
    <x v="310"/>
    <s v="Facebook Ads"/>
    <s v="Flash Sale"/>
    <s v="Enterprise Plan"/>
    <n v="15776"/>
    <n v="582"/>
    <n v="51"/>
    <n v="1171.4100000000001"/>
    <n v="6073.98"/>
    <n v="3.69"/>
    <n v="8.76"/>
    <n v="22.97"/>
    <n v="5.19"/>
    <n v="4902.57"/>
  </r>
  <r>
    <x v="310"/>
    <s v="Instagram Ads"/>
    <s v="Product Launch"/>
    <s v="Basic Plan"/>
    <n v="13571"/>
    <n v="606"/>
    <n v="46"/>
    <n v="793.38"/>
    <n v="4210.24"/>
    <n v="4.47"/>
    <n v="7.59"/>
    <n v="17.25"/>
    <n v="5.31"/>
    <n v="3416.86"/>
  </r>
  <r>
    <x v="310"/>
    <s v="LinkedIn Ads"/>
    <s v="Brand Awareness"/>
    <s v="Enterprise Plan"/>
    <n v="4916"/>
    <n v="99"/>
    <n v="11"/>
    <n v="1704.05"/>
    <n v="2292.5300000000002"/>
    <n v="2.0099999999999998"/>
    <n v="11.11"/>
    <n v="154.91"/>
    <n v="1.35"/>
    <n v="588.48"/>
  </r>
  <r>
    <x v="310"/>
    <s v="Email Marketing"/>
    <s v="Brand Awareness"/>
    <s v="Starter Kit"/>
    <n v="21505"/>
    <n v="4946"/>
    <n v="611"/>
    <n v="285.20999999999998"/>
    <n v="77411.520000000004"/>
    <n v="23"/>
    <n v="12.35"/>
    <n v="0.47"/>
    <n v="271.42"/>
    <n v="77126.31"/>
  </r>
  <r>
    <x v="310"/>
    <s v="Organic Search"/>
    <s v="Retargeting"/>
    <s v="Enterprise Plan"/>
    <n v="32203"/>
    <n v="2392"/>
    <n v="380"/>
    <n v="0"/>
    <n v="60263.66"/>
    <n v="7.43"/>
    <n v="15.89"/>
    <n v="0"/>
    <n v="0"/>
    <n v="60263.66"/>
  </r>
  <r>
    <x v="310"/>
    <s v="Display Ads"/>
    <s v="Brand Awareness"/>
    <s v="Enterprise Plan"/>
    <n v="33652"/>
    <n v="466"/>
    <n v="14"/>
    <n v="717.43"/>
    <n v="1131.74"/>
    <n v="1.38"/>
    <n v="3"/>
    <n v="51.24"/>
    <n v="1.58"/>
    <n v="414.31"/>
  </r>
  <r>
    <x v="310"/>
    <s v="YouTube Ads"/>
    <s v="Product Launch"/>
    <s v="Basic Plan"/>
    <n v="16899"/>
    <n v="381"/>
    <n v="20"/>
    <n v="1202.71"/>
    <n v="2698.71"/>
    <n v="2.25"/>
    <n v="5.25"/>
    <n v="60.14"/>
    <n v="2.2400000000000002"/>
    <n v="1496"/>
  </r>
  <r>
    <x v="310"/>
    <s v="Twitter Ads"/>
    <s v="Retargeting"/>
    <s v="Premium Plan"/>
    <n v="12782"/>
    <n v="333"/>
    <n v="14"/>
    <n v="594.87"/>
    <n v="1611.2"/>
    <n v="2.61"/>
    <n v="4.2"/>
    <n v="42.49"/>
    <n v="2.71"/>
    <n v="1016.33"/>
  </r>
  <r>
    <x v="310"/>
    <s v="TikTok Ads"/>
    <s v="Retargeting"/>
    <s v="Basic Plan"/>
    <n v="18953"/>
    <n v="592"/>
    <n v="25"/>
    <n v="1087.57"/>
    <n v="2854.55"/>
    <n v="3.12"/>
    <n v="4.22"/>
    <n v="43.5"/>
    <n v="2.62"/>
    <n v="1766.98"/>
  </r>
  <r>
    <x v="310"/>
    <s v="Affiliate Marketing"/>
    <s v="Seasonal Promotion"/>
    <s v="Starter Kit"/>
    <n v="9714"/>
    <n v="490"/>
    <n v="47"/>
    <n v="445.32"/>
    <n v="5654.93"/>
    <n v="5.04"/>
    <n v="9.59"/>
    <n v="9.4700000000000006"/>
    <n v="12.7"/>
    <n v="5209.6099999999997"/>
  </r>
  <r>
    <x v="310"/>
    <s v="Referral"/>
    <s v="Lead Generation"/>
    <s v="Starter Kit"/>
    <n v="3528"/>
    <n v="192"/>
    <n v="28"/>
    <n v="80.48"/>
    <n v="3611.37"/>
    <n v="5.44"/>
    <n v="14.58"/>
    <n v="2.87"/>
    <n v="44.87"/>
    <n v="3530.89"/>
  </r>
  <r>
    <x v="311"/>
    <s v="Google Ads"/>
    <s v="Brand Awareness"/>
    <s v="Basic Plan"/>
    <n v="9545"/>
    <n v="441"/>
    <n v="45"/>
    <n v="1044.48"/>
    <n v="7592.74"/>
    <n v="4.62"/>
    <n v="10.199999999999999"/>
    <n v="23.21"/>
    <n v="7.27"/>
    <n v="6548.26"/>
  </r>
  <r>
    <x v="311"/>
    <s v="Facebook Ads"/>
    <s v="Seasonal Promotion"/>
    <s v="Starter Kit"/>
    <n v="17740"/>
    <n v="587"/>
    <n v="50"/>
    <n v="1148.8499999999999"/>
    <n v="5127.34"/>
    <n v="3.31"/>
    <n v="8.52"/>
    <n v="22.98"/>
    <n v="4.46"/>
    <n v="3978.49"/>
  </r>
  <r>
    <x v="311"/>
    <s v="Instagram Ads"/>
    <s v="Lead Generation"/>
    <s v="Add-on Service"/>
    <n v="10594"/>
    <n v="308"/>
    <n v="23"/>
    <n v="873.69"/>
    <n v="2428.2199999999998"/>
    <n v="2.91"/>
    <n v="7.47"/>
    <n v="37.99"/>
    <n v="2.78"/>
    <n v="1554.53"/>
  </r>
  <r>
    <x v="311"/>
    <s v="LinkedIn Ads"/>
    <s v="Flash Sale"/>
    <s v="Premium Plan"/>
    <n v="3599"/>
    <n v="54"/>
    <n v="6"/>
    <n v="1704.37"/>
    <n v="1671.42"/>
    <n v="1.5"/>
    <n v="11.11"/>
    <n v="284.06"/>
    <n v="0.98"/>
    <n v="-32.950000000000003"/>
  </r>
  <r>
    <x v="311"/>
    <s v="Email Marketing"/>
    <s v="Retargeting"/>
    <s v="Enterprise Plan"/>
    <n v="21536"/>
    <n v="4942"/>
    <n v="473"/>
    <n v="271.43"/>
    <n v="61379.37"/>
    <n v="22.95"/>
    <n v="9.57"/>
    <n v="0.56999999999999995"/>
    <n v="226.13"/>
    <n v="61107.94"/>
  </r>
  <r>
    <x v="311"/>
    <s v="Organic Search"/>
    <s v="Brand Awareness"/>
    <s v="Premium Plan"/>
    <n v="21704"/>
    <n v="879"/>
    <n v="91"/>
    <n v="0"/>
    <n v="11929.96"/>
    <n v="4.05"/>
    <n v="10.35"/>
    <n v="0"/>
    <n v="0"/>
    <n v="11929.96"/>
  </r>
  <r>
    <x v="311"/>
    <s v="Display Ads"/>
    <s v="Brand Awareness"/>
    <s v="Premium Plan"/>
    <n v="25916"/>
    <n v="309"/>
    <n v="12"/>
    <n v="1055.53"/>
    <n v="1299.29"/>
    <n v="1.19"/>
    <n v="3.88"/>
    <n v="87.96"/>
    <n v="1.23"/>
    <n v="243.76"/>
  </r>
  <r>
    <x v="311"/>
    <s v="YouTube Ads"/>
    <s v="Seasonal Promotion"/>
    <s v="Enterprise Plan"/>
    <n v="21812"/>
    <n v="518"/>
    <n v="32"/>
    <n v="867.48"/>
    <n v="3681.88"/>
    <n v="2.37"/>
    <n v="6.18"/>
    <n v="27.11"/>
    <n v="4.24"/>
    <n v="2814.4"/>
  </r>
  <r>
    <x v="311"/>
    <s v="Twitter Ads"/>
    <s v="Retargeting"/>
    <s v="Premium Plan"/>
    <n v="8696"/>
    <n v="209"/>
    <n v="8"/>
    <n v="407.96"/>
    <n v="775.36"/>
    <n v="2.4"/>
    <n v="3.83"/>
    <n v="51"/>
    <n v="1.9"/>
    <n v="367.4"/>
  </r>
  <r>
    <x v="311"/>
    <s v="TikTok Ads"/>
    <s v="Retargeting"/>
    <s v="Basic Plan"/>
    <n v="19824"/>
    <n v="730"/>
    <n v="39"/>
    <n v="1013.26"/>
    <n v="3320.48"/>
    <n v="3.68"/>
    <n v="5.34"/>
    <n v="25.98"/>
    <n v="3.28"/>
    <n v="2307.2199999999998"/>
  </r>
  <r>
    <x v="311"/>
    <s v="Affiliate Marketing"/>
    <s v="Flash Sale"/>
    <s v="Premium Plan"/>
    <n v="7375"/>
    <n v="384"/>
    <n v="40"/>
    <n v="312.39"/>
    <n v="5195.93"/>
    <n v="5.21"/>
    <n v="10.42"/>
    <n v="7.81"/>
    <n v="16.63"/>
    <n v="4883.54"/>
  </r>
  <r>
    <x v="311"/>
    <s v="Referral"/>
    <s v="Brand Awareness"/>
    <s v="Starter Kit"/>
    <n v="4172"/>
    <n v="320"/>
    <n v="49"/>
    <n v="167.52"/>
    <n v="8617.69"/>
    <n v="7.67"/>
    <n v="15.31"/>
    <n v="3.42"/>
    <n v="51.44"/>
    <n v="8450.17"/>
  </r>
  <r>
    <x v="312"/>
    <s v="Google Ads"/>
    <s v="Product Launch"/>
    <s v="Basic Plan"/>
    <n v="12474"/>
    <n v="527"/>
    <n v="45"/>
    <n v="1104.8900000000001"/>
    <n v="8378.94"/>
    <n v="4.22"/>
    <n v="8.5399999999999991"/>
    <n v="24.55"/>
    <n v="7.58"/>
    <n v="7274.05"/>
  </r>
  <r>
    <x v="312"/>
    <s v="Facebook Ads"/>
    <s v="Flash Sale"/>
    <s v="Enterprise Plan"/>
    <n v="17732"/>
    <n v="431"/>
    <n v="26"/>
    <n v="762.22"/>
    <n v="2411.56"/>
    <n v="2.4300000000000002"/>
    <n v="6.03"/>
    <n v="29.32"/>
    <n v="3.16"/>
    <n v="1649.34"/>
  </r>
  <r>
    <x v="312"/>
    <s v="Instagram Ads"/>
    <s v="Retargeting"/>
    <s v="Add-on Service"/>
    <n v="14368"/>
    <n v="621"/>
    <n v="35"/>
    <n v="543.77"/>
    <n v="3340.66"/>
    <n v="4.32"/>
    <n v="5.64"/>
    <n v="15.54"/>
    <n v="6.14"/>
    <n v="2796.89"/>
  </r>
  <r>
    <x v="312"/>
    <s v="LinkedIn Ads"/>
    <s v="Brand Awareness"/>
    <s v="Add-on Service"/>
    <n v="5383"/>
    <n v="103"/>
    <n v="13"/>
    <n v="1642.32"/>
    <n v="4214.7700000000004"/>
    <n v="1.91"/>
    <n v="12.62"/>
    <n v="126.33"/>
    <n v="2.57"/>
    <n v="2572.4499999999998"/>
  </r>
  <r>
    <x v="312"/>
    <s v="Email Marketing"/>
    <s v="Flash Sale"/>
    <s v="Starter Kit"/>
    <n v="19039"/>
    <n v="3301"/>
    <n v="353"/>
    <n v="159.02000000000001"/>
    <n v="55242.26"/>
    <n v="17.34"/>
    <n v="10.69"/>
    <n v="0.45"/>
    <n v="347.39"/>
    <n v="55083.24"/>
  </r>
  <r>
    <x v="312"/>
    <s v="Organic Search"/>
    <s v="Retargeting"/>
    <s v="Starter Kit"/>
    <n v="30442"/>
    <n v="1378"/>
    <n v="182"/>
    <n v="0"/>
    <n v="16512.47"/>
    <n v="4.53"/>
    <n v="13.21"/>
    <n v="0"/>
    <n v="0"/>
    <n v="16512.47"/>
  </r>
  <r>
    <x v="312"/>
    <s v="Display Ads"/>
    <s v="Retargeting"/>
    <s v="Premium Plan"/>
    <n v="30218"/>
    <n v="568"/>
    <n v="19"/>
    <n v="1149.9100000000001"/>
    <n v="2215.1999999999998"/>
    <n v="1.88"/>
    <n v="3.35"/>
    <n v="60.52"/>
    <n v="1.93"/>
    <n v="1065.29"/>
  </r>
  <r>
    <x v="312"/>
    <s v="YouTube Ads"/>
    <s v="Seasonal Promotion"/>
    <s v="Basic Plan"/>
    <n v="20200"/>
    <n v="372"/>
    <n v="24"/>
    <n v="1169.0999999999999"/>
    <n v="2794.56"/>
    <n v="1.84"/>
    <n v="6.45"/>
    <n v="48.71"/>
    <n v="2.39"/>
    <n v="1625.46"/>
  </r>
  <r>
    <x v="312"/>
    <s v="Twitter Ads"/>
    <s v="Brand Awareness"/>
    <s v="Starter Kit"/>
    <n v="8043"/>
    <n v="274"/>
    <n v="15"/>
    <n v="449.29"/>
    <n v="1668.14"/>
    <n v="3.41"/>
    <n v="5.47"/>
    <n v="29.95"/>
    <n v="3.71"/>
    <n v="1218.8499999999999"/>
  </r>
  <r>
    <x v="312"/>
    <s v="TikTok Ads"/>
    <s v="Flash Sale"/>
    <s v="Starter Kit"/>
    <n v="24792"/>
    <n v="873"/>
    <n v="38"/>
    <n v="630.79"/>
    <n v="4335.07"/>
    <n v="3.52"/>
    <n v="4.3499999999999996"/>
    <n v="16.600000000000001"/>
    <n v="6.87"/>
    <n v="3704.28"/>
  </r>
  <r>
    <x v="312"/>
    <s v="Affiliate Marketing"/>
    <s v="Brand Awareness"/>
    <s v="Add-on Service"/>
    <n v="6603"/>
    <n v="368"/>
    <n v="29"/>
    <n v="588.75"/>
    <n v="4481.1899999999996"/>
    <n v="5.57"/>
    <n v="7.88"/>
    <n v="20.3"/>
    <n v="7.61"/>
    <n v="3892.44"/>
  </r>
  <r>
    <x v="312"/>
    <s v="Referral"/>
    <s v="Seasonal Promotion"/>
    <s v="Enterprise Plan"/>
    <n v="6014"/>
    <n v="388"/>
    <n v="67"/>
    <n v="174.12"/>
    <n v="8720.7000000000007"/>
    <n v="6.45"/>
    <n v="17.27"/>
    <n v="2.6"/>
    <n v="50.08"/>
    <n v="8546.58"/>
  </r>
  <r>
    <x v="313"/>
    <s v="Google Ads"/>
    <s v="Product Launch"/>
    <s v="Enterprise Plan"/>
    <n v="7056"/>
    <n v="273"/>
    <n v="24"/>
    <n v="654.84"/>
    <n v="4209.93"/>
    <n v="3.87"/>
    <n v="8.7899999999999991"/>
    <n v="27.28"/>
    <n v="6.43"/>
    <n v="3555.09"/>
  </r>
  <r>
    <x v="313"/>
    <s v="Facebook Ads"/>
    <s v="Retargeting"/>
    <s v="Premium Plan"/>
    <n v="10799"/>
    <n v="236"/>
    <n v="16"/>
    <n v="464.62"/>
    <n v="1971.74"/>
    <n v="2.19"/>
    <n v="6.78"/>
    <n v="29.04"/>
    <n v="4.24"/>
    <n v="1507.12"/>
  </r>
  <r>
    <x v="313"/>
    <s v="Instagram Ads"/>
    <s v="Flash Sale"/>
    <s v="Premium Plan"/>
    <n v="11930"/>
    <n v="356"/>
    <n v="22"/>
    <n v="576.22"/>
    <n v="2674.71"/>
    <n v="2.98"/>
    <n v="6.18"/>
    <n v="26.19"/>
    <n v="4.6399999999999997"/>
    <n v="2098.4899999999998"/>
  </r>
  <r>
    <x v="313"/>
    <s v="LinkedIn Ads"/>
    <s v="Product Launch"/>
    <s v="Add-on Service"/>
    <n v="3265"/>
    <n v="89"/>
    <n v="11"/>
    <n v="980.82"/>
    <n v="2999.78"/>
    <n v="2.73"/>
    <n v="12.36"/>
    <n v="89.17"/>
    <n v="3.06"/>
    <n v="2018.96"/>
  </r>
  <r>
    <x v="313"/>
    <s v="Email Marketing"/>
    <s v="Product Launch"/>
    <s v="Premium Plan"/>
    <n v="11989"/>
    <n v="2305"/>
    <n v="220"/>
    <n v="148.30000000000001"/>
    <n v="32975.31"/>
    <n v="19.23"/>
    <n v="9.5399999999999991"/>
    <n v="0.67"/>
    <n v="222.36"/>
    <n v="32827.01"/>
  </r>
  <r>
    <x v="313"/>
    <s v="Organic Search"/>
    <s v="Retargeting"/>
    <s v="Enterprise Plan"/>
    <n v="19774"/>
    <n v="1445"/>
    <n v="158"/>
    <n v="0"/>
    <n v="21446.75"/>
    <n v="7.31"/>
    <n v="10.93"/>
    <n v="0"/>
    <n v="0"/>
    <n v="21446.75"/>
  </r>
  <r>
    <x v="313"/>
    <s v="Display Ads"/>
    <s v="Flash Sale"/>
    <s v="Basic Plan"/>
    <n v="25596"/>
    <n v="439"/>
    <n v="18"/>
    <n v="521.49"/>
    <n v="1777.39"/>
    <n v="1.72"/>
    <n v="4.0999999999999996"/>
    <n v="28.97"/>
    <n v="3.41"/>
    <n v="1255.9000000000001"/>
  </r>
  <r>
    <x v="313"/>
    <s v="YouTube Ads"/>
    <s v="Lead Generation"/>
    <s v="Add-on Service"/>
    <n v="14640"/>
    <n v="270"/>
    <n v="16"/>
    <n v="654.39"/>
    <n v="1546.33"/>
    <n v="1.84"/>
    <n v="5.93"/>
    <n v="40.9"/>
    <n v="2.36"/>
    <n v="891.94"/>
  </r>
  <r>
    <x v="313"/>
    <s v="Twitter Ads"/>
    <s v="Brand Awareness"/>
    <s v="Starter Kit"/>
    <n v="5660"/>
    <n v="180"/>
    <n v="9"/>
    <n v="424.19"/>
    <n v="752.46"/>
    <n v="3.18"/>
    <n v="5"/>
    <n v="47.13"/>
    <n v="1.77"/>
    <n v="328.27"/>
  </r>
  <r>
    <x v="313"/>
    <s v="TikTok Ads"/>
    <s v="Flash Sale"/>
    <s v="Basic Plan"/>
    <n v="19201"/>
    <n v="667"/>
    <n v="44"/>
    <n v="765.84"/>
    <n v="3361.14"/>
    <n v="3.47"/>
    <n v="6.6"/>
    <n v="17.41"/>
    <n v="4.3899999999999997"/>
    <n v="2595.3000000000002"/>
  </r>
  <r>
    <x v="313"/>
    <s v="Affiliate Marketing"/>
    <s v="Product Launch"/>
    <s v="Starter Kit"/>
    <n v="5373"/>
    <n v="267"/>
    <n v="32"/>
    <n v="397.25"/>
    <n v="4196.97"/>
    <n v="4.97"/>
    <n v="11.99"/>
    <n v="12.41"/>
    <n v="10.57"/>
    <n v="3799.72"/>
  </r>
  <r>
    <x v="313"/>
    <s v="Referral"/>
    <s v="Brand Awareness"/>
    <s v="Enterprise Plan"/>
    <n v="4477"/>
    <n v="437"/>
    <n v="58"/>
    <n v="61.05"/>
    <n v="7879.94"/>
    <n v="9.76"/>
    <n v="13.27"/>
    <n v="1.05"/>
    <n v="129.07"/>
    <n v="7818.89"/>
  </r>
  <r>
    <x v="314"/>
    <s v="Google Ads"/>
    <s v="Retargeting"/>
    <s v="Premium Plan"/>
    <n v="8701"/>
    <n v="312"/>
    <n v="32"/>
    <n v="654.37"/>
    <n v="4294.59"/>
    <n v="3.59"/>
    <n v="10.26"/>
    <n v="20.45"/>
    <n v="6.56"/>
    <n v="3640.22"/>
  </r>
  <r>
    <x v="314"/>
    <s v="Facebook Ads"/>
    <s v="Flash Sale"/>
    <s v="Starter Kit"/>
    <n v="8689"/>
    <n v="338"/>
    <n v="28"/>
    <n v="464.23"/>
    <n v="3666.72"/>
    <n v="3.89"/>
    <n v="8.2799999999999994"/>
    <n v="16.579999999999998"/>
    <n v="7.9"/>
    <n v="3202.49"/>
  </r>
  <r>
    <x v="314"/>
    <s v="Instagram Ads"/>
    <s v="Flash Sale"/>
    <s v="Basic Plan"/>
    <n v="11804"/>
    <n v="503"/>
    <n v="37"/>
    <n v="506.94"/>
    <n v="3401.84"/>
    <n v="4.26"/>
    <n v="7.36"/>
    <n v="13.7"/>
    <n v="6.71"/>
    <n v="2894.9"/>
  </r>
  <r>
    <x v="314"/>
    <s v="LinkedIn Ads"/>
    <s v="Lead Generation"/>
    <s v="Premium Plan"/>
    <n v="2867"/>
    <n v="65"/>
    <n v="7"/>
    <n v="897.56"/>
    <n v="1874.31"/>
    <n v="2.27"/>
    <n v="10.77"/>
    <n v="128.22"/>
    <n v="2.09"/>
    <n v="976.75"/>
  </r>
  <r>
    <x v="314"/>
    <s v="Email Marketing"/>
    <s v="Lead Generation"/>
    <s v="Premium Plan"/>
    <n v="14571"/>
    <n v="2636"/>
    <n v="260"/>
    <n v="119.08"/>
    <n v="28598.89"/>
    <n v="18.09"/>
    <n v="9.86"/>
    <n v="0.46"/>
    <n v="240.17"/>
    <n v="28479.81"/>
  </r>
  <r>
    <x v="314"/>
    <s v="Organic Search"/>
    <s v="Flash Sale"/>
    <s v="Add-on Service"/>
    <n v="17863"/>
    <n v="1243"/>
    <n v="182"/>
    <n v="0"/>
    <n v="24031.11"/>
    <n v="6.96"/>
    <n v="14.64"/>
    <n v="0"/>
    <n v="0"/>
    <n v="24031.11"/>
  </r>
  <r>
    <x v="314"/>
    <s v="Display Ads"/>
    <s v="Lead Generation"/>
    <s v="Starter Kit"/>
    <n v="20965"/>
    <n v="214"/>
    <n v="4"/>
    <n v="790.14"/>
    <n v="397.82"/>
    <n v="1.02"/>
    <n v="1.87"/>
    <n v="197.54"/>
    <n v="0.5"/>
    <n v="-392.32"/>
  </r>
  <r>
    <x v="314"/>
    <s v="YouTube Ads"/>
    <s v="Retargeting"/>
    <s v="Premium Plan"/>
    <n v="15059"/>
    <n v="319"/>
    <n v="13"/>
    <n v="738.89"/>
    <n v="1744.22"/>
    <n v="2.12"/>
    <n v="4.08"/>
    <n v="56.84"/>
    <n v="2.36"/>
    <n v="1005.33"/>
  </r>
  <r>
    <x v="314"/>
    <s v="Twitter Ads"/>
    <s v="Seasonal Promotion"/>
    <s v="Enterprise Plan"/>
    <n v="9364"/>
    <n v="278"/>
    <n v="8"/>
    <n v="447.82"/>
    <n v="700.33"/>
    <n v="2.97"/>
    <n v="2.88"/>
    <n v="55.98"/>
    <n v="1.56"/>
    <n v="252.51"/>
  </r>
  <r>
    <x v="314"/>
    <s v="TikTok Ads"/>
    <s v="Retargeting"/>
    <s v="Add-on Service"/>
    <n v="17240"/>
    <n v="609"/>
    <n v="20"/>
    <n v="545.69000000000005"/>
    <n v="2218.5"/>
    <n v="3.53"/>
    <n v="3.28"/>
    <n v="27.28"/>
    <n v="4.07"/>
    <n v="1672.81"/>
  </r>
  <r>
    <x v="314"/>
    <s v="Affiliate Marketing"/>
    <s v="Retargeting"/>
    <s v="Premium Plan"/>
    <n v="6293"/>
    <n v="287"/>
    <n v="24"/>
    <n v="373.1"/>
    <n v="3499.55"/>
    <n v="4.5599999999999996"/>
    <n v="8.36"/>
    <n v="15.55"/>
    <n v="9.3800000000000008"/>
    <n v="3126.45"/>
  </r>
  <r>
    <x v="314"/>
    <s v="Referral"/>
    <s v="Brand Awareness"/>
    <s v="Enterprise Plan"/>
    <n v="4102"/>
    <n v="250"/>
    <n v="39"/>
    <n v="116.97"/>
    <n v="4418.84"/>
    <n v="6.09"/>
    <n v="15.6"/>
    <n v="3"/>
    <n v="37.78"/>
    <n v="4301.87"/>
  </r>
  <r>
    <x v="315"/>
    <s v="Google Ads"/>
    <s v="Brand Awareness"/>
    <s v="Enterprise Plan"/>
    <n v="11316"/>
    <n v="355"/>
    <n v="32"/>
    <n v="937.84"/>
    <n v="5208.4399999999996"/>
    <n v="3.14"/>
    <n v="9.01"/>
    <n v="29.31"/>
    <n v="5.55"/>
    <n v="4270.6000000000004"/>
  </r>
  <r>
    <x v="315"/>
    <s v="Facebook Ads"/>
    <s v="Flash Sale"/>
    <s v="Premium Plan"/>
    <n v="17440"/>
    <n v="401"/>
    <n v="26"/>
    <n v="1192.8900000000001"/>
    <n v="3735.8"/>
    <n v="2.2999999999999998"/>
    <n v="6.48"/>
    <n v="45.88"/>
    <n v="3.13"/>
    <n v="2542.91"/>
  </r>
  <r>
    <x v="315"/>
    <s v="Instagram Ads"/>
    <s v="Retargeting"/>
    <s v="Premium Plan"/>
    <n v="15495"/>
    <n v="482"/>
    <n v="33"/>
    <n v="580.75"/>
    <n v="4171.16"/>
    <n v="3.11"/>
    <n v="6.85"/>
    <n v="17.600000000000001"/>
    <n v="7.18"/>
    <n v="3590.41"/>
  </r>
  <r>
    <x v="315"/>
    <s v="LinkedIn Ads"/>
    <s v="Lead Generation"/>
    <s v="Add-on Service"/>
    <n v="5028"/>
    <n v="134"/>
    <n v="17"/>
    <n v="1186.01"/>
    <n v="4539.62"/>
    <n v="2.67"/>
    <n v="12.69"/>
    <n v="69.77"/>
    <n v="3.83"/>
    <n v="3353.61"/>
  </r>
  <r>
    <x v="315"/>
    <s v="Email Marketing"/>
    <s v="Retargeting"/>
    <s v="Add-on Service"/>
    <n v="24264"/>
    <n v="4948"/>
    <n v="580"/>
    <n v="297.86"/>
    <n v="72602.89"/>
    <n v="20.39"/>
    <n v="11.72"/>
    <n v="0.51"/>
    <n v="243.75"/>
    <n v="72305.03"/>
  </r>
  <r>
    <x v="315"/>
    <s v="Organic Search"/>
    <s v="Lead Generation"/>
    <s v="Add-on Service"/>
    <n v="33418"/>
    <n v="2534"/>
    <n v="366"/>
    <n v="0"/>
    <n v="37619.4"/>
    <n v="7.58"/>
    <n v="14.44"/>
    <n v="0"/>
    <n v="0"/>
    <n v="37619.4"/>
  </r>
  <r>
    <x v="315"/>
    <s v="Display Ads"/>
    <s v="Lead Generation"/>
    <s v="Premium Plan"/>
    <n v="38526"/>
    <n v="721"/>
    <n v="17"/>
    <n v="1033.49"/>
    <n v="1700.27"/>
    <n v="1.87"/>
    <n v="2.36"/>
    <n v="60.79"/>
    <n v="1.65"/>
    <n v="666.78"/>
  </r>
  <r>
    <x v="315"/>
    <s v="YouTube Ads"/>
    <s v="Brand Awareness"/>
    <s v="Basic Plan"/>
    <n v="20500"/>
    <n v="348"/>
    <n v="22"/>
    <n v="1362.61"/>
    <n v="2735.44"/>
    <n v="1.7"/>
    <n v="6.32"/>
    <n v="61.94"/>
    <n v="2.0099999999999998"/>
    <n v="1372.83"/>
  </r>
  <r>
    <x v="315"/>
    <s v="Twitter Ads"/>
    <s v="Retargeting"/>
    <s v="Premium Plan"/>
    <n v="9713"/>
    <n v="300"/>
    <n v="10"/>
    <n v="474.02"/>
    <n v="960.92"/>
    <n v="3.09"/>
    <n v="3.33"/>
    <n v="47.4"/>
    <n v="2.0299999999999998"/>
    <n v="486.9"/>
  </r>
  <r>
    <x v="315"/>
    <s v="TikTok Ads"/>
    <s v="Retargeting"/>
    <s v="Add-on Service"/>
    <n v="24711"/>
    <n v="740"/>
    <n v="36"/>
    <n v="916.64"/>
    <n v="3202.91"/>
    <n v="2.99"/>
    <n v="4.8600000000000003"/>
    <n v="25.46"/>
    <n v="3.49"/>
    <n v="2286.27"/>
  </r>
  <r>
    <x v="315"/>
    <s v="Affiliate Marketing"/>
    <s v="Brand Awareness"/>
    <s v="Basic Plan"/>
    <n v="9666"/>
    <n v="578"/>
    <n v="54"/>
    <n v="309.47000000000003"/>
    <n v="7485.94"/>
    <n v="5.98"/>
    <n v="9.34"/>
    <n v="5.73"/>
    <n v="24.19"/>
    <n v="7176.47"/>
  </r>
  <r>
    <x v="315"/>
    <s v="Referral"/>
    <s v="Flash Sale"/>
    <s v="Basic Plan"/>
    <n v="6970"/>
    <n v="476"/>
    <n v="72"/>
    <n v="191.14"/>
    <n v="13105.7"/>
    <n v="6.83"/>
    <n v="15.13"/>
    <n v="2.65"/>
    <n v="68.569999999999993"/>
    <n v="12914.56"/>
  </r>
  <r>
    <x v="316"/>
    <s v="Google Ads"/>
    <s v="Brand Awareness"/>
    <s v="Basic Plan"/>
    <n v="12765"/>
    <n v="407"/>
    <n v="35"/>
    <n v="1252.51"/>
    <n v="5147.5"/>
    <n v="3.19"/>
    <n v="8.6"/>
    <n v="35.79"/>
    <n v="4.1100000000000003"/>
    <n v="3894.99"/>
  </r>
  <r>
    <x v="316"/>
    <s v="Facebook Ads"/>
    <s v="Flash Sale"/>
    <s v="Premium Plan"/>
    <n v="18679"/>
    <n v="519"/>
    <n v="34"/>
    <n v="946.26"/>
    <n v="4259.8100000000004"/>
    <n v="2.78"/>
    <n v="6.55"/>
    <n v="27.83"/>
    <n v="4.5"/>
    <n v="3313.55"/>
  </r>
  <r>
    <x v="316"/>
    <s v="Instagram Ads"/>
    <s v="Product Launch"/>
    <s v="Premium Plan"/>
    <n v="11828"/>
    <n v="462"/>
    <n v="23"/>
    <n v="756.58"/>
    <n v="2568.5"/>
    <n v="3.91"/>
    <n v="4.9800000000000004"/>
    <n v="32.89"/>
    <n v="3.39"/>
    <n v="1811.92"/>
  </r>
  <r>
    <x v="316"/>
    <s v="LinkedIn Ads"/>
    <s v="Retargeting"/>
    <s v="Add-on Service"/>
    <n v="5218"/>
    <n v="122"/>
    <n v="14"/>
    <n v="1657.48"/>
    <n v="4184.33"/>
    <n v="2.34"/>
    <n v="11.48"/>
    <n v="118.39"/>
    <n v="2.52"/>
    <n v="2526.85"/>
  </r>
  <r>
    <x v="316"/>
    <s v="Email Marketing"/>
    <s v="Lead Generation"/>
    <s v="Add-on Service"/>
    <n v="22295"/>
    <n v="3492"/>
    <n v="372"/>
    <n v="256"/>
    <n v="62578.01"/>
    <n v="15.66"/>
    <n v="10.65"/>
    <n v="0.69"/>
    <n v="244.45"/>
    <n v="62322.01"/>
  </r>
  <r>
    <x v="316"/>
    <s v="Organic Search"/>
    <s v="Brand Awareness"/>
    <s v="Premium Plan"/>
    <n v="24417"/>
    <n v="989"/>
    <n v="140"/>
    <n v="0"/>
    <n v="22062.240000000002"/>
    <n v="4.05"/>
    <n v="14.16"/>
    <n v="0"/>
    <n v="0"/>
    <n v="22062.240000000002"/>
  </r>
  <r>
    <x v="316"/>
    <s v="Display Ads"/>
    <s v="Brand Awareness"/>
    <s v="Starter Kit"/>
    <n v="25628"/>
    <n v="509"/>
    <n v="19"/>
    <n v="1233.53"/>
    <n v="1805.01"/>
    <n v="1.99"/>
    <n v="3.73"/>
    <n v="64.92"/>
    <n v="1.46"/>
    <n v="571.48"/>
  </r>
  <r>
    <x v="316"/>
    <s v="YouTube Ads"/>
    <s v="Seasonal Promotion"/>
    <s v="Add-on Service"/>
    <n v="21701"/>
    <n v="395"/>
    <n v="29"/>
    <n v="995.59"/>
    <n v="3693.7"/>
    <n v="1.82"/>
    <n v="7.34"/>
    <n v="34.33"/>
    <n v="3.71"/>
    <n v="2698.11"/>
  </r>
  <r>
    <x v="316"/>
    <s v="Twitter Ads"/>
    <s v="Lead Generation"/>
    <s v="Premium Plan"/>
    <n v="12016"/>
    <n v="296"/>
    <n v="14"/>
    <n v="436.9"/>
    <n v="1398.97"/>
    <n v="2.46"/>
    <n v="4.7300000000000004"/>
    <n v="31.21"/>
    <n v="3.2"/>
    <n v="962.07"/>
  </r>
  <r>
    <x v="316"/>
    <s v="TikTok Ads"/>
    <s v="Lead Generation"/>
    <s v="Starter Kit"/>
    <n v="29941"/>
    <n v="902"/>
    <n v="62"/>
    <n v="807.7"/>
    <n v="4946.1000000000004"/>
    <n v="3.01"/>
    <n v="6.87"/>
    <n v="13.03"/>
    <n v="6.12"/>
    <n v="4138.3999999999996"/>
  </r>
  <r>
    <x v="316"/>
    <s v="Affiliate Marketing"/>
    <s v="Product Launch"/>
    <s v="Starter Kit"/>
    <n v="7123"/>
    <n v="387"/>
    <n v="46"/>
    <n v="348.17"/>
    <n v="4415.5"/>
    <n v="5.43"/>
    <n v="11.89"/>
    <n v="7.57"/>
    <n v="12.68"/>
    <n v="4067.33"/>
  </r>
  <r>
    <x v="316"/>
    <s v="Referral"/>
    <s v="Product Launch"/>
    <s v="Premium Plan"/>
    <n v="6873"/>
    <n v="655"/>
    <n v="109"/>
    <n v="143.47"/>
    <n v="17553.990000000002"/>
    <n v="9.5299999999999994"/>
    <n v="16.64"/>
    <n v="1.32"/>
    <n v="122.35"/>
    <n v="17410.52"/>
  </r>
  <r>
    <x v="317"/>
    <s v="Google Ads"/>
    <s v="Flash Sale"/>
    <s v="Add-on Service"/>
    <n v="14734"/>
    <n v="635"/>
    <n v="65"/>
    <n v="1385.72"/>
    <n v="7839.1"/>
    <n v="4.3099999999999996"/>
    <n v="10.24"/>
    <n v="21.32"/>
    <n v="5.66"/>
    <n v="6453.38"/>
  </r>
  <r>
    <x v="317"/>
    <s v="Facebook Ads"/>
    <s v="Seasonal Promotion"/>
    <s v="Basic Plan"/>
    <n v="14960"/>
    <n v="329"/>
    <n v="20"/>
    <n v="1100.57"/>
    <n v="2432.96"/>
    <n v="2.2000000000000002"/>
    <n v="6.08"/>
    <n v="55.03"/>
    <n v="2.21"/>
    <n v="1332.39"/>
  </r>
  <r>
    <x v="317"/>
    <s v="Instagram Ads"/>
    <s v="Product Launch"/>
    <s v="Basic Plan"/>
    <n v="16123"/>
    <n v="447"/>
    <n v="25"/>
    <n v="509.83"/>
    <n v="2365.0500000000002"/>
    <n v="2.77"/>
    <n v="5.59"/>
    <n v="20.39"/>
    <n v="4.6399999999999997"/>
    <n v="1855.22"/>
  </r>
  <r>
    <x v="317"/>
    <s v="LinkedIn Ads"/>
    <s v="Brand Awareness"/>
    <s v="Add-on Service"/>
    <n v="3407"/>
    <n v="71"/>
    <n v="7"/>
    <n v="948.12"/>
    <n v="1914.27"/>
    <n v="2.08"/>
    <n v="9.86"/>
    <n v="135.44999999999999"/>
    <n v="2.02"/>
    <n v="966.15"/>
  </r>
  <r>
    <x v="317"/>
    <s v="Email Marketing"/>
    <s v="Lead Generation"/>
    <s v="Enterprise Plan"/>
    <n v="23445"/>
    <n v="4567"/>
    <n v="475"/>
    <n v="175.58"/>
    <n v="60185.41"/>
    <n v="19.48"/>
    <n v="10.4"/>
    <n v="0.37"/>
    <n v="342.78"/>
    <n v="60009.83"/>
  </r>
  <r>
    <x v="317"/>
    <s v="Organic Search"/>
    <s v="Brand Awareness"/>
    <s v="Premium Plan"/>
    <n v="20829"/>
    <n v="1239"/>
    <n v="189"/>
    <n v="0"/>
    <n v="24556.61"/>
    <n v="5.95"/>
    <n v="15.25"/>
    <n v="0"/>
    <n v="0"/>
    <n v="24556.61"/>
  </r>
  <r>
    <x v="317"/>
    <s v="Display Ads"/>
    <s v="Product Launch"/>
    <s v="Basic Plan"/>
    <n v="26205"/>
    <n v="458"/>
    <n v="18"/>
    <n v="717.16"/>
    <n v="1772.55"/>
    <n v="1.75"/>
    <n v="3.93"/>
    <n v="39.840000000000003"/>
    <n v="2.4700000000000002"/>
    <n v="1055.3900000000001"/>
  </r>
  <r>
    <x v="317"/>
    <s v="YouTube Ads"/>
    <s v="Retargeting"/>
    <s v="Basic Plan"/>
    <n v="21286"/>
    <n v="596"/>
    <n v="39"/>
    <n v="947.28"/>
    <n v="4887.4399999999996"/>
    <n v="2.8"/>
    <n v="6.54"/>
    <n v="24.29"/>
    <n v="5.16"/>
    <n v="3940.16"/>
  </r>
  <r>
    <x v="317"/>
    <s v="Twitter Ads"/>
    <s v="Flash Sale"/>
    <s v="Enterprise Plan"/>
    <n v="12715"/>
    <n v="402"/>
    <n v="15"/>
    <n v="742.71"/>
    <n v="1227.32"/>
    <n v="3.16"/>
    <n v="3.73"/>
    <n v="49.51"/>
    <n v="1.65"/>
    <n v="484.61"/>
  </r>
  <r>
    <x v="317"/>
    <s v="TikTok Ads"/>
    <s v="Seasonal Promotion"/>
    <s v="Basic Plan"/>
    <n v="21719"/>
    <n v="758"/>
    <n v="48"/>
    <n v="714.43"/>
    <n v="4308.33"/>
    <n v="3.49"/>
    <n v="6.33"/>
    <n v="14.88"/>
    <n v="6.03"/>
    <n v="3593.9"/>
  </r>
  <r>
    <x v="317"/>
    <s v="Affiliate Marketing"/>
    <s v="Retargeting"/>
    <s v="Basic Plan"/>
    <n v="8720"/>
    <n v="416"/>
    <n v="36"/>
    <n v="646.37"/>
    <n v="5464.43"/>
    <n v="4.7699999999999996"/>
    <n v="8.65"/>
    <n v="17.95"/>
    <n v="8.4499999999999993"/>
    <n v="4818.0600000000004"/>
  </r>
  <r>
    <x v="317"/>
    <s v="Referral"/>
    <s v="Seasonal Promotion"/>
    <s v="Premium Plan"/>
    <n v="3432"/>
    <n v="264"/>
    <n v="47"/>
    <n v="53.77"/>
    <n v="6798.44"/>
    <n v="7.69"/>
    <n v="17.8"/>
    <n v="1.1399999999999999"/>
    <n v="126.44"/>
    <n v="6744.67"/>
  </r>
  <r>
    <x v="318"/>
    <s v="Google Ads"/>
    <s v="Lead Generation"/>
    <s v="Premium Plan"/>
    <n v="14008"/>
    <n v="653"/>
    <n v="61"/>
    <n v="1301.68"/>
    <n v="9727.59"/>
    <n v="4.66"/>
    <n v="9.34"/>
    <n v="21.34"/>
    <n v="7.47"/>
    <n v="8425.91"/>
  </r>
  <r>
    <x v="318"/>
    <s v="Facebook Ads"/>
    <s v="Flash Sale"/>
    <s v="Add-on Service"/>
    <n v="13067"/>
    <n v="317"/>
    <n v="17"/>
    <n v="982.56"/>
    <n v="1809.42"/>
    <n v="2.4300000000000002"/>
    <n v="5.36"/>
    <n v="57.8"/>
    <n v="1.84"/>
    <n v="826.86"/>
  </r>
  <r>
    <x v="318"/>
    <s v="Instagram Ads"/>
    <s v="Retargeting"/>
    <s v="Basic Plan"/>
    <n v="11408"/>
    <n v="294"/>
    <n v="21"/>
    <n v="874.23"/>
    <n v="1711.38"/>
    <n v="2.58"/>
    <n v="7.14"/>
    <n v="41.63"/>
    <n v="1.96"/>
    <n v="837.15"/>
  </r>
  <r>
    <x v="318"/>
    <s v="LinkedIn Ads"/>
    <s v="Brand Awareness"/>
    <s v="Starter Kit"/>
    <n v="4275"/>
    <n v="74"/>
    <n v="9"/>
    <n v="1552.11"/>
    <n v="2458.34"/>
    <n v="1.73"/>
    <n v="12.16"/>
    <n v="172.46"/>
    <n v="1.58"/>
    <n v="906.23"/>
  </r>
  <r>
    <x v="318"/>
    <s v="Email Marketing"/>
    <s v="Brand Awareness"/>
    <s v="Premium Plan"/>
    <n v="18144"/>
    <n v="3141"/>
    <n v="293"/>
    <n v="270.99"/>
    <n v="42409.99"/>
    <n v="17.309999999999999"/>
    <n v="9.33"/>
    <n v="0.92"/>
    <n v="156.5"/>
    <n v="42139"/>
  </r>
  <r>
    <x v="318"/>
    <s v="Organic Search"/>
    <s v="Brand Awareness"/>
    <s v="Basic Plan"/>
    <n v="25004"/>
    <n v="1969"/>
    <n v="258"/>
    <n v="0"/>
    <n v="35479.14"/>
    <n v="7.87"/>
    <n v="13.1"/>
    <n v="0"/>
    <n v="0"/>
    <n v="35479.14"/>
  </r>
  <r>
    <x v="318"/>
    <s v="Display Ads"/>
    <s v="Brand Awareness"/>
    <s v="Add-on Service"/>
    <n v="34957"/>
    <n v="666"/>
    <n v="28"/>
    <n v="1032.56"/>
    <n v="3167.48"/>
    <n v="1.91"/>
    <n v="4.2"/>
    <n v="36.880000000000003"/>
    <n v="3.07"/>
    <n v="2134.92"/>
  </r>
  <r>
    <x v="318"/>
    <s v="YouTube Ads"/>
    <s v="Product Launch"/>
    <s v="Starter Kit"/>
    <n v="17514"/>
    <n v="497"/>
    <n v="30"/>
    <n v="1319.19"/>
    <n v="2934.47"/>
    <n v="2.84"/>
    <n v="6.04"/>
    <n v="43.97"/>
    <n v="2.2200000000000002"/>
    <n v="1615.28"/>
  </r>
  <r>
    <x v="318"/>
    <s v="Twitter Ads"/>
    <s v="Flash Sale"/>
    <s v="Starter Kit"/>
    <n v="9941"/>
    <n v="208"/>
    <n v="10"/>
    <n v="499.41"/>
    <n v="1095.54"/>
    <n v="2.09"/>
    <n v="4.8099999999999996"/>
    <n v="49.94"/>
    <n v="2.19"/>
    <n v="596.13"/>
  </r>
  <r>
    <x v="318"/>
    <s v="TikTok Ads"/>
    <s v="Flash Sale"/>
    <s v="Basic Plan"/>
    <n v="24684"/>
    <n v="809"/>
    <n v="39"/>
    <n v="771.91"/>
    <n v="3076.33"/>
    <n v="3.28"/>
    <n v="4.82"/>
    <n v="19.79"/>
    <n v="3.99"/>
    <n v="2304.42"/>
  </r>
  <r>
    <x v="318"/>
    <s v="Affiliate Marketing"/>
    <s v="Lead Generation"/>
    <s v="Basic Plan"/>
    <n v="6539"/>
    <n v="403"/>
    <n v="42"/>
    <n v="613.29999999999995"/>
    <n v="5016.2299999999996"/>
    <n v="6.16"/>
    <n v="10.42"/>
    <n v="14.6"/>
    <n v="8.18"/>
    <n v="4402.93"/>
  </r>
  <r>
    <x v="318"/>
    <s v="Referral"/>
    <s v="Flash Sale"/>
    <s v="Enterprise Plan"/>
    <n v="6699"/>
    <n v="407"/>
    <n v="53"/>
    <n v="158.46"/>
    <n v="7010.45"/>
    <n v="6.08"/>
    <n v="13.02"/>
    <n v="2.99"/>
    <n v="44.24"/>
    <n v="6851.99"/>
  </r>
  <r>
    <x v="319"/>
    <s v="Google Ads"/>
    <s v="Seasonal Promotion"/>
    <s v="Starter Kit"/>
    <n v="10394"/>
    <n v="514"/>
    <n v="59"/>
    <n v="835.53"/>
    <n v="9927.6200000000008"/>
    <n v="4.95"/>
    <n v="11.48"/>
    <n v="14.16"/>
    <n v="11.88"/>
    <n v="9092.09"/>
  </r>
  <r>
    <x v="319"/>
    <s v="Facebook Ads"/>
    <s v="Retargeting"/>
    <s v="Basic Plan"/>
    <n v="15261"/>
    <n v="383"/>
    <n v="34"/>
    <n v="1192.54"/>
    <n v="3923.94"/>
    <n v="2.5099999999999998"/>
    <n v="8.8800000000000008"/>
    <n v="35.07"/>
    <n v="3.29"/>
    <n v="2731.4"/>
  </r>
  <r>
    <x v="319"/>
    <s v="Instagram Ads"/>
    <s v="Lead Generation"/>
    <s v="Add-on Service"/>
    <n v="10246"/>
    <n v="444"/>
    <n v="31"/>
    <n v="541.91"/>
    <n v="3268.87"/>
    <n v="4.33"/>
    <n v="6.98"/>
    <n v="17.48"/>
    <n v="6.03"/>
    <n v="2726.96"/>
  </r>
  <r>
    <x v="319"/>
    <s v="LinkedIn Ads"/>
    <s v="Flash Sale"/>
    <s v="Premium Plan"/>
    <n v="5200"/>
    <n v="155"/>
    <n v="21"/>
    <n v="999.63"/>
    <n v="5524.51"/>
    <n v="2.98"/>
    <n v="13.55"/>
    <n v="47.6"/>
    <n v="5.53"/>
    <n v="4524.88"/>
  </r>
  <r>
    <x v="319"/>
    <s v="Email Marketing"/>
    <s v="Seasonal Promotion"/>
    <s v="Basic Plan"/>
    <n v="18155"/>
    <n v="4489"/>
    <n v="518"/>
    <n v="116.73"/>
    <n v="83123.59"/>
    <n v="24.73"/>
    <n v="11.54"/>
    <n v="0.23"/>
    <n v="712.1"/>
    <n v="83006.86"/>
  </r>
  <r>
    <x v="319"/>
    <s v="Organic Search"/>
    <s v="Flash Sale"/>
    <s v="Starter Kit"/>
    <n v="24478"/>
    <n v="1123"/>
    <n v="115"/>
    <n v="0"/>
    <n v="17679.599999999999"/>
    <n v="4.59"/>
    <n v="10.24"/>
    <n v="0"/>
    <n v="0"/>
    <n v="17679.599999999999"/>
  </r>
  <r>
    <x v="319"/>
    <s v="Display Ads"/>
    <s v="Seasonal Promotion"/>
    <s v="Premium Plan"/>
    <n v="25682"/>
    <n v="314"/>
    <n v="11"/>
    <n v="1007.58"/>
    <n v="1282.51"/>
    <n v="1.22"/>
    <n v="3.5"/>
    <n v="91.6"/>
    <n v="1.27"/>
    <n v="274.93"/>
  </r>
  <r>
    <x v="319"/>
    <s v="YouTube Ads"/>
    <s v="Flash Sale"/>
    <s v="Enterprise Plan"/>
    <n v="19826"/>
    <n v="507"/>
    <n v="29"/>
    <n v="961.35"/>
    <n v="3713.19"/>
    <n v="2.56"/>
    <n v="5.72"/>
    <n v="33.15"/>
    <n v="3.86"/>
    <n v="2751.84"/>
  </r>
  <r>
    <x v="319"/>
    <s v="Twitter Ads"/>
    <s v="Product Launch"/>
    <s v="Starter Kit"/>
    <n v="10075"/>
    <n v="267"/>
    <n v="15"/>
    <n v="529.35"/>
    <n v="1817.83"/>
    <n v="2.65"/>
    <n v="5.62"/>
    <n v="35.29"/>
    <n v="3.43"/>
    <n v="1288.48"/>
  </r>
  <r>
    <x v="319"/>
    <s v="TikTok Ads"/>
    <s v="Brand Awareness"/>
    <s v="Add-on Service"/>
    <n v="21044"/>
    <n v="796"/>
    <n v="43"/>
    <n v="610"/>
    <n v="4491.16"/>
    <n v="3.78"/>
    <n v="5.4"/>
    <n v="14.19"/>
    <n v="7.36"/>
    <n v="3881.16"/>
  </r>
  <r>
    <x v="319"/>
    <s v="Affiliate Marketing"/>
    <s v="Lead Generation"/>
    <s v="Basic Plan"/>
    <n v="5085"/>
    <n v="318"/>
    <n v="29"/>
    <n v="326.68"/>
    <n v="3631.27"/>
    <n v="6.25"/>
    <n v="9.1199999999999992"/>
    <n v="11.26"/>
    <n v="11.12"/>
    <n v="3304.59"/>
  </r>
  <r>
    <x v="319"/>
    <s v="Referral"/>
    <s v="Brand Awareness"/>
    <s v="Add-on Service"/>
    <n v="6239"/>
    <n v="403"/>
    <n v="57"/>
    <n v="155.03"/>
    <n v="8201.86"/>
    <n v="6.46"/>
    <n v="14.14"/>
    <n v="2.72"/>
    <n v="52.9"/>
    <n v="8046.83"/>
  </r>
  <r>
    <x v="320"/>
    <s v="Google Ads"/>
    <s v="Brand Awareness"/>
    <s v="Add-on Service"/>
    <n v="9100"/>
    <n v="403"/>
    <n v="39"/>
    <n v="692.14"/>
    <n v="6133.8"/>
    <n v="4.43"/>
    <n v="9.68"/>
    <n v="17.75"/>
    <n v="8.86"/>
    <n v="5441.66"/>
  </r>
  <r>
    <x v="320"/>
    <s v="Facebook Ads"/>
    <s v="Product Launch"/>
    <s v="Add-on Service"/>
    <n v="12876"/>
    <n v="475"/>
    <n v="29"/>
    <n v="753.62"/>
    <n v="2724.52"/>
    <n v="3.69"/>
    <n v="6.11"/>
    <n v="25.99"/>
    <n v="3.62"/>
    <n v="1970.9"/>
  </r>
  <r>
    <x v="320"/>
    <s v="Instagram Ads"/>
    <s v="Seasonal Promotion"/>
    <s v="Basic Plan"/>
    <n v="8877"/>
    <n v="303"/>
    <n v="23"/>
    <n v="581.6"/>
    <n v="2423.62"/>
    <n v="3.41"/>
    <n v="7.59"/>
    <n v="25.29"/>
    <n v="4.17"/>
    <n v="1842.02"/>
  </r>
  <r>
    <x v="320"/>
    <s v="LinkedIn Ads"/>
    <s v="Retargeting"/>
    <s v="Basic Plan"/>
    <n v="3451"/>
    <n v="63"/>
    <n v="6"/>
    <n v="763.08"/>
    <n v="1809.51"/>
    <n v="1.83"/>
    <n v="9.52"/>
    <n v="127.18"/>
    <n v="2.37"/>
    <n v="1046.43"/>
  </r>
  <r>
    <x v="320"/>
    <s v="Email Marketing"/>
    <s v="Product Launch"/>
    <s v="Premium Plan"/>
    <n v="14978"/>
    <n v="2389"/>
    <n v="317"/>
    <n v="181.64"/>
    <n v="49789.65"/>
    <n v="15.95"/>
    <n v="13.27"/>
    <n v="0.56999999999999995"/>
    <n v="274.11"/>
    <n v="49608.01"/>
  </r>
  <r>
    <x v="320"/>
    <s v="Organic Search"/>
    <s v="Lead Generation"/>
    <s v="Premium Plan"/>
    <n v="21622"/>
    <n v="1021"/>
    <n v="142"/>
    <n v="0"/>
    <n v="19352.64"/>
    <n v="4.72"/>
    <n v="13.91"/>
    <n v="0"/>
    <n v="0"/>
    <n v="19352.64"/>
  </r>
  <r>
    <x v="320"/>
    <s v="Display Ads"/>
    <s v="Lead Generation"/>
    <s v="Starter Kit"/>
    <n v="19173"/>
    <n v="216"/>
    <n v="7"/>
    <n v="700.12"/>
    <n v="819.84"/>
    <n v="1.1299999999999999"/>
    <n v="3.24"/>
    <n v="100.02"/>
    <n v="1.17"/>
    <n v="119.72"/>
  </r>
  <r>
    <x v="320"/>
    <s v="YouTube Ads"/>
    <s v="Retargeting"/>
    <s v="Basic Plan"/>
    <n v="17110"/>
    <n v="491"/>
    <n v="37"/>
    <n v="974.28"/>
    <n v="4194.6000000000004"/>
    <n v="2.87"/>
    <n v="7.54"/>
    <n v="26.33"/>
    <n v="4.3099999999999996"/>
    <n v="3220.32"/>
  </r>
  <r>
    <x v="320"/>
    <s v="Twitter Ads"/>
    <s v="Lead Generation"/>
    <s v="Premium Plan"/>
    <n v="7892"/>
    <n v="161"/>
    <n v="7"/>
    <n v="504.91"/>
    <n v="716.23"/>
    <n v="2.04"/>
    <n v="4.3499999999999996"/>
    <n v="72.13"/>
    <n v="1.42"/>
    <n v="211.32"/>
  </r>
  <r>
    <x v="320"/>
    <s v="TikTok Ads"/>
    <s v="Brand Awareness"/>
    <s v="Enterprise Plan"/>
    <n v="14777"/>
    <n v="567"/>
    <n v="33"/>
    <n v="605.75"/>
    <n v="3216.37"/>
    <n v="3.84"/>
    <n v="5.82"/>
    <n v="18.36"/>
    <n v="5.31"/>
    <n v="2610.62"/>
  </r>
  <r>
    <x v="320"/>
    <s v="Affiliate Marketing"/>
    <s v="Product Launch"/>
    <s v="Basic Plan"/>
    <n v="6244"/>
    <n v="310"/>
    <n v="38"/>
    <n v="477.84"/>
    <n v="3662.79"/>
    <n v="4.96"/>
    <n v="12.26"/>
    <n v="12.57"/>
    <n v="7.67"/>
    <n v="3184.95"/>
  </r>
  <r>
    <x v="320"/>
    <s v="Referral"/>
    <s v="Retargeting"/>
    <s v="Enterprise Plan"/>
    <n v="3035"/>
    <n v="249"/>
    <n v="41"/>
    <n v="138.97"/>
    <n v="5662.16"/>
    <n v="8.1999999999999993"/>
    <n v="16.47"/>
    <n v="3.39"/>
    <n v="40.74"/>
    <n v="5523.19"/>
  </r>
  <r>
    <x v="321"/>
    <s v="Google Ads"/>
    <s v="Product Launch"/>
    <s v="Add-on Service"/>
    <n v="9246"/>
    <n v="379"/>
    <n v="44"/>
    <n v="641.49"/>
    <n v="7553.27"/>
    <n v="4.0999999999999996"/>
    <n v="11.61"/>
    <n v="14.58"/>
    <n v="11.77"/>
    <n v="6911.78"/>
  </r>
  <r>
    <x v="321"/>
    <s v="Facebook Ads"/>
    <s v="Retargeting"/>
    <s v="Premium Plan"/>
    <n v="11185"/>
    <n v="283"/>
    <n v="14"/>
    <n v="794.53"/>
    <n v="1209.0899999999999"/>
    <n v="2.5299999999999998"/>
    <n v="4.95"/>
    <n v="56.75"/>
    <n v="1.52"/>
    <n v="414.56"/>
  </r>
  <r>
    <x v="321"/>
    <s v="Instagram Ads"/>
    <s v="Brand Awareness"/>
    <s v="Premium Plan"/>
    <n v="10476"/>
    <n v="363"/>
    <n v="15"/>
    <n v="485.19"/>
    <n v="1749.2"/>
    <n v="3.47"/>
    <n v="4.13"/>
    <n v="32.35"/>
    <n v="3.61"/>
    <n v="1264.01"/>
  </r>
  <r>
    <x v="321"/>
    <s v="LinkedIn Ads"/>
    <s v="Seasonal Promotion"/>
    <s v="Basic Plan"/>
    <n v="3756"/>
    <n v="77"/>
    <n v="9"/>
    <n v="1115.94"/>
    <n v="2611.64"/>
    <n v="2.0499999999999998"/>
    <n v="11.69"/>
    <n v="123.99"/>
    <n v="2.34"/>
    <n v="1495.7"/>
  </r>
  <r>
    <x v="321"/>
    <s v="Email Marketing"/>
    <s v="Lead Generation"/>
    <s v="Premium Plan"/>
    <n v="13309"/>
    <n v="2975"/>
    <n v="386"/>
    <n v="105.97"/>
    <n v="47328.39"/>
    <n v="22.35"/>
    <n v="12.97"/>
    <n v="0.27"/>
    <n v="446.62"/>
    <n v="47222.42"/>
  </r>
  <r>
    <x v="321"/>
    <s v="Organic Search"/>
    <s v="Retargeting"/>
    <s v="Add-on Service"/>
    <n v="16933"/>
    <n v="1034"/>
    <n v="148"/>
    <n v="0"/>
    <n v="15101.4"/>
    <n v="6.11"/>
    <n v="14.31"/>
    <n v="0"/>
    <n v="0"/>
    <n v="15101.4"/>
  </r>
  <r>
    <x v="321"/>
    <s v="Display Ads"/>
    <s v="Brand Awareness"/>
    <s v="Premium Plan"/>
    <n v="25142"/>
    <n v="424"/>
    <n v="17"/>
    <n v="668.15"/>
    <n v="1493.01"/>
    <n v="1.69"/>
    <n v="4.01"/>
    <n v="39.299999999999997"/>
    <n v="2.23"/>
    <n v="824.86"/>
  </r>
  <r>
    <x v="321"/>
    <s v="YouTube Ads"/>
    <s v="Lead Generation"/>
    <s v="Starter Kit"/>
    <n v="14687"/>
    <n v="289"/>
    <n v="21"/>
    <n v="962.77"/>
    <n v="2402.38"/>
    <n v="1.97"/>
    <n v="7.27"/>
    <n v="45.85"/>
    <n v="2.5"/>
    <n v="1439.61"/>
  </r>
  <r>
    <x v="321"/>
    <s v="Twitter Ads"/>
    <s v="Seasonal Promotion"/>
    <s v="Add-on Service"/>
    <n v="8765"/>
    <n v="265"/>
    <n v="11"/>
    <n v="293.70999999999998"/>
    <n v="1365.09"/>
    <n v="3.02"/>
    <n v="4.1500000000000004"/>
    <n v="26.7"/>
    <n v="4.6500000000000004"/>
    <n v="1071.3800000000001"/>
  </r>
  <r>
    <x v="321"/>
    <s v="TikTok Ads"/>
    <s v="Product Launch"/>
    <s v="Starter Kit"/>
    <n v="18019"/>
    <n v="500"/>
    <n v="22"/>
    <n v="582.23"/>
    <n v="1961.6"/>
    <n v="2.77"/>
    <n v="4.4000000000000004"/>
    <n v="26.46"/>
    <n v="3.37"/>
    <n v="1379.37"/>
  </r>
  <r>
    <x v="321"/>
    <s v="Affiliate Marketing"/>
    <s v="Lead Generation"/>
    <s v="Enterprise Plan"/>
    <n v="6445"/>
    <n v="411"/>
    <n v="32"/>
    <n v="342.55"/>
    <n v="3785.3"/>
    <n v="6.38"/>
    <n v="7.79"/>
    <n v="10.7"/>
    <n v="11.05"/>
    <n v="3442.75"/>
  </r>
  <r>
    <x v="321"/>
    <s v="Referral"/>
    <s v="Lead Generation"/>
    <s v="Premium Plan"/>
    <n v="3785"/>
    <n v="199"/>
    <n v="25"/>
    <n v="53.75"/>
    <n v="4633.37"/>
    <n v="5.26"/>
    <n v="12.56"/>
    <n v="2.15"/>
    <n v="86.2"/>
    <n v="4579.62"/>
  </r>
  <r>
    <x v="322"/>
    <s v="Google Ads"/>
    <s v="Product Launch"/>
    <s v="Basic Plan"/>
    <n v="13479"/>
    <n v="662"/>
    <n v="78"/>
    <n v="965.64"/>
    <n v="10835.59"/>
    <n v="4.91"/>
    <n v="11.78"/>
    <n v="12.38"/>
    <n v="11.22"/>
    <n v="9869.9500000000007"/>
  </r>
  <r>
    <x v="322"/>
    <s v="Facebook Ads"/>
    <s v="Brand Awareness"/>
    <s v="Basic Plan"/>
    <n v="15837"/>
    <n v="510"/>
    <n v="34"/>
    <n v="610.21"/>
    <n v="4104.7299999999996"/>
    <n v="3.22"/>
    <n v="6.67"/>
    <n v="17.95"/>
    <n v="6.73"/>
    <n v="3494.52"/>
  </r>
  <r>
    <x v="322"/>
    <s v="Instagram Ads"/>
    <s v="Flash Sale"/>
    <s v="Starter Kit"/>
    <n v="11550"/>
    <n v="451"/>
    <n v="28"/>
    <n v="915.09"/>
    <n v="2507.52"/>
    <n v="3.9"/>
    <n v="6.21"/>
    <n v="32.68"/>
    <n v="2.74"/>
    <n v="1592.43"/>
  </r>
  <r>
    <x v="322"/>
    <s v="LinkedIn Ads"/>
    <s v="Lead Generation"/>
    <s v="Starter Kit"/>
    <n v="4335"/>
    <n v="79"/>
    <n v="9"/>
    <n v="1795.43"/>
    <n v="2463.81"/>
    <n v="1.82"/>
    <n v="11.39"/>
    <n v="199.49"/>
    <n v="1.37"/>
    <n v="668.38"/>
  </r>
  <r>
    <x v="322"/>
    <s v="Email Marketing"/>
    <s v="Lead Generation"/>
    <s v="Premium Plan"/>
    <n v="19510"/>
    <n v="3863"/>
    <n v="349"/>
    <n v="138.86000000000001"/>
    <n v="45826.73"/>
    <n v="19.8"/>
    <n v="9.0299999999999994"/>
    <n v="0.4"/>
    <n v="330.02"/>
    <n v="45687.87"/>
  </r>
  <r>
    <x v="322"/>
    <s v="Organic Search"/>
    <s v="Retargeting"/>
    <s v="Add-on Service"/>
    <n v="22656"/>
    <n v="1490"/>
    <n v="191"/>
    <n v="0"/>
    <n v="24316.44"/>
    <n v="6.58"/>
    <n v="12.82"/>
    <n v="0"/>
    <n v="0"/>
    <n v="24316.44"/>
  </r>
  <r>
    <x v="322"/>
    <s v="Display Ads"/>
    <s v="Retargeting"/>
    <s v="Premium Plan"/>
    <n v="35004"/>
    <n v="636"/>
    <n v="23"/>
    <n v="930.52"/>
    <n v="2341.13"/>
    <n v="1.82"/>
    <n v="3.62"/>
    <n v="40.46"/>
    <n v="2.52"/>
    <n v="1410.61"/>
  </r>
  <r>
    <x v="322"/>
    <s v="YouTube Ads"/>
    <s v="Retargeting"/>
    <s v="Basic Plan"/>
    <n v="17257"/>
    <n v="276"/>
    <n v="11"/>
    <n v="1111.5899999999999"/>
    <n v="1174.24"/>
    <n v="1.6"/>
    <n v="3.99"/>
    <n v="101.05"/>
    <n v="1.06"/>
    <n v="62.65"/>
  </r>
  <r>
    <x v="322"/>
    <s v="Twitter Ads"/>
    <s v="Lead Generation"/>
    <s v="Add-on Service"/>
    <n v="9608"/>
    <n v="318"/>
    <n v="14"/>
    <n v="409.58"/>
    <n v="1394.56"/>
    <n v="3.31"/>
    <n v="4.4000000000000004"/>
    <n v="29.26"/>
    <n v="3.4"/>
    <n v="984.98"/>
  </r>
  <r>
    <x v="322"/>
    <s v="TikTok Ads"/>
    <s v="Retargeting"/>
    <s v="Basic Plan"/>
    <n v="28066"/>
    <n v="1235"/>
    <n v="85"/>
    <n v="902.63"/>
    <n v="6886.09"/>
    <n v="4.4000000000000004"/>
    <n v="6.88"/>
    <n v="10.62"/>
    <n v="7.63"/>
    <n v="5983.46"/>
  </r>
  <r>
    <x v="322"/>
    <s v="Affiliate Marketing"/>
    <s v="Retargeting"/>
    <s v="Enterprise Plan"/>
    <n v="8082"/>
    <n v="439"/>
    <n v="51"/>
    <n v="694.03"/>
    <n v="5413.69"/>
    <n v="5.43"/>
    <n v="11.62"/>
    <n v="13.61"/>
    <n v="7.8"/>
    <n v="4719.66"/>
  </r>
  <r>
    <x v="322"/>
    <s v="Referral"/>
    <s v="Lead Generation"/>
    <s v="Starter Kit"/>
    <n v="3564"/>
    <n v="239"/>
    <n v="32"/>
    <n v="112.6"/>
    <n v="4680.41"/>
    <n v="6.71"/>
    <n v="13.39"/>
    <n v="3.52"/>
    <n v="41.57"/>
    <n v="4567.8100000000004"/>
  </r>
  <r>
    <x v="323"/>
    <s v="Google Ads"/>
    <s v="Flash Sale"/>
    <s v="Basic Plan"/>
    <n v="9813"/>
    <n v="384"/>
    <n v="38"/>
    <n v="1028.51"/>
    <n v="5015.6899999999996"/>
    <n v="3.91"/>
    <n v="9.9"/>
    <n v="27.07"/>
    <n v="4.88"/>
    <n v="3987.18"/>
  </r>
  <r>
    <x v="323"/>
    <s v="Facebook Ads"/>
    <s v="Flash Sale"/>
    <s v="Enterprise Plan"/>
    <n v="14548"/>
    <n v="567"/>
    <n v="35"/>
    <n v="1102.95"/>
    <n v="4504.34"/>
    <n v="3.9"/>
    <n v="6.17"/>
    <n v="31.51"/>
    <n v="4.08"/>
    <n v="3401.39"/>
  </r>
  <r>
    <x v="323"/>
    <s v="Instagram Ads"/>
    <s v="Product Launch"/>
    <s v="Basic Plan"/>
    <n v="14754"/>
    <n v="488"/>
    <n v="23"/>
    <n v="765.67"/>
    <n v="2763.84"/>
    <n v="3.31"/>
    <n v="4.71"/>
    <n v="33.29"/>
    <n v="3.61"/>
    <n v="1998.17"/>
  </r>
  <r>
    <x v="323"/>
    <s v="LinkedIn Ads"/>
    <s v="Product Launch"/>
    <s v="Basic Plan"/>
    <n v="3521"/>
    <n v="81"/>
    <n v="11"/>
    <n v="1411.43"/>
    <n v="3322.25"/>
    <n v="2.2999999999999998"/>
    <n v="13.58"/>
    <n v="128.31"/>
    <n v="2.35"/>
    <n v="1910.82"/>
  </r>
  <r>
    <x v="323"/>
    <s v="Email Marketing"/>
    <s v="Brand Awareness"/>
    <s v="Add-on Service"/>
    <n v="23945"/>
    <n v="3749"/>
    <n v="506"/>
    <n v="214.13"/>
    <n v="67221.91"/>
    <n v="15.66"/>
    <n v="13.5"/>
    <n v="0.42"/>
    <n v="313.93"/>
    <n v="67007.78"/>
  </r>
  <r>
    <x v="323"/>
    <s v="Organic Search"/>
    <s v="Brand Awareness"/>
    <s v="Enterprise Plan"/>
    <n v="22693"/>
    <n v="1799"/>
    <n v="199"/>
    <n v="0"/>
    <n v="27941.26"/>
    <n v="7.93"/>
    <n v="11.06"/>
    <n v="0"/>
    <n v="0"/>
    <n v="27941.26"/>
  </r>
  <r>
    <x v="323"/>
    <s v="Display Ads"/>
    <s v="Lead Generation"/>
    <s v="Premium Plan"/>
    <n v="32601"/>
    <n v="562"/>
    <n v="20"/>
    <n v="945.01"/>
    <n v="2334.54"/>
    <n v="1.72"/>
    <n v="3.56"/>
    <n v="47.25"/>
    <n v="2.4700000000000002"/>
    <n v="1389.53"/>
  </r>
  <r>
    <x v="323"/>
    <s v="YouTube Ads"/>
    <s v="Retargeting"/>
    <s v="Starter Kit"/>
    <n v="21429"/>
    <n v="350"/>
    <n v="17"/>
    <n v="1085.0999999999999"/>
    <n v="1899.89"/>
    <n v="1.63"/>
    <n v="4.8600000000000003"/>
    <n v="63.83"/>
    <n v="1.75"/>
    <n v="814.79"/>
  </r>
  <r>
    <x v="323"/>
    <s v="Twitter Ads"/>
    <s v="Retargeting"/>
    <s v="Basic Plan"/>
    <n v="11608"/>
    <n v="337"/>
    <n v="15"/>
    <n v="715.4"/>
    <n v="1219.26"/>
    <n v="2.9"/>
    <n v="4.45"/>
    <n v="47.69"/>
    <n v="1.7"/>
    <n v="503.86"/>
  </r>
  <r>
    <x v="323"/>
    <s v="TikTok Ads"/>
    <s v="Product Launch"/>
    <s v="Basic Plan"/>
    <n v="29014"/>
    <n v="1108"/>
    <n v="45"/>
    <n v="611.57000000000005"/>
    <n v="4057.57"/>
    <n v="3.82"/>
    <n v="4.0599999999999996"/>
    <n v="13.59"/>
    <n v="6.63"/>
    <n v="3446"/>
  </r>
  <r>
    <x v="323"/>
    <s v="Affiliate Marketing"/>
    <s v="Product Launch"/>
    <s v="Add-on Service"/>
    <n v="6250"/>
    <n v="318"/>
    <n v="31"/>
    <n v="380.92"/>
    <n v="3778.19"/>
    <n v="5.09"/>
    <n v="9.75"/>
    <n v="12.29"/>
    <n v="9.92"/>
    <n v="3397.27"/>
  </r>
  <r>
    <x v="323"/>
    <s v="Referral"/>
    <s v="Lead Generation"/>
    <s v="Add-on Service"/>
    <n v="6387"/>
    <n v="452"/>
    <n v="70"/>
    <n v="163.38"/>
    <n v="9923.7900000000009"/>
    <n v="7.08"/>
    <n v="15.49"/>
    <n v="2.33"/>
    <n v="60.74"/>
    <n v="9760.41"/>
  </r>
  <r>
    <x v="324"/>
    <s v="Google Ads"/>
    <s v="Lead Generation"/>
    <s v="Add-on Service"/>
    <n v="13141"/>
    <n v="590"/>
    <n v="63"/>
    <n v="849.93"/>
    <n v="10496.97"/>
    <n v="4.49"/>
    <n v="10.68"/>
    <n v="13.49"/>
    <n v="12.35"/>
    <n v="9647.0400000000009"/>
  </r>
  <r>
    <x v="324"/>
    <s v="Facebook Ads"/>
    <s v="Seasonal Promotion"/>
    <s v="Basic Plan"/>
    <n v="13623"/>
    <n v="430"/>
    <n v="24"/>
    <n v="1031.3399999999999"/>
    <n v="2194.35"/>
    <n v="3.16"/>
    <n v="5.58"/>
    <n v="42.97"/>
    <n v="2.13"/>
    <n v="1163.01"/>
  </r>
  <r>
    <x v="324"/>
    <s v="Instagram Ads"/>
    <s v="Brand Awareness"/>
    <s v="Starter Kit"/>
    <n v="14137"/>
    <n v="368"/>
    <n v="24"/>
    <n v="581.33000000000004"/>
    <n v="2542.59"/>
    <n v="2.6"/>
    <n v="6.52"/>
    <n v="24.22"/>
    <n v="4.37"/>
    <n v="1961.26"/>
  </r>
  <r>
    <x v="324"/>
    <s v="LinkedIn Ads"/>
    <s v="Seasonal Promotion"/>
    <s v="Starter Kit"/>
    <n v="4565"/>
    <n v="106"/>
    <n v="12"/>
    <n v="986.04"/>
    <n v="3415.18"/>
    <n v="2.3199999999999998"/>
    <n v="11.32"/>
    <n v="82.17"/>
    <n v="3.46"/>
    <n v="2429.14"/>
  </r>
  <r>
    <x v="324"/>
    <s v="Email Marketing"/>
    <s v="Lead Generation"/>
    <s v="Add-on Service"/>
    <n v="20868"/>
    <n v="3667"/>
    <n v="365"/>
    <n v="104.71"/>
    <n v="43722.42"/>
    <n v="17.57"/>
    <n v="9.9499999999999993"/>
    <n v="0.28999999999999998"/>
    <n v="417.56"/>
    <n v="43617.71"/>
  </r>
  <r>
    <x v="324"/>
    <s v="Organic Search"/>
    <s v="Retargeting"/>
    <s v="Starter Kit"/>
    <n v="29822"/>
    <n v="1984"/>
    <n v="266"/>
    <n v="0"/>
    <n v="26694.720000000001"/>
    <n v="6.65"/>
    <n v="13.41"/>
    <n v="0"/>
    <n v="0"/>
    <n v="26694.720000000001"/>
  </r>
  <r>
    <x v="324"/>
    <s v="Display Ads"/>
    <s v="Product Launch"/>
    <s v="Premium Plan"/>
    <n v="36703"/>
    <n v="495"/>
    <n v="21"/>
    <n v="929.44"/>
    <n v="2384.6999999999998"/>
    <n v="1.35"/>
    <n v="4.24"/>
    <n v="44.26"/>
    <n v="2.57"/>
    <n v="1455.26"/>
  </r>
  <r>
    <x v="324"/>
    <s v="YouTube Ads"/>
    <s v="Flash Sale"/>
    <s v="Starter Kit"/>
    <n v="19578"/>
    <n v="299"/>
    <n v="15"/>
    <n v="1090.48"/>
    <n v="1482.77"/>
    <n v="1.53"/>
    <n v="5.0199999999999996"/>
    <n v="72.7"/>
    <n v="1.36"/>
    <n v="392.29"/>
  </r>
  <r>
    <x v="324"/>
    <s v="Twitter Ads"/>
    <s v="Flash Sale"/>
    <s v="Basic Plan"/>
    <n v="10471"/>
    <n v="257"/>
    <n v="14"/>
    <n v="628.85"/>
    <n v="1401.67"/>
    <n v="2.4500000000000002"/>
    <n v="5.45"/>
    <n v="44.92"/>
    <n v="2.23"/>
    <n v="772.82"/>
  </r>
  <r>
    <x v="324"/>
    <s v="TikTok Ads"/>
    <s v="Lead Generation"/>
    <s v="Enterprise Plan"/>
    <n v="26074"/>
    <n v="884"/>
    <n v="48"/>
    <n v="815.31"/>
    <n v="5327.5"/>
    <n v="3.39"/>
    <n v="5.43"/>
    <n v="16.989999999999998"/>
    <n v="6.53"/>
    <n v="4512.1899999999996"/>
  </r>
  <r>
    <x v="324"/>
    <s v="Affiliate Marketing"/>
    <s v="Retargeting"/>
    <s v="Add-on Service"/>
    <n v="6655"/>
    <n v="317"/>
    <n v="38"/>
    <n v="360.06"/>
    <n v="3831.17"/>
    <n v="4.76"/>
    <n v="11.99"/>
    <n v="9.48"/>
    <n v="10.64"/>
    <n v="3471.11"/>
  </r>
  <r>
    <x v="324"/>
    <s v="Referral"/>
    <s v="Lead Generation"/>
    <s v="Add-on Service"/>
    <n v="5982"/>
    <n v="372"/>
    <n v="53"/>
    <n v="179.45"/>
    <n v="8655.3799999999992"/>
    <n v="6.22"/>
    <n v="14.25"/>
    <n v="3.39"/>
    <n v="48.23"/>
    <n v="8475.93"/>
  </r>
  <r>
    <x v="325"/>
    <s v="Google Ads"/>
    <s v="Lead Generation"/>
    <s v="Add-on Service"/>
    <n v="10654"/>
    <n v="472"/>
    <n v="45"/>
    <n v="1223.6099999999999"/>
    <n v="6867.36"/>
    <n v="4.43"/>
    <n v="9.5299999999999994"/>
    <n v="27.19"/>
    <n v="5.61"/>
    <n v="5643.75"/>
  </r>
  <r>
    <x v="325"/>
    <s v="Facebook Ads"/>
    <s v="Brand Awareness"/>
    <s v="Starter Kit"/>
    <n v="19606"/>
    <n v="714"/>
    <n v="57"/>
    <n v="875.59"/>
    <n v="7367.27"/>
    <n v="3.64"/>
    <n v="7.98"/>
    <n v="15.36"/>
    <n v="8.41"/>
    <n v="6491.68"/>
  </r>
  <r>
    <x v="325"/>
    <s v="Instagram Ads"/>
    <s v="Brand Awareness"/>
    <s v="Premium Plan"/>
    <n v="17532"/>
    <n v="607"/>
    <n v="30"/>
    <n v="658.4"/>
    <n v="2930.21"/>
    <n v="3.46"/>
    <n v="4.9400000000000004"/>
    <n v="21.95"/>
    <n v="4.45"/>
    <n v="2271.81"/>
  </r>
  <r>
    <x v="325"/>
    <s v="LinkedIn Ads"/>
    <s v="Retargeting"/>
    <s v="Add-on Service"/>
    <n v="3163"/>
    <n v="55"/>
    <n v="8"/>
    <n v="1728.56"/>
    <n v="1774.33"/>
    <n v="1.74"/>
    <n v="14.55"/>
    <n v="216.07"/>
    <n v="1.03"/>
    <n v="45.77"/>
  </r>
  <r>
    <x v="325"/>
    <s v="Email Marketing"/>
    <s v="Brand Awareness"/>
    <s v="Starter Kit"/>
    <n v="19412"/>
    <n v="4715"/>
    <n v="565"/>
    <n v="111.23"/>
    <n v="59019.83"/>
    <n v="24.29"/>
    <n v="11.98"/>
    <n v="0.2"/>
    <n v="530.61"/>
    <n v="58908.6"/>
  </r>
  <r>
    <x v="325"/>
    <s v="Organic Search"/>
    <s v="Seasonal Promotion"/>
    <s v="Starter Kit"/>
    <n v="24631"/>
    <n v="1817"/>
    <n v="226"/>
    <n v="0"/>
    <n v="29516.33"/>
    <n v="7.38"/>
    <n v="12.44"/>
    <n v="0"/>
    <n v="0"/>
    <n v="29516.33"/>
  </r>
  <r>
    <x v="325"/>
    <s v="Display Ads"/>
    <s v="Retargeting"/>
    <s v="Premium Plan"/>
    <n v="30532"/>
    <n v="471"/>
    <n v="13"/>
    <n v="1103.54"/>
    <n v="1542.43"/>
    <n v="1.54"/>
    <n v="2.76"/>
    <n v="84.89"/>
    <n v="1.4"/>
    <n v="438.89"/>
  </r>
  <r>
    <x v="325"/>
    <s v="YouTube Ads"/>
    <s v="Retargeting"/>
    <s v="Starter Kit"/>
    <n v="17385"/>
    <n v="423"/>
    <n v="24"/>
    <n v="1250.52"/>
    <n v="2452.17"/>
    <n v="2.4300000000000002"/>
    <n v="5.67"/>
    <n v="52.1"/>
    <n v="1.96"/>
    <n v="1201.6500000000001"/>
  </r>
  <r>
    <x v="325"/>
    <s v="Twitter Ads"/>
    <s v="Lead Generation"/>
    <s v="Premium Plan"/>
    <n v="9880"/>
    <n v="314"/>
    <n v="17"/>
    <n v="457.93"/>
    <n v="1835.42"/>
    <n v="3.18"/>
    <n v="5.41"/>
    <n v="26.94"/>
    <n v="4.01"/>
    <n v="1377.49"/>
  </r>
  <r>
    <x v="325"/>
    <s v="TikTok Ads"/>
    <s v="Seasonal Promotion"/>
    <s v="Premium Plan"/>
    <n v="29926"/>
    <n v="1043"/>
    <n v="70"/>
    <n v="841.92"/>
    <n v="5944.01"/>
    <n v="3.49"/>
    <n v="6.71"/>
    <n v="12.03"/>
    <n v="7.06"/>
    <n v="5102.09"/>
  </r>
  <r>
    <x v="325"/>
    <s v="Affiliate Marketing"/>
    <s v="Flash Sale"/>
    <s v="Starter Kit"/>
    <n v="5624"/>
    <n v="367"/>
    <n v="33"/>
    <n v="471.37"/>
    <n v="3157.29"/>
    <n v="6.53"/>
    <n v="8.99"/>
    <n v="14.28"/>
    <n v="6.7"/>
    <n v="2685.92"/>
  </r>
  <r>
    <x v="325"/>
    <s v="Referral"/>
    <s v="Lead Generation"/>
    <s v="Basic Plan"/>
    <n v="4273"/>
    <n v="219"/>
    <n v="38"/>
    <n v="71.11"/>
    <n v="5198.6400000000003"/>
    <n v="5.13"/>
    <n v="17.350000000000001"/>
    <n v="1.87"/>
    <n v="73.11"/>
    <n v="5127.53"/>
  </r>
  <r>
    <x v="326"/>
    <s v="Google Ads"/>
    <s v="Product Launch"/>
    <s v="Enterprise Plan"/>
    <n v="11041"/>
    <n v="405"/>
    <n v="39"/>
    <n v="1188.4000000000001"/>
    <n v="5964.16"/>
    <n v="3.67"/>
    <n v="9.6300000000000008"/>
    <n v="30.47"/>
    <n v="5.0199999999999996"/>
    <n v="4775.76"/>
  </r>
  <r>
    <x v="326"/>
    <s v="Facebook Ads"/>
    <s v="Lead Generation"/>
    <s v="Premium Plan"/>
    <n v="13232"/>
    <n v="403"/>
    <n v="29"/>
    <n v="1199.72"/>
    <n v="3704.52"/>
    <n v="3.05"/>
    <n v="7.2"/>
    <n v="41.37"/>
    <n v="3.09"/>
    <n v="2504.8000000000002"/>
  </r>
  <r>
    <x v="326"/>
    <s v="Instagram Ads"/>
    <s v="Brand Awareness"/>
    <s v="Starter Kit"/>
    <n v="14185"/>
    <n v="537"/>
    <n v="29"/>
    <n v="910.93"/>
    <n v="2172.09"/>
    <n v="3.79"/>
    <n v="5.4"/>
    <n v="31.41"/>
    <n v="2.38"/>
    <n v="1261.1600000000001"/>
  </r>
  <r>
    <x v="326"/>
    <s v="LinkedIn Ads"/>
    <s v="Flash Sale"/>
    <s v="Enterprise Plan"/>
    <n v="3346"/>
    <n v="89"/>
    <n v="10"/>
    <n v="970.84"/>
    <n v="3055.7"/>
    <n v="2.66"/>
    <n v="11.24"/>
    <n v="97.08"/>
    <n v="3.15"/>
    <n v="2084.86"/>
  </r>
  <r>
    <x v="326"/>
    <s v="Email Marketing"/>
    <s v="Lead Generation"/>
    <s v="Starter Kit"/>
    <n v="23249"/>
    <n v="3546"/>
    <n v="299"/>
    <n v="245.91"/>
    <n v="38619.22"/>
    <n v="15.25"/>
    <n v="8.43"/>
    <n v="0.82"/>
    <n v="157.05000000000001"/>
    <n v="38373.31"/>
  </r>
  <r>
    <x v="326"/>
    <s v="Organic Search"/>
    <s v="Seasonal Promotion"/>
    <s v="Add-on Service"/>
    <n v="30735"/>
    <n v="1990"/>
    <n v="243"/>
    <n v="0"/>
    <n v="27936.68"/>
    <n v="6.47"/>
    <n v="12.21"/>
    <n v="0"/>
    <n v="0"/>
    <n v="27936.68"/>
  </r>
  <r>
    <x v="326"/>
    <s v="Display Ads"/>
    <s v="Brand Awareness"/>
    <s v="Starter Kit"/>
    <n v="32625"/>
    <n v="621"/>
    <n v="30"/>
    <n v="1001.6"/>
    <n v="3443.98"/>
    <n v="1.9"/>
    <n v="4.83"/>
    <n v="33.39"/>
    <n v="3.44"/>
    <n v="2442.38"/>
  </r>
  <r>
    <x v="326"/>
    <s v="YouTube Ads"/>
    <s v="Retargeting"/>
    <s v="Basic Plan"/>
    <n v="19586"/>
    <n v="441"/>
    <n v="34"/>
    <n v="952.24"/>
    <n v="4209.88"/>
    <n v="2.25"/>
    <n v="7.71"/>
    <n v="28.01"/>
    <n v="4.42"/>
    <n v="3257.64"/>
  </r>
  <r>
    <x v="326"/>
    <s v="Twitter Ads"/>
    <s v="Flash Sale"/>
    <s v="Starter Kit"/>
    <n v="11665"/>
    <n v="275"/>
    <n v="10"/>
    <n v="446.03"/>
    <n v="1139.31"/>
    <n v="2.36"/>
    <n v="3.64"/>
    <n v="44.6"/>
    <n v="2.5499999999999998"/>
    <n v="693.28"/>
  </r>
  <r>
    <x v="326"/>
    <s v="TikTok Ads"/>
    <s v="Lead Generation"/>
    <s v="Enterprise Plan"/>
    <n v="18399"/>
    <n v="560"/>
    <n v="32"/>
    <n v="927.41"/>
    <n v="2881.28"/>
    <n v="3.04"/>
    <n v="5.71"/>
    <n v="28.98"/>
    <n v="3.11"/>
    <n v="1953.87"/>
  </r>
  <r>
    <x v="326"/>
    <s v="Affiliate Marketing"/>
    <s v="Flash Sale"/>
    <s v="Starter Kit"/>
    <n v="7710"/>
    <n v="346"/>
    <n v="28"/>
    <n v="535.71"/>
    <n v="3906.81"/>
    <n v="4.49"/>
    <n v="8.09"/>
    <n v="19.13"/>
    <n v="7.29"/>
    <n v="3371.1"/>
  </r>
  <r>
    <x v="326"/>
    <s v="Referral"/>
    <s v="Flash Sale"/>
    <s v="Premium Plan"/>
    <n v="5496"/>
    <n v="458"/>
    <n v="76"/>
    <n v="92.92"/>
    <n v="10048.02"/>
    <n v="8.33"/>
    <n v="16.59"/>
    <n v="1.22"/>
    <n v="108.14"/>
    <n v="9955.1"/>
  </r>
  <r>
    <x v="327"/>
    <s v="Google Ads"/>
    <s v="Flash Sale"/>
    <s v="Premium Plan"/>
    <n v="10222"/>
    <n v="380"/>
    <n v="39"/>
    <n v="988.71"/>
    <n v="6887.72"/>
    <n v="3.72"/>
    <n v="10.26"/>
    <n v="25.35"/>
    <n v="6.97"/>
    <n v="5899.01"/>
  </r>
  <r>
    <x v="327"/>
    <s v="Facebook Ads"/>
    <s v="Retargeting"/>
    <s v="Enterprise Plan"/>
    <n v="8911"/>
    <n v="184"/>
    <n v="15"/>
    <n v="738.71"/>
    <n v="2172.91"/>
    <n v="2.06"/>
    <n v="8.15"/>
    <n v="49.25"/>
    <n v="2.94"/>
    <n v="1434.2"/>
  </r>
  <r>
    <x v="327"/>
    <s v="Instagram Ads"/>
    <s v="Seasonal Promotion"/>
    <s v="Premium Plan"/>
    <n v="8969"/>
    <n v="261"/>
    <n v="16"/>
    <n v="500.66"/>
    <n v="1552.55"/>
    <n v="2.91"/>
    <n v="6.13"/>
    <n v="31.29"/>
    <n v="3.1"/>
    <n v="1051.8900000000001"/>
  </r>
  <r>
    <x v="327"/>
    <s v="LinkedIn Ads"/>
    <s v="Product Launch"/>
    <s v="Starter Kit"/>
    <n v="3903"/>
    <n v="112"/>
    <n v="11"/>
    <n v="1189.3800000000001"/>
    <n v="4110.5"/>
    <n v="2.87"/>
    <n v="9.82"/>
    <n v="108.13"/>
    <n v="3.46"/>
    <n v="2921.12"/>
  </r>
  <r>
    <x v="327"/>
    <s v="Email Marketing"/>
    <s v="Product Launch"/>
    <s v="Add-on Service"/>
    <n v="11429"/>
    <n v="2541"/>
    <n v="338"/>
    <n v="176.52"/>
    <n v="48958.74"/>
    <n v="22.23"/>
    <n v="13.3"/>
    <n v="0.52"/>
    <n v="277.36"/>
    <n v="48782.22"/>
  </r>
  <r>
    <x v="327"/>
    <s v="Organic Search"/>
    <s v="Seasonal Promotion"/>
    <s v="Add-on Service"/>
    <n v="14742"/>
    <n v="1038"/>
    <n v="151"/>
    <n v="0"/>
    <n v="22186.43"/>
    <n v="7.04"/>
    <n v="14.55"/>
    <n v="0"/>
    <n v="0"/>
    <n v="22186.43"/>
  </r>
  <r>
    <x v="327"/>
    <s v="Display Ads"/>
    <s v="Lead Generation"/>
    <s v="Premium Plan"/>
    <n v="26389"/>
    <n v="493"/>
    <n v="19"/>
    <n v="829.91"/>
    <n v="1653.22"/>
    <n v="1.87"/>
    <n v="3.85"/>
    <n v="43.68"/>
    <n v="1.99"/>
    <n v="823.31"/>
  </r>
  <r>
    <x v="327"/>
    <s v="YouTube Ads"/>
    <s v="Seasonal Promotion"/>
    <s v="Enterprise Plan"/>
    <n v="14806"/>
    <n v="319"/>
    <n v="13"/>
    <n v="772.08"/>
    <n v="1359.16"/>
    <n v="2.15"/>
    <n v="4.08"/>
    <n v="59.39"/>
    <n v="1.76"/>
    <n v="587.08000000000004"/>
  </r>
  <r>
    <x v="327"/>
    <s v="Twitter Ads"/>
    <s v="Flash Sale"/>
    <s v="Premium Plan"/>
    <n v="8474"/>
    <n v="282"/>
    <n v="15"/>
    <n v="391.29"/>
    <n v="1441.09"/>
    <n v="3.33"/>
    <n v="5.32"/>
    <n v="26.09"/>
    <n v="3.68"/>
    <n v="1049.8"/>
  </r>
  <r>
    <x v="327"/>
    <s v="TikTok Ads"/>
    <s v="Seasonal Promotion"/>
    <s v="Enterprise Plan"/>
    <n v="19426"/>
    <n v="781"/>
    <n v="49"/>
    <n v="663.51"/>
    <n v="4554.37"/>
    <n v="4.0199999999999996"/>
    <n v="6.27"/>
    <n v="13.54"/>
    <n v="6.86"/>
    <n v="3890.86"/>
  </r>
  <r>
    <x v="327"/>
    <s v="Affiliate Marketing"/>
    <s v="Brand Awareness"/>
    <s v="Premium Plan"/>
    <n v="3558"/>
    <n v="182"/>
    <n v="20"/>
    <n v="486.13"/>
    <n v="2118.35"/>
    <n v="5.12"/>
    <n v="10.99"/>
    <n v="24.31"/>
    <n v="4.3600000000000003"/>
    <n v="1632.22"/>
  </r>
  <r>
    <x v="327"/>
    <s v="Referral"/>
    <s v="Retargeting"/>
    <s v="Enterprise Plan"/>
    <n v="2572"/>
    <n v="194"/>
    <n v="32"/>
    <n v="76.260000000000005"/>
    <n v="4314.2700000000004"/>
    <n v="7.54"/>
    <n v="16.489999999999998"/>
    <n v="2.38"/>
    <n v="56.57"/>
    <n v="4238.01"/>
  </r>
  <r>
    <x v="328"/>
    <s v="Google Ads"/>
    <s v="Retargeting"/>
    <s v="Add-on Service"/>
    <n v="7928"/>
    <n v="315"/>
    <n v="29"/>
    <n v="1048.2"/>
    <n v="3845.39"/>
    <n v="3.97"/>
    <n v="9.2100000000000009"/>
    <n v="36.14"/>
    <n v="3.67"/>
    <n v="2797.19"/>
  </r>
  <r>
    <x v="328"/>
    <s v="Facebook Ads"/>
    <s v="Brand Awareness"/>
    <s v="Enterprise Plan"/>
    <n v="8765"/>
    <n v="314"/>
    <n v="23"/>
    <n v="701.33"/>
    <n v="2952.84"/>
    <n v="3.58"/>
    <n v="7.32"/>
    <n v="30.49"/>
    <n v="4.21"/>
    <n v="2251.5100000000002"/>
  </r>
  <r>
    <x v="328"/>
    <s v="Instagram Ads"/>
    <s v="Product Launch"/>
    <s v="Basic Plan"/>
    <n v="12105"/>
    <n v="456"/>
    <n v="25"/>
    <n v="676.95"/>
    <n v="2874.39"/>
    <n v="3.77"/>
    <n v="5.48"/>
    <n v="27.08"/>
    <n v="4.25"/>
    <n v="2197.44"/>
  </r>
  <r>
    <x v="328"/>
    <s v="LinkedIn Ads"/>
    <s v="Flash Sale"/>
    <s v="Add-on Service"/>
    <n v="4162"/>
    <n v="124"/>
    <n v="15"/>
    <n v="853.32"/>
    <n v="3367.58"/>
    <n v="2.98"/>
    <n v="12.1"/>
    <n v="56.89"/>
    <n v="3.95"/>
    <n v="2514.2600000000002"/>
  </r>
  <r>
    <x v="328"/>
    <s v="Email Marketing"/>
    <s v="Flash Sale"/>
    <s v="Premium Plan"/>
    <n v="14261"/>
    <n v="2978"/>
    <n v="329"/>
    <n v="138.77000000000001"/>
    <n v="54830.55"/>
    <n v="20.88"/>
    <n v="11.05"/>
    <n v="0.42"/>
    <n v="395.12"/>
    <n v="54691.78"/>
  </r>
  <r>
    <x v="328"/>
    <s v="Organic Search"/>
    <s v="Seasonal Promotion"/>
    <s v="Basic Plan"/>
    <n v="20237"/>
    <n v="1136"/>
    <n v="145"/>
    <n v="0"/>
    <n v="18676.96"/>
    <n v="5.61"/>
    <n v="12.76"/>
    <n v="0"/>
    <n v="0"/>
    <n v="18676.96"/>
  </r>
  <r>
    <x v="328"/>
    <s v="Display Ads"/>
    <s v="Lead Generation"/>
    <s v="Enterprise Plan"/>
    <n v="24441"/>
    <n v="305"/>
    <n v="13"/>
    <n v="634.79"/>
    <n v="1248.24"/>
    <n v="1.25"/>
    <n v="4.26"/>
    <n v="48.83"/>
    <n v="1.97"/>
    <n v="613.45000000000005"/>
  </r>
  <r>
    <x v="328"/>
    <s v="YouTube Ads"/>
    <s v="Lead Generation"/>
    <s v="Add-on Service"/>
    <n v="14802"/>
    <n v="334"/>
    <n v="15"/>
    <n v="841.34"/>
    <n v="1638.01"/>
    <n v="2.2599999999999998"/>
    <n v="4.49"/>
    <n v="56.09"/>
    <n v="1.95"/>
    <n v="796.67"/>
  </r>
  <r>
    <x v="328"/>
    <s v="Twitter Ads"/>
    <s v="Brand Awareness"/>
    <s v="Starter Kit"/>
    <n v="6958"/>
    <n v="149"/>
    <n v="4"/>
    <n v="454.76"/>
    <n v="392.71"/>
    <n v="2.14"/>
    <n v="2.68"/>
    <n v="113.69"/>
    <n v="0.86"/>
    <n v="-62.05"/>
  </r>
  <r>
    <x v="328"/>
    <s v="TikTok Ads"/>
    <s v="Flash Sale"/>
    <s v="Add-on Service"/>
    <n v="18778"/>
    <n v="746"/>
    <n v="51"/>
    <n v="742.91"/>
    <n v="3894.86"/>
    <n v="3.97"/>
    <n v="6.84"/>
    <n v="14.57"/>
    <n v="5.24"/>
    <n v="3151.95"/>
  </r>
  <r>
    <x v="328"/>
    <s v="Affiliate Marketing"/>
    <s v="Flash Sale"/>
    <s v="Basic Plan"/>
    <n v="6500"/>
    <n v="361"/>
    <n v="30"/>
    <n v="480.34"/>
    <n v="3356.95"/>
    <n v="5.55"/>
    <n v="8.31"/>
    <n v="16.010000000000002"/>
    <n v="6.99"/>
    <n v="2876.61"/>
  </r>
  <r>
    <x v="328"/>
    <s v="Referral"/>
    <s v="Flash Sale"/>
    <s v="Basic Plan"/>
    <n v="2464"/>
    <n v="177"/>
    <n v="31"/>
    <n v="78.44"/>
    <n v="5435.77"/>
    <n v="7.18"/>
    <n v="17.510000000000002"/>
    <n v="2.5299999999999998"/>
    <n v="69.3"/>
    <n v="5357.33"/>
  </r>
  <r>
    <x v="329"/>
    <s v="Google Ads"/>
    <s v="Product Launch"/>
    <s v="Enterprise Plan"/>
    <n v="14471"/>
    <n v="444"/>
    <n v="44"/>
    <n v="1344.16"/>
    <n v="6972.21"/>
    <n v="3.07"/>
    <n v="9.91"/>
    <n v="30.55"/>
    <n v="5.19"/>
    <n v="5628.05"/>
  </r>
  <r>
    <x v="329"/>
    <s v="Facebook Ads"/>
    <s v="Product Launch"/>
    <s v="Add-on Service"/>
    <n v="14241"/>
    <n v="338"/>
    <n v="23"/>
    <n v="936.27"/>
    <n v="2993.25"/>
    <n v="2.37"/>
    <n v="6.8"/>
    <n v="40.71"/>
    <n v="3.2"/>
    <n v="2056.98"/>
  </r>
  <r>
    <x v="329"/>
    <s v="Instagram Ads"/>
    <s v="Flash Sale"/>
    <s v="Starter Kit"/>
    <n v="10590"/>
    <n v="457"/>
    <n v="20"/>
    <n v="503.1"/>
    <n v="2253.0700000000002"/>
    <n v="4.32"/>
    <n v="4.38"/>
    <n v="25.16"/>
    <n v="4.4800000000000004"/>
    <n v="1749.97"/>
  </r>
  <r>
    <x v="329"/>
    <s v="LinkedIn Ads"/>
    <s v="Product Launch"/>
    <s v="Premium Plan"/>
    <n v="5170"/>
    <n v="108"/>
    <n v="16"/>
    <n v="1795.99"/>
    <n v="5501.38"/>
    <n v="2.09"/>
    <n v="14.81"/>
    <n v="112.25"/>
    <n v="3.06"/>
    <n v="3705.39"/>
  </r>
  <r>
    <x v="329"/>
    <s v="Email Marketing"/>
    <s v="Brand Awareness"/>
    <s v="Enterprise Plan"/>
    <n v="19777"/>
    <n v="4679"/>
    <n v="568"/>
    <n v="285.64999999999998"/>
    <n v="66501.509999999995"/>
    <n v="23.66"/>
    <n v="12.14"/>
    <n v="0.5"/>
    <n v="232.81"/>
    <n v="66215.86"/>
  </r>
  <r>
    <x v="329"/>
    <s v="Organic Search"/>
    <s v="Product Launch"/>
    <s v="Starter Kit"/>
    <n v="27130"/>
    <n v="1267"/>
    <n v="162"/>
    <n v="0"/>
    <n v="26167.16"/>
    <n v="4.67"/>
    <n v="12.79"/>
    <n v="0"/>
    <n v="0"/>
    <n v="26167.16"/>
  </r>
  <r>
    <x v="329"/>
    <s v="Display Ads"/>
    <s v="Retargeting"/>
    <s v="Add-on Service"/>
    <n v="33851"/>
    <n v="612"/>
    <n v="30"/>
    <n v="1118.51"/>
    <n v="3159.28"/>
    <n v="1.81"/>
    <n v="4.9000000000000004"/>
    <n v="37.28"/>
    <n v="2.82"/>
    <n v="2040.77"/>
  </r>
  <r>
    <x v="329"/>
    <s v="YouTube Ads"/>
    <s v="Seasonal Promotion"/>
    <s v="Premium Plan"/>
    <n v="22033"/>
    <n v="403"/>
    <n v="25"/>
    <n v="1222.8800000000001"/>
    <n v="3265.2"/>
    <n v="1.83"/>
    <n v="6.2"/>
    <n v="48.92"/>
    <n v="2.67"/>
    <n v="2042.32"/>
  </r>
  <r>
    <x v="329"/>
    <s v="Twitter Ads"/>
    <s v="Retargeting"/>
    <s v="Add-on Service"/>
    <n v="10589"/>
    <n v="239"/>
    <n v="9"/>
    <n v="632.05999999999995"/>
    <n v="973.25"/>
    <n v="2.2599999999999998"/>
    <n v="3.77"/>
    <n v="70.23"/>
    <n v="1.54"/>
    <n v="341.19"/>
  </r>
  <r>
    <x v="329"/>
    <s v="TikTok Ads"/>
    <s v="Flash Sale"/>
    <s v="Add-on Service"/>
    <n v="28870"/>
    <n v="1272"/>
    <n v="76"/>
    <n v="661.89"/>
    <n v="7775.54"/>
    <n v="4.41"/>
    <n v="5.97"/>
    <n v="8.7100000000000009"/>
    <n v="11.75"/>
    <n v="7113.65"/>
  </r>
  <r>
    <x v="329"/>
    <s v="Affiliate Marketing"/>
    <s v="Product Launch"/>
    <s v="Starter Kit"/>
    <n v="7337"/>
    <n v="428"/>
    <n v="49"/>
    <n v="625.07000000000005"/>
    <n v="6092.58"/>
    <n v="5.83"/>
    <n v="11.45"/>
    <n v="12.76"/>
    <n v="9.75"/>
    <n v="5467.51"/>
  </r>
  <r>
    <x v="329"/>
    <s v="Referral"/>
    <s v="Seasonal Promotion"/>
    <s v="Enterprise Plan"/>
    <n v="5582"/>
    <n v="393"/>
    <n v="63"/>
    <n v="63.81"/>
    <n v="11863.12"/>
    <n v="7.04"/>
    <n v="16.03"/>
    <n v="1.01"/>
    <n v="185.91"/>
    <n v="11799.31"/>
  </r>
  <r>
    <x v="330"/>
    <s v="Google Ads"/>
    <s v="Flash Sale"/>
    <s v="Premium Plan"/>
    <n v="12844"/>
    <n v="462"/>
    <n v="50"/>
    <n v="1047.17"/>
    <n v="6598.96"/>
    <n v="3.6"/>
    <n v="10.82"/>
    <n v="20.94"/>
    <n v="6.3"/>
    <n v="5551.79"/>
  </r>
  <r>
    <x v="330"/>
    <s v="Facebook Ads"/>
    <s v="Lead Generation"/>
    <s v="Starter Kit"/>
    <n v="18624"/>
    <n v="388"/>
    <n v="23"/>
    <n v="944.21"/>
    <n v="2307.4899999999998"/>
    <n v="2.08"/>
    <n v="5.93"/>
    <n v="41.05"/>
    <n v="2.44"/>
    <n v="1363.28"/>
  </r>
  <r>
    <x v="330"/>
    <s v="Instagram Ads"/>
    <s v="Brand Awareness"/>
    <s v="Premium Plan"/>
    <n v="16574"/>
    <n v="461"/>
    <n v="36"/>
    <n v="928.2"/>
    <n v="3294.37"/>
    <n v="2.78"/>
    <n v="7.81"/>
    <n v="25.78"/>
    <n v="3.55"/>
    <n v="2366.17"/>
  </r>
  <r>
    <x v="330"/>
    <s v="LinkedIn Ads"/>
    <s v="Retargeting"/>
    <s v="Basic Plan"/>
    <n v="4476"/>
    <n v="96"/>
    <n v="10"/>
    <n v="1126.3"/>
    <n v="2460.34"/>
    <n v="2.14"/>
    <n v="10.42"/>
    <n v="112.63"/>
    <n v="2.1800000000000002"/>
    <n v="1334.04"/>
  </r>
  <r>
    <x v="330"/>
    <s v="Email Marketing"/>
    <s v="Product Launch"/>
    <s v="Premium Plan"/>
    <n v="22315"/>
    <n v="4501"/>
    <n v="599"/>
    <n v="140.41"/>
    <n v="82894.179999999993"/>
    <n v="20.170000000000002"/>
    <n v="13.31"/>
    <n v="0.23"/>
    <n v="590.37"/>
    <n v="82753.77"/>
  </r>
  <r>
    <x v="330"/>
    <s v="Organic Search"/>
    <s v="Brand Awareness"/>
    <s v="Basic Plan"/>
    <n v="24826"/>
    <n v="1304"/>
    <n v="207"/>
    <n v="0"/>
    <n v="25227.16"/>
    <n v="5.25"/>
    <n v="15.87"/>
    <n v="0"/>
    <n v="0"/>
    <n v="25227.16"/>
  </r>
  <r>
    <x v="330"/>
    <s v="Display Ads"/>
    <s v="Product Launch"/>
    <s v="Premium Plan"/>
    <n v="38827"/>
    <n v="604"/>
    <n v="21"/>
    <n v="1070.97"/>
    <n v="1657.3"/>
    <n v="1.56"/>
    <n v="3.48"/>
    <n v="51"/>
    <n v="1.55"/>
    <n v="586.33000000000004"/>
  </r>
  <r>
    <x v="330"/>
    <s v="YouTube Ads"/>
    <s v="Flash Sale"/>
    <s v="Basic Plan"/>
    <n v="23652"/>
    <n v="572"/>
    <n v="44"/>
    <n v="1073.47"/>
    <n v="4712.0200000000004"/>
    <n v="2.42"/>
    <n v="7.69"/>
    <n v="24.4"/>
    <n v="4.3899999999999997"/>
    <n v="3638.55"/>
  </r>
  <r>
    <x v="330"/>
    <s v="Twitter Ads"/>
    <s v="Retargeting"/>
    <s v="Basic Plan"/>
    <n v="11115"/>
    <n v="266"/>
    <n v="14"/>
    <n v="480.49"/>
    <n v="1134.75"/>
    <n v="2.39"/>
    <n v="5.26"/>
    <n v="34.32"/>
    <n v="2.36"/>
    <n v="654.26"/>
  </r>
  <r>
    <x v="330"/>
    <s v="TikTok Ads"/>
    <s v="Lead Generation"/>
    <s v="Add-on Service"/>
    <n v="26711"/>
    <n v="827"/>
    <n v="26"/>
    <n v="682.14"/>
    <n v="2421.79"/>
    <n v="3.1"/>
    <n v="3.14"/>
    <n v="26.24"/>
    <n v="3.55"/>
    <n v="1739.65"/>
  </r>
  <r>
    <x v="330"/>
    <s v="Affiliate Marketing"/>
    <s v="Flash Sale"/>
    <s v="Premium Plan"/>
    <n v="8210"/>
    <n v="496"/>
    <n v="62"/>
    <n v="576.5"/>
    <n v="9091.5300000000007"/>
    <n v="6.04"/>
    <n v="12.5"/>
    <n v="9.3000000000000007"/>
    <n v="15.77"/>
    <n v="8515.0300000000007"/>
  </r>
  <r>
    <x v="330"/>
    <s v="Referral"/>
    <s v="Product Launch"/>
    <s v="Starter Kit"/>
    <n v="6243"/>
    <n v="484"/>
    <n v="77"/>
    <n v="78.709999999999994"/>
    <n v="11266.73"/>
    <n v="7.75"/>
    <n v="15.91"/>
    <n v="1.02"/>
    <n v="143.13999999999999"/>
    <n v="11188.02"/>
  </r>
  <r>
    <x v="331"/>
    <s v="Google Ads"/>
    <s v="Flash Sale"/>
    <s v="Add-on Service"/>
    <n v="10828"/>
    <n v="347"/>
    <n v="33"/>
    <n v="901.03"/>
    <n v="4653.07"/>
    <n v="3.2"/>
    <n v="9.51"/>
    <n v="27.3"/>
    <n v="5.16"/>
    <n v="3752.04"/>
  </r>
  <r>
    <x v="331"/>
    <s v="Facebook Ads"/>
    <s v="Lead Generation"/>
    <s v="Starter Kit"/>
    <n v="18245"/>
    <n v="640"/>
    <n v="52"/>
    <n v="708.02"/>
    <n v="5070.24"/>
    <n v="3.51"/>
    <n v="8.1199999999999992"/>
    <n v="13.62"/>
    <n v="7.16"/>
    <n v="4362.22"/>
  </r>
  <r>
    <x v="331"/>
    <s v="Instagram Ads"/>
    <s v="Product Launch"/>
    <s v="Starter Kit"/>
    <n v="13192"/>
    <n v="522"/>
    <n v="25"/>
    <n v="916.96"/>
    <n v="2176.73"/>
    <n v="3.96"/>
    <n v="4.79"/>
    <n v="36.68"/>
    <n v="2.37"/>
    <n v="1259.77"/>
  </r>
  <r>
    <x v="331"/>
    <s v="LinkedIn Ads"/>
    <s v="Retargeting"/>
    <s v="Premium Plan"/>
    <n v="4557"/>
    <n v="82"/>
    <n v="12"/>
    <n v="1112.57"/>
    <n v="3529.86"/>
    <n v="1.8"/>
    <n v="14.63"/>
    <n v="92.71"/>
    <n v="3.17"/>
    <n v="2417.29"/>
  </r>
  <r>
    <x v="331"/>
    <s v="Email Marketing"/>
    <s v="Product Launch"/>
    <s v="Basic Plan"/>
    <n v="17155"/>
    <n v="3141"/>
    <n v="295"/>
    <n v="141.55000000000001"/>
    <n v="44577.94"/>
    <n v="18.309999999999999"/>
    <n v="9.39"/>
    <n v="0.48"/>
    <n v="314.93"/>
    <n v="44436.39"/>
  </r>
  <r>
    <x v="331"/>
    <s v="Organic Search"/>
    <s v="Brand Awareness"/>
    <s v="Premium Plan"/>
    <n v="23818"/>
    <n v="1128"/>
    <n v="114"/>
    <n v="0"/>
    <n v="14129.78"/>
    <n v="4.74"/>
    <n v="10.11"/>
    <n v="0"/>
    <n v="0"/>
    <n v="14129.78"/>
  </r>
  <r>
    <x v="331"/>
    <s v="Display Ads"/>
    <s v="Lead Generation"/>
    <s v="Add-on Service"/>
    <n v="29086"/>
    <n v="553"/>
    <n v="22"/>
    <n v="976.54"/>
    <n v="2322.0300000000002"/>
    <n v="1.9"/>
    <n v="3.98"/>
    <n v="44.39"/>
    <n v="2.38"/>
    <n v="1345.49"/>
  </r>
  <r>
    <x v="331"/>
    <s v="YouTube Ads"/>
    <s v="Flash Sale"/>
    <s v="Enterprise Plan"/>
    <n v="17015"/>
    <n v="294"/>
    <n v="15"/>
    <n v="1182.73"/>
    <n v="2020.51"/>
    <n v="1.73"/>
    <n v="5.0999999999999996"/>
    <n v="78.849999999999994"/>
    <n v="1.71"/>
    <n v="837.78"/>
  </r>
  <r>
    <x v="331"/>
    <s v="Twitter Ads"/>
    <s v="Retargeting"/>
    <s v="Add-on Service"/>
    <n v="10609"/>
    <n v="294"/>
    <n v="14"/>
    <n v="404.45"/>
    <n v="1163.73"/>
    <n v="2.77"/>
    <n v="4.76"/>
    <n v="28.89"/>
    <n v="2.88"/>
    <n v="759.28"/>
  </r>
  <r>
    <x v="331"/>
    <s v="TikTok Ads"/>
    <s v="Product Launch"/>
    <s v="Enterprise Plan"/>
    <n v="18790"/>
    <n v="593"/>
    <n v="18"/>
    <n v="673.85"/>
    <n v="1381.49"/>
    <n v="3.16"/>
    <n v="3.04"/>
    <n v="37.44"/>
    <n v="2.0499999999999998"/>
    <n v="707.64"/>
  </r>
  <r>
    <x v="331"/>
    <s v="Affiliate Marketing"/>
    <s v="Retargeting"/>
    <s v="Add-on Service"/>
    <n v="5278"/>
    <n v="361"/>
    <n v="36"/>
    <n v="693.67"/>
    <n v="4751.83"/>
    <n v="6.84"/>
    <n v="9.9700000000000006"/>
    <n v="19.27"/>
    <n v="6.85"/>
    <n v="4058.16"/>
  </r>
  <r>
    <x v="331"/>
    <s v="Referral"/>
    <s v="Flash Sale"/>
    <s v="Add-on Service"/>
    <n v="4833"/>
    <n v="316"/>
    <n v="42"/>
    <n v="178.97"/>
    <n v="5277.84"/>
    <n v="6.54"/>
    <n v="13.29"/>
    <n v="4.26"/>
    <n v="29.49"/>
    <n v="5098.87"/>
  </r>
  <r>
    <x v="332"/>
    <s v="Google Ads"/>
    <s v="Seasonal Promotion"/>
    <s v="Starter Kit"/>
    <n v="11420"/>
    <n v="377"/>
    <n v="41"/>
    <n v="1071.07"/>
    <n v="5022.82"/>
    <n v="3.3"/>
    <n v="10.88"/>
    <n v="26.12"/>
    <n v="4.6900000000000004"/>
    <n v="3951.75"/>
  </r>
  <r>
    <x v="332"/>
    <s v="Facebook Ads"/>
    <s v="Retargeting"/>
    <s v="Enterprise Plan"/>
    <n v="12355"/>
    <n v="436"/>
    <n v="37"/>
    <n v="938.27"/>
    <n v="4770.2"/>
    <n v="3.53"/>
    <n v="8.49"/>
    <n v="25.36"/>
    <n v="5.08"/>
    <n v="3831.93"/>
  </r>
  <r>
    <x v="332"/>
    <s v="Instagram Ads"/>
    <s v="Seasonal Promotion"/>
    <s v="Basic Plan"/>
    <n v="13879"/>
    <n v="438"/>
    <n v="26"/>
    <n v="694.6"/>
    <n v="3194.83"/>
    <n v="3.16"/>
    <n v="5.94"/>
    <n v="26.72"/>
    <n v="4.5999999999999996"/>
    <n v="2500.23"/>
  </r>
  <r>
    <x v="332"/>
    <s v="LinkedIn Ads"/>
    <s v="Product Launch"/>
    <s v="Basic Plan"/>
    <n v="5582"/>
    <n v="132"/>
    <n v="17"/>
    <n v="1227.5899999999999"/>
    <n v="3741.97"/>
    <n v="2.36"/>
    <n v="12.88"/>
    <n v="72.209999999999994"/>
    <n v="3.05"/>
    <n v="2514.38"/>
  </r>
  <r>
    <x v="332"/>
    <s v="Email Marketing"/>
    <s v="Product Launch"/>
    <s v="Basic Plan"/>
    <n v="23968"/>
    <n v="4674"/>
    <n v="375"/>
    <n v="277.75"/>
    <n v="40775.49"/>
    <n v="19.5"/>
    <n v="8.02"/>
    <n v="0.74"/>
    <n v="146.81"/>
    <n v="40497.74"/>
  </r>
  <r>
    <x v="332"/>
    <s v="Organic Search"/>
    <s v="Retargeting"/>
    <s v="Enterprise Plan"/>
    <n v="20939"/>
    <n v="1159"/>
    <n v="159"/>
    <n v="0"/>
    <n v="25312.63"/>
    <n v="5.54"/>
    <n v="13.72"/>
    <n v="0"/>
    <n v="0"/>
    <n v="25312.63"/>
  </r>
  <r>
    <x v="332"/>
    <s v="Display Ads"/>
    <s v="Product Launch"/>
    <s v="Premium Plan"/>
    <n v="28185"/>
    <n v="306"/>
    <n v="6"/>
    <n v="870.87"/>
    <n v="628.26"/>
    <n v="1.0900000000000001"/>
    <n v="1.96"/>
    <n v="145.15"/>
    <n v="0.72"/>
    <n v="-242.61"/>
  </r>
  <r>
    <x v="332"/>
    <s v="YouTube Ads"/>
    <s v="Lead Generation"/>
    <s v="Enterprise Plan"/>
    <n v="16469"/>
    <n v="290"/>
    <n v="14"/>
    <n v="953.74"/>
    <n v="1709.99"/>
    <n v="1.76"/>
    <n v="4.83"/>
    <n v="68.12"/>
    <n v="1.79"/>
    <n v="756.25"/>
  </r>
  <r>
    <x v="332"/>
    <s v="Twitter Ads"/>
    <s v="Product Launch"/>
    <s v="Starter Kit"/>
    <n v="9813"/>
    <n v="294"/>
    <n v="13"/>
    <n v="453.95"/>
    <n v="1144.6199999999999"/>
    <n v="3"/>
    <n v="4.42"/>
    <n v="34.92"/>
    <n v="2.52"/>
    <n v="690.67"/>
  </r>
  <r>
    <x v="332"/>
    <s v="TikTok Ads"/>
    <s v="Lead Generation"/>
    <s v="Add-on Service"/>
    <n v="20418"/>
    <n v="630"/>
    <n v="35"/>
    <n v="1000.36"/>
    <n v="3040.39"/>
    <n v="3.09"/>
    <n v="5.56"/>
    <n v="28.58"/>
    <n v="3.04"/>
    <n v="2040.03"/>
  </r>
  <r>
    <x v="332"/>
    <s v="Affiliate Marketing"/>
    <s v="Lead Generation"/>
    <s v="Add-on Service"/>
    <n v="8235"/>
    <n v="350"/>
    <n v="36"/>
    <n v="330.74"/>
    <n v="4876.08"/>
    <n v="4.25"/>
    <n v="10.29"/>
    <n v="9.19"/>
    <n v="14.74"/>
    <n v="4545.34"/>
  </r>
  <r>
    <x v="332"/>
    <s v="Referral"/>
    <s v="Product Launch"/>
    <s v="Basic Plan"/>
    <n v="4646"/>
    <n v="250"/>
    <n v="39"/>
    <n v="188.69"/>
    <n v="6101.75"/>
    <n v="5.38"/>
    <n v="15.6"/>
    <n v="4.84"/>
    <n v="32.340000000000003"/>
    <n v="5913.06"/>
  </r>
  <r>
    <x v="333"/>
    <s v="Google Ads"/>
    <s v="Lead Generation"/>
    <s v="Basic Plan"/>
    <n v="11334"/>
    <n v="523"/>
    <n v="48"/>
    <n v="1224.8800000000001"/>
    <n v="7061.51"/>
    <n v="4.6100000000000003"/>
    <n v="9.18"/>
    <n v="25.52"/>
    <n v="5.77"/>
    <n v="5836.63"/>
  </r>
  <r>
    <x v="333"/>
    <s v="Facebook Ads"/>
    <s v="Lead Generation"/>
    <s v="Basic Plan"/>
    <n v="13183"/>
    <n v="493"/>
    <n v="33"/>
    <n v="691.02"/>
    <n v="3691.22"/>
    <n v="3.74"/>
    <n v="6.69"/>
    <n v="20.94"/>
    <n v="5.34"/>
    <n v="3000.2"/>
  </r>
  <r>
    <x v="333"/>
    <s v="Instagram Ads"/>
    <s v="Brand Awareness"/>
    <s v="Premium Plan"/>
    <n v="14067"/>
    <n v="576"/>
    <n v="26"/>
    <n v="862.54"/>
    <n v="2505.04"/>
    <n v="4.09"/>
    <n v="4.51"/>
    <n v="33.17"/>
    <n v="2.9"/>
    <n v="1642.5"/>
  </r>
  <r>
    <x v="333"/>
    <s v="LinkedIn Ads"/>
    <s v="Product Launch"/>
    <s v="Add-on Service"/>
    <n v="4562"/>
    <n v="100"/>
    <n v="14"/>
    <n v="1298.93"/>
    <n v="4389.8500000000004"/>
    <n v="2.19"/>
    <n v="14"/>
    <n v="92.78"/>
    <n v="3.38"/>
    <n v="3090.92"/>
  </r>
  <r>
    <x v="333"/>
    <s v="Email Marketing"/>
    <s v="Lead Generation"/>
    <s v="Starter Kit"/>
    <n v="22986"/>
    <n v="4201"/>
    <n v="395"/>
    <n v="115.3"/>
    <n v="64509.03"/>
    <n v="18.28"/>
    <n v="9.4"/>
    <n v="0.28999999999999998"/>
    <n v="559.49"/>
    <n v="64393.73"/>
  </r>
  <r>
    <x v="333"/>
    <s v="Organic Search"/>
    <s v="Product Launch"/>
    <s v="Enterprise Plan"/>
    <n v="34462"/>
    <n v="2178"/>
    <n v="311"/>
    <n v="0"/>
    <n v="32346.14"/>
    <n v="6.32"/>
    <n v="14.28"/>
    <n v="0"/>
    <n v="0"/>
    <n v="32346.14"/>
  </r>
  <r>
    <x v="333"/>
    <s v="Display Ads"/>
    <s v="Lead Generation"/>
    <s v="Basic Plan"/>
    <n v="35041"/>
    <n v="619"/>
    <n v="27"/>
    <n v="856.26"/>
    <n v="2826.87"/>
    <n v="1.77"/>
    <n v="4.3600000000000003"/>
    <n v="31.71"/>
    <n v="3.3"/>
    <n v="1970.61"/>
  </r>
  <r>
    <x v="333"/>
    <s v="YouTube Ads"/>
    <s v="Seasonal Promotion"/>
    <s v="Premium Plan"/>
    <n v="16753"/>
    <n v="362"/>
    <n v="23"/>
    <n v="1116.1300000000001"/>
    <n v="2173.33"/>
    <n v="2.16"/>
    <n v="6.35"/>
    <n v="48.53"/>
    <n v="1.95"/>
    <n v="1057.2"/>
  </r>
  <r>
    <x v="333"/>
    <s v="Twitter Ads"/>
    <s v="Flash Sale"/>
    <s v="Enterprise Plan"/>
    <n v="11294"/>
    <n v="277"/>
    <n v="8"/>
    <n v="479.8"/>
    <n v="633.09"/>
    <n v="2.4500000000000002"/>
    <n v="2.89"/>
    <n v="59.98"/>
    <n v="1.32"/>
    <n v="153.29"/>
  </r>
  <r>
    <x v="333"/>
    <s v="TikTok Ads"/>
    <s v="Product Launch"/>
    <s v="Basic Plan"/>
    <n v="20811"/>
    <n v="646"/>
    <n v="31"/>
    <n v="1022.65"/>
    <n v="3127.57"/>
    <n v="3.1"/>
    <n v="4.8"/>
    <n v="32.99"/>
    <n v="3.06"/>
    <n v="2104.92"/>
  </r>
  <r>
    <x v="333"/>
    <s v="Affiliate Marketing"/>
    <s v="Product Launch"/>
    <s v="Starter Kit"/>
    <n v="9910"/>
    <n v="554"/>
    <n v="45"/>
    <n v="567.9"/>
    <n v="4988.2700000000004"/>
    <n v="5.59"/>
    <n v="8.1199999999999992"/>
    <n v="12.62"/>
    <n v="8.7799999999999994"/>
    <n v="4420.37"/>
  </r>
  <r>
    <x v="333"/>
    <s v="Referral"/>
    <s v="Seasonal Promotion"/>
    <s v="Basic Plan"/>
    <n v="4822"/>
    <n v="407"/>
    <n v="67"/>
    <n v="109.04"/>
    <n v="8508.4"/>
    <n v="8.44"/>
    <n v="16.46"/>
    <n v="1.63"/>
    <n v="78.03"/>
    <n v="8399.36"/>
  </r>
  <r>
    <x v="334"/>
    <s v="Google Ads"/>
    <s v="Seasonal Promotion"/>
    <s v="Enterprise Plan"/>
    <n v="7387"/>
    <n v="259"/>
    <n v="20"/>
    <n v="578.05999999999995"/>
    <n v="2978.34"/>
    <n v="3.51"/>
    <n v="7.72"/>
    <n v="28.9"/>
    <n v="5.15"/>
    <n v="2400.2800000000002"/>
  </r>
  <r>
    <x v="334"/>
    <s v="Facebook Ads"/>
    <s v="Brand Awareness"/>
    <s v="Premium Plan"/>
    <n v="13913"/>
    <n v="503"/>
    <n v="28"/>
    <n v="619.44000000000005"/>
    <n v="3474.57"/>
    <n v="3.62"/>
    <n v="5.57"/>
    <n v="22.12"/>
    <n v="5.61"/>
    <n v="2855.13"/>
  </r>
  <r>
    <x v="334"/>
    <s v="Instagram Ads"/>
    <s v="Retargeting"/>
    <s v="Starter Kit"/>
    <n v="9635"/>
    <n v="387"/>
    <n v="22"/>
    <n v="487.65"/>
    <n v="2171.5300000000002"/>
    <n v="4.0199999999999996"/>
    <n v="5.68"/>
    <n v="22.17"/>
    <n v="4.45"/>
    <n v="1683.88"/>
  </r>
  <r>
    <x v="334"/>
    <s v="LinkedIn Ads"/>
    <s v="Lead Generation"/>
    <s v="Starter Kit"/>
    <n v="3321"/>
    <n v="72"/>
    <n v="9"/>
    <n v="750.96"/>
    <n v="2288.85"/>
    <n v="2.17"/>
    <n v="12.5"/>
    <n v="83.44"/>
    <n v="3.05"/>
    <n v="1537.89"/>
  </r>
  <r>
    <x v="334"/>
    <s v="Email Marketing"/>
    <s v="Product Launch"/>
    <s v="Basic Plan"/>
    <n v="16636"/>
    <n v="2704"/>
    <n v="325"/>
    <n v="88.39"/>
    <n v="46409.13"/>
    <n v="16.25"/>
    <n v="12.02"/>
    <n v="0.27"/>
    <n v="525.04999999999995"/>
    <n v="46320.74"/>
  </r>
  <r>
    <x v="334"/>
    <s v="Organic Search"/>
    <s v="Brand Awareness"/>
    <s v="Add-on Service"/>
    <n v="17908"/>
    <n v="1374"/>
    <n v="177"/>
    <n v="0"/>
    <n v="19534.759999999998"/>
    <n v="7.67"/>
    <n v="12.88"/>
    <n v="0"/>
    <n v="0"/>
    <n v="19534.759999999998"/>
  </r>
  <r>
    <x v="334"/>
    <s v="Display Ads"/>
    <s v="Seasonal Promotion"/>
    <s v="Enterprise Plan"/>
    <n v="20419"/>
    <n v="298"/>
    <n v="11"/>
    <n v="577.78"/>
    <n v="1201.98"/>
    <n v="1.46"/>
    <n v="3.69"/>
    <n v="52.53"/>
    <n v="2.08"/>
    <n v="624.20000000000005"/>
  </r>
  <r>
    <x v="334"/>
    <s v="YouTube Ads"/>
    <s v="Flash Sale"/>
    <s v="Enterprise Plan"/>
    <n v="11899"/>
    <n v="181"/>
    <n v="11"/>
    <n v="772.93"/>
    <n v="1654.81"/>
    <n v="1.52"/>
    <n v="6.08"/>
    <n v="70.27"/>
    <n v="2.14"/>
    <n v="881.88"/>
  </r>
  <r>
    <x v="334"/>
    <s v="Twitter Ads"/>
    <s v="Retargeting"/>
    <s v="Enterprise Plan"/>
    <n v="6913"/>
    <n v="189"/>
    <n v="6"/>
    <n v="512.49"/>
    <n v="514.72"/>
    <n v="2.73"/>
    <n v="3.17"/>
    <n v="85.42"/>
    <n v="1"/>
    <n v="2.23"/>
  </r>
  <r>
    <x v="334"/>
    <s v="TikTok Ads"/>
    <s v="Seasonal Promotion"/>
    <s v="Basic Plan"/>
    <n v="13178"/>
    <n v="468"/>
    <n v="22"/>
    <n v="739.08"/>
    <n v="2105.75"/>
    <n v="3.55"/>
    <n v="4.7"/>
    <n v="33.590000000000003"/>
    <n v="2.85"/>
    <n v="1366.67"/>
  </r>
  <r>
    <x v="334"/>
    <s v="Affiliate Marketing"/>
    <s v="Seasonal Promotion"/>
    <s v="Starter Kit"/>
    <n v="5869"/>
    <n v="392"/>
    <n v="39"/>
    <n v="215.57"/>
    <n v="4638.58"/>
    <n v="6.68"/>
    <n v="9.9499999999999993"/>
    <n v="5.53"/>
    <n v="21.52"/>
    <n v="4423.01"/>
  </r>
  <r>
    <x v="334"/>
    <s v="Referral"/>
    <s v="Product Launch"/>
    <s v="Premium Plan"/>
    <n v="2876"/>
    <n v="145"/>
    <n v="24"/>
    <n v="114.47"/>
    <n v="3187.69"/>
    <n v="5.04"/>
    <n v="16.55"/>
    <n v="4.7699999999999996"/>
    <n v="27.85"/>
    <n v="3073.22"/>
  </r>
  <r>
    <x v="335"/>
    <s v="Google Ads"/>
    <s v="Flash Sale"/>
    <s v="Starter Kit"/>
    <n v="7804"/>
    <n v="243"/>
    <n v="19"/>
    <n v="576.95000000000005"/>
    <n v="2802.58"/>
    <n v="3.11"/>
    <n v="7.82"/>
    <n v="30.37"/>
    <n v="4.8600000000000003"/>
    <n v="2225.63"/>
  </r>
  <r>
    <x v="335"/>
    <s v="Facebook Ads"/>
    <s v="Brand Awareness"/>
    <s v="Basic Plan"/>
    <n v="11206"/>
    <n v="331"/>
    <n v="27"/>
    <n v="421.31"/>
    <n v="2438.1799999999998"/>
    <n v="2.95"/>
    <n v="8.16"/>
    <n v="15.6"/>
    <n v="5.79"/>
    <n v="2016.87"/>
  </r>
  <r>
    <x v="335"/>
    <s v="Instagram Ads"/>
    <s v="Flash Sale"/>
    <s v="Add-on Service"/>
    <n v="6926"/>
    <n v="309"/>
    <n v="16"/>
    <n v="305.7"/>
    <n v="1798.65"/>
    <n v="4.46"/>
    <n v="5.18"/>
    <n v="19.11"/>
    <n v="5.88"/>
    <n v="1492.95"/>
  </r>
  <r>
    <x v="335"/>
    <s v="LinkedIn Ads"/>
    <s v="Brand Awareness"/>
    <s v="Enterprise Plan"/>
    <n v="2049"/>
    <n v="47"/>
    <n v="4"/>
    <n v="852.17"/>
    <n v="864.18"/>
    <n v="2.29"/>
    <n v="8.51"/>
    <n v="213.04"/>
    <n v="1.01"/>
    <n v="12.01"/>
  </r>
  <r>
    <x v="335"/>
    <s v="Email Marketing"/>
    <s v="Brand Awareness"/>
    <s v="Starter Kit"/>
    <n v="11469"/>
    <n v="2101"/>
    <n v="289"/>
    <n v="161.22999999999999"/>
    <n v="29817.58"/>
    <n v="18.32"/>
    <n v="13.76"/>
    <n v="0.56000000000000005"/>
    <n v="184.94"/>
    <n v="29656.35"/>
  </r>
  <r>
    <x v="335"/>
    <s v="Organic Search"/>
    <s v="Seasonal Promotion"/>
    <s v="Basic Plan"/>
    <n v="18856"/>
    <n v="886"/>
    <n v="132"/>
    <n v="0"/>
    <n v="17378.7"/>
    <n v="4.7"/>
    <n v="14.9"/>
    <n v="0"/>
    <n v="0"/>
    <n v="17378.7"/>
  </r>
  <r>
    <x v="335"/>
    <s v="Display Ads"/>
    <s v="Retargeting"/>
    <s v="Enterprise Plan"/>
    <n v="15153"/>
    <n v="226"/>
    <n v="5"/>
    <n v="585.16"/>
    <n v="503.56"/>
    <n v="1.49"/>
    <n v="2.21"/>
    <n v="117.03"/>
    <n v="0.86"/>
    <n v="-81.599999999999994"/>
  </r>
  <r>
    <x v="335"/>
    <s v="YouTube Ads"/>
    <s v="Brand Awareness"/>
    <s v="Enterprise Plan"/>
    <n v="10199"/>
    <n v="184"/>
    <n v="12"/>
    <n v="590.78"/>
    <n v="1384.44"/>
    <n v="1.8"/>
    <n v="6.52"/>
    <n v="49.23"/>
    <n v="2.34"/>
    <n v="793.66"/>
  </r>
  <r>
    <x v="335"/>
    <s v="Twitter Ads"/>
    <s v="Brand Awareness"/>
    <s v="Add-on Service"/>
    <n v="7370"/>
    <n v="232"/>
    <n v="12"/>
    <n v="263.63"/>
    <n v="1128.6300000000001"/>
    <n v="3.15"/>
    <n v="5.17"/>
    <n v="21.97"/>
    <n v="4.28"/>
    <n v="865"/>
  </r>
  <r>
    <x v="335"/>
    <s v="TikTok Ads"/>
    <s v="Flash Sale"/>
    <s v="Basic Plan"/>
    <n v="13266"/>
    <n v="526"/>
    <n v="19"/>
    <n v="442.15"/>
    <n v="1450.06"/>
    <n v="3.97"/>
    <n v="3.61"/>
    <n v="23.27"/>
    <n v="3.28"/>
    <n v="1007.91"/>
  </r>
  <r>
    <x v="335"/>
    <s v="Affiliate Marketing"/>
    <s v="Seasonal Promotion"/>
    <s v="Add-on Service"/>
    <n v="4431"/>
    <n v="201"/>
    <n v="25"/>
    <n v="214.08"/>
    <n v="3323.26"/>
    <n v="4.54"/>
    <n v="12.44"/>
    <n v="8.56"/>
    <n v="15.52"/>
    <n v="3109.18"/>
  </r>
  <r>
    <x v="335"/>
    <s v="Referral"/>
    <s v="Lead Generation"/>
    <s v="Enterprise Plan"/>
    <n v="3030"/>
    <n v="268"/>
    <n v="47"/>
    <n v="107.06"/>
    <n v="8294.39"/>
    <n v="8.84"/>
    <n v="17.54"/>
    <n v="2.2799999999999998"/>
    <n v="77.47"/>
    <n v="8187.33"/>
  </r>
  <r>
    <x v="336"/>
    <s v="Google Ads"/>
    <s v="Lead Generation"/>
    <s v="Premium Plan"/>
    <n v="9204"/>
    <n v="362"/>
    <n v="33"/>
    <n v="1039.74"/>
    <n v="5287.84"/>
    <n v="3.93"/>
    <n v="9.1199999999999992"/>
    <n v="31.51"/>
    <n v="5.09"/>
    <n v="4248.1000000000004"/>
  </r>
  <r>
    <x v="336"/>
    <s v="Facebook Ads"/>
    <s v="Brand Awareness"/>
    <s v="Add-on Service"/>
    <n v="12134"/>
    <n v="369"/>
    <n v="29"/>
    <n v="942.39"/>
    <n v="3201.46"/>
    <n v="3.04"/>
    <n v="7.86"/>
    <n v="32.5"/>
    <n v="3.4"/>
    <n v="2259.0700000000002"/>
  </r>
  <r>
    <x v="336"/>
    <s v="Instagram Ads"/>
    <s v="Retargeting"/>
    <s v="Premium Plan"/>
    <n v="12127"/>
    <n v="315"/>
    <n v="20"/>
    <n v="833.19"/>
    <n v="1867.71"/>
    <n v="2.6"/>
    <n v="6.35"/>
    <n v="41.66"/>
    <n v="2.2400000000000002"/>
    <n v="1034.52"/>
  </r>
  <r>
    <x v="336"/>
    <s v="LinkedIn Ads"/>
    <s v="Seasonal Promotion"/>
    <s v="Starter Kit"/>
    <n v="4883"/>
    <n v="113"/>
    <n v="16"/>
    <n v="1140.3399999999999"/>
    <n v="3775.49"/>
    <n v="2.31"/>
    <n v="14.16"/>
    <n v="71.27"/>
    <n v="3.31"/>
    <n v="2635.15"/>
  </r>
  <r>
    <x v="336"/>
    <s v="Email Marketing"/>
    <s v="Lead Generation"/>
    <s v="Starter Kit"/>
    <n v="17730"/>
    <n v="3641"/>
    <n v="415"/>
    <n v="252.96"/>
    <n v="53828.54"/>
    <n v="20.54"/>
    <n v="11.4"/>
    <n v="0.61"/>
    <n v="212.79"/>
    <n v="53575.58"/>
  </r>
  <r>
    <x v="336"/>
    <s v="Organic Search"/>
    <s v="Product Launch"/>
    <s v="Add-on Service"/>
    <n v="26758"/>
    <n v="1209"/>
    <n v="153"/>
    <n v="0"/>
    <n v="15722.14"/>
    <n v="4.5199999999999996"/>
    <n v="12.66"/>
    <n v="0"/>
    <n v="0"/>
    <n v="15722.14"/>
  </r>
  <r>
    <x v="336"/>
    <s v="Display Ads"/>
    <s v="Seasonal Promotion"/>
    <s v="Add-on Service"/>
    <n v="25766"/>
    <n v="380"/>
    <n v="9"/>
    <n v="719.43"/>
    <n v="1151.1099999999999"/>
    <n v="1.47"/>
    <n v="2.37"/>
    <n v="79.94"/>
    <n v="1.6"/>
    <n v="431.68"/>
  </r>
  <r>
    <x v="336"/>
    <s v="YouTube Ads"/>
    <s v="Brand Awareness"/>
    <s v="Enterprise Plan"/>
    <n v="13129"/>
    <n v="312"/>
    <n v="17"/>
    <n v="1116.01"/>
    <n v="1934.12"/>
    <n v="2.38"/>
    <n v="5.45"/>
    <n v="65.650000000000006"/>
    <n v="1.73"/>
    <n v="818.11"/>
  </r>
  <r>
    <x v="336"/>
    <s v="Twitter Ads"/>
    <s v="Retargeting"/>
    <s v="Basic Plan"/>
    <n v="10744"/>
    <n v="255"/>
    <n v="11"/>
    <n v="430.48"/>
    <n v="1343.84"/>
    <n v="2.37"/>
    <n v="4.3099999999999996"/>
    <n v="39.130000000000003"/>
    <n v="3.12"/>
    <n v="913.36"/>
  </r>
  <r>
    <x v="336"/>
    <s v="TikTok Ads"/>
    <s v="Flash Sale"/>
    <s v="Starter Kit"/>
    <n v="24041"/>
    <n v="775"/>
    <n v="25"/>
    <n v="609.38"/>
    <n v="2729.12"/>
    <n v="3.22"/>
    <n v="3.23"/>
    <n v="24.38"/>
    <n v="4.4800000000000004"/>
    <n v="2119.7399999999998"/>
  </r>
  <r>
    <x v="336"/>
    <s v="Affiliate Marketing"/>
    <s v="Product Launch"/>
    <s v="Starter Kit"/>
    <n v="4603"/>
    <n v="239"/>
    <n v="25"/>
    <n v="479.17"/>
    <n v="2652.83"/>
    <n v="5.19"/>
    <n v="10.46"/>
    <n v="19.170000000000002"/>
    <n v="5.54"/>
    <n v="2173.66"/>
  </r>
  <r>
    <x v="336"/>
    <s v="Referral"/>
    <s v="Product Launch"/>
    <s v="Premium Plan"/>
    <n v="4578"/>
    <n v="368"/>
    <n v="63"/>
    <n v="75.52"/>
    <n v="9433.5"/>
    <n v="8.0399999999999991"/>
    <n v="17.12"/>
    <n v="1.2"/>
    <n v="124.91"/>
    <n v="9357.98"/>
  </r>
  <r>
    <x v="337"/>
    <s v="Google Ads"/>
    <s v="Product Launch"/>
    <s v="Enterprise Plan"/>
    <n v="12704"/>
    <n v="607"/>
    <n v="62"/>
    <n v="801.77"/>
    <n v="8911.76"/>
    <n v="4.78"/>
    <n v="10.210000000000001"/>
    <n v="12.93"/>
    <n v="11.12"/>
    <n v="8109.99"/>
  </r>
  <r>
    <x v="337"/>
    <s v="Facebook Ads"/>
    <s v="Product Launch"/>
    <s v="Enterprise Plan"/>
    <n v="15699"/>
    <n v="611"/>
    <n v="54"/>
    <n v="599.66"/>
    <n v="7306.64"/>
    <n v="3.89"/>
    <n v="8.84"/>
    <n v="11.1"/>
    <n v="12.18"/>
    <n v="6706.98"/>
  </r>
  <r>
    <x v="337"/>
    <s v="Instagram Ads"/>
    <s v="Retargeting"/>
    <s v="Add-on Service"/>
    <n v="13483"/>
    <n v="571"/>
    <n v="28"/>
    <n v="470.17"/>
    <n v="2931.93"/>
    <n v="4.2300000000000004"/>
    <n v="4.9000000000000004"/>
    <n v="16.79"/>
    <n v="6.24"/>
    <n v="2461.7600000000002"/>
  </r>
  <r>
    <x v="337"/>
    <s v="LinkedIn Ads"/>
    <s v="Brand Awareness"/>
    <s v="Basic Plan"/>
    <n v="4608"/>
    <n v="119"/>
    <n v="13"/>
    <n v="783.66"/>
    <n v="3860.38"/>
    <n v="2.58"/>
    <n v="10.92"/>
    <n v="60.28"/>
    <n v="4.93"/>
    <n v="3076.72"/>
  </r>
  <r>
    <x v="337"/>
    <s v="Email Marketing"/>
    <s v="Flash Sale"/>
    <s v="Starter Kit"/>
    <n v="19697"/>
    <n v="3421"/>
    <n v="313"/>
    <n v="186.19"/>
    <n v="50878.53"/>
    <n v="17.37"/>
    <n v="9.15"/>
    <n v="0.59"/>
    <n v="273.26"/>
    <n v="50692.34"/>
  </r>
  <r>
    <x v="337"/>
    <s v="Organic Search"/>
    <s v="Flash Sale"/>
    <s v="Starter Kit"/>
    <n v="17270"/>
    <n v="1128"/>
    <n v="170"/>
    <n v="0"/>
    <n v="19097.89"/>
    <n v="6.53"/>
    <n v="15.07"/>
    <n v="0"/>
    <n v="0"/>
    <n v="19097.89"/>
  </r>
  <r>
    <x v="337"/>
    <s v="Display Ads"/>
    <s v="Retargeting"/>
    <s v="Enterprise Plan"/>
    <n v="21529"/>
    <n v="424"/>
    <n v="11"/>
    <n v="1049.3800000000001"/>
    <n v="1260.98"/>
    <n v="1.97"/>
    <n v="2.59"/>
    <n v="95.4"/>
    <n v="1.2"/>
    <n v="211.6"/>
  </r>
  <r>
    <x v="337"/>
    <s v="YouTube Ads"/>
    <s v="Lead Generation"/>
    <s v="Starter Kit"/>
    <n v="15865"/>
    <n v="447"/>
    <n v="30"/>
    <n v="819.54"/>
    <n v="2736.94"/>
    <n v="2.82"/>
    <n v="6.71"/>
    <n v="27.32"/>
    <n v="3.34"/>
    <n v="1917.4"/>
  </r>
  <r>
    <x v="337"/>
    <s v="Twitter Ads"/>
    <s v="Flash Sale"/>
    <s v="Starter Kit"/>
    <n v="7434"/>
    <n v="227"/>
    <n v="9"/>
    <n v="663.15"/>
    <n v="666.93"/>
    <n v="3.05"/>
    <n v="3.96"/>
    <n v="73.680000000000007"/>
    <n v="1.01"/>
    <n v="3.78"/>
  </r>
  <r>
    <x v="337"/>
    <s v="TikTok Ads"/>
    <s v="Lead Generation"/>
    <s v="Add-on Service"/>
    <n v="15713"/>
    <n v="416"/>
    <n v="23"/>
    <n v="863.44"/>
    <n v="2233.71"/>
    <n v="2.65"/>
    <n v="5.53"/>
    <n v="37.54"/>
    <n v="2.59"/>
    <n v="1370.27"/>
  </r>
  <r>
    <x v="337"/>
    <s v="Affiliate Marketing"/>
    <s v="Seasonal Promotion"/>
    <s v="Premium Plan"/>
    <n v="5443"/>
    <n v="258"/>
    <n v="32"/>
    <n v="508.02"/>
    <n v="4169.58"/>
    <n v="4.74"/>
    <n v="12.4"/>
    <n v="15.88"/>
    <n v="8.2100000000000009"/>
    <n v="3661.56"/>
  </r>
  <r>
    <x v="337"/>
    <s v="Referral"/>
    <s v="Lead Generation"/>
    <s v="Basic Plan"/>
    <n v="4361"/>
    <n v="344"/>
    <n v="49"/>
    <n v="165.8"/>
    <n v="7772.07"/>
    <n v="7.89"/>
    <n v="14.24"/>
    <n v="3.38"/>
    <n v="46.88"/>
    <n v="7606.27"/>
  </r>
  <r>
    <x v="338"/>
    <s v="Google Ads"/>
    <s v="Product Launch"/>
    <s v="Starter Kit"/>
    <n v="12301"/>
    <n v="574"/>
    <n v="63"/>
    <n v="1188.99"/>
    <n v="11589.06"/>
    <n v="4.67"/>
    <n v="10.98"/>
    <n v="18.87"/>
    <n v="9.75"/>
    <n v="10400.07"/>
  </r>
  <r>
    <x v="338"/>
    <s v="Facebook Ads"/>
    <s v="Seasonal Promotion"/>
    <s v="Enterprise Plan"/>
    <n v="14457"/>
    <n v="408"/>
    <n v="36"/>
    <n v="840.09"/>
    <n v="4059.46"/>
    <n v="2.82"/>
    <n v="8.82"/>
    <n v="23.34"/>
    <n v="4.83"/>
    <n v="3219.37"/>
  </r>
  <r>
    <x v="338"/>
    <s v="Instagram Ads"/>
    <s v="Brand Awareness"/>
    <s v="Add-on Service"/>
    <n v="14605"/>
    <n v="464"/>
    <n v="24"/>
    <n v="828.73"/>
    <n v="2751.54"/>
    <n v="3.18"/>
    <n v="5.17"/>
    <n v="34.53"/>
    <n v="3.32"/>
    <n v="1922.81"/>
  </r>
  <r>
    <x v="338"/>
    <s v="LinkedIn Ads"/>
    <s v="Retargeting"/>
    <s v="Premium Plan"/>
    <n v="4025"/>
    <n v="87"/>
    <n v="10"/>
    <n v="1084.53"/>
    <n v="3187.81"/>
    <n v="2.16"/>
    <n v="11.49"/>
    <n v="108.45"/>
    <n v="2.94"/>
    <n v="2103.2800000000002"/>
  </r>
  <r>
    <x v="338"/>
    <s v="Email Marketing"/>
    <s v="Brand Awareness"/>
    <s v="Starter Kit"/>
    <n v="17565"/>
    <n v="3441"/>
    <n v="368"/>
    <n v="158.16"/>
    <n v="61460.74"/>
    <n v="19.59"/>
    <n v="10.69"/>
    <n v="0.43"/>
    <n v="388.6"/>
    <n v="61302.58"/>
  </r>
  <r>
    <x v="338"/>
    <s v="Organic Search"/>
    <s v="Flash Sale"/>
    <s v="Enterprise Plan"/>
    <n v="17754"/>
    <n v="1186"/>
    <n v="125"/>
    <n v="0"/>
    <n v="15525.49"/>
    <n v="6.68"/>
    <n v="10.54"/>
    <n v="0"/>
    <n v="0"/>
    <n v="15525.49"/>
  </r>
  <r>
    <x v="338"/>
    <s v="Display Ads"/>
    <s v="Retargeting"/>
    <s v="Basic Plan"/>
    <n v="32225"/>
    <n v="470"/>
    <n v="11"/>
    <n v="961.16"/>
    <n v="1035.58"/>
    <n v="1.46"/>
    <n v="2.34"/>
    <n v="87.38"/>
    <n v="1.08"/>
    <n v="74.42"/>
  </r>
  <r>
    <x v="338"/>
    <s v="YouTube Ads"/>
    <s v="Seasonal Promotion"/>
    <s v="Starter Kit"/>
    <n v="17175"/>
    <n v="502"/>
    <n v="39"/>
    <n v="743.9"/>
    <n v="3723.34"/>
    <n v="2.92"/>
    <n v="7.77"/>
    <n v="19.07"/>
    <n v="5.01"/>
    <n v="2979.44"/>
  </r>
  <r>
    <x v="338"/>
    <s v="Twitter Ads"/>
    <s v="Flash Sale"/>
    <s v="Add-on Service"/>
    <n v="9407"/>
    <n v="317"/>
    <n v="15"/>
    <n v="352.22"/>
    <n v="1300.33"/>
    <n v="3.37"/>
    <n v="4.7300000000000004"/>
    <n v="23.48"/>
    <n v="3.69"/>
    <n v="948.11"/>
  </r>
  <r>
    <x v="338"/>
    <s v="TikTok Ads"/>
    <s v="Lead Generation"/>
    <s v="Basic Plan"/>
    <n v="15673"/>
    <n v="621"/>
    <n v="41"/>
    <n v="617.48"/>
    <n v="3407.82"/>
    <n v="3.96"/>
    <n v="6.6"/>
    <n v="15.06"/>
    <n v="5.52"/>
    <n v="2790.34"/>
  </r>
  <r>
    <x v="338"/>
    <s v="Affiliate Marketing"/>
    <s v="Lead Generation"/>
    <s v="Starter Kit"/>
    <n v="4964"/>
    <n v="269"/>
    <n v="29"/>
    <n v="533.75"/>
    <n v="3535.01"/>
    <n v="5.42"/>
    <n v="10.78"/>
    <n v="18.41"/>
    <n v="6.62"/>
    <n v="3001.26"/>
  </r>
  <r>
    <x v="338"/>
    <s v="Referral"/>
    <s v="Product Launch"/>
    <s v="Add-on Service"/>
    <n v="3363"/>
    <n v="272"/>
    <n v="34"/>
    <n v="106.09"/>
    <n v="4058.17"/>
    <n v="8.09"/>
    <n v="12.5"/>
    <n v="3.12"/>
    <n v="38.25"/>
    <n v="3952.08"/>
  </r>
  <r>
    <x v="339"/>
    <s v="Google Ads"/>
    <s v="Retargeting"/>
    <s v="Premium Plan"/>
    <n v="12749"/>
    <n v="551"/>
    <n v="61"/>
    <n v="728.55"/>
    <n v="9257.14"/>
    <n v="4.32"/>
    <n v="11.07"/>
    <n v="11.94"/>
    <n v="12.71"/>
    <n v="8528.59"/>
  </r>
  <r>
    <x v="339"/>
    <s v="Facebook Ads"/>
    <s v="Product Launch"/>
    <s v="Add-on Service"/>
    <n v="11165"/>
    <n v="291"/>
    <n v="24"/>
    <n v="782.7"/>
    <n v="2084.58"/>
    <n v="2.61"/>
    <n v="8.25"/>
    <n v="32.61"/>
    <n v="2.66"/>
    <n v="1301.8800000000001"/>
  </r>
  <r>
    <x v="339"/>
    <s v="Instagram Ads"/>
    <s v="Product Launch"/>
    <s v="Starter Kit"/>
    <n v="9473"/>
    <n v="373"/>
    <n v="23"/>
    <n v="733.16"/>
    <n v="1806.38"/>
    <n v="3.94"/>
    <n v="6.17"/>
    <n v="31.88"/>
    <n v="2.46"/>
    <n v="1073.22"/>
  </r>
  <r>
    <x v="339"/>
    <s v="LinkedIn Ads"/>
    <s v="Seasonal Promotion"/>
    <s v="Starter Kit"/>
    <n v="2633"/>
    <n v="73"/>
    <n v="9"/>
    <n v="913.1"/>
    <n v="3153.65"/>
    <n v="2.77"/>
    <n v="12.33"/>
    <n v="101.46"/>
    <n v="3.45"/>
    <n v="2240.5500000000002"/>
  </r>
  <r>
    <x v="339"/>
    <s v="Email Marketing"/>
    <s v="Lead Generation"/>
    <s v="Premium Plan"/>
    <n v="13778"/>
    <n v="3220"/>
    <n v="444"/>
    <n v="201.34"/>
    <n v="54854.77"/>
    <n v="23.37"/>
    <n v="13.79"/>
    <n v="0.45"/>
    <n v="272.45"/>
    <n v="54653.43"/>
  </r>
  <r>
    <x v="339"/>
    <s v="Organic Search"/>
    <s v="Brand Awareness"/>
    <s v="Basic Plan"/>
    <n v="21395"/>
    <n v="1223"/>
    <n v="135"/>
    <n v="0"/>
    <n v="16990.5"/>
    <n v="5.72"/>
    <n v="11.04"/>
    <n v="0"/>
    <n v="0"/>
    <n v="16990.5"/>
  </r>
  <r>
    <x v="339"/>
    <s v="Display Ads"/>
    <s v="Product Launch"/>
    <s v="Enterprise Plan"/>
    <n v="29993"/>
    <n v="466"/>
    <n v="11"/>
    <n v="801.89"/>
    <n v="1133.48"/>
    <n v="1.55"/>
    <n v="2.36"/>
    <n v="72.900000000000006"/>
    <n v="1.41"/>
    <n v="331.59"/>
  </r>
  <r>
    <x v="339"/>
    <s v="YouTube Ads"/>
    <s v="Flash Sale"/>
    <s v="Starter Kit"/>
    <n v="12877"/>
    <n v="215"/>
    <n v="8"/>
    <n v="681.01"/>
    <n v="981.78"/>
    <n v="1.67"/>
    <n v="3.72"/>
    <n v="85.13"/>
    <n v="1.44"/>
    <n v="300.77"/>
  </r>
  <r>
    <x v="339"/>
    <s v="Twitter Ads"/>
    <s v="Brand Awareness"/>
    <s v="Enterprise Plan"/>
    <n v="9809"/>
    <n v="224"/>
    <n v="12"/>
    <n v="530.13"/>
    <n v="1012.12"/>
    <n v="2.2799999999999998"/>
    <n v="5.36"/>
    <n v="44.18"/>
    <n v="1.91"/>
    <n v="481.99"/>
  </r>
  <r>
    <x v="339"/>
    <s v="TikTok Ads"/>
    <s v="Retargeting"/>
    <s v="Basic Plan"/>
    <n v="19536"/>
    <n v="604"/>
    <n v="36"/>
    <n v="560.23"/>
    <n v="3017.16"/>
    <n v="3.09"/>
    <n v="5.96"/>
    <n v="15.56"/>
    <n v="5.39"/>
    <n v="2456.9299999999998"/>
  </r>
  <r>
    <x v="339"/>
    <s v="Affiliate Marketing"/>
    <s v="Retargeting"/>
    <s v="Basic Plan"/>
    <n v="7729"/>
    <n v="357"/>
    <n v="36"/>
    <n v="285.3"/>
    <n v="5360.71"/>
    <n v="4.62"/>
    <n v="10.08"/>
    <n v="7.93"/>
    <n v="18.79"/>
    <n v="5075.41"/>
  </r>
  <r>
    <x v="339"/>
    <s v="Referral"/>
    <s v="Brand Awareness"/>
    <s v="Premium Plan"/>
    <n v="2748"/>
    <n v="211"/>
    <n v="28"/>
    <n v="122.67"/>
    <n v="3722.88"/>
    <n v="7.68"/>
    <n v="13.27"/>
    <n v="4.38"/>
    <n v="30.35"/>
    <n v="3600.21"/>
  </r>
  <r>
    <x v="340"/>
    <s v="Google Ads"/>
    <s v="Product Launch"/>
    <s v="Starter Kit"/>
    <n v="10229"/>
    <n v="340"/>
    <n v="27"/>
    <n v="765.17"/>
    <n v="3854.92"/>
    <n v="3.32"/>
    <n v="7.94"/>
    <n v="28.34"/>
    <n v="5.04"/>
    <n v="3089.75"/>
  </r>
  <r>
    <x v="340"/>
    <s v="Facebook Ads"/>
    <s v="Brand Awareness"/>
    <s v="Add-on Service"/>
    <n v="11125"/>
    <n v="317"/>
    <n v="22"/>
    <n v="1013.81"/>
    <n v="2143.59"/>
    <n v="2.85"/>
    <n v="6.94"/>
    <n v="46.08"/>
    <n v="2.11"/>
    <n v="1129.78"/>
  </r>
  <r>
    <x v="340"/>
    <s v="Instagram Ads"/>
    <s v="Flash Sale"/>
    <s v="Enterprise Plan"/>
    <n v="15101"/>
    <n v="498"/>
    <n v="22"/>
    <n v="589.63"/>
    <n v="2067.66"/>
    <n v="3.3"/>
    <n v="4.42"/>
    <n v="26.8"/>
    <n v="3.51"/>
    <n v="1478.03"/>
  </r>
  <r>
    <x v="340"/>
    <s v="LinkedIn Ads"/>
    <s v="Seasonal Promotion"/>
    <s v="Starter Kit"/>
    <n v="4794"/>
    <n v="112"/>
    <n v="13"/>
    <n v="1187.51"/>
    <n v="2688.97"/>
    <n v="2.34"/>
    <n v="11.61"/>
    <n v="91.35"/>
    <n v="2.2599999999999998"/>
    <n v="1501.46"/>
  </r>
  <r>
    <x v="340"/>
    <s v="Email Marketing"/>
    <s v="Seasonal Promotion"/>
    <s v="Starter Kit"/>
    <n v="15250"/>
    <n v="2483"/>
    <n v="246"/>
    <n v="111.77"/>
    <n v="35006.550000000003"/>
    <n v="16.28"/>
    <n v="9.91"/>
    <n v="0.45"/>
    <n v="313.2"/>
    <n v="34894.78"/>
  </r>
  <r>
    <x v="340"/>
    <s v="Organic Search"/>
    <s v="Product Launch"/>
    <s v="Starter Kit"/>
    <n v="22411"/>
    <n v="1791"/>
    <n v="273"/>
    <n v="0"/>
    <n v="35733.67"/>
    <n v="7.99"/>
    <n v="15.24"/>
    <n v="0"/>
    <n v="0"/>
    <n v="35733.67"/>
  </r>
  <r>
    <x v="340"/>
    <s v="Display Ads"/>
    <s v="Flash Sale"/>
    <s v="Premium Plan"/>
    <n v="25884"/>
    <n v="470"/>
    <n v="12"/>
    <n v="639.97"/>
    <n v="1308.06"/>
    <n v="1.82"/>
    <n v="2.5499999999999998"/>
    <n v="53.33"/>
    <n v="2.04"/>
    <n v="668.09"/>
  </r>
  <r>
    <x v="340"/>
    <s v="YouTube Ads"/>
    <s v="Product Launch"/>
    <s v="Add-on Service"/>
    <n v="13866"/>
    <n v="254"/>
    <n v="16"/>
    <n v="1145.8900000000001"/>
    <n v="1765.47"/>
    <n v="1.83"/>
    <n v="6.3"/>
    <n v="71.62"/>
    <n v="1.54"/>
    <n v="619.58000000000004"/>
  </r>
  <r>
    <x v="340"/>
    <s v="Twitter Ads"/>
    <s v="Flash Sale"/>
    <s v="Add-on Service"/>
    <n v="9465"/>
    <n v="233"/>
    <n v="12"/>
    <n v="627.13"/>
    <n v="1134.48"/>
    <n v="2.46"/>
    <n v="5.15"/>
    <n v="52.26"/>
    <n v="1.81"/>
    <n v="507.35"/>
  </r>
  <r>
    <x v="340"/>
    <s v="TikTok Ads"/>
    <s v="Brand Awareness"/>
    <s v="Enterprise Plan"/>
    <n v="21756"/>
    <n v="576"/>
    <n v="25"/>
    <n v="770.57"/>
    <n v="2297.91"/>
    <n v="2.65"/>
    <n v="4.34"/>
    <n v="30.82"/>
    <n v="2.98"/>
    <n v="1527.34"/>
  </r>
  <r>
    <x v="340"/>
    <s v="Affiliate Marketing"/>
    <s v="Lead Generation"/>
    <s v="Add-on Service"/>
    <n v="8105"/>
    <n v="328"/>
    <n v="41"/>
    <n v="361.76"/>
    <n v="4463.7299999999996"/>
    <n v="4.05"/>
    <n v="12.5"/>
    <n v="8.82"/>
    <n v="12.34"/>
    <n v="4101.97"/>
  </r>
  <r>
    <x v="340"/>
    <s v="Referral"/>
    <s v="Brand Awareness"/>
    <s v="Basic Plan"/>
    <n v="4095"/>
    <n v="238"/>
    <n v="34"/>
    <n v="112.8"/>
    <n v="5451.78"/>
    <n v="5.81"/>
    <n v="14.29"/>
    <n v="3.32"/>
    <n v="48.33"/>
    <n v="5338.98"/>
  </r>
  <r>
    <x v="341"/>
    <s v="Google Ads"/>
    <s v="Product Launch"/>
    <s v="Starter Kit"/>
    <n v="8832"/>
    <n v="432"/>
    <n v="35"/>
    <n v="612.13"/>
    <n v="5533.08"/>
    <n v="4.8899999999999997"/>
    <n v="8.1"/>
    <n v="17.489999999999998"/>
    <n v="9.0399999999999991"/>
    <n v="4920.95"/>
  </r>
  <r>
    <x v="341"/>
    <s v="Facebook Ads"/>
    <s v="Flash Sale"/>
    <s v="Basic Plan"/>
    <n v="7765"/>
    <n v="193"/>
    <n v="14"/>
    <n v="636.36"/>
    <n v="1464.86"/>
    <n v="2.4900000000000002"/>
    <n v="7.25"/>
    <n v="45.45"/>
    <n v="2.2999999999999998"/>
    <n v="828.5"/>
  </r>
  <r>
    <x v="341"/>
    <s v="Instagram Ads"/>
    <s v="Product Launch"/>
    <s v="Basic Plan"/>
    <n v="9994"/>
    <n v="365"/>
    <n v="24"/>
    <n v="530.95000000000005"/>
    <n v="2087.16"/>
    <n v="3.65"/>
    <n v="6.58"/>
    <n v="22.12"/>
    <n v="3.93"/>
    <n v="1556.21"/>
  </r>
  <r>
    <x v="341"/>
    <s v="LinkedIn Ads"/>
    <s v="Brand Awareness"/>
    <s v="Enterprise Plan"/>
    <n v="1786"/>
    <n v="41"/>
    <n v="4"/>
    <n v="739.01"/>
    <n v="1031.72"/>
    <n v="2.2999999999999998"/>
    <n v="9.76"/>
    <n v="184.75"/>
    <n v="1.4"/>
    <n v="292.70999999999998"/>
  </r>
  <r>
    <x v="341"/>
    <s v="Email Marketing"/>
    <s v="Product Launch"/>
    <s v="Starter Kit"/>
    <n v="13994"/>
    <n v="2789"/>
    <n v="386"/>
    <n v="101.4"/>
    <n v="41323.86"/>
    <n v="19.93"/>
    <n v="13.84"/>
    <n v="0.26"/>
    <n v="407.53"/>
    <n v="41222.46"/>
  </r>
  <r>
    <x v="341"/>
    <s v="Organic Search"/>
    <s v="Flash Sale"/>
    <s v="Enterprise Plan"/>
    <n v="19357"/>
    <n v="1526"/>
    <n v="183"/>
    <n v="0"/>
    <n v="19206.12"/>
    <n v="7.88"/>
    <n v="11.99"/>
    <n v="0"/>
    <n v="0"/>
    <n v="19206.12"/>
  </r>
  <r>
    <x v="341"/>
    <s v="Display Ads"/>
    <s v="Brand Awareness"/>
    <s v="Enterprise Plan"/>
    <n v="18303"/>
    <n v="197"/>
    <n v="7"/>
    <n v="574.07000000000005"/>
    <n v="680.19"/>
    <n v="1.08"/>
    <n v="3.55"/>
    <n v="82.01"/>
    <n v="1.18"/>
    <n v="106.12"/>
  </r>
  <r>
    <x v="341"/>
    <s v="YouTube Ads"/>
    <s v="Product Launch"/>
    <s v="Add-on Service"/>
    <n v="12961"/>
    <n v="279"/>
    <n v="17"/>
    <n v="678.45"/>
    <n v="2364.7399999999998"/>
    <n v="2.15"/>
    <n v="6.09"/>
    <n v="39.909999999999997"/>
    <n v="3.49"/>
    <n v="1686.29"/>
  </r>
  <r>
    <x v="341"/>
    <s v="Twitter Ads"/>
    <s v="Flash Sale"/>
    <s v="Premium Plan"/>
    <n v="5593"/>
    <n v="125"/>
    <n v="4"/>
    <n v="241.78"/>
    <n v="289.5"/>
    <n v="2.23"/>
    <n v="3.2"/>
    <n v="60.44"/>
    <n v="1.2"/>
    <n v="47.72"/>
  </r>
  <r>
    <x v="341"/>
    <s v="TikTok Ads"/>
    <s v="Seasonal Promotion"/>
    <s v="Basic Plan"/>
    <n v="12765"/>
    <n v="421"/>
    <n v="22"/>
    <n v="367.84"/>
    <n v="1914.99"/>
    <n v="3.3"/>
    <n v="5.23"/>
    <n v="16.72"/>
    <n v="5.21"/>
    <n v="1547.15"/>
  </r>
  <r>
    <x v="341"/>
    <s v="Affiliate Marketing"/>
    <s v="Flash Sale"/>
    <s v="Basic Plan"/>
    <n v="4604"/>
    <n v="218"/>
    <n v="20"/>
    <n v="306.38"/>
    <n v="2661.85"/>
    <n v="4.74"/>
    <n v="9.17"/>
    <n v="15.32"/>
    <n v="8.69"/>
    <n v="2355.4699999999998"/>
  </r>
  <r>
    <x v="341"/>
    <s v="Referral"/>
    <s v="Brand Awareness"/>
    <s v="Add-on Service"/>
    <n v="2279"/>
    <n v="161"/>
    <n v="24"/>
    <n v="80.39"/>
    <n v="3505.75"/>
    <n v="7.06"/>
    <n v="14.91"/>
    <n v="3.35"/>
    <n v="43.61"/>
    <n v="3425.36"/>
  </r>
  <r>
    <x v="342"/>
    <s v="Google Ads"/>
    <s v="Lead Generation"/>
    <s v="Add-on Service"/>
    <n v="4880"/>
    <n v="193"/>
    <n v="20"/>
    <n v="714.22"/>
    <n v="2585.9699999999998"/>
    <n v="3.95"/>
    <n v="10.36"/>
    <n v="35.71"/>
    <n v="3.62"/>
    <n v="1871.75"/>
  </r>
  <r>
    <x v="342"/>
    <s v="Facebook Ads"/>
    <s v="Product Launch"/>
    <s v="Enterprise Plan"/>
    <n v="9901"/>
    <n v="203"/>
    <n v="14"/>
    <n v="533.96"/>
    <n v="1390.41"/>
    <n v="2.0499999999999998"/>
    <n v="6.9"/>
    <n v="38.14"/>
    <n v="2.6"/>
    <n v="856.45"/>
  </r>
  <r>
    <x v="342"/>
    <s v="Instagram Ads"/>
    <s v="Flash Sale"/>
    <s v="Enterprise Plan"/>
    <n v="7389"/>
    <n v="321"/>
    <n v="16"/>
    <n v="322.35000000000002"/>
    <n v="1786.14"/>
    <n v="4.34"/>
    <n v="4.9800000000000004"/>
    <n v="20.149999999999999"/>
    <n v="5.54"/>
    <n v="1463.79"/>
  </r>
  <r>
    <x v="342"/>
    <s v="LinkedIn Ads"/>
    <s v="Product Launch"/>
    <s v="Enterprise Plan"/>
    <n v="3431"/>
    <n v="96"/>
    <n v="9"/>
    <n v="888.69"/>
    <n v="1996.5"/>
    <n v="2.8"/>
    <n v="9.3800000000000008"/>
    <n v="98.74"/>
    <n v="2.25"/>
    <n v="1107.81"/>
  </r>
  <r>
    <x v="342"/>
    <s v="Email Marketing"/>
    <s v="Brand Awareness"/>
    <s v="Add-on Service"/>
    <n v="11729"/>
    <n v="2625"/>
    <n v="314"/>
    <n v="90.22"/>
    <n v="40586.83"/>
    <n v="22.38"/>
    <n v="11.96"/>
    <n v="0.28999999999999998"/>
    <n v="449.87"/>
    <n v="40496.61"/>
  </r>
  <r>
    <x v="342"/>
    <s v="Organic Search"/>
    <s v="Seasonal Promotion"/>
    <s v="Enterprise Plan"/>
    <n v="15754"/>
    <n v="783"/>
    <n v="116"/>
    <n v="0"/>
    <n v="15522.28"/>
    <n v="4.97"/>
    <n v="14.81"/>
    <n v="0"/>
    <n v="0"/>
    <n v="15522.28"/>
  </r>
  <r>
    <x v="342"/>
    <s v="Display Ads"/>
    <s v="Lead Generation"/>
    <s v="Premium Plan"/>
    <n v="19812"/>
    <n v="290"/>
    <n v="7"/>
    <n v="731.83"/>
    <n v="921.79"/>
    <n v="1.46"/>
    <n v="2.41"/>
    <n v="104.55"/>
    <n v="1.26"/>
    <n v="189.96"/>
  </r>
  <r>
    <x v="342"/>
    <s v="YouTube Ads"/>
    <s v="Lead Generation"/>
    <s v="Add-on Service"/>
    <n v="10375"/>
    <n v="267"/>
    <n v="19"/>
    <n v="589.91999999999996"/>
    <n v="2155.7800000000002"/>
    <n v="2.57"/>
    <n v="7.12"/>
    <n v="31.05"/>
    <n v="3.65"/>
    <n v="1565.86"/>
  </r>
  <r>
    <x v="342"/>
    <s v="Twitter Ads"/>
    <s v="Product Launch"/>
    <s v="Enterprise Plan"/>
    <n v="5852"/>
    <n v="155"/>
    <n v="7"/>
    <n v="273.48"/>
    <n v="845.28"/>
    <n v="2.65"/>
    <n v="4.5199999999999996"/>
    <n v="39.07"/>
    <n v="3.09"/>
    <n v="571.79999999999995"/>
  </r>
  <r>
    <x v="342"/>
    <s v="TikTok Ads"/>
    <s v="Retargeting"/>
    <s v="Starter Kit"/>
    <n v="16959"/>
    <n v="643"/>
    <n v="32"/>
    <n v="528.92999999999995"/>
    <n v="3362.86"/>
    <n v="3.79"/>
    <n v="4.9800000000000004"/>
    <n v="16.53"/>
    <n v="6.36"/>
    <n v="2833.93"/>
  </r>
  <r>
    <x v="342"/>
    <s v="Affiliate Marketing"/>
    <s v="Product Launch"/>
    <s v="Basic Plan"/>
    <n v="5883"/>
    <n v="267"/>
    <n v="31"/>
    <n v="208.36"/>
    <n v="4466.72"/>
    <n v="4.54"/>
    <n v="11.61"/>
    <n v="6.72"/>
    <n v="21.44"/>
    <n v="4258.3599999999997"/>
  </r>
  <r>
    <x v="342"/>
    <s v="Referral"/>
    <s v="Brand Awareness"/>
    <s v="Basic Plan"/>
    <n v="2697"/>
    <n v="219"/>
    <n v="37"/>
    <n v="74.599999999999994"/>
    <n v="5335.77"/>
    <n v="8.1199999999999992"/>
    <n v="16.89"/>
    <n v="2.02"/>
    <n v="71.53"/>
    <n v="5261.17"/>
  </r>
  <r>
    <x v="343"/>
    <s v="Google Ads"/>
    <s v="Lead Generation"/>
    <s v="Add-on Service"/>
    <n v="10007"/>
    <n v="490"/>
    <n v="46"/>
    <n v="972.75"/>
    <n v="7326.54"/>
    <n v="4.9000000000000004"/>
    <n v="9.39"/>
    <n v="21.15"/>
    <n v="7.53"/>
    <n v="6353.79"/>
  </r>
  <r>
    <x v="343"/>
    <s v="Facebook Ads"/>
    <s v="Lead Generation"/>
    <s v="Basic Plan"/>
    <n v="13458"/>
    <n v="521"/>
    <n v="43"/>
    <n v="654.85"/>
    <n v="5642.4"/>
    <n v="3.87"/>
    <n v="8.25"/>
    <n v="15.23"/>
    <n v="8.6199999999999992"/>
    <n v="4987.55"/>
  </r>
  <r>
    <x v="343"/>
    <s v="Instagram Ads"/>
    <s v="Seasonal Promotion"/>
    <s v="Add-on Service"/>
    <n v="11010"/>
    <n v="481"/>
    <n v="33"/>
    <n v="643.77"/>
    <n v="2967.96"/>
    <n v="4.37"/>
    <n v="6.86"/>
    <n v="19.510000000000002"/>
    <n v="4.6100000000000003"/>
    <n v="2324.19"/>
  </r>
  <r>
    <x v="343"/>
    <s v="LinkedIn Ads"/>
    <s v="Flash Sale"/>
    <s v="Add-on Service"/>
    <n v="4627"/>
    <n v="97"/>
    <n v="13"/>
    <n v="1261.6600000000001"/>
    <n v="3601.91"/>
    <n v="2.1"/>
    <n v="13.4"/>
    <n v="97.05"/>
    <n v="2.85"/>
    <n v="2340.25"/>
  </r>
  <r>
    <x v="343"/>
    <s v="Email Marketing"/>
    <s v="Seasonal Promotion"/>
    <s v="Add-on Service"/>
    <n v="16710"/>
    <n v="3152"/>
    <n v="355"/>
    <n v="222.28"/>
    <n v="43027.77"/>
    <n v="18.86"/>
    <n v="11.26"/>
    <n v="0.63"/>
    <n v="193.57"/>
    <n v="42805.49"/>
  </r>
  <r>
    <x v="343"/>
    <s v="Organic Search"/>
    <s v="Flash Sale"/>
    <s v="Premium Plan"/>
    <n v="18600"/>
    <n v="792"/>
    <n v="91"/>
    <n v="0"/>
    <n v="10898.67"/>
    <n v="4.26"/>
    <n v="11.49"/>
    <n v="0"/>
    <n v="0"/>
    <n v="10898.67"/>
  </r>
  <r>
    <x v="343"/>
    <s v="Display Ads"/>
    <s v="Retargeting"/>
    <s v="Starter Kit"/>
    <n v="21819"/>
    <n v="330"/>
    <n v="15"/>
    <n v="755.13"/>
    <n v="1570.61"/>
    <n v="1.51"/>
    <n v="4.55"/>
    <n v="50.34"/>
    <n v="2.08"/>
    <n v="815.48"/>
  </r>
  <r>
    <x v="343"/>
    <s v="YouTube Ads"/>
    <s v="Brand Awareness"/>
    <s v="Premium Plan"/>
    <n v="14557"/>
    <n v="221"/>
    <n v="11"/>
    <n v="716.7"/>
    <n v="1291.94"/>
    <n v="1.52"/>
    <n v="4.9800000000000004"/>
    <n v="65.150000000000006"/>
    <n v="1.8"/>
    <n v="575.24"/>
  </r>
  <r>
    <x v="343"/>
    <s v="Twitter Ads"/>
    <s v="Lead Generation"/>
    <s v="Premium Plan"/>
    <n v="9973"/>
    <n v="311"/>
    <n v="17"/>
    <n v="422.47"/>
    <n v="1483.87"/>
    <n v="3.12"/>
    <n v="5.47"/>
    <n v="24.85"/>
    <n v="3.51"/>
    <n v="1061.4000000000001"/>
  </r>
  <r>
    <x v="343"/>
    <s v="TikTok Ads"/>
    <s v="Retargeting"/>
    <s v="Enterprise Plan"/>
    <n v="17296"/>
    <n v="770"/>
    <n v="25"/>
    <n v="668.38"/>
    <n v="2070.73"/>
    <n v="4.45"/>
    <n v="3.25"/>
    <n v="26.74"/>
    <n v="3.1"/>
    <n v="1402.35"/>
  </r>
  <r>
    <x v="343"/>
    <s v="Affiliate Marketing"/>
    <s v="Product Launch"/>
    <s v="Enterprise Plan"/>
    <n v="8336"/>
    <n v="444"/>
    <n v="43"/>
    <n v="420.41"/>
    <n v="5968.73"/>
    <n v="5.33"/>
    <n v="9.68"/>
    <n v="9.7799999999999994"/>
    <n v="14.2"/>
    <n v="5548.32"/>
  </r>
  <r>
    <x v="343"/>
    <s v="Referral"/>
    <s v="Lead Generation"/>
    <s v="Starter Kit"/>
    <n v="4082"/>
    <n v="245"/>
    <n v="28"/>
    <n v="95.22"/>
    <n v="3280"/>
    <n v="6"/>
    <n v="11.43"/>
    <n v="3.4"/>
    <n v="34.450000000000003"/>
    <n v="3184.78"/>
  </r>
  <r>
    <x v="344"/>
    <s v="Google Ads"/>
    <s v="Seasonal Promotion"/>
    <s v="Add-on Service"/>
    <n v="11681"/>
    <n v="369"/>
    <n v="33"/>
    <n v="1036.81"/>
    <n v="4797.3500000000004"/>
    <n v="3.16"/>
    <n v="8.94"/>
    <n v="31.42"/>
    <n v="4.63"/>
    <n v="3760.54"/>
  </r>
  <r>
    <x v="344"/>
    <s v="Facebook Ads"/>
    <s v="Product Launch"/>
    <s v="Basic Plan"/>
    <n v="14757"/>
    <n v="410"/>
    <n v="23"/>
    <n v="614.67999999999995"/>
    <n v="2295.0300000000002"/>
    <n v="2.78"/>
    <n v="5.61"/>
    <n v="26.73"/>
    <n v="3.73"/>
    <n v="1680.35"/>
  </r>
  <r>
    <x v="344"/>
    <s v="Instagram Ads"/>
    <s v="Flash Sale"/>
    <s v="Enterprise Plan"/>
    <n v="12882"/>
    <n v="502"/>
    <n v="34"/>
    <n v="483.62"/>
    <n v="3929.98"/>
    <n v="3.9"/>
    <n v="6.77"/>
    <n v="14.22"/>
    <n v="8.1300000000000008"/>
    <n v="3446.36"/>
  </r>
  <r>
    <x v="344"/>
    <s v="LinkedIn Ads"/>
    <s v="Brand Awareness"/>
    <s v="Premium Plan"/>
    <n v="3341"/>
    <n v="64"/>
    <n v="9"/>
    <n v="950.67"/>
    <n v="2721.64"/>
    <n v="1.92"/>
    <n v="14.06"/>
    <n v="105.63"/>
    <n v="2.86"/>
    <n v="1770.97"/>
  </r>
  <r>
    <x v="344"/>
    <s v="Email Marketing"/>
    <s v="Lead Generation"/>
    <s v="Basic Plan"/>
    <n v="20391"/>
    <n v="3475"/>
    <n v="286"/>
    <n v="194.1"/>
    <n v="46360.33"/>
    <n v="17.04"/>
    <n v="8.23"/>
    <n v="0.68"/>
    <n v="238.85"/>
    <n v="46166.23"/>
  </r>
  <r>
    <x v="344"/>
    <s v="Organic Search"/>
    <s v="Flash Sale"/>
    <s v="Basic Plan"/>
    <n v="24922"/>
    <n v="1821"/>
    <n v="206"/>
    <n v="0"/>
    <n v="28094.13"/>
    <n v="7.31"/>
    <n v="11.31"/>
    <n v="0"/>
    <n v="0"/>
    <n v="28094.13"/>
  </r>
  <r>
    <x v="344"/>
    <s v="Display Ads"/>
    <s v="Flash Sale"/>
    <s v="Basic Plan"/>
    <n v="30511"/>
    <n v="426"/>
    <n v="20"/>
    <n v="874.53"/>
    <n v="2272.1999999999998"/>
    <n v="1.4"/>
    <n v="4.6900000000000004"/>
    <n v="43.73"/>
    <n v="2.6"/>
    <n v="1397.67"/>
  </r>
  <r>
    <x v="344"/>
    <s v="YouTube Ads"/>
    <s v="Product Launch"/>
    <s v="Basic Plan"/>
    <n v="12979"/>
    <n v="291"/>
    <n v="19"/>
    <n v="755.36"/>
    <n v="2837.18"/>
    <n v="2.2400000000000002"/>
    <n v="6.53"/>
    <n v="39.76"/>
    <n v="3.76"/>
    <n v="2081.8200000000002"/>
  </r>
  <r>
    <x v="344"/>
    <s v="Twitter Ads"/>
    <s v="Lead Generation"/>
    <s v="Basic Plan"/>
    <n v="11687"/>
    <n v="292"/>
    <n v="17"/>
    <n v="597.25"/>
    <n v="1336.63"/>
    <n v="2.5"/>
    <n v="5.82"/>
    <n v="35.130000000000003"/>
    <n v="2.2400000000000002"/>
    <n v="739.38"/>
  </r>
  <r>
    <x v="344"/>
    <s v="TikTok Ads"/>
    <s v="Brand Awareness"/>
    <s v="Starter Kit"/>
    <n v="20139"/>
    <n v="871"/>
    <n v="28"/>
    <n v="601.48"/>
    <n v="2849.07"/>
    <n v="4.32"/>
    <n v="3.21"/>
    <n v="21.48"/>
    <n v="4.74"/>
    <n v="2247.59"/>
  </r>
  <r>
    <x v="344"/>
    <s v="Affiliate Marketing"/>
    <s v="Flash Sale"/>
    <s v="Premium Plan"/>
    <n v="6427"/>
    <n v="386"/>
    <n v="39"/>
    <n v="310.01"/>
    <n v="5212.17"/>
    <n v="6.01"/>
    <n v="10.1"/>
    <n v="7.95"/>
    <n v="16.809999999999999"/>
    <n v="4902.16"/>
  </r>
  <r>
    <x v="344"/>
    <s v="Referral"/>
    <s v="Brand Awareness"/>
    <s v="Premium Plan"/>
    <n v="4006"/>
    <n v="222"/>
    <n v="38"/>
    <n v="48.35"/>
    <n v="4834.97"/>
    <n v="5.54"/>
    <n v="17.12"/>
    <n v="1.27"/>
    <n v="100"/>
    <n v="4786.62"/>
  </r>
  <r>
    <x v="345"/>
    <s v="Google Ads"/>
    <s v="Retargeting"/>
    <s v="Starter Kit"/>
    <n v="9619"/>
    <n v="347"/>
    <n v="37"/>
    <n v="1208.51"/>
    <n v="5459.97"/>
    <n v="3.61"/>
    <n v="10.66"/>
    <n v="32.659999999999997"/>
    <n v="4.5199999999999996"/>
    <n v="4251.46"/>
  </r>
  <r>
    <x v="345"/>
    <s v="Facebook Ads"/>
    <s v="Brand Awareness"/>
    <s v="Basic Plan"/>
    <n v="10613"/>
    <n v="272"/>
    <n v="22"/>
    <n v="751.14"/>
    <n v="2702.52"/>
    <n v="2.56"/>
    <n v="8.09"/>
    <n v="34.14"/>
    <n v="3.6"/>
    <n v="1951.38"/>
  </r>
  <r>
    <x v="345"/>
    <s v="Instagram Ads"/>
    <s v="Brand Awareness"/>
    <s v="Premium Plan"/>
    <n v="15062"/>
    <n v="551"/>
    <n v="43"/>
    <n v="714.47"/>
    <n v="4896.3599999999997"/>
    <n v="3.66"/>
    <n v="7.8"/>
    <n v="16.62"/>
    <n v="6.85"/>
    <n v="4181.8900000000003"/>
  </r>
  <r>
    <x v="345"/>
    <s v="LinkedIn Ads"/>
    <s v="Flash Sale"/>
    <s v="Add-on Service"/>
    <n v="3815"/>
    <n v="79"/>
    <n v="11"/>
    <n v="978.19"/>
    <n v="3728.33"/>
    <n v="2.0699999999999998"/>
    <n v="13.92"/>
    <n v="88.93"/>
    <n v="3.81"/>
    <n v="2750.14"/>
  </r>
  <r>
    <x v="345"/>
    <s v="Email Marketing"/>
    <s v="Seasonal Promotion"/>
    <s v="Premium Plan"/>
    <n v="14924"/>
    <n v="3618"/>
    <n v="355"/>
    <n v="164.82"/>
    <n v="42868.11"/>
    <n v="24.24"/>
    <n v="9.81"/>
    <n v="0.46"/>
    <n v="260.08999999999997"/>
    <n v="42703.29"/>
  </r>
  <r>
    <x v="345"/>
    <s v="Organic Search"/>
    <s v="Retargeting"/>
    <s v="Premium Plan"/>
    <n v="17080"/>
    <n v="748"/>
    <n v="75"/>
    <n v="0"/>
    <n v="7795.51"/>
    <n v="4.38"/>
    <n v="10.029999999999999"/>
    <n v="0"/>
    <n v="0"/>
    <n v="7795.51"/>
  </r>
  <r>
    <x v="345"/>
    <s v="Display Ads"/>
    <s v="Product Launch"/>
    <s v="Premium Plan"/>
    <n v="31091"/>
    <n v="372"/>
    <n v="14"/>
    <n v="732.01"/>
    <n v="1238.73"/>
    <n v="1.2"/>
    <n v="3.76"/>
    <n v="52.29"/>
    <n v="1.69"/>
    <n v="506.72"/>
  </r>
  <r>
    <x v="345"/>
    <s v="YouTube Ads"/>
    <s v="Brand Awareness"/>
    <s v="Enterprise Plan"/>
    <n v="15889"/>
    <n v="261"/>
    <n v="13"/>
    <n v="1174.33"/>
    <n v="1417"/>
    <n v="1.64"/>
    <n v="4.9800000000000004"/>
    <n v="90.33"/>
    <n v="1.21"/>
    <n v="242.67"/>
  </r>
  <r>
    <x v="345"/>
    <s v="Twitter Ads"/>
    <s v="Flash Sale"/>
    <s v="Premium Plan"/>
    <n v="10948"/>
    <n v="332"/>
    <n v="9"/>
    <n v="575.25"/>
    <n v="1025.24"/>
    <n v="3.03"/>
    <n v="2.71"/>
    <n v="63.92"/>
    <n v="1.78"/>
    <n v="449.99"/>
  </r>
  <r>
    <x v="345"/>
    <s v="TikTok Ads"/>
    <s v="Brand Awareness"/>
    <s v="Premium Plan"/>
    <n v="17859"/>
    <n v="663"/>
    <n v="33"/>
    <n v="873.76"/>
    <n v="3098.92"/>
    <n v="3.71"/>
    <n v="4.9800000000000004"/>
    <n v="26.48"/>
    <n v="3.55"/>
    <n v="2225.16"/>
  </r>
  <r>
    <x v="345"/>
    <s v="Affiliate Marketing"/>
    <s v="Seasonal Promotion"/>
    <s v="Basic Plan"/>
    <n v="7185"/>
    <n v="453"/>
    <n v="51"/>
    <n v="435.5"/>
    <n v="6143.35"/>
    <n v="6.3"/>
    <n v="11.26"/>
    <n v="8.5399999999999991"/>
    <n v="14.11"/>
    <n v="5707.85"/>
  </r>
  <r>
    <x v="345"/>
    <s v="Referral"/>
    <s v="Seasonal Promotion"/>
    <s v="Basic Plan"/>
    <n v="5812"/>
    <n v="495"/>
    <n v="62"/>
    <n v="83.9"/>
    <n v="8179.11"/>
    <n v="8.52"/>
    <n v="12.53"/>
    <n v="1.35"/>
    <n v="97.49"/>
    <n v="8095.21"/>
  </r>
  <r>
    <x v="346"/>
    <s v="Google Ads"/>
    <s v="Lead Generation"/>
    <s v="Enterprise Plan"/>
    <n v="8581"/>
    <n v="292"/>
    <n v="34"/>
    <n v="837.27"/>
    <n v="5572.33"/>
    <n v="3.4"/>
    <n v="11.64"/>
    <n v="24.63"/>
    <n v="6.66"/>
    <n v="4735.0600000000004"/>
  </r>
  <r>
    <x v="346"/>
    <s v="Facebook Ads"/>
    <s v="Brand Awareness"/>
    <s v="Premium Plan"/>
    <n v="15090"/>
    <n v="426"/>
    <n v="32"/>
    <n v="762.32"/>
    <n v="4222.8500000000004"/>
    <n v="2.82"/>
    <n v="7.51"/>
    <n v="23.82"/>
    <n v="5.54"/>
    <n v="3460.53"/>
  </r>
  <r>
    <x v="346"/>
    <s v="Instagram Ads"/>
    <s v="Lead Generation"/>
    <s v="Enterprise Plan"/>
    <n v="10952"/>
    <n v="451"/>
    <n v="28"/>
    <n v="558.21"/>
    <n v="2256.62"/>
    <n v="4.12"/>
    <n v="6.21"/>
    <n v="19.940000000000001"/>
    <n v="4.04"/>
    <n v="1698.41"/>
  </r>
  <r>
    <x v="346"/>
    <s v="LinkedIn Ads"/>
    <s v="Seasonal Promotion"/>
    <s v="Enterprise Plan"/>
    <n v="4189"/>
    <n v="79"/>
    <n v="11"/>
    <n v="871.03"/>
    <n v="2588.0100000000002"/>
    <n v="1.89"/>
    <n v="13.92"/>
    <n v="79.180000000000007"/>
    <n v="2.97"/>
    <n v="1716.98"/>
  </r>
  <r>
    <x v="346"/>
    <s v="Email Marketing"/>
    <s v="Product Launch"/>
    <s v="Basic Plan"/>
    <n v="19113"/>
    <n v="4371"/>
    <n v="587"/>
    <n v="107.44"/>
    <n v="81903.490000000005"/>
    <n v="22.87"/>
    <n v="13.43"/>
    <n v="0.18"/>
    <n v="762.32"/>
    <n v="81796.05"/>
  </r>
  <r>
    <x v="346"/>
    <s v="Organic Search"/>
    <s v="Seasonal Promotion"/>
    <s v="Add-on Service"/>
    <n v="18565"/>
    <n v="977"/>
    <n v="98"/>
    <n v="0"/>
    <n v="15577.12"/>
    <n v="5.26"/>
    <n v="10.029999999999999"/>
    <n v="0"/>
    <n v="0"/>
    <n v="15577.12"/>
  </r>
  <r>
    <x v="346"/>
    <s v="Display Ads"/>
    <s v="Lead Generation"/>
    <s v="Add-on Service"/>
    <n v="24308"/>
    <n v="468"/>
    <n v="10"/>
    <n v="820.28"/>
    <n v="856.97"/>
    <n v="1.93"/>
    <n v="2.14"/>
    <n v="82.03"/>
    <n v="1.04"/>
    <n v="36.69"/>
  </r>
  <r>
    <x v="346"/>
    <s v="YouTube Ads"/>
    <s v="Seasonal Promotion"/>
    <s v="Premium Plan"/>
    <n v="15007"/>
    <n v="288"/>
    <n v="15"/>
    <n v="1096.07"/>
    <n v="2229.6799999999998"/>
    <n v="1.92"/>
    <n v="5.21"/>
    <n v="73.069999999999993"/>
    <n v="2.0299999999999998"/>
    <n v="1133.6099999999999"/>
  </r>
  <r>
    <x v="346"/>
    <s v="Twitter Ads"/>
    <s v="Brand Awareness"/>
    <s v="Add-on Service"/>
    <n v="8977"/>
    <n v="240"/>
    <n v="13"/>
    <n v="581.34"/>
    <n v="1324.83"/>
    <n v="2.67"/>
    <n v="5.42"/>
    <n v="44.72"/>
    <n v="2.2799999999999998"/>
    <n v="743.49"/>
  </r>
  <r>
    <x v="346"/>
    <s v="TikTok Ads"/>
    <s v="Brand Awareness"/>
    <s v="Add-on Service"/>
    <n v="20532"/>
    <n v="596"/>
    <n v="21"/>
    <n v="804.66"/>
    <n v="2135.69"/>
    <n v="2.9"/>
    <n v="3.52"/>
    <n v="38.32"/>
    <n v="2.65"/>
    <n v="1331.03"/>
  </r>
  <r>
    <x v="346"/>
    <s v="Affiliate Marketing"/>
    <s v="Lead Generation"/>
    <s v="Basic Plan"/>
    <n v="4878"/>
    <n v="275"/>
    <n v="28"/>
    <n v="488.03"/>
    <n v="3640.04"/>
    <n v="5.64"/>
    <n v="10.18"/>
    <n v="17.43"/>
    <n v="7.46"/>
    <n v="3152.01"/>
  </r>
  <r>
    <x v="346"/>
    <s v="Referral"/>
    <s v="Product Launch"/>
    <s v="Basic Plan"/>
    <n v="3607"/>
    <n v="226"/>
    <n v="31"/>
    <n v="85.05"/>
    <n v="5351.69"/>
    <n v="6.27"/>
    <n v="13.72"/>
    <n v="2.74"/>
    <n v="62.92"/>
    <n v="5266.64"/>
  </r>
  <r>
    <x v="347"/>
    <s v="Google Ads"/>
    <s v="Seasonal Promotion"/>
    <s v="Premium Plan"/>
    <n v="11334"/>
    <n v="374"/>
    <n v="42"/>
    <n v="837.12"/>
    <n v="5109.3999999999996"/>
    <n v="3.3"/>
    <n v="11.23"/>
    <n v="19.93"/>
    <n v="6.1"/>
    <n v="4272.28"/>
  </r>
  <r>
    <x v="347"/>
    <s v="Facebook Ads"/>
    <s v="Flash Sale"/>
    <s v="Premium Plan"/>
    <n v="11175"/>
    <n v="286"/>
    <n v="24"/>
    <n v="825.37"/>
    <n v="3054.2"/>
    <n v="2.56"/>
    <n v="8.39"/>
    <n v="34.39"/>
    <n v="3.7"/>
    <n v="2228.83"/>
  </r>
  <r>
    <x v="347"/>
    <s v="Instagram Ads"/>
    <s v="Lead Generation"/>
    <s v="Add-on Service"/>
    <n v="15008"/>
    <n v="671"/>
    <n v="28"/>
    <n v="556.23"/>
    <n v="2429.4"/>
    <n v="4.47"/>
    <n v="4.17"/>
    <n v="19.87"/>
    <n v="4.37"/>
    <n v="1873.17"/>
  </r>
  <r>
    <x v="347"/>
    <s v="LinkedIn Ads"/>
    <s v="Flash Sale"/>
    <s v="Starter Kit"/>
    <n v="4904"/>
    <n v="86"/>
    <n v="9"/>
    <n v="1377.85"/>
    <n v="1821.15"/>
    <n v="1.75"/>
    <n v="10.47"/>
    <n v="153.09"/>
    <n v="1.32"/>
    <n v="443.3"/>
  </r>
  <r>
    <x v="347"/>
    <s v="Email Marketing"/>
    <s v="Product Launch"/>
    <s v="Add-on Service"/>
    <n v="18612"/>
    <n v="3956"/>
    <n v="508"/>
    <n v="218.06"/>
    <n v="71061.72"/>
    <n v="21.26"/>
    <n v="12.84"/>
    <n v="0.43"/>
    <n v="325.88"/>
    <n v="70843.66"/>
  </r>
  <r>
    <x v="347"/>
    <s v="Organic Search"/>
    <s v="Lead Generation"/>
    <s v="Starter Kit"/>
    <n v="19051"/>
    <n v="949"/>
    <n v="129"/>
    <n v="0"/>
    <n v="20093.14"/>
    <n v="4.9800000000000004"/>
    <n v="13.59"/>
    <n v="0"/>
    <n v="0"/>
    <n v="20093.14"/>
  </r>
  <r>
    <x v="347"/>
    <s v="Display Ads"/>
    <s v="Flash Sale"/>
    <s v="Premium Plan"/>
    <n v="26592"/>
    <n v="498"/>
    <n v="23"/>
    <n v="826.27"/>
    <n v="2433.1799999999998"/>
    <n v="1.87"/>
    <n v="4.62"/>
    <n v="35.92"/>
    <n v="2.94"/>
    <n v="1606.91"/>
  </r>
  <r>
    <x v="347"/>
    <s v="YouTube Ads"/>
    <s v="Lead Generation"/>
    <s v="Enterprise Plan"/>
    <n v="13181"/>
    <n v="254"/>
    <n v="13"/>
    <n v="1070.05"/>
    <n v="1276.5899999999999"/>
    <n v="1.93"/>
    <n v="5.12"/>
    <n v="82.31"/>
    <n v="1.19"/>
    <n v="206.54"/>
  </r>
  <r>
    <x v="347"/>
    <s v="Twitter Ads"/>
    <s v="Retargeting"/>
    <s v="Starter Kit"/>
    <n v="8049"/>
    <n v="174"/>
    <n v="5"/>
    <n v="343.65"/>
    <n v="415.56"/>
    <n v="2.16"/>
    <n v="2.87"/>
    <n v="68.73"/>
    <n v="1.21"/>
    <n v="71.91"/>
  </r>
  <r>
    <x v="347"/>
    <s v="TikTok Ads"/>
    <s v="Lead Generation"/>
    <s v="Add-on Service"/>
    <n v="16753"/>
    <n v="423"/>
    <n v="14"/>
    <n v="687.71"/>
    <n v="1341.17"/>
    <n v="2.52"/>
    <n v="3.31"/>
    <n v="49.12"/>
    <n v="1.95"/>
    <n v="653.46"/>
  </r>
  <r>
    <x v="347"/>
    <s v="Affiliate Marketing"/>
    <s v="Lead Generation"/>
    <s v="Starter Kit"/>
    <n v="6044"/>
    <n v="312"/>
    <n v="27"/>
    <n v="258.49"/>
    <n v="3989.36"/>
    <n v="5.16"/>
    <n v="8.65"/>
    <n v="9.57"/>
    <n v="15.43"/>
    <n v="3730.87"/>
  </r>
  <r>
    <x v="347"/>
    <s v="Referral"/>
    <s v="Brand Awareness"/>
    <s v="Enterprise Plan"/>
    <n v="3971"/>
    <n v="316"/>
    <n v="39"/>
    <n v="138.09"/>
    <n v="5451.96"/>
    <n v="7.96"/>
    <n v="12.34"/>
    <n v="3.54"/>
    <n v="39.479999999999997"/>
    <n v="5313.87"/>
  </r>
  <r>
    <x v="348"/>
    <s v="Google Ads"/>
    <s v="Brand Awareness"/>
    <s v="Starter Kit"/>
    <n v="8353"/>
    <n v="370"/>
    <n v="30"/>
    <n v="805.45"/>
    <n v="4810.87"/>
    <n v="4.43"/>
    <n v="8.11"/>
    <n v="26.85"/>
    <n v="5.97"/>
    <n v="4005.42"/>
  </r>
  <r>
    <x v="348"/>
    <s v="Facebook Ads"/>
    <s v="Brand Awareness"/>
    <s v="Add-on Service"/>
    <n v="7235"/>
    <n v="172"/>
    <n v="11"/>
    <n v="378.9"/>
    <n v="1074.67"/>
    <n v="2.38"/>
    <n v="6.4"/>
    <n v="34.450000000000003"/>
    <n v="2.84"/>
    <n v="695.77"/>
  </r>
  <r>
    <x v="348"/>
    <s v="Instagram Ads"/>
    <s v="Lead Generation"/>
    <s v="Starter Kit"/>
    <n v="9185"/>
    <n v="247"/>
    <n v="11"/>
    <n v="429.6"/>
    <n v="940.78"/>
    <n v="2.69"/>
    <n v="4.45"/>
    <n v="39.049999999999997"/>
    <n v="2.19"/>
    <n v="511.18"/>
  </r>
  <r>
    <x v="348"/>
    <s v="LinkedIn Ads"/>
    <s v="Product Launch"/>
    <s v="Enterprise Plan"/>
    <n v="2193"/>
    <n v="49"/>
    <n v="4"/>
    <n v="831.82"/>
    <n v="1340.85"/>
    <n v="2.23"/>
    <n v="8.16"/>
    <n v="207.96"/>
    <n v="1.61"/>
    <n v="509.03"/>
  </r>
  <r>
    <x v="348"/>
    <s v="Email Marketing"/>
    <s v="Seasonal Promotion"/>
    <s v="Premium Plan"/>
    <n v="9592"/>
    <n v="1536"/>
    <n v="164"/>
    <n v="116.86"/>
    <n v="21216.880000000001"/>
    <n v="16.010000000000002"/>
    <n v="10.68"/>
    <n v="0.71"/>
    <n v="181.56"/>
    <n v="21100.02"/>
  </r>
  <r>
    <x v="348"/>
    <s v="Organic Search"/>
    <s v="Brand Awareness"/>
    <s v="Enterprise Plan"/>
    <n v="14961"/>
    <n v="1175"/>
    <n v="142"/>
    <n v="0"/>
    <n v="18649.55"/>
    <n v="7.85"/>
    <n v="12.09"/>
    <n v="0"/>
    <n v="0"/>
    <n v="18649.55"/>
  </r>
  <r>
    <x v="348"/>
    <s v="Display Ads"/>
    <s v="Retargeting"/>
    <s v="Premium Plan"/>
    <n v="21671"/>
    <n v="251"/>
    <n v="5"/>
    <n v="743.96"/>
    <n v="567.21"/>
    <n v="1.1599999999999999"/>
    <n v="1.99"/>
    <n v="148.79"/>
    <n v="0.76"/>
    <n v="-176.75"/>
  </r>
  <r>
    <x v="348"/>
    <s v="YouTube Ads"/>
    <s v="Retargeting"/>
    <s v="Enterprise Plan"/>
    <n v="14830"/>
    <n v="300"/>
    <n v="20"/>
    <n v="623.39"/>
    <n v="1759"/>
    <n v="2.02"/>
    <n v="6.67"/>
    <n v="31.17"/>
    <n v="2.82"/>
    <n v="1135.6099999999999"/>
  </r>
  <r>
    <x v="348"/>
    <s v="Twitter Ads"/>
    <s v="Retargeting"/>
    <s v="Add-on Service"/>
    <n v="6987"/>
    <n v="148"/>
    <n v="7"/>
    <n v="348.42"/>
    <n v="687.07"/>
    <n v="2.12"/>
    <n v="4.7300000000000004"/>
    <n v="49.77"/>
    <n v="1.97"/>
    <n v="338.65"/>
  </r>
  <r>
    <x v="348"/>
    <s v="TikTok Ads"/>
    <s v="Flash Sale"/>
    <s v="Enterprise Plan"/>
    <n v="11517"/>
    <n v="409"/>
    <n v="25"/>
    <n v="362.96"/>
    <n v="2708.92"/>
    <n v="3.55"/>
    <n v="6.11"/>
    <n v="14.52"/>
    <n v="7.46"/>
    <n v="2345.96"/>
  </r>
  <r>
    <x v="348"/>
    <s v="Affiliate Marketing"/>
    <s v="Flash Sale"/>
    <s v="Starter Kit"/>
    <n v="4019"/>
    <n v="227"/>
    <n v="24"/>
    <n v="323.93"/>
    <n v="3033.06"/>
    <n v="5.65"/>
    <n v="10.57"/>
    <n v="13.5"/>
    <n v="9.36"/>
    <n v="2709.13"/>
  </r>
  <r>
    <x v="348"/>
    <s v="Referral"/>
    <s v="Lead Generation"/>
    <s v="Add-on Service"/>
    <n v="3550"/>
    <n v="202"/>
    <n v="27"/>
    <n v="73.09"/>
    <n v="4513.42"/>
    <n v="5.69"/>
    <n v="13.37"/>
    <n v="2.71"/>
    <n v="61.75"/>
    <n v="4440.33"/>
  </r>
  <r>
    <x v="349"/>
    <s v="Google Ads"/>
    <s v="Retargeting"/>
    <s v="Enterprise Plan"/>
    <n v="5741"/>
    <n v="248"/>
    <n v="25"/>
    <n v="794.83"/>
    <n v="3341.08"/>
    <n v="4.32"/>
    <n v="10.08"/>
    <n v="31.79"/>
    <n v="4.2"/>
    <n v="2546.25"/>
  </r>
  <r>
    <x v="349"/>
    <s v="Facebook Ads"/>
    <s v="Retargeting"/>
    <s v="Basic Plan"/>
    <n v="8134"/>
    <n v="283"/>
    <n v="16"/>
    <n v="486.47"/>
    <n v="1438.29"/>
    <n v="3.48"/>
    <n v="5.65"/>
    <n v="30.4"/>
    <n v="2.96"/>
    <n v="951.82"/>
  </r>
  <r>
    <x v="349"/>
    <s v="Instagram Ads"/>
    <s v="Brand Awareness"/>
    <s v="Starter Kit"/>
    <n v="9010"/>
    <n v="314"/>
    <n v="17"/>
    <n v="325.70999999999998"/>
    <n v="1400.78"/>
    <n v="3.49"/>
    <n v="5.41"/>
    <n v="19.16"/>
    <n v="4.3"/>
    <n v="1075.07"/>
  </r>
  <r>
    <x v="349"/>
    <s v="LinkedIn Ads"/>
    <s v="Flash Sale"/>
    <s v="Enterprise Plan"/>
    <n v="2401"/>
    <n v="48"/>
    <n v="5"/>
    <n v="671.26"/>
    <n v="1337.88"/>
    <n v="2"/>
    <n v="10.42"/>
    <n v="134.25"/>
    <n v="1.99"/>
    <n v="666.62"/>
  </r>
  <r>
    <x v="349"/>
    <s v="Email Marketing"/>
    <s v="Lead Generation"/>
    <s v="Premium Plan"/>
    <n v="11051"/>
    <n v="1704"/>
    <n v="236"/>
    <n v="142.84"/>
    <n v="27779.74"/>
    <n v="15.42"/>
    <n v="13.85"/>
    <n v="0.61"/>
    <n v="194.48"/>
    <n v="27636.9"/>
  </r>
  <r>
    <x v="349"/>
    <s v="Organic Search"/>
    <s v="Flash Sale"/>
    <s v="Starter Kit"/>
    <n v="17958"/>
    <n v="763"/>
    <n v="116"/>
    <n v="0"/>
    <n v="14413.86"/>
    <n v="4.25"/>
    <n v="15.2"/>
    <n v="0"/>
    <n v="0"/>
    <n v="14413.86"/>
  </r>
  <r>
    <x v="349"/>
    <s v="Display Ads"/>
    <s v="Flash Sale"/>
    <s v="Premium Plan"/>
    <n v="21855"/>
    <n v="355"/>
    <n v="11"/>
    <n v="574.54999999999995"/>
    <n v="1002.69"/>
    <n v="1.62"/>
    <n v="3.1"/>
    <n v="52.23"/>
    <n v="1.75"/>
    <n v="428.14"/>
  </r>
  <r>
    <x v="349"/>
    <s v="YouTube Ads"/>
    <s v="Retargeting"/>
    <s v="Starter Kit"/>
    <n v="9694"/>
    <n v="261"/>
    <n v="16"/>
    <n v="715.35"/>
    <n v="1875.28"/>
    <n v="2.69"/>
    <n v="6.13"/>
    <n v="44.71"/>
    <n v="2.62"/>
    <n v="1159.93"/>
  </r>
  <r>
    <x v="349"/>
    <s v="Twitter Ads"/>
    <s v="Seasonal Promotion"/>
    <s v="Premium Plan"/>
    <n v="7507"/>
    <n v="203"/>
    <n v="9"/>
    <n v="292.89"/>
    <n v="628.98"/>
    <n v="2.7"/>
    <n v="4.43"/>
    <n v="32.54"/>
    <n v="2.15"/>
    <n v="336.09"/>
  </r>
  <r>
    <x v="349"/>
    <s v="TikTok Ads"/>
    <s v="Brand Awareness"/>
    <s v="Basic Plan"/>
    <n v="12242"/>
    <n v="431"/>
    <n v="25"/>
    <n v="443.74"/>
    <n v="1846.09"/>
    <n v="3.52"/>
    <n v="5.8"/>
    <n v="17.75"/>
    <n v="4.16"/>
    <n v="1402.35"/>
  </r>
  <r>
    <x v="349"/>
    <s v="Affiliate Marketing"/>
    <s v="Retargeting"/>
    <s v="Starter Kit"/>
    <n v="3691"/>
    <n v="221"/>
    <n v="20"/>
    <n v="186.34"/>
    <n v="2739.35"/>
    <n v="5.99"/>
    <n v="9.0500000000000007"/>
    <n v="9.32"/>
    <n v="14.7"/>
    <n v="2553.0100000000002"/>
  </r>
  <r>
    <x v="349"/>
    <s v="Referral"/>
    <s v="Flash Sale"/>
    <s v="Add-on Service"/>
    <n v="2932"/>
    <n v="264"/>
    <n v="32"/>
    <n v="44.91"/>
    <n v="4769.66"/>
    <n v="9"/>
    <n v="12.12"/>
    <n v="1.4"/>
    <n v="106.2"/>
    <n v="4724.75"/>
  </r>
  <r>
    <x v="350"/>
    <s v="Google Ads"/>
    <s v="Brand Awareness"/>
    <s v="Basic Plan"/>
    <n v="7824"/>
    <n v="346"/>
    <n v="34"/>
    <n v="991.93"/>
    <n v="4739.4799999999996"/>
    <n v="4.42"/>
    <n v="9.83"/>
    <n v="29.17"/>
    <n v="4.78"/>
    <n v="3747.55"/>
  </r>
  <r>
    <x v="350"/>
    <s v="Facebook Ads"/>
    <s v="Brand Awareness"/>
    <s v="Enterprise Plan"/>
    <n v="12588"/>
    <n v="358"/>
    <n v="21"/>
    <n v="751.65"/>
    <n v="2297.7199999999998"/>
    <n v="2.84"/>
    <n v="5.87"/>
    <n v="35.79"/>
    <n v="3.06"/>
    <n v="1546.07"/>
  </r>
  <r>
    <x v="350"/>
    <s v="Instagram Ads"/>
    <s v="Lead Generation"/>
    <s v="Enterprise Plan"/>
    <n v="11807"/>
    <n v="354"/>
    <n v="13"/>
    <n v="808.47"/>
    <n v="1459.01"/>
    <n v="3"/>
    <n v="3.67"/>
    <n v="62.19"/>
    <n v="1.8"/>
    <n v="650.54"/>
  </r>
  <r>
    <x v="350"/>
    <s v="LinkedIn Ads"/>
    <s v="Lead Generation"/>
    <s v="Add-on Service"/>
    <n v="2594"/>
    <n v="53"/>
    <n v="5"/>
    <n v="1057.51"/>
    <n v="1855.47"/>
    <n v="2.04"/>
    <n v="9.43"/>
    <n v="211.5"/>
    <n v="1.75"/>
    <n v="797.96"/>
  </r>
  <r>
    <x v="350"/>
    <s v="Email Marketing"/>
    <s v="Retargeting"/>
    <s v="Premium Plan"/>
    <n v="12861"/>
    <n v="2126"/>
    <n v="230"/>
    <n v="139.05000000000001"/>
    <n v="39655.519999999997"/>
    <n v="16.53"/>
    <n v="10.82"/>
    <n v="0.6"/>
    <n v="285.19"/>
    <n v="39516.47"/>
  </r>
  <r>
    <x v="350"/>
    <s v="Organic Search"/>
    <s v="Lead Generation"/>
    <s v="Starter Kit"/>
    <n v="21263"/>
    <n v="1536"/>
    <n v="204"/>
    <n v="0"/>
    <n v="24728.67"/>
    <n v="7.22"/>
    <n v="13.28"/>
    <n v="0"/>
    <n v="0"/>
    <n v="24728.67"/>
  </r>
  <r>
    <x v="350"/>
    <s v="Display Ads"/>
    <s v="Flash Sale"/>
    <s v="Starter Kit"/>
    <n v="30923"/>
    <n v="414"/>
    <n v="14"/>
    <n v="1043.1199999999999"/>
    <n v="1718.12"/>
    <n v="1.34"/>
    <n v="3.38"/>
    <n v="74.510000000000005"/>
    <n v="1.65"/>
    <n v="675"/>
  </r>
  <r>
    <x v="350"/>
    <s v="YouTube Ads"/>
    <s v="Product Launch"/>
    <s v="Add-on Service"/>
    <n v="18170"/>
    <n v="337"/>
    <n v="22"/>
    <n v="914.66"/>
    <n v="2337.48"/>
    <n v="1.85"/>
    <n v="6.53"/>
    <n v="41.58"/>
    <n v="2.56"/>
    <n v="1422.82"/>
  </r>
  <r>
    <x v="350"/>
    <s v="Twitter Ads"/>
    <s v="Seasonal Promotion"/>
    <s v="Enterprise Plan"/>
    <n v="11793"/>
    <n v="361"/>
    <n v="12"/>
    <n v="482.97"/>
    <n v="1189.33"/>
    <n v="3.06"/>
    <n v="3.32"/>
    <n v="40.25"/>
    <n v="2.46"/>
    <n v="706.36"/>
  </r>
  <r>
    <x v="350"/>
    <s v="TikTok Ads"/>
    <s v="Flash Sale"/>
    <s v="Starter Kit"/>
    <n v="16712"/>
    <n v="694"/>
    <n v="40"/>
    <n v="641.84"/>
    <n v="3779.07"/>
    <n v="4.1500000000000004"/>
    <n v="5.76"/>
    <n v="16.05"/>
    <n v="5.89"/>
    <n v="3137.23"/>
  </r>
  <r>
    <x v="350"/>
    <s v="Affiliate Marketing"/>
    <s v="Product Launch"/>
    <s v="Starter Kit"/>
    <n v="4469"/>
    <n v="303"/>
    <n v="27"/>
    <n v="383.89"/>
    <n v="3140.42"/>
    <n v="6.78"/>
    <n v="8.91"/>
    <n v="14.22"/>
    <n v="8.18"/>
    <n v="2756.53"/>
  </r>
  <r>
    <x v="350"/>
    <s v="Referral"/>
    <s v="Flash Sale"/>
    <s v="Add-on Service"/>
    <n v="5317"/>
    <n v="370"/>
    <n v="51"/>
    <n v="135.16999999999999"/>
    <n v="7774.82"/>
    <n v="6.96"/>
    <n v="13.78"/>
    <n v="2.65"/>
    <n v="57.52"/>
    <n v="7639.65"/>
  </r>
  <r>
    <x v="351"/>
    <s v="Google Ads"/>
    <s v="Retargeting"/>
    <s v="Starter Kit"/>
    <n v="8703"/>
    <n v="296"/>
    <n v="29"/>
    <n v="862.5"/>
    <n v="4336.3100000000004"/>
    <n v="3.4"/>
    <n v="9.8000000000000007"/>
    <n v="29.74"/>
    <n v="5.03"/>
    <n v="3473.81"/>
  </r>
  <r>
    <x v="351"/>
    <s v="Facebook Ads"/>
    <s v="Seasonal Promotion"/>
    <s v="Enterprise Plan"/>
    <n v="13407"/>
    <n v="463"/>
    <n v="22"/>
    <n v="553.34"/>
    <n v="2633.57"/>
    <n v="3.45"/>
    <n v="4.75"/>
    <n v="25.15"/>
    <n v="4.76"/>
    <n v="2080.23"/>
  </r>
  <r>
    <x v="351"/>
    <s v="Instagram Ads"/>
    <s v="Lead Generation"/>
    <s v="Starter Kit"/>
    <n v="9688"/>
    <n v="273"/>
    <n v="21"/>
    <n v="561.86"/>
    <n v="1837.54"/>
    <n v="2.82"/>
    <n v="7.69"/>
    <n v="26.76"/>
    <n v="3.27"/>
    <n v="1275.68"/>
  </r>
  <r>
    <x v="351"/>
    <s v="LinkedIn Ads"/>
    <s v="Brand Awareness"/>
    <s v="Premium Plan"/>
    <n v="2699"/>
    <n v="64"/>
    <n v="7"/>
    <n v="786.79"/>
    <n v="1753.25"/>
    <n v="2.37"/>
    <n v="10.94"/>
    <n v="112.4"/>
    <n v="2.23"/>
    <n v="966.46"/>
  </r>
  <r>
    <x v="351"/>
    <s v="Email Marketing"/>
    <s v="Product Launch"/>
    <s v="Starter Kit"/>
    <n v="18715"/>
    <n v="4185"/>
    <n v="469"/>
    <n v="99.34"/>
    <n v="57384.13"/>
    <n v="22.36"/>
    <n v="11.21"/>
    <n v="0.21"/>
    <n v="577.65"/>
    <n v="57284.79"/>
  </r>
  <r>
    <x v="351"/>
    <s v="Organic Search"/>
    <s v="Retargeting"/>
    <s v="Basic Plan"/>
    <n v="21677"/>
    <n v="1683"/>
    <n v="175"/>
    <n v="0"/>
    <n v="22704.98"/>
    <n v="7.76"/>
    <n v="10.4"/>
    <n v="0"/>
    <n v="0"/>
    <n v="22704.98"/>
  </r>
  <r>
    <x v="351"/>
    <s v="Display Ads"/>
    <s v="Flash Sale"/>
    <s v="Basic Plan"/>
    <n v="24158"/>
    <n v="414"/>
    <n v="16"/>
    <n v="1088.22"/>
    <n v="1943.94"/>
    <n v="1.71"/>
    <n v="3.86"/>
    <n v="68.010000000000005"/>
    <n v="1.79"/>
    <n v="855.72"/>
  </r>
  <r>
    <x v="351"/>
    <s v="YouTube Ads"/>
    <s v="Brand Awareness"/>
    <s v="Premium Plan"/>
    <n v="16570"/>
    <n v="362"/>
    <n v="25"/>
    <n v="793.73"/>
    <n v="2698.24"/>
    <n v="2.1800000000000002"/>
    <n v="6.91"/>
    <n v="31.75"/>
    <n v="3.4"/>
    <n v="1904.51"/>
  </r>
  <r>
    <x v="351"/>
    <s v="Twitter Ads"/>
    <s v="Flash Sale"/>
    <s v="Premium Plan"/>
    <n v="11605"/>
    <n v="374"/>
    <n v="19"/>
    <n v="459.77"/>
    <n v="2161.23"/>
    <n v="3.22"/>
    <n v="5.08"/>
    <n v="24.2"/>
    <n v="4.7"/>
    <n v="1701.46"/>
  </r>
  <r>
    <x v="351"/>
    <s v="TikTok Ads"/>
    <s v="Brand Awareness"/>
    <s v="Starter Kit"/>
    <n v="18753"/>
    <n v="799"/>
    <n v="45"/>
    <n v="693.56"/>
    <n v="4207.93"/>
    <n v="4.26"/>
    <n v="5.63"/>
    <n v="15.41"/>
    <n v="6.07"/>
    <n v="3514.37"/>
  </r>
  <r>
    <x v="351"/>
    <s v="Affiliate Marketing"/>
    <s v="Flash Sale"/>
    <s v="Premium Plan"/>
    <n v="7395"/>
    <n v="466"/>
    <n v="51"/>
    <n v="354.8"/>
    <n v="7513.4"/>
    <n v="6.3"/>
    <n v="10.94"/>
    <n v="6.96"/>
    <n v="21.18"/>
    <n v="7158.6"/>
  </r>
  <r>
    <x v="351"/>
    <s v="Referral"/>
    <s v="Lead Generation"/>
    <s v="Starter Kit"/>
    <n v="2949"/>
    <n v="192"/>
    <n v="27"/>
    <n v="130.34"/>
    <n v="4831.08"/>
    <n v="6.51"/>
    <n v="14.06"/>
    <n v="4.83"/>
    <n v="37.07"/>
    <n v="4700.74"/>
  </r>
  <r>
    <x v="352"/>
    <s v="Google Ads"/>
    <s v="Seasonal Promotion"/>
    <s v="Enterprise Plan"/>
    <n v="8708"/>
    <n v="379"/>
    <n v="37"/>
    <n v="690.98"/>
    <n v="5251.07"/>
    <n v="4.3499999999999996"/>
    <n v="9.76"/>
    <n v="18.68"/>
    <n v="7.6"/>
    <n v="4560.09"/>
  </r>
  <r>
    <x v="352"/>
    <s v="Facebook Ads"/>
    <s v="Lead Generation"/>
    <s v="Enterprise Plan"/>
    <n v="14471"/>
    <n v="537"/>
    <n v="29"/>
    <n v="982.31"/>
    <n v="3881.89"/>
    <n v="3.71"/>
    <n v="5.4"/>
    <n v="33.869999999999997"/>
    <n v="3.95"/>
    <n v="2899.58"/>
  </r>
  <r>
    <x v="352"/>
    <s v="Instagram Ads"/>
    <s v="Seasonal Promotion"/>
    <s v="Add-on Service"/>
    <n v="15172"/>
    <n v="669"/>
    <n v="39"/>
    <n v="548.78"/>
    <n v="3942.6"/>
    <n v="4.41"/>
    <n v="5.83"/>
    <n v="14.07"/>
    <n v="7.18"/>
    <n v="3393.82"/>
  </r>
  <r>
    <x v="352"/>
    <s v="LinkedIn Ads"/>
    <s v="Brand Awareness"/>
    <s v="Premium Plan"/>
    <n v="3820"/>
    <n v="107"/>
    <n v="13"/>
    <n v="945.41"/>
    <n v="3808.83"/>
    <n v="2.8"/>
    <n v="12.15"/>
    <n v="72.72"/>
    <n v="4.03"/>
    <n v="2863.42"/>
  </r>
  <r>
    <x v="352"/>
    <s v="Email Marketing"/>
    <s v="Flash Sale"/>
    <s v="Add-on Service"/>
    <n v="13073"/>
    <n v="2917"/>
    <n v="274"/>
    <n v="253.91"/>
    <n v="38341.81"/>
    <n v="22.31"/>
    <n v="9.39"/>
    <n v="0.93"/>
    <n v="151.01"/>
    <n v="38087.9"/>
  </r>
  <r>
    <x v="352"/>
    <s v="Organic Search"/>
    <s v="Retargeting"/>
    <s v="Starter Kit"/>
    <n v="29398"/>
    <n v="2056"/>
    <n v="211"/>
    <n v="0"/>
    <n v="31513.85"/>
    <n v="6.99"/>
    <n v="10.26"/>
    <n v="0"/>
    <n v="0"/>
    <n v="31513.85"/>
  </r>
  <r>
    <x v="352"/>
    <s v="Display Ads"/>
    <s v="Lead Generation"/>
    <s v="Enterprise Plan"/>
    <n v="23284"/>
    <n v="397"/>
    <n v="11"/>
    <n v="685.6"/>
    <n v="1222.17"/>
    <n v="1.71"/>
    <n v="2.77"/>
    <n v="62.33"/>
    <n v="1.78"/>
    <n v="536.57000000000005"/>
  </r>
  <r>
    <x v="352"/>
    <s v="YouTube Ads"/>
    <s v="Flash Sale"/>
    <s v="Starter Kit"/>
    <n v="18854"/>
    <n v="560"/>
    <n v="22"/>
    <n v="831.55"/>
    <n v="3161.43"/>
    <n v="2.97"/>
    <n v="3.93"/>
    <n v="37.799999999999997"/>
    <n v="3.8"/>
    <n v="2329.88"/>
  </r>
  <r>
    <x v="352"/>
    <s v="Twitter Ads"/>
    <s v="Retargeting"/>
    <s v="Add-on Service"/>
    <n v="7338"/>
    <n v="246"/>
    <n v="12"/>
    <n v="393.3"/>
    <n v="1102.52"/>
    <n v="3.35"/>
    <n v="4.88"/>
    <n v="32.78"/>
    <n v="2.8"/>
    <n v="709.22"/>
  </r>
  <r>
    <x v="352"/>
    <s v="TikTok Ads"/>
    <s v="Product Launch"/>
    <s v="Add-on Service"/>
    <n v="17387"/>
    <n v="718"/>
    <n v="38"/>
    <n v="515.85"/>
    <n v="3567.21"/>
    <n v="4.13"/>
    <n v="5.29"/>
    <n v="13.58"/>
    <n v="6.92"/>
    <n v="3051.36"/>
  </r>
  <r>
    <x v="352"/>
    <s v="Affiliate Marketing"/>
    <s v="Product Launch"/>
    <s v="Add-on Service"/>
    <n v="8230"/>
    <n v="487"/>
    <n v="54"/>
    <n v="528.92999999999995"/>
    <n v="7738.08"/>
    <n v="5.92"/>
    <n v="11.09"/>
    <n v="9.8000000000000007"/>
    <n v="14.63"/>
    <n v="7209.15"/>
  </r>
  <r>
    <x v="352"/>
    <s v="Referral"/>
    <s v="Seasonal Promotion"/>
    <s v="Premium Plan"/>
    <n v="4738"/>
    <n v="261"/>
    <n v="41"/>
    <n v="150.25"/>
    <n v="7056.65"/>
    <n v="5.51"/>
    <n v="15.71"/>
    <n v="3.66"/>
    <n v="46.97"/>
    <n v="6906.4"/>
  </r>
  <r>
    <x v="353"/>
    <s v="Google Ads"/>
    <s v="Brand Awareness"/>
    <s v="Starter Kit"/>
    <n v="8996"/>
    <n v="307"/>
    <n v="25"/>
    <n v="1185.6500000000001"/>
    <n v="3304.32"/>
    <n v="3.41"/>
    <n v="8.14"/>
    <n v="47.43"/>
    <n v="2.79"/>
    <n v="2118.67"/>
  </r>
  <r>
    <x v="353"/>
    <s v="Facebook Ads"/>
    <s v="Brand Awareness"/>
    <s v="Starter Kit"/>
    <n v="12785"/>
    <n v="332"/>
    <n v="28"/>
    <n v="611.52"/>
    <n v="3231.59"/>
    <n v="2.6"/>
    <n v="8.43"/>
    <n v="21.84"/>
    <n v="5.28"/>
    <n v="2620.0700000000002"/>
  </r>
  <r>
    <x v="353"/>
    <s v="Instagram Ads"/>
    <s v="Retargeting"/>
    <s v="Enterprise Plan"/>
    <n v="11555"/>
    <n v="392"/>
    <n v="26"/>
    <n v="475.14"/>
    <n v="2287.42"/>
    <n v="3.39"/>
    <n v="6.63"/>
    <n v="18.27"/>
    <n v="4.8099999999999996"/>
    <n v="1812.28"/>
  </r>
  <r>
    <x v="353"/>
    <s v="LinkedIn Ads"/>
    <s v="Retargeting"/>
    <s v="Starter Kit"/>
    <n v="3363"/>
    <n v="65"/>
    <n v="6"/>
    <n v="1310.32"/>
    <n v="1378.72"/>
    <n v="1.93"/>
    <n v="9.23"/>
    <n v="218.39"/>
    <n v="1.05"/>
    <n v="68.400000000000006"/>
  </r>
  <r>
    <x v="353"/>
    <s v="Email Marketing"/>
    <s v="Retargeting"/>
    <s v="Premium Plan"/>
    <n v="13126"/>
    <n v="2301"/>
    <n v="195"/>
    <n v="217.53"/>
    <n v="25471.11"/>
    <n v="17.53"/>
    <n v="8.4700000000000006"/>
    <n v="1.1200000000000001"/>
    <n v="117.09"/>
    <n v="25253.58"/>
  </r>
  <r>
    <x v="353"/>
    <s v="Organic Search"/>
    <s v="Brand Awareness"/>
    <s v="Basic Plan"/>
    <n v="19417"/>
    <n v="867"/>
    <n v="103"/>
    <n v="0"/>
    <n v="11048.45"/>
    <n v="4.47"/>
    <n v="11.88"/>
    <n v="0"/>
    <n v="0"/>
    <n v="11048.45"/>
  </r>
  <r>
    <x v="353"/>
    <s v="Display Ads"/>
    <s v="Seasonal Promotion"/>
    <s v="Enterprise Plan"/>
    <n v="27710"/>
    <n v="280"/>
    <n v="7"/>
    <n v="674.24"/>
    <n v="650.33000000000004"/>
    <n v="1.01"/>
    <n v="2.5"/>
    <n v="96.32"/>
    <n v="0.96"/>
    <n v="-23.91"/>
  </r>
  <r>
    <x v="353"/>
    <s v="YouTube Ads"/>
    <s v="Flash Sale"/>
    <s v="Basic Plan"/>
    <n v="20876"/>
    <n v="337"/>
    <n v="25"/>
    <n v="806.79"/>
    <n v="2783.06"/>
    <n v="1.61"/>
    <n v="7.42"/>
    <n v="32.270000000000003"/>
    <n v="3.45"/>
    <n v="1976.27"/>
  </r>
  <r>
    <x v="353"/>
    <s v="Twitter Ads"/>
    <s v="Retargeting"/>
    <s v="Starter Kit"/>
    <n v="8605"/>
    <n v="251"/>
    <n v="10"/>
    <n v="583.58000000000004"/>
    <n v="869.27"/>
    <n v="2.92"/>
    <n v="3.98"/>
    <n v="58.36"/>
    <n v="1.49"/>
    <n v="285.69"/>
  </r>
  <r>
    <x v="353"/>
    <s v="TikTok Ads"/>
    <s v="Lead Generation"/>
    <s v="Enterprise Plan"/>
    <n v="20764"/>
    <n v="653"/>
    <n v="32"/>
    <n v="669.34"/>
    <n v="3146.98"/>
    <n v="3.14"/>
    <n v="4.9000000000000004"/>
    <n v="20.92"/>
    <n v="4.7"/>
    <n v="2477.64"/>
  </r>
  <r>
    <x v="353"/>
    <s v="Affiliate Marketing"/>
    <s v="Flash Sale"/>
    <s v="Starter Kit"/>
    <n v="5398"/>
    <n v="243"/>
    <n v="23"/>
    <n v="381.01"/>
    <n v="2613.06"/>
    <n v="4.5"/>
    <n v="9.4700000000000006"/>
    <n v="16.57"/>
    <n v="6.86"/>
    <n v="2232.0500000000002"/>
  </r>
  <r>
    <x v="353"/>
    <s v="Referral"/>
    <s v="Retargeting"/>
    <s v="Premium Plan"/>
    <n v="3768"/>
    <n v="224"/>
    <n v="38"/>
    <n v="146.30000000000001"/>
    <n v="6776.84"/>
    <n v="5.94"/>
    <n v="16.96"/>
    <n v="3.85"/>
    <n v="46.32"/>
    <n v="6630.54"/>
  </r>
  <r>
    <x v="354"/>
    <s v="Google Ads"/>
    <s v="Seasonal Promotion"/>
    <s v="Starter Kit"/>
    <n v="9627"/>
    <n v="476"/>
    <n v="56"/>
    <n v="906.48"/>
    <n v="8074.71"/>
    <n v="4.9400000000000004"/>
    <n v="11.76"/>
    <n v="16.190000000000001"/>
    <n v="8.91"/>
    <n v="7168.23"/>
  </r>
  <r>
    <x v="354"/>
    <s v="Facebook Ads"/>
    <s v="Flash Sale"/>
    <s v="Add-on Service"/>
    <n v="14121"/>
    <n v="314"/>
    <n v="17"/>
    <n v="804.45"/>
    <n v="1402.05"/>
    <n v="2.2200000000000002"/>
    <n v="5.41"/>
    <n v="47.32"/>
    <n v="1.74"/>
    <n v="597.6"/>
  </r>
  <r>
    <x v="354"/>
    <s v="Instagram Ads"/>
    <s v="Flash Sale"/>
    <s v="Add-on Service"/>
    <n v="11337"/>
    <n v="464"/>
    <n v="23"/>
    <n v="506.37"/>
    <n v="2540.2399999999998"/>
    <n v="4.09"/>
    <n v="4.96"/>
    <n v="22.02"/>
    <n v="5.0199999999999996"/>
    <n v="2033.87"/>
  </r>
  <r>
    <x v="354"/>
    <s v="LinkedIn Ads"/>
    <s v="Seasonal Promotion"/>
    <s v="Starter Kit"/>
    <n v="2897"/>
    <n v="49"/>
    <n v="4"/>
    <n v="822.83"/>
    <n v="957.69"/>
    <n v="1.69"/>
    <n v="8.16"/>
    <n v="205.71"/>
    <n v="1.1599999999999999"/>
    <n v="134.86000000000001"/>
  </r>
  <r>
    <x v="354"/>
    <s v="Email Marketing"/>
    <s v="Retargeting"/>
    <s v="Add-on Service"/>
    <n v="21142"/>
    <n v="4794"/>
    <n v="657"/>
    <n v="130.04"/>
    <n v="75008.78"/>
    <n v="22.68"/>
    <n v="13.7"/>
    <n v="0.2"/>
    <n v="576.80999999999995"/>
    <n v="74878.740000000005"/>
  </r>
  <r>
    <x v="354"/>
    <s v="Organic Search"/>
    <s v="Lead Generation"/>
    <s v="Add-on Service"/>
    <n v="24147"/>
    <n v="1428"/>
    <n v="204"/>
    <n v="0"/>
    <n v="25307.41"/>
    <n v="5.91"/>
    <n v="14.29"/>
    <n v="0"/>
    <n v="0"/>
    <n v="25307.41"/>
  </r>
  <r>
    <x v="354"/>
    <s v="Display Ads"/>
    <s v="Brand Awareness"/>
    <s v="Starter Kit"/>
    <n v="24363"/>
    <n v="396"/>
    <n v="10"/>
    <n v="961.42"/>
    <n v="946.64"/>
    <n v="1.63"/>
    <n v="2.5299999999999998"/>
    <n v="96.14"/>
    <n v="0.98"/>
    <n v="-14.78"/>
  </r>
  <r>
    <x v="354"/>
    <s v="YouTube Ads"/>
    <s v="Product Launch"/>
    <s v="Starter Kit"/>
    <n v="18059"/>
    <n v="287"/>
    <n v="16"/>
    <n v="792.37"/>
    <n v="1852.65"/>
    <n v="1.59"/>
    <n v="5.57"/>
    <n v="49.52"/>
    <n v="2.34"/>
    <n v="1060.28"/>
  </r>
  <r>
    <x v="354"/>
    <s v="Twitter Ads"/>
    <s v="Seasonal Promotion"/>
    <s v="Starter Kit"/>
    <n v="10880"/>
    <n v="238"/>
    <n v="11"/>
    <n v="523.57000000000005"/>
    <n v="1060.96"/>
    <n v="2.19"/>
    <n v="4.62"/>
    <n v="47.6"/>
    <n v="2.0299999999999998"/>
    <n v="537.39"/>
  </r>
  <r>
    <x v="354"/>
    <s v="TikTok Ads"/>
    <s v="Seasonal Promotion"/>
    <s v="Enterprise Plan"/>
    <n v="17345"/>
    <n v="449"/>
    <n v="27"/>
    <n v="517.71"/>
    <n v="2685.88"/>
    <n v="2.59"/>
    <n v="6.01"/>
    <n v="19.170000000000002"/>
    <n v="5.19"/>
    <n v="2168.17"/>
  </r>
  <r>
    <x v="354"/>
    <s v="Affiliate Marketing"/>
    <s v="Product Launch"/>
    <s v="Enterprise Plan"/>
    <n v="7842"/>
    <n v="496"/>
    <n v="63"/>
    <n v="542.16999999999996"/>
    <n v="7687.43"/>
    <n v="6.32"/>
    <n v="12.7"/>
    <n v="8.61"/>
    <n v="14.18"/>
    <n v="7145.26"/>
  </r>
  <r>
    <x v="354"/>
    <s v="Referral"/>
    <s v="Brand Awareness"/>
    <s v="Premium Plan"/>
    <n v="3436"/>
    <n v="256"/>
    <n v="45"/>
    <n v="112.62"/>
    <n v="5558.57"/>
    <n v="7.45"/>
    <n v="17.579999999999998"/>
    <n v="2.5"/>
    <n v="49.36"/>
    <n v="5445.95"/>
  </r>
  <r>
    <x v="355"/>
    <s v="Google Ads"/>
    <s v="Seasonal Promotion"/>
    <s v="Premium Plan"/>
    <n v="5940"/>
    <n v="242"/>
    <n v="21"/>
    <n v="519.61"/>
    <n v="3198.28"/>
    <n v="4.07"/>
    <n v="8.68"/>
    <n v="24.74"/>
    <n v="6.16"/>
    <n v="2678.67"/>
  </r>
  <r>
    <x v="355"/>
    <s v="Facebook Ads"/>
    <s v="Lead Generation"/>
    <s v="Enterprise Plan"/>
    <n v="7361"/>
    <n v="154"/>
    <n v="8"/>
    <n v="421.07"/>
    <n v="813.41"/>
    <n v="2.09"/>
    <n v="5.19"/>
    <n v="52.63"/>
    <n v="1.93"/>
    <n v="392.34"/>
  </r>
  <r>
    <x v="355"/>
    <s v="Instagram Ads"/>
    <s v="Product Launch"/>
    <s v="Add-on Service"/>
    <n v="8154"/>
    <n v="237"/>
    <n v="13"/>
    <n v="331"/>
    <n v="1260.1300000000001"/>
    <n v="2.91"/>
    <n v="5.49"/>
    <n v="25.46"/>
    <n v="3.81"/>
    <n v="929.13"/>
  </r>
  <r>
    <x v="355"/>
    <s v="LinkedIn Ads"/>
    <s v="Brand Awareness"/>
    <s v="Enterprise Plan"/>
    <n v="2905"/>
    <n v="50"/>
    <n v="4"/>
    <n v="911.9"/>
    <n v="743.11"/>
    <n v="1.72"/>
    <n v="8"/>
    <n v="227.98"/>
    <n v="0.81"/>
    <n v="-168.79"/>
  </r>
  <r>
    <x v="355"/>
    <s v="Email Marketing"/>
    <s v="Retargeting"/>
    <s v="Premium Plan"/>
    <n v="14457"/>
    <n v="3321"/>
    <n v="420"/>
    <n v="121.5"/>
    <n v="50834.55"/>
    <n v="22.97"/>
    <n v="12.65"/>
    <n v="0.28999999999999998"/>
    <n v="418.39"/>
    <n v="50713.05"/>
  </r>
  <r>
    <x v="355"/>
    <s v="Organic Search"/>
    <s v="Retargeting"/>
    <s v="Enterprise Plan"/>
    <n v="19336"/>
    <n v="837"/>
    <n v="89"/>
    <n v="0"/>
    <n v="9147.7000000000007"/>
    <n v="4.33"/>
    <n v="10.63"/>
    <n v="0"/>
    <n v="0"/>
    <n v="9147.7000000000007"/>
  </r>
  <r>
    <x v="355"/>
    <s v="Display Ads"/>
    <s v="Product Launch"/>
    <s v="Starter Kit"/>
    <n v="22620"/>
    <n v="228"/>
    <n v="6"/>
    <n v="731.03"/>
    <n v="713.94"/>
    <n v="1.01"/>
    <n v="2.63"/>
    <n v="121.84"/>
    <n v="0.98"/>
    <n v="-17.09"/>
  </r>
  <r>
    <x v="355"/>
    <s v="YouTube Ads"/>
    <s v="Product Launch"/>
    <s v="Premium Plan"/>
    <n v="11681"/>
    <n v="217"/>
    <n v="16"/>
    <n v="821.54"/>
    <n v="1854.97"/>
    <n v="1.86"/>
    <n v="7.37"/>
    <n v="51.35"/>
    <n v="2.2599999999999998"/>
    <n v="1033.43"/>
  </r>
  <r>
    <x v="355"/>
    <s v="Twitter Ads"/>
    <s v="Flash Sale"/>
    <s v="Basic Plan"/>
    <n v="7566"/>
    <n v="212"/>
    <n v="7"/>
    <n v="320.31"/>
    <n v="812.19"/>
    <n v="2.8"/>
    <n v="3.3"/>
    <n v="45.76"/>
    <n v="2.54"/>
    <n v="491.88"/>
  </r>
  <r>
    <x v="355"/>
    <s v="TikTok Ads"/>
    <s v="Lead Generation"/>
    <s v="Basic Plan"/>
    <n v="15201"/>
    <n v="457"/>
    <n v="16"/>
    <n v="611.05999999999995"/>
    <n v="1164.0899999999999"/>
    <n v="3.01"/>
    <n v="3.5"/>
    <n v="38.19"/>
    <n v="1.91"/>
    <n v="553.03"/>
  </r>
  <r>
    <x v="355"/>
    <s v="Affiliate Marketing"/>
    <s v="Flash Sale"/>
    <s v="Enterprise Plan"/>
    <n v="4082"/>
    <n v="195"/>
    <n v="23"/>
    <n v="347.32"/>
    <n v="3509.73"/>
    <n v="4.78"/>
    <n v="11.79"/>
    <n v="15.1"/>
    <n v="10.11"/>
    <n v="3162.41"/>
  </r>
  <r>
    <x v="355"/>
    <s v="Referral"/>
    <s v="Seasonal Promotion"/>
    <s v="Premium Plan"/>
    <n v="3095"/>
    <n v="240"/>
    <n v="37"/>
    <n v="45.94"/>
    <n v="4808.46"/>
    <n v="7.75"/>
    <n v="15.42"/>
    <n v="1.24"/>
    <n v="104.67"/>
    <n v="4762.5200000000004"/>
  </r>
  <r>
    <x v="356"/>
    <s v="Google Ads"/>
    <s v="Flash Sale"/>
    <s v="Premium Plan"/>
    <n v="8670"/>
    <n v="281"/>
    <n v="27"/>
    <n v="625.96"/>
    <n v="5100.2"/>
    <n v="3.24"/>
    <n v="9.61"/>
    <n v="23.18"/>
    <n v="8.15"/>
    <n v="4474.24"/>
  </r>
  <r>
    <x v="356"/>
    <s v="Facebook Ads"/>
    <s v="Product Launch"/>
    <s v="Premium Plan"/>
    <n v="8689"/>
    <n v="270"/>
    <n v="22"/>
    <n v="570.76"/>
    <n v="2240.92"/>
    <n v="3.11"/>
    <n v="8.15"/>
    <n v="25.94"/>
    <n v="3.93"/>
    <n v="1670.16"/>
  </r>
  <r>
    <x v="356"/>
    <s v="Instagram Ads"/>
    <s v="Product Launch"/>
    <s v="Basic Plan"/>
    <n v="6719"/>
    <n v="204"/>
    <n v="7"/>
    <n v="408.79"/>
    <n v="560.12"/>
    <n v="3.04"/>
    <n v="3.43"/>
    <n v="58.4"/>
    <n v="1.37"/>
    <n v="151.33000000000001"/>
  </r>
  <r>
    <x v="356"/>
    <s v="LinkedIn Ads"/>
    <s v="Brand Awareness"/>
    <s v="Add-on Service"/>
    <n v="3156"/>
    <n v="91"/>
    <n v="9"/>
    <n v="978.9"/>
    <n v="2425.21"/>
    <n v="2.88"/>
    <n v="9.89"/>
    <n v="108.77"/>
    <n v="2.48"/>
    <n v="1446.31"/>
  </r>
  <r>
    <x v="356"/>
    <s v="Email Marketing"/>
    <s v="Product Launch"/>
    <s v="Premium Plan"/>
    <n v="11250"/>
    <n v="1692"/>
    <n v="176"/>
    <n v="178.34"/>
    <n v="21209.46"/>
    <n v="15.04"/>
    <n v="10.4"/>
    <n v="1.01"/>
    <n v="118.93"/>
    <n v="21031.119999999999"/>
  </r>
  <r>
    <x v="356"/>
    <s v="Organic Search"/>
    <s v="Retargeting"/>
    <s v="Starter Kit"/>
    <n v="12021"/>
    <n v="924"/>
    <n v="110"/>
    <n v="0"/>
    <n v="13863.24"/>
    <n v="7.69"/>
    <n v="11.9"/>
    <n v="0"/>
    <n v="0"/>
    <n v="13863.24"/>
  </r>
  <r>
    <x v="356"/>
    <s v="Display Ads"/>
    <s v="Seasonal Promotion"/>
    <s v="Add-on Service"/>
    <n v="18594"/>
    <n v="240"/>
    <n v="10"/>
    <n v="768.87"/>
    <n v="1197.23"/>
    <n v="1.29"/>
    <n v="4.17"/>
    <n v="76.89"/>
    <n v="1.56"/>
    <n v="428.36"/>
  </r>
  <r>
    <x v="356"/>
    <s v="YouTube Ads"/>
    <s v="Retargeting"/>
    <s v="Enterprise Plan"/>
    <n v="13796"/>
    <n v="412"/>
    <n v="24"/>
    <n v="531.59"/>
    <n v="2204.3000000000002"/>
    <n v="2.99"/>
    <n v="5.83"/>
    <n v="22.15"/>
    <n v="4.1500000000000004"/>
    <n v="1672.71"/>
  </r>
  <r>
    <x v="356"/>
    <s v="Twitter Ads"/>
    <s v="Brand Awareness"/>
    <s v="Starter Kit"/>
    <n v="5378"/>
    <n v="123"/>
    <n v="6"/>
    <n v="269.64999999999998"/>
    <n v="470.64"/>
    <n v="2.29"/>
    <n v="4.88"/>
    <n v="44.94"/>
    <n v="1.75"/>
    <n v="200.99"/>
  </r>
  <r>
    <x v="356"/>
    <s v="TikTok Ads"/>
    <s v="Seasonal Promotion"/>
    <s v="Premium Plan"/>
    <n v="13247"/>
    <n v="508"/>
    <n v="35"/>
    <n v="411.5"/>
    <n v="2660.37"/>
    <n v="3.83"/>
    <n v="6.89"/>
    <n v="11.76"/>
    <n v="6.47"/>
    <n v="2248.87"/>
  </r>
  <r>
    <x v="356"/>
    <s v="Affiliate Marketing"/>
    <s v="Product Launch"/>
    <s v="Starter Kit"/>
    <n v="3556"/>
    <n v="185"/>
    <n v="18"/>
    <n v="272.58"/>
    <n v="2116.41"/>
    <n v="5.2"/>
    <n v="9.73"/>
    <n v="15.14"/>
    <n v="7.76"/>
    <n v="1843.83"/>
  </r>
  <r>
    <x v="356"/>
    <s v="Referral"/>
    <s v="Seasonal Promotion"/>
    <s v="Starter Kit"/>
    <n v="2689"/>
    <n v="180"/>
    <n v="27"/>
    <n v="109.55"/>
    <n v="4280.33"/>
    <n v="6.69"/>
    <n v="15"/>
    <n v="4.0599999999999996"/>
    <n v="39.07"/>
    <n v="4170.78"/>
  </r>
  <r>
    <x v="357"/>
    <s v="Google Ads"/>
    <s v="Product Launch"/>
    <s v="Add-on Service"/>
    <n v="11424"/>
    <n v="375"/>
    <n v="34"/>
    <n v="1271.0899999999999"/>
    <n v="4520.75"/>
    <n v="3.28"/>
    <n v="9.07"/>
    <n v="37.380000000000003"/>
    <n v="3.56"/>
    <n v="3249.66"/>
  </r>
  <r>
    <x v="357"/>
    <s v="Facebook Ads"/>
    <s v="Brand Awareness"/>
    <s v="Starter Kit"/>
    <n v="15630"/>
    <n v="507"/>
    <n v="36"/>
    <n v="722.63"/>
    <n v="4269.91"/>
    <n v="3.24"/>
    <n v="7.1"/>
    <n v="20.07"/>
    <n v="5.91"/>
    <n v="3547.28"/>
  </r>
  <r>
    <x v="357"/>
    <s v="Instagram Ads"/>
    <s v="Brand Awareness"/>
    <s v="Basic Plan"/>
    <n v="12845"/>
    <n v="401"/>
    <n v="24"/>
    <n v="508.09"/>
    <n v="2347.15"/>
    <n v="3.12"/>
    <n v="5.99"/>
    <n v="21.17"/>
    <n v="4.62"/>
    <n v="1839.06"/>
  </r>
  <r>
    <x v="357"/>
    <s v="LinkedIn Ads"/>
    <s v="Product Launch"/>
    <s v="Starter Kit"/>
    <n v="3057"/>
    <n v="60"/>
    <n v="7"/>
    <n v="1260.0899999999999"/>
    <n v="1516.15"/>
    <n v="1.96"/>
    <n v="11.67"/>
    <n v="180.01"/>
    <n v="1.2"/>
    <n v="256.06"/>
  </r>
  <r>
    <x v="357"/>
    <s v="Email Marketing"/>
    <s v="Seasonal Promotion"/>
    <s v="Enterprise Plan"/>
    <n v="18082"/>
    <n v="3749"/>
    <n v="438"/>
    <n v="211.33"/>
    <n v="68347.070000000007"/>
    <n v="20.73"/>
    <n v="11.68"/>
    <n v="0.48"/>
    <n v="323.41000000000003"/>
    <n v="68135.740000000005"/>
  </r>
  <r>
    <x v="357"/>
    <s v="Organic Search"/>
    <s v="Lead Generation"/>
    <s v="Add-on Service"/>
    <n v="17022"/>
    <n v="1166"/>
    <n v="149"/>
    <n v="0"/>
    <n v="20832.830000000002"/>
    <n v="6.85"/>
    <n v="12.78"/>
    <n v="0"/>
    <n v="0"/>
    <n v="20832.830000000002"/>
  </r>
  <r>
    <x v="357"/>
    <s v="Display Ads"/>
    <s v="Product Launch"/>
    <s v="Enterprise Plan"/>
    <n v="29285"/>
    <n v="505"/>
    <n v="22"/>
    <n v="878.52"/>
    <n v="2016.65"/>
    <n v="1.72"/>
    <n v="4.3600000000000003"/>
    <n v="39.93"/>
    <n v="2.2999999999999998"/>
    <n v="1138.1300000000001"/>
  </r>
  <r>
    <x v="357"/>
    <s v="YouTube Ads"/>
    <s v="Retargeting"/>
    <s v="Basic Plan"/>
    <n v="17284"/>
    <n v="362"/>
    <n v="22"/>
    <n v="1148.29"/>
    <n v="3214.07"/>
    <n v="2.09"/>
    <n v="6.08"/>
    <n v="52.2"/>
    <n v="2.8"/>
    <n v="2065.7800000000002"/>
  </r>
  <r>
    <x v="357"/>
    <s v="Twitter Ads"/>
    <s v="Retargeting"/>
    <s v="Premium Plan"/>
    <n v="8505"/>
    <n v="252"/>
    <n v="13"/>
    <n v="611.99"/>
    <n v="928.76"/>
    <n v="2.96"/>
    <n v="5.16"/>
    <n v="47.08"/>
    <n v="1.52"/>
    <n v="316.77"/>
  </r>
  <r>
    <x v="357"/>
    <s v="TikTok Ads"/>
    <s v="Seasonal Promotion"/>
    <s v="Basic Plan"/>
    <n v="24058"/>
    <n v="665"/>
    <n v="32"/>
    <n v="929.31"/>
    <n v="2458.6"/>
    <n v="2.76"/>
    <n v="4.8099999999999996"/>
    <n v="29.04"/>
    <n v="2.65"/>
    <n v="1529.29"/>
  </r>
  <r>
    <x v="357"/>
    <s v="Affiliate Marketing"/>
    <s v="Product Launch"/>
    <s v="Enterprise Plan"/>
    <n v="7094"/>
    <n v="401"/>
    <n v="34"/>
    <n v="521.07000000000005"/>
    <n v="5103.3"/>
    <n v="5.65"/>
    <n v="8.48"/>
    <n v="15.33"/>
    <n v="9.7899999999999991"/>
    <n v="4582.2299999999996"/>
  </r>
  <r>
    <x v="357"/>
    <s v="Referral"/>
    <s v="Brand Awareness"/>
    <s v="Enterprise Plan"/>
    <n v="2976"/>
    <n v="292"/>
    <n v="42"/>
    <n v="65.319999999999993"/>
    <n v="6970.07"/>
    <n v="9.81"/>
    <n v="14.38"/>
    <n v="1.56"/>
    <n v="106.71"/>
    <n v="6904.75"/>
  </r>
  <r>
    <x v="358"/>
    <s v="Google Ads"/>
    <s v="Seasonal Promotion"/>
    <s v="Starter Kit"/>
    <n v="7964"/>
    <n v="376"/>
    <n v="31"/>
    <n v="1044.8900000000001"/>
    <n v="3618.91"/>
    <n v="4.72"/>
    <n v="8.24"/>
    <n v="33.71"/>
    <n v="3.46"/>
    <n v="2574.02"/>
  </r>
  <r>
    <x v="358"/>
    <s v="Facebook Ads"/>
    <s v="Lead Generation"/>
    <s v="Add-on Service"/>
    <n v="12008"/>
    <n v="426"/>
    <n v="29"/>
    <n v="708.55"/>
    <n v="3702.78"/>
    <n v="3.55"/>
    <n v="6.81"/>
    <n v="24.43"/>
    <n v="5.23"/>
    <n v="2994.23"/>
  </r>
  <r>
    <x v="358"/>
    <s v="Instagram Ads"/>
    <s v="Flash Sale"/>
    <s v="Premium Plan"/>
    <n v="14325"/>
    <n v="596"/>
    <n v="37"/>
    <n v="675.34"/>
    <n v="3898.63"/>
    <n v="4.16"/>
    <n v="6.21"/>
    <n v="18.25"/>
    <n v="5.77"/>
    <n v="3223.29"/>
  </r>
  <r>
    <x v="358"/>
    <s v="LinkedIn Ads"/>
    <s v="Flash Sale"/>
    <s v="Add-on Service"/>
    <n v="3264"/>
    <n v="96"/>
    <n v="10"/>
    <n v="1262.5999999999999"/>
    <n v="2591.66"/>
    <n v="2.94"/>
    <n v="10.42"/>
    <n v="126.26"/>
    <n v="2.0499999999999998"/>
    <n v="1329.06"/>
  </r>
  <r>
    <x v="358"/>
    <s v="Email Marketing"/>
    <s v="Brand Awareness"/>
    <s v="Add-on Service"/>
    <n v="13928"/>
    <n v="2586"/>
    <n v="333"/>
    <n v="94.1"/>
    <n v="46020.9"/>
    <n v="18.57"/>
    <n v="12.88"/>
    <n v="0.28000000000000003"/>
    <n v="489.06"/>
    <n v="45926.8"/>
  </r>
  <r>
    <x v="358"/>
    <s v="Organic Search"/>
    <s v="Product Launch"/>
    <s v="Enterprise Plan"/>
    <n v="24630"/>
    <n v="1004"/>
    <n v="129"/>
    <n v="0"/>
    <n v="19989.28"/>
    <n v="4.08"/>
    <n v="12.85"/>
    <n v="0"/>
    <n v="0"/>
    <n v="19989.28"/>
  </r>
  <r>
    <x v="358"/>
    <s v="Display Ads"/>
    <s v="Brand Awareness"/>
    <s v="Add-on Service"/>
    <n v="27095"/>
    <n v="381"/>
    <n v="11"/>
    <n v="802.45"/>
    <n v="1331.46"/>
    <n v="1.41"/>
    <n v="2.89"/>
    <n v="72.95"/>
    <n v="1.66"/>
    <n v="529.01"/>
  </r>
  <r>
    <x v="358"/>
    <s v="YouTube Ads"/>
    <s v="Seasonal Promotion"/>
    <s v="Starter Kit"/>
    <n v="19212"/>
    <n v="441"/>
    <n v="22"/>
    <n v="1007.82"/>
    <n v="3175.25"/>
    <n v="2.2999999999999998"/>
    <n v="4.99"/>
    <n v="45.81"/>
    <n v="3.15"/>
    <n v="2167.4299999999998"/>
  </r>
  <r>
    <x v="358"/>
    <s v="Twitter Ads"/>
    <s v="Retargeting"/>
    <s v="Basic Plan"/>
    <n v="11104"/>
    <n v="272"/>
    <n v="12"/>
    <n v="675.72"/>
    <n v="1149.1099999999999"/>
    <n v="2.4500000000000002"/>
    <n v="4.41"/>
    <n v="56.31"/>
    <n v="1.7"/>
    <n v="473.39"/>
  </r>
  <r>
    <x v="358"/>
    <s v="TikTok Ads"/>
    <s v="Product Launch"/>
    <s v="Premium Plan"/>
    <n v="22598"/>
    <n v="957"/>
    <n v="62"/>
    <n v="593.19000000000005"/>
    <n v="4497.29"/>
    <n v="4.2300000000000004"/>
    <n v="6.48"/>
    <n v="9.57"/>
    <n v="7.58"/>
    <n v="3904.1"/>
  </r>
  <r>
    <x v="358"/>
    <s v="Affiliate Marketing"/>
    <s v="Flash Sale"/>
    <s v="Enterprise Plan"/>
    <n v="7105"/>
    <n v="382"/>
    <n v="45"/>
    <n v="574.16"/>
    <n v="6665.04"/>
    <n v="5.38"/>
    <n v="11.78"/>
    <n v="12.76"/>
    <n v="11.61"/>
    <n v="6090.88"/>
  </r>
  <r>
    <x v="358"/>
    <s v="Referral"/>
    <s v="Seasonal Promotion"/>
    <s v="Enterprise Plan"/>
    <n v="5294"/>
    <n v="283"/>
    <n v="39"/>
    <n v="137.24"/>
    <n v="6153.28"/>
    <n v="5.35"/>
    <n v="13.78"/>
    <n v="3.52"/>
    <n v="44.84"/>
    <n v="6016.04"/>
  </r>
  <r>
    <x v="359"/>
    <s v="Google Ads"/>
    <s v="Retargeting"/>
    <s v="Add-on Service"/>
    <n v="11285"/>
    <n v="454"/>
    <n v="52"/>
    <n v="830.78"/>
    <n v="6256.57"/>
    <n v="4.0199999999999996"/>
    <n v="11.45"/>
    <n v="15.98"/>
    <n v="7.53"/>
    <n v="5425.79"/>
  </r>
  <r>
    <x v="359"/>
    <s v="Facebook Ads"/>
    <s v="Product Launch"/>
    <s v="Basic Plan"/>
    <n v="10416"/>
    <n v="263"/>
    <n v="22"/>
    <n v="993.82"/>
    <n v="2627.02"/>
    <n v="2.52"/>
    <n v="8.3699999999999992"/>
    <n v="45.17"/>
    <n v="2.64"/>
    <n v="1633.2"/>
  </r>
  <r>
    <x v="359"/>
    <s v="Instagram Ads"/>
    <s v="Retargeting"/>
    <s v="Starter Kit"/>
    <n v="8952"/>
    <n v="280"/>
    <n v="13"/>
    <n v="667.43"/>
    <n v="1284.07"/>
    <n v="3.13"/>
    <n v="4.6399999999999997"/>
    <n v="51.34"/>
    <n v="1.92"/>
    <n v="616.64"/>
  </r>
  <r>
    <x v="359"/>
    <s v="LinkedIn Ads"/>
    <s v="Product Launch"/>
    <s v="Add-on Service"/>
    <n v="2828"/>
    <n v="56"/>
    <n v="6"/>
    <n v="1198.1300000000001"/>
    <n v="1768.52"/>
    <n v="1.98"/>
    <n v="10.71"/>
    <n v="199.69"/>
    <n v="1.48"/>
    <n v="570.39"/>
  </r>
  <r>
    <x v="359"/>
    <s v="Email Marketing"/>
    <s v="Seasonal Promotion"/>
    <s v="Starter Kit"/>
    <n v="18992"/>
    <n v="4556"/>
    <n v="391"/>
    <n v="242.07"/>
    <n v="53597.62"/>
    <n v="23.99"/>
    <n v="8.58"/>
    <n v="0.62"/>
    <n v="221.41"/>
    <n v="53355.55"/>
  </r>
  <r>
    <x v="359"/>
    <s v="Organic Search"/>
    <s v="Flash Sale"/>
    <s v="Add-on Service"/>
    <n v="19881"/>
    <n v="1005"/>
    <n v="139"/>
    <n v="0"/>
    <n v="20321.37"/>
    <n v="5.0599999999999996"/>
    <n v="13.83"/>
    <n v="0"/>
    <n v="0"/>
    <n v="20321.37"/>
  </r>
  <r>
    <x v="359"/>
    <s v="Display Ads"/>
    <s v="Lead Generation"/>
    <s v="Premium Plan"/>
    <n v="33758"/>
    <n v="396"/>
    <n v="14"/>
    <n v="647.94000000000005"/>
    <n v="1183.8900000000001"/>
    <n v="1.17"/>
    <n v="3.54"/>
    <n v="46.28"/>
    <n v="1.83"/>
    <n v="535.95000000000005"/>
  </r>
  <r>
    <x v="359"/>
    <s v="YouTube Ads"/>
    <s v="Flash Sale"/>
    <s v="Add-on Service"/>
    <n v="14672"/>
    <n v="323"/>
    <n v="13"/>
    <n v="1178.76"/>
    <n v="1545"/>
    <n v="2.2000000000000002"/>
    <n v="4.0199999999999996"/>
    <n v="90.67"/>
    <n v="1.31"/>
    <n v="366.24"/>
  </r>
  <r>
    <x v="359"/>
    <s v="Twitter Ads"/>
    <s v="Lead Generation"/>
    <s v="Add-on Service"/>
    <n v="6868"/>
    <n v="178"/>
    <n v="8"/>
    <n v="441.3"/>
    <n v="723.47"/>
    <n v="2.59"/>
    <n v="4.49"/>
    <n v="55.16"/>
    <n v="1.64"/>
    <n v="282.17"/>
  </r>
  <r>
    <x v="359"/>
    <s v="TikTok Ads"/>
    <s v="Retargeting"/>
    <s v="Basic Plan"/>
    <n v="18214"/>
    <n v="589"/>
    <n v="25"/>
    <n v="739.71"/>
    <n v="2379.34"/>
    <n v="3.23"/>
    <n v="4.24"/>
    <n v="29.59"/>
    <n v="3.22"/>
    <n v="1639.63"/>
  </r>
  <r>
    <x v="359"/>
    <s v="Affiliate Marketing"/>
    <s v="Flash Sale"/>
    <s v="Starter Kit"/>
    <n v="5087"/>
    <n v="269"/>
    <n v="34"/>
    <n v="579.64"/>
    <n v="4786.53"/>
    <n v="5.29"/>
    <n v="12.64"/>
    <n v="17.05"/>
    <n v="8.26"/>
    <n v="4206.8900000000003"/>
  </r>
  <r>
    <x v="359"/>
    <s v="Referral"/>
    <s v="Product Launch"/>
    <s v="Add-on Service"/>
    <n v="5812"/>
    <n v="473"/>
    <n v="61"/>
    <n v="109.02"/>
    <n v="10390.870000000001"/>
    <n v="8.14"/>
    <n v="12.9"/>
    <n v="1.79"/>
    <n v="95.31"/>
    <n v="10281.85"/>
  </r>
  <r>
    <x v="360"/>
    <s v="Google Ads"/>
    <s v="Seasonal Promotion"/>
    <s v="Starter Kit"/>
    <n v="6886"/>
    <n v="289"/>
    <n v="31"/>
    <n v="905.33"/>
    <n v="5291.7"/>
    <n v="4.2"/>
    <n v="10.73"/>
    <n v="29.2"/>
    <n v="5.85"/>
    <n v="4386.37"/>
  </r>
  <r>
    <x v="360"/>
    <s v="Facebook Ads"/>
    <s v="Seasonal Promotion"/>
    <s v="Premium Plan"/>
    <n v="16294"/>
    <n v="419"/>
    <n v="30"/>
    <n v="598.53"/>
    <n v="2811.24"/>
    <n v="2.57"/>
    <n v="7.16"/>
    <n v="19.95"/>
    <n v="4.7"/>
    <n v="2212.71"/>
  </r>
  <r>
    <x v="360"/>
    <s v="Instagram Ads"/>
    <s v="Seasonal Promotion"/>
    <s v="Basic Plan"/>
    <n v="15159"/>
    <n v="550"/>
    <n v="34"/>
    <n v="763.45"/>
    <n v="2795.83"/>
    <n v="3.63"/>
    <n v="6.18"/>
    <n v="22.45"/>
    <n v="3.66"/>
    <n v="2032.38"/>
  </r>
  <r>
    <x v="360"/>
    <s v="LinkedIn Ads"/>
    <s v="Product Launch"/>
    <s v="Starter Kit"/>
    <n v="4235"/>
    <n v="66"/>
    <n v="7"/>
    <n v="1030.6300000000001"/>
    <n v="1546.11"/>
    <n v="1.56"/>
    <n v="10.61"/>
    <n v="147.22999999999999"/>
    <n v="1.5"/>
    <n v="515.48"/>
  </r>
  <r>
    <x v="360"/>
    <s v="Email Marketing"/>
    <s v="Lead Generation"/>
    <s v="Basic Plan"/>
    <n v="20010"/>
    <n v="3020"/>
    <n v="348"/>
    <n v="209.83"/>
    <n v="41974.400000000001"/>
    <n v="15.09"/>
    <n v="11.52"/>
    <n v="0.6"/>
    <n v="200.04"/>
    <n v="41764.57"/>
  </r>
  <r>
    <x v="360"/>
    <s v="Organic Search"/>
    <s v="Lead Generation"/>
    <s v="Enterprise Plan"/>
    <n v="20722"/>
    <n v="1141"/>
    <n v="168"/>
    <n v="0"/>
    <n v="23315.69"/>
    <n v="5.51"/>
    <n v="14.72"/>
    <n v="0"/>
    <n v="0"/>
    <n v="23315.69"/>
  </r>
  <r>
    <x v="360"/>
    <s v="Display Ads"/>
    <s v="Retargeting"/>
    <s v="Starter Kit"/>
    <n v="23902"/>
    <n v="444"/>
    <n v="16"/>
    <n v="1048.5899999999999"/>
    <n v="1721.81"/>
    <n v="1.86"/>
    <n v="3.6"/>
    <n v="65.540000000000006"/>
    <n v="1.64"/>
    <n v="673.22"/>
  </r>
  <r>
    <x v="360"/>
    <s v="YouTube Ads"/>
    <s v="Product Launch"/>
    <s v="Premium Plan"/>
    <n v="16962"/>
    <n v="289"/>
    <n v="16"/>
    <n v="967.83"/>
    <n v="2375.73"/>
    <n v="1.7"/>
    <n v="5.54"/>
    <n v="60.49"/>
    <n v="2.4500000000000002"/>
    <n v="1407.9"/>
  </r>
  <r>
    <x v="360"/>
    <s v="Twitter Ads"/>
    <s v="Flash Sale"/>
    <s v="Basic Plan"/>
    <n v="10354"/>
    <n v="246"/>
    <n v="12"/>
    <n v="557.49"/>
    <n v="1114.53"/>
    <n v="2.38"/>
    <n v="4.88"/>
    <n v="46.46"/>
    <n v="2"/>
    <n v="557.04"/>
  </r>
  <r>
    <x v="360"/>
    <s v="TikTok Ads"/>
    <s v="Retargeting"/>
    <s v="Enterprise Plan"/>
    <n v="20503"/>
    <n v="692"/>
    <n v="45"/>
    <n v="770.58"/>
    <n v="4239.95"/>
    <n v="3.38"/>
    <n v="6.5"/>
    <n v="17.12"/>
    <n v="5.5"/>
    <n v="3469.37"/>
  </r>
  <r>
    <x v="360"/>
    <s v="Affiliate Marketing"/>
    <s v="Product Launch"/>
    <s v="Basic Plan"/>
    <n v="7302"/>
    <n v="435"/>
    <n v="51"/>
    <n v="408.16"/>
    <n v="8023.46"/>
    <n v="5.96"/>
    <n v="11.72"/>
    <n v="8"/>
    <n v="19.66"/>
    <n v="7615.3"/>
  </r>
  <r>
    <x v="360"/>
    <s v="Referral"/>
    <s v="Product Launch"/>
    <s v="Add-on Service"/>
    <n v="2776"/>
    <n v="168"/>
    <n v="27"/>
    <n v="132.08000000000001"/>
    <n v="3575.36"/>
    <n v="6.05"/>
    <n v="16.07"/>
    <n v="4.8899999999999997"/>
    <n v="27.07"/>
    <n v="3443.28"/>
  </r>
  <r>
    <x v="361"/>
    <s v="Google Ads"/>
    <s v="Lead Generation"/>
    <s v="Starter Kit"/>
    <n v="7823"/>
    <n v="253"/>
    <n v="21"/>
    <n v="1127.02"/>
    <n v="3857.91"/>
    <n v="3.23"/>
    <n v="8.3000000000000007"/>
    <n v="53.67"/>
    <n v="3.42"/>
    <n v="2730.89"/>
  </r>
  <r>
    <x v="361"/>
    <s v="Facebook Ads"/>
    <s v="Lead Generation"/>
    <s v="Premium Plan"/>
    <n v="14348"/>
    <n v="491"/>
    <n v="37"/>
    <n v="811.36"/>
    <n v="4671.22"/>
    <n v="3.42"/>
    <n v="7.54"/>
    <n v="21.93"/>
    <n v="5.76"/>
    <n v="3859.86"/>
  </r>
  <r>
    <x v="361"/>
    <s v="Instagram Ads"/>
    <s v="Lead Generation"/>
    <s v="Basic Plan"/>
    <n v="14002"/>
    <n v="351"/>
    <n v="17"/>
    <n v="515.65"/>
    <n v="1531.1"/>
    <n v="2.5099999999999998"/>
    <n v="4.84"/>
    <n v="30.33"/>
    <n v="2.97"/>
    <n v="1015.45"/>
  </r>
  <r>
    <x v="361"/>
    <s v="LinkedIn Ads"/>
    <s v="Brand Awareness"/>
    <s v="Basic Plan"/>
    <n v="4388"/>
    <n v="124"/>
    <n v="14"/>
    <n v="1157.1400000000001"/>
    <n v="3257.91"/>
    <n v="2.83"/>
    <n v="11.29"/>
    <n v="82.65"/>
    <n v="2.82"/>
    <n v="2100.77"/>
  </r>
  <r>
    <x v="361"/>
    <s v="Email Marketing"/>
    <s v="Product Launch"/>
    <s v="Starter Kit"/>
    <n v="13199"/>
    <n v="2942"/>
    <n v="315"/>
    <n v="130.13999999999999"/>
    <n v="50000.76"/>
    <n v="22.29"/>
    <n v="10.71"/>
    <n v="0.41"/>
    <n v="384.21"/>
    <n v="49870.62"/>
  </r>
  <r>
    <x v="361"/>
    <s v="Organic Search"/>
    <s v="Retargeting"/>
    <s v="Add-on Service"/>
    <n v="27891"/>
    <n v="1757"/>
    <n v="260"/>
    <n v="0"/>
    <n v="35062.04"/>
    <n v="6.3"/>
    <n v="14.8"/>
    <n v="0"/>
    <n v="0"/>
    <n v="35062.04"/>
  </r>
  <r>
    <x v="361"/>
    <s v="Display Ads"/>
    <s v="Retargeting"/>
    <s v="Starter Kit"/>
    <n v="25611"/>
    <n v="498"/>
    <n v="12"/>
    <n v="901.22"/>
    <n v="1179.5999999999999"/>
    <n v="1.94"/>
    <n v="2.41"/>
    <n v="75.099999999999994"/>
    <n v="1.31"/>
    <n v="278.38"/>
  </r>
  <r>
    <x v="361"/>
    <s v="YouTube Ads"/>
    <s v="Flash Sale"/>
    <s v="Premium Plan"/>
    <n v="16732"/>
    <n v="442"/>
    <n v="17"/>
    <n v="721.26"/>
    <n v="2144.06"/>
    <n v="2.64"/>
    <n v="3.85"/>
    <n v="42.43"/>
    <n v="2.97"/>
    <n v="1422.8"/>
  </r>
  <r>
    <x v="361"/>
    <s v="Twitter Ads"/>
    <s v="Lead Generation"/>
    <s v="Basic Plan"/>
    <n v="11682"/>
    <n v="340"/>
    <n v="19"/>
    <n v="391.83"/>
    <n v="2104.2399999999998"/>
    <n v="2.91"/>
    <n v="5.59"/>
    <n v="20.62"/>
    <n v="5.37"/>
    <n v="1712.41"/>
  </r>
  <r>
    <x v="361"/>
    <s v="TikTok Ads"/>
    <s v="Product Launch"/>
    <s v="Basic Plan"/>
    <n v="24144"/>
    <n v="814"/>
    <n v="45"/>
    <n v="586.54999999999995"/>
    <n v="4062"/>
    <n v="3.37"/>
    <n v="5.53"/>
    <n v="13.03"/>
    <n v="6.93"/>
    <n v="3475.45"/>
  </r>
  <r>
    <x v="361"/>
    <s v="Affiliate Marketing"/>
    <s v="Brand Awareness"/>
    <s v="Enterprise Plan"/>
    <n v="4374"/>
    <n v="179"/>
    <n v="22"/>
    <n v="362.85"/>
    <n v="2174.7600000000002"/>
    <n v="4.09"/>
    <n v="12.29"/>
    <n v="16.489999999999998"/>
    <n v="5.99"/>
    <n v="1811.91"/>
  </r>
  <r>
    <x v="361"/>
    <s v="Referral"/>
    <s v="Product Launch"/>
    <s v="Add-on Service"/>
    <n v="5187"/>
    <n v="508"/>
    <n v="88"/>
    <n v="143.99"/>
    <n v="13524.1"/>
    <n v="9.7899999999999991"/>
    <n v="17.32"/>
    <n v="1.64"/>
    <n v="93.92"/>
    <n v="13380.11"/>
  </r>
  <r>
    <x v="362"/>
    <s v="Google Ads"/>
    <s v="Lead Generation"/>
    <s v="Premium Plan"/>
    <n v="6304"/>
    <n v="245"/>
    <n v="27"/>
    <n v="716.52"/>
    <n v="3816.21"/>
    <n v="3.89"/>
    <n v="11.02"/>
    <n v="26.54"/>
    <n v="5.33"/>
    <n v="3099.69"/>
  </r>
  <r>
    <x v="362"/>
    <s v="Facebook Ads"/>
    <s v="Flash Sale"/>
    <s v="Starter Kit"/>
    <n v="10765"/>
    <n v="296"/>
    <n v="22"/>
    <n v="522.52"/>
    <n v="2190.9499999999998"/>
    <n v="2.75"/>
    <n v="7.43"/>
    <n v="23.75"/>
    <n v="4.1900000000000004"/>
    <n v="1668.43"/>
  </r>
  <r>
    <x v="362"/>
    <s v="Instagram Ads"/>
    <s v="Brand Awareness"/>
    <s v="Premium Plan"/>
    <n v="9674"/>
    <n v="424"/>
    <n v="22"/>
    <n v="341.02"/>
    <n v="1984.13"/>
    <n v="4.38"/>
    <n v="5.19"/>
    <n v="15.5"/>
    <n v="5.82"/>
    <n v="1643.11"/>
  </r>
  <r>
    <x v="362"/>
    <s v="LinkedIn Ads"/>
    <s v="Brand Awareness"/>
    <s v="Enterprise Plan"/>
    <n v="3481"/>
    <n v="102"/>
    <n v="10"/>
    <n v="928.21"/>
    <n v="2404.2399999999998"/>
    <n v="2.93"/>
    <n v="9.8000000000000007"/>
    <n v="92.82"/>
    <n v="2.59"/>
    <n v="1476.03"/>
  </r>
  <r>
    <x v="362"/>
    <s v="Email Marketing"/>
    <s v="Seasonal Promotion"/>
    <s v="Enterprise Plan"/>
    <n v="13342"/>
    <n v="2413"/>
    <n v="286"/>
    <n v="60.26"/>
    <n v="42523.62"/>
    <n v="18.09"/>
    <n v="11.85"/>
    <n v="0.21"/>
    <n v="705.67"/>
    <n v="42463.360000000001"/>
  </r>
  <r>
    <x v="362"/>
    <s v="Organic Search"/>
    <s v="Brand Awareness"/>
    <s v="Starter Kit"/>
    <n v="18724"/>
    <n v="947"/>
    <n v="120"/>
    <n v="0"/>
    <n v="15289.34"/>
    <n v="5.0599999999999996"/>
    <n v="12.67"/>
    <n v="0"/>
    <n v="0"/>
    <n v="15289.34"/>
  </r>
  <r>
    <x v="362"/>
    <s v="Display Ads"/>
    <s v="Product Launch"/>
    <s v="Premium Plan"/>
    <n v="15022"/>
    <n v="154"/>
    <n v="3"/>
    <n v="601.63"/>
    <n v="299.41000000000003"/>
    <n v="1.03"/>
    <n v="1.95"/>
    <n v="200.54"/>
    <n v="0.5"/>
    <n v="-302.22000000000003"/>
  </r>
  <r>
    <x v="362"/>
    <s v="YouTube Ads"/>
    <s v="Retargeting"/>
    <s v="Basic Plan"/>
    <n v="10999"/>
    <n v="224"/>
    <n v="13"/>
    <n v="768.15"/>
    <n v="1335.72"/>
    <n v="2.04"/>
    <n v="5.8"/>
    <n v="59.09"/>
    <n v="1.74"/>
    <n v="567.57000000000005"/>
  </r>
  <r>
    <x v="362"/>
    <s v="Twitter Ads"/>
    <s v="Lead Generation"/>
    <s v="Premium Plan"/>
    <n v="5510"/>
    <n v="139"/>
    <n v="7"/>
    <n v="298.72000000000003"/>
    <n v="715.97"/>
    <n v="2.52"/>
    <n v="5.04"/>
    <n v="42.67"/>
    <n v="2.4"/>
    <n v="417.25"/>
  </r>
  <r>
    <x v="362"/>
    <s v="TikTok Ads"/>
    <s v="Seasonal Promotion"/>
    <s v="Add-on Service"/>
    <n v="16546"/>
    <n v="613"/>
    <n v="36"/>
    <n v="634.89"/>
    <n v="3239.66"/>
    <n v="3.7"/>
    <n v="5.87"/>
    <n v="17.64"/>
    <n v="5.0999999999999996"/>
    <n v="2604.77"/>
  </r>
  <r>
    <x v="362"/>
    <s v="Affiliate Marketing"/>
    <s v="Brand Awareness"/>
    <s v="Add-on Service"/>
    <n v="5598"/>
    <n v="349"/>
    <n v="30"/>
    <n v="190.91"/>
    <n v="3402.31"/>
    <n v="6.23"/>
    <n v="8.6"/>
    <n v="6.36"/>
    <n v="17.82"/>
    <n v="3211.4"/>
  </r>
  <r>
    <x v="362"/>
    <s v="Referral"/>
    <s v="Flash Sale"/>
    <s v="Add-on Service"/>
    <n v="2500"/>
    <n v="150"/>
    <n v="23"/>
    <n v="117.88"/>
    <n v="4429.84"/>
    <n v="6"/>
    <n v="15.33"/>
    <n v="5.13"/>
    <n v="37.58"/>
    <n v="4311.96"/>
  </r>
  <r>
    <x v="363"/>
    <s v="Google Ads"/>
    <s v="Seasonal Promotion"/>
    <s v="Enterprise Plan"/>
    <n v="6032"/>
    <n v="206"/>
    <n v="22"/>
    <n v="648.85"/>
    <n v="2924.64"/>
    <n v="3.42"/>
    <n v="10.68"/>
    <n v="29.49"/>
    <n v="4.51"/>
    <n v="2275.79"/>
  </r>
  <r>
    <x v="363"/>
    <s v="Facebook Ads"/>
    <s v="Retargeting"/>
    <s v="Premium Plan"/>
    <n v="10258"/>
    <n v="260"/>
    <n v="13"/>
    <n v="363.8"/>
    <n v="1285.2"/>
    <n v="2.5299999999999998"/>
    <n v="5"/>
    <n v="27.98"/>
    <n v="3.53"/>
    <n v="921.4"/>
  </r>
  <r>
    <x v="363"/>
    <s v="Instagram Ads"/>
    <s v="Lead Generation"/>
    <s v="Add-on Service"/>
    <n v="10251"/>
    <n v="400"/>
    <n v="23"/>
    <n v="328.73"/>
    <n v="1940.04"/>
    <n v="3.9"/>
    <n v="5.75"/>
    <n v="14.29"/>
    <n v="5.9"/>
    <n v="1611.31"/>
  </r>
  <r>
    <x v="363"/>
    <s v="LinkedIn Ads"/>
    <s v="Brand Awareness"/>
    <s v="Enterprise Plan"/>
    <n v="2989"/>
    <n v="71"/>
    <n v="8"/>
    <n v="767.92"/>
    <n v="2347.21"/>
    <n v="2.38"/>
    <n v="11.27"/>
    <n v="95.99"/>
    <n v="3.06"/>
    <n v="1579.29"/>
  </r>
  <r>
    <x v="363"/>
    <s v="Email Marketing"/>
    <s v="Product Launch"/>
    <s v="Add-on Service"/>
    <n v="13340"/>
    <n v="3001"/>
    <n v="285"/>
    <n v="142.79"/>
    <n v="43207.199999999997"/>
    <n v="22.5"/>
    <n v="9.5"/>
    <n v="0.5"/>
    <n v="302.58999999999997"/>
    <n v="43064.41"/>
  </r>
  <r>
    <x v="363"/>
    <s v="Organic Search"/>
    <s v="Flash Sale"/>
    <s v="Starter Kit"/>
    <n v="15209"/>
    <n v="888"/>
    <n v="110"/>
    <n v="0"/>
    <n v="14162.66"/>
    <n v="5.84"/>
    <n v="12.39"/>
    <n v="0"/>
    <n v="0"/>
    <n v="14162.66"/>
  </r>
  <r>
    <x v="363"/>
    <s v="Display Ads"/>
    <s v="Flash Sale"/>
    <s v="Basic Plan"/>
    <n v="15750"/>
    <n v="203"/>
    <n v="8"/>
    <n v="558.52"/>
    <n v="772.76"/>
    <n v="1.29"/>
    <n v="3.94"/>
    <n v="69.819999999999993"/>
    <n v="1.38"/>
    <n v="214.24"/>
  </r>
  <r>
    <x v="363"/>
    <s v="YouTube Ads"/>
    <s v="Retargeting"/>
    <s v="Basic Plan"/>
    <n v="9581"/>
    <n v="168"/>
    <n v="12"/>
    <n v="759.01"/>
    <n v="1635.66"/>
    <n v="1.75"/>
    <n v="7.14"/>
    <n v="63.25"/>
    <n v="2.15"/>
    <n v="876.65"/>
  </r>
  <r>
    <x v="363"/>
    <s v="Twitter Ads"/>
    <s v="Lead Generation"/>
    <s v="Premium Plan"/>
    <n v="5250"/>
    <n v="136"/>
    <n v="5"/>
    <n v="444.56"/>
    <n v="493.29"/>
    <n v="2.59"/>
    <n v="3.68"/>
    <n v="88.91"/>
    <n v="1.1100000000000001"/>
    <n v="48.73"/>
  </r>
  <r>
    <x v="363"/>
    <s v="TikTok Ads"/>
    <s v="Lead Generation"/>
    <s v="Basic Plan"/>
    <n v="14316"/>
    <n v="435"/>
    <n v="17"/>
    <n v="441.14"/>
    <n v="1889.33"/>
    <n v="3.04"/>
    <n v="3.91"/>
    <n v="25.95"/>
    <n v="4.28"/>
    <n v="1448.19"/>
  </r>
  <r>
    <x v="363"/>
    <s v="Affiliate Marketing"/>
    <s v="Product Launch"/>
    <s v="Starter Kit"/>
    <n v="5330"/>
    <n v="330"/>
    <n v="32"/>
    <n v="192.1"/>
    <n v="4331.6899999999996"/>
    <n v="6.19"/>
    <n v="9.6999999999999993"/>
    <n v="6"/>
    <n v="22.55"/>
    <n v="4139.59"/>
  </r>
  <r>
    <x v="363"/>
    <s v="Referral"/>
    <s v="Retargeting"/>
    <s v="Enterprise Plan"/>
    <n v="3508"/>
    <n v="200"/>
    <n v="33"/>
    <n v="32.04"/>
    <n v="4416.83"/>
    <n v="5.7"/>
    <n v="16.5"/>
    <n v="0.97"/>
    <n v="137.85"/>
    <n v="4384.79"/>
  </r>
  <r>
    <x v="364"/>
    <s v="Google Ads"/>
    <s v="Seasonal Promotion"/>
    <s v="Premium Plan"/>
    <n v="9637"/>
    <n v="340"/>
    <n v="34"/>
    <n v="1181.1300000000001"/>
    <n v="5358.75"/>
    <n v="3.53"/>
    <n v="10"/>
    <n v="34.74"/>
    <n v="4.54"/>
    <n v="4177.62"/>
  </r>
  <r>
    <x v="364"/>
    <s v="Facebook Ads"/>
    <s v="Retargeting"/>
    <s v="Add-on Service"/>
    <n v="12644"/>
    <n v="420"/>
    <n v="22"/>
    <n v="693.71"/>
    <n v="1953.65"/>
    <n v="3.32"/>
    <n v="5.24"/>
    <n v="31.53"/>
    <n v="2.82"/>
    <n v="1259.94"/>
  </r>
  <r>
    <x v="364"/>
    <s v="Instagram Ads"/>
    <s v="Product Launch"/>
    <s v="Premium Plan"/>
    <n v="14838"/>
    <n v="566"/>
    <n v="38"/>
    <n v="432.67"/>
    <n v="3065.29"/>
    <n v="3.81"/>
    <n v="6.71"/>
    <n v="11.39"/>
    <n v="7.08"/>
    <n v="2632.62"/>
  </r>
  <r>
    <x v="364"/>
    <s v="LinkedIn Ads"/>
    <s v="Product Launch"/>
    <s v="Add-on Service"/>
    <n v="3126"/>
    <n v="88"/>
    <n v="11"/>
    <n v="822.23"/>
    <n v="3169.99"/>
    <n v="2.82"/>
    <n v="12.5"/>
    <n v="74.75"/>
    <n v="3.86"/>
    <n v="2347.7600000000002"/>
  </r>
  <r>
    <x v="364"/>
    <s v="Email Marketing"/>
    <s v="Retargeting"/>
    <s v="Starter Kit"/>
    <n v="12843"/>
    <n v="2255"/>
    <n v="216"/>
    <n v="121.29"/>
    <n v="32165.119999999999"/>
    <n v="17.559999999999999"/>
    <n v="9.58"/>
    <n v="0.56000000000000005"/>
    <n v="265.19"/>
    <n v="32043.83"/>
  </r>
  <r>
    <x v="364"/>
    <s v="Organic Search"/>
    <s v="Flash Sale"/>
    <s v="Basic Plan"/>
    <n v="22190"/>
    <n v="1308"/>
    <n v="163"/>
    <n v="0"/>
    <n v="25060.66"/>
    <n v="5.89"/>
    <n v="12.46"/>
    <n v="0"/>
    <n v="0"/>
    <n v="25060.66"/>
  </r>
  <r>
    <x v="364"/>
    <s v="Display Ads"/>
    <s v="Product Launch"/>
    <s v="Basic Plan"/>
    <n v="33206"/>
    <n v="544"/>
    <n v="26"/>
    <n v="652.72"/>
    <n v="2903.67"/>
    <n v="1.64"/>
    <n v="4.78"/>
    <n v="25.1"/>
    <n v="4.45"/>
    <n v="2250.9499999999998"/>
  </r>
  <r>
    <x v="364"/>
    <s v="YouTube Ads"/>
    <s v="Product Launch"/>
    <s v="Starter Kit"/>
    <n v="16973"/>
    <n v="294"/>
    <n v="11"/>
    <n v="1184.56"/>
    <n v="1216.06"/>
    <n v="1.73"/>
    <n v="3.74"/>
    <n v="107.69"/>
    <n v="1.03"/>
    <n v="31.5"/>
  </r>
  <r>
    <x v="364"/>
    <s v="Twitter Ads"/>
    <s v="Flash Sale"/>
    <s v="Enterprise Plan"/>
    <n v="8190"/>
    <n v="170"/>
    <n v="7"/>
    <n v="389.93"/>
    <n v="590.92999999999995"/>
    <n v="2.08"/>
    <n v="4.12"/>
    <n v="55.7"/>
    <n v="1.52"/>
    <n v="201"/>
  </r>
  <r>
    <x v="364"/>
    <s v="TikTok Ads"/>
    <s v="Product Launch"/>
    <s v="Premium Plan"/>
    <n v="23253"/>
    <n v="1045"/>
    <n v="69"/>
    <n v="916.75"/>
    <n v="7273.74"/>
    <n v="4.49"/>
    <n v="6.6"/>
    <n v="13.29"/>
    <n v="7.93"/>
    <n v="6356.99"/>
  </r>
  <r>
    <x v="364"/>
    <s v="Affiliate Marketing"/>
    <s v="Flash Sale"/>
    <s v="Add-on Service"/>
    <n v="8196"/>
    <n v="421"/>
    <n v="52"/>
    <n v="354.44"/>
    <n v="6712.32"/>
    <n v="5.14"/>
    <n v="12.35"/>
    <n v="6.82"/>
    <n v="18.940000000000001"/>
    <n v="6357.88"/>
  </r>
  <r>
    <x v="364"/>
    <s v="Referral"/>
    <s v="Brand Awareness"/>
    <s v="Premium Plan"/>
    <n v="2999"/>
    <n v="191"/>
    <n v="29"/>
    <n v="48.92"/>
    <n v="4286.34"/>
    <n v="6.37"/>
    <n v="15.18"/>
    <n v="1.69"/>
    <n v="87.62"/>
    <n v="4237.42"/>
  </r>
  <r>
    <x v="365"/>
    <s v="Google Ads"/>
    <s v="Flash Sale"/>
    <s v="Basic Plan"/>
    <n v="7285"/>
    <n v="362"/>
    <n v="40"/>
    <n v="1231.8399999999999"/>
    <n v="6436.85"/>
    <n v="4.97"/>
    <n v="11.05"/>
    <n v="30.8"/>
    <n v="5.23"/>
    <n v="5205.01"/>
  </r>
  <r>
    <x v="365"/>
    <s v="Facebook Ads"/>
    <s v="Product Launch"/>
    <s v="Add-on Service"/>
    <n v="11390"/>
    <n v="344"/>
    <n v="22"/>
    <n v="682.05"/>
    <n v="2900.48"/>
    <n v="3.02"/>
    <n v="6.4"/>
    <n v="31"/>
    <n v="4.25"/>
    <n v="2218.4299999999998"/>
  </r>
  <r>
    <x v="365"/>
    <s v="Instagram Ads"/>
    <s v="Retargeting"/>
    <s v="Enterprise Plan"/>
    <n v="11702"/>
    <n v="396"/>
    <n v="20"/>
    <n v="781.7"/>
    <n v="2480.92"/>
    <n v="3.38"/>
    <n v="5.05"/>
    <n v="39.08"/>
    <n v="3.17"/>
    <n v="1699.22"/>
  </r>
  <r>
    <x v="365"/>
    <s v="LinkedIn Ads"/>
    <s v="Flash Sale"/>
    <s v="Enterprise Plan"/>
    <n v="4713"/>
    <n v="77"/>
    <n v="7"/>
    <n v="893.75"/>
    <n v="1549.13"/>
    <n v="1.63"/>
    <n v="9.09"/>
    <n v="127.68"/>
    <n v="1.73"/>
    <n v="655.38"/>
  </r>
  <r>
    <x v="365"/>
    <s v="Email Marketing"/>
    <s v="Flash Sale"/>
    <s v="Premium Plan"/>
    <n v="18818"/>
    <n v="3181"/>
    <n v="280"/>
    <n v="214.97"/>
    <n v="33963.68"/>
    <n v="16.899999999999999"/>
    <n v="8.8000000000000007"/>
    <n v="0.77"/>
    <n v="157.99"/>
    <n v="33748.71"/>
  </r>
  <r>
    <x v="365"/>
    <s v="Organic Search"/>
    <s v="Seasonal Promotion"/>
    <s v="Basic Plan"/>
    <n v="24491"/>
    <n v="1367"/>
    <n v="169"/>
    <n v="0"/>
    <n v="26691.7"/>
    <n v="5.58"/>
    <n v="12.36"/>
    <n v="0"/>
    <n v="0"/>
    <n v="26691.7"/>
  </r>
  <r>
    <x v="365"/>
    <s v="Display Ads"/>
    <s v="Retargeting"/>
    <s v="Starter Kit"/>
    <n v="30636"/>
    <n v="413"/>
    <n v="11"/>
    <n v="638.15"/>
    <n v="955.77"/>
    <n v="1.35"/>
    <n v="2.66"/>
    <n v="58.01"/>
    <n v="1.5"/>
    <n v="317.62"/>
  </r>
  <r>
    <x v="365"/>
    <s v="YouTube Ads"/>
    <s v="Brand Awareness"/>
    <s v="Starter Kit"/>
    <n v="18707"/>
    <n v="545"/>
    <n v="26"/>
    <n v="734.77"/>
    <n v="3720.44"/>
    <n v="2.91"/>
    <n v="4.7699999999999996"/>
    <n v="28.26"/>
    <n v="5.0599999999999996"/>
    <n v="2985.67"/>
  </r>
  <r>
    <x v="365"/>
    <s v="Twitter Ads"/>
    <s v="Product Launch"/>
    <s v="Enterprise Plan"/>
    <n v="8317"/>
    <n v="250"/>
    <n v="11"/>
    <n v="531.79"/>
    <n v="992.86"/>
    <n v="3.01"/>
    <n v="4.4000000000000004"/>
    <n v="48.34"/>
    <n v="1.87"/>
    <n v="461.07"/>
  </r>
  <r>
    <x v="365"/>
    <s v="TikTok Ads"/>
    <s v="Brand Awareness"/>
    <s v="Basic Plan"/>
    <n v="16476"/>
    <n v="647"/>
    <n v="29"/>
    <n v="621.05999999999995"/>
    <n v="2926.29"/>
    <n v="3.93"/>
    <n v="4.4800000000000004"/>
    <n v="21.42"/>
    <n v="4.71"/>
    <n v="2305.23"/>
  </r>
  <r>
    <x v="365"/>
    <s v="Affiliate Marketing"/>
    <s v="Product Launch"/>
    <s v="Basic Plan"/>
    <n v="4942"/>
    <n v="310"/>
    <n v="27"/>
    <n v="260.16000000000003"/>
    <n v="3320.95"/>
    <n v="6.27"/>
    <n v="8.7100000000000009"/>
    <n v="9.64"/>
    <n v="12.77"/>
    <n v="3060.79"/>
  </r>
  <r>
    <x v="365"/>
    <s v="Referral"/>
    <s v="Lead Generation"/>
    <s v="Starter Kit"/>
    <n v="5116"/>
    <n v="391"/>
    <n v="67"/>
    <n v="123.7"/>
    <n v="9450.74"/>
    <n v="7.64"/>
    <n v="17.14"/>
    <n v="1.85"/>
    <n v="76.400000000000006"/>
    <n v="9327.0400000000009"/>
  </r>
  <r>
    <x v="366"/>
    <s v="Google Ads"/>
    <s v="Flash Sale"/>
    <s v="Enterprise Plan"/>
    <n v="6838"/>
    <n v="270"/>
    <n v="28"/>
    <n v="911.8"/>
    <n v="4575.7"/>
    <n v="3.95"/>
    <n v="10.37"/>
    <n v="32.56"/>
    <n v="5.0199999999999996"/>
    <n v="3663.9"/>
  </r>
  <r>
    <x v="366"/>
    <s v="Facebook Ads"/>
    <s v="Flash Sale"/>
    <s v="Starter Kit"/>
    <n v="11134"/>
    <n v="432"/>
    <n v="22"/>
    <n v="782.97"/>
    <n v="2711.74"/>
    <n v="3.88"/>
    <n v="5.09"/>
    <n v="35.590000000000003"/>
    <n v="3.46"/>
    <n v="1928.77"/>
  </r>
  <r>
    <x v="366"/>
    <s v="Instagram Ads"/>
    <s v="Brand Awareness"/>
    <s v="Enterprise Plan"/>
    <n v="9422"/>
    <n v="364"/>
    <n v="15"/>
    <n v="713.46"/>
    <n v="1423.08"/>
    <n v="3.86"/>
    <n v="4.12"/>
    <n v="47.56"/>
    <n v="1.99"/>
    <n v="709.62"/>
  </r>
  <r>
    <x v="366"/>
    <s v="LinkedIn Ads"/>
    <s v="Brand Awareness"/>
    <s v="Starter Kit"/>
    <n v="3690"/>
    <n v="69"/>
    <n v="9"/>
    <n v="1207.71"/>
    <n v="1957.05"/>
    <n v="1.87"/>
    <n v="13.04"/>
    <n v="134.19"/>
    <n v="1.62"/>
    <n v="749.34"/>
  </r>
  <r>
    <x v="366"/>
    <s v="Email Marketing"/>
    <s v="Retargeting"/>
    <s v="Starter Kit"/>
    <n v="14916"/>
    <n v="2598"/>
    <n v="267"/>
    <n v="104.59"/>
    <n v="36191.11"/>
    <n v="17.420000000000002"/>
    <n v="10.28"/>
    <n v="0.39"/>
    <n v="346.03"/>
    <n v="36086.519999999997"/>
  </r>
  <r>
    <x v="366"/>
    <s v="Organic Search"/>
    <s v="Product Launch"/>
    <s v="Starter Kit"/>
    <n v="22032"/>
    <n v="1101"/>
    <n v="158"/>
    <n v="0"/>
    <n v="17690.8"/>
    <n v="5"/>
    <n v="14.35"/>
    <n v="0"/>
    <n v="0"/>
    <n v="17690.8"/>
  </r>
  <r>
    <x v="366"/>
    <s v="Display Ads"/>
    <s v="Brand Awareness"/>
    <s v="Basic Plan"/>
    <n v="26336"/>
    <n v="412"/>
    <n v="15"/>
    <n v="789.83"/>
    <n v="1785.4"/>
    <n v="1.56"/>
    <n v="3.64"/>
    <n v="52.66"/>
    <n v="2.2599999999999998"/>
    <n v="995.57"/>
  </r>
  <r>
    <x v="366"/>
    <s v="YouTube Ads"/>
    <s v="Flash Sale"/>
    <s v="Enterprise Plan"/>
    <n v="19425"/>
    <n v="368"/>
    <n v="27"/>
    <n v="1157.56"/>
    <n v="2599.54"/>
    <n v="1.89"/>
    <n v="7.34"/>
    <n v="42.87"/>
    <n v="2.25"/>
    <n v="1441.98"/>
  </r>
  <r>
    <x v="366"/>
    <s v="Twitter Ads"/>
    <s v="Seasonal Promotion"/>
    <s v="Premium Plan"/>
    <n v="10741"/>
    <n v="282"/>
    <n v="10"/>
    <n v="441.54"/>
    <n v="929.34"/>
    <n v="2.63"/>
    <n v="3.55"/>
    <n v="44.15"/>
    <n v="2.1"/>
    <n v="487.8"/>
  </r>
  <r>
    <x v="366"/>
    <s v="TikTok Ads"/>
    <s v="Product Launch"/>
    <s v="Starter Kit"/>
    <n v="18340"/>
    <n v="777"/>
    <n v="50"/>
    <n v="552.11"/>
    <n v="4437.28"/>
    <n v="4.24"/>
    <n v="6.44"/>
    <n v="11.04"/>
    <n v="8.0399999999999991"/>
    <n v="3885.17"/>
  </r>
  <r>
    <x v="366"/>
    <s v="Affiliate Marketing"/>
    <s v="Seasonal Promotion"/>
    <s v="Add-on Service"/>
    <n v="7820"/>
    <n v="346"/>
    <n v="28"/>
    <n v="545.66999999999996"/>
    <n v="3991.07"/>
    <n v="4.42"/>
    <n v="8.09"/>
    <n v="19.489999999999998"/>
    <n v="7.31"/>
    <n v="3445.4"/>
  </r>
  <r>
    <x v="366"/>
    <s v="Referral"/>
    <s v="Flash Sale"/>
    <s v="Enterprise Plan"/>
    <n v="5270"/>
    <n v="389"/>
    <n v="55"/>
    <n v="151.81"/>
    <n v="9441.1200000000008"/>
    <n v="7.38"/>
    <n v="14.14"/>
    <n v="2.76"/>
    <n v="62.19"/>
    <n v="9289.31"/>
  </r>
  <r>
    <x v="367"/>
    <s v="Google Ads"/>
    <s v="Retargeting"/>
    <s v="Premium Plan"/>
    <n v="9579"/>
    <n v="388"/>
    <n v="44"/>
    <n v="1002.03"/>
    <n v="6754.48"/>
    <n v="4.05"/>
    <n v="11.34"/>
    <n v="22.77"/>
    <n v="6.74"/>
    <n v="5752.45"/>
  </r>
  <r>
    <x v="367"/>
    <s v="Facebook Ads"/>
    <s v="Brand Awareness"/>
    <s v="Basic Plan"/>
    <n v="14467"/>
    <n v="297"/>
    <n v="17"/>
    <n v="780.52"/>
    <n v="2070.39"/>
    <n v="2.0499999999999998"/>
    <n v="5.72"/>
    <n v="45.91"/>
    <n v="2.65"/>
    <n v="1289.8699999999999"/>
  </r>
  <r>
    <x v="367"/>
    <s v="Instagram Ads"/>
    <s v="Flash Sale"/>
    <s v="Starter Kit"/>
    <n v="15218"/>
    <n v="438"/>
    <n v="28"/>
    <n v="461.32"/>
    <n v="2294.6999999999998"/>
    <n v="2.88"/>
    <n v="6.39"/>
    <n v="16.48"/>
    <n v="4.97"/>
    <n v="1833.38"/>
  </r>
  <r>
    <x v="367"/>
    <s v="LinkedIn Ads"/>
    <s v="Flash Sale"/>
    <s v="Basic Plan"/>
    <n v="3470"/>
    <n v="77"/>
    <n v="8"/>
    <n v="1213.9100000000001"/>
    <n v="1684.95"/>
    <n v="2.2200000000000002"/>
    <n v="10.39"/>
    <n v="151.74"/>
    <n v="1.39"/>
    <n v="471.04"/>
  </r>
  <r>
    <x v="367"/>
    <s v="Email Marketing"/>
    <s v="Brand Awareness"/>
    <s v="Starter Kit"/>
    <n v="16516"/>
    <n v="4037"/>
    <n v="351"/>
    <n v="242.05"/>
    <n v="40640.35"/>
    <n v="24.44"/>
    <n v="8.69"/>
    <n v="0.69"/>
    <n v="167.9"/>
    <n v="40398.300000000003"/>
  </r>
  <r>
    <x v="367"/>
    <s v="Organic Search"/>
    <s v="Lead Generation"/>
    <s v="Enterprise Plan"/>
    <n v="29320"/>
    <n v="2209"/>
    <n v="278"/>
    <n v="0"/>
    <n v="36683.129999999997"/>
    <n v="7.53"/>
    <n v="12.58"/>
    <n v="0"/>
    <n v="0"/>
    <n v="36683.129999999997"/>
  </r>
  <r>
    <x v="367"/>
    <s v="Display Ads"/>
    <s v="Product Launch"/>
    <s v="Add-on Service"/>
    <n v="26247"/>
    <n v="323"/>
    <n v="6"/>
    <n v="905.82"/>
    <n v="620.52"/>
    <n v="1.23"/>
    <n v="1.86"/>
    <n v="150.97"/>
    <n v="0.69"/>
    <n v="-285.3"/>
  </r>
  <r>
    <x v="367"/>
    <s v="YouTube Ads"/>
    <s v="Brand Awareness"/>
    <s v="Premium Plan"/>
    <n v="18513"/>
    <n v="297"/>
    <n v="13"/>
    <n v="1133.51"/>
    <n v="1468.8"/>
    <n v="1.6"/>
    <n v="4.38"/>
    <n v="87.19"/>
    <n v="1.3"/>
    <n v="335.29"/>
  </r>
  <r>
    <x v="367"/>
    <s v="Twitter Ads"/>
    <s v="Lead Generation"/>
    <s v="Basic Plan"/>
    <n v="9083"/>
    <n v="196"/>
    <n v="5"/>
    <n v="668.85"/>
    <n v="426.58"/>
    <n v="2.16"/>
    <n v="2.5499999999999998"/>
    <n v="133.77000000000001"/>
    <n v="0.64"/>
    <n v="-242.27"/>
  </r>
  <r>
    <x v="367"/>
    <s v="TikTok Ads"/>
    <s v="Seasonal Promotion"/>
    <s v="Basic Plan"/>
    <n v="16363"/>
    <n v="463"/>
    <n v="23"/>
    <n v="733.88"/>
    <n v="1701.15"/>
    <n v="2.83"/>
    <n v="4.97"/>
    <n v="31.91"/>
    <n v="2.3199999999999998"/>
    <n v="967.27"/>
  </r>
  <r>
    <x v="367"/>
    <s v="Affiliate Marketing"/>
    <s v="Seasonal Promotion"/>
    <s v="Starter Kit"/>
    <n v="5481"/>
    <n v="383"/>
    <n v="48"/>
    <n v="560.99"/>
    <n v="6640.11"/>
    <n v="6.99"/>
    <n v="12.53"/>
    <n v="11.69"/>
    <n v="11.84"/>
    <n v="6079.12"/>
  </r>
  <r>
    <x v="367"/>
    <s v="Referral"/>
    <s v="Product Launch"/>
    <s v="Starter Kit"/>
    <n v="4275"/>
    <n v="382"/>
    <n v="45"/>
    <n v="136.5"/>
    <n v="6475.86"/>
    <n v="8.94"/>
    <n v="11.78"/>
    <n v="3.03"/>
    <n v="47.44"/>
    <n v="6339.36"/>
  </r>
  <r>
    <x v="368"/>
    <s v="Google Ads"/>
    <s v="Retargeting"/>
    <s v="Basic Plan"/>
    <n v="7007"/>
    <n v="325"/>
    <n v="27"/>
    <n v="773.11"/>
    <n v="4439.1499999999996"/>
    <n v="4.6399999999999997"/>
    <n v="8.31"/>
    <n v="28.63"/>
    <n v="5.74"/>
    <n v="3666.04"/>
  </r>
  <r>
    <x v="368"/>
    <s v="Facebook Ads"/>
    <s v="Product Launch"/>
    <s v="Basic Plan"/>
    <n v="15229"/>
    <n v="530"/>
    <n v="32"/>
    <n v="708.05"/>
    <n v="4036.32"/>
    <n v="3.48"/>
    <n v="6.04"/>
    <n v="22.13"/>
    <n v="5.7"/>
    <n v="3328.27"/>
  </r>
  <r>
    <x v="368"/>
    <s v="Instagram Ads"/>
    <s v="Flash Sale"/>
    <s v="Add-on Service"/>
    <n v="11218"/>
    <n v="447"/>
    <n v="34"/>
    <n v="704.43"/>
    <n v="3598.08"/>
    <n v="3.98"/>
    <n v="7.61"/>
    <n v="20.72"/>
    <n v="5.1100000000000003"/>
    <n v="2893.65"/>
  </r>
  <r>
    <x v="368"/>
    <s v="LinkedIn Ads"/>
    <s v="Product Launch"/>
    <s v="Enterprise Plan"/>
    <n v="3910"/>
    <n v="114"/>
    <n v="15"/>
    <n v="1014.46"/>
    <n v="4269.3500000000004"/>
    <n v="2.92"/>
    <n v="13.16"/>
    <n v="67.63"/>
    <n v="4.21"/>
    <n v="3254.89"/>
  </r>
  <r>
    <x v="368"/>
    <s v="Email Marketing"/>
    <s v="Lead Generation"/>
    <s v="Premium Plan"/>
    <n v="18976"/>
    <n v="2873"/>
    <n v="266"/>
    <n v="129.59"/>
    <n v="41069.83"/>
    <n v="15.14"/>
    <n v="9.26"/>
    <n v="0.49"/>
    <n v="316.92"/>
    <n v="40940.239999999998"/>
  </r>
  <r>
    <x v="368"/>
    <s v="Organic Search"/>
    <s v="Retargeting"/>
    <s v="Enterprise Plan"/>
    <n v="23675"/>
    <n v="1326"/>
    <n v="193"/>
    <n v="0"/>
    <n v="24516.59"/>
    <n v="5.6"/>
    <n v="14.56"/>
    <n v="0"/>
    <n v="0"/>
    <n v="24516.59"/>
  </r>
  <r>
    <x v="368"/>
    <s v="Display Ads"/>
    <s v="Lead Generation"/>
    <s v="Starter Kit"/>
    <n v="22031"/>
    <n v="429"/>
    <n v="18"/>
    <n v="650.89"/>
    <n v="1645.83"/>
    <n v="1.95"/>
    <n v="4.2"/>
    <n v="36.159999999999997"/>
    <n v="2.5299999999999998"/>
    <n v="994.94"/>
  </r>
  <r>
    <x v="368"/>
    <s v="YouTube Ads"/>
    <s v="Retargeting"/>
    <s v="Add-on Service"/>
    <n v="14597"/>
    <n v="240"/>
    <n v="11"/>
    <n v="746.35"/>
    <n v="1120.8900000000001"/>
    <n v="1.64"/>
    <n v="4.58"/>
    <n v="67.849999999999994"/>
    <n v="1.5"/>
    <n v="374.54"/>
  </r>
  <r>
    <x v="368"/>
    <s v="Twitter Ads"/>
    <s v="Lead Generation"/>
    <s v="Premium Plan"/>
    <n v="11888"/>
    <n v="357"/>
    <n v="17"/>
    <n v="524.53"/>
    <n v="1700.73"/>
    <n v="3"/>
    <n v="4.76"/>
    <n v="30.85"/>
    <n v="3.24"/>
    <n v="1176.2"/>
  </r>
  <r>
    <x v="368"/>
    <s v="TikTok Ads"/>
    <s v="Brand Awareness"/>
    <s v="Add-on Service"/>
    <n v="22209"/>
    <n v="836"/>
    <n v="44"/>
    <n v="646.73"/>
    <n v="5046.04"/>
    <n v="3.76"/>
    <n v="5.26"/>
    <n v="14.7"/>
    <n v="7.8"/>
    <n v="4399.3100000000004"/>
  </r>
  <r>
    <x v="368"/>
    <s v="Affiliate Marketing"/>
    <s v="Flash Sale"/>
    <s v="Add-on Service"/>
    <n v="6112"/>
    <n v="324"/>
    <n v="32"/>
    <n v="591.09"/>
    <n v="3767.83"/>
    <n v="5.3"/>
    <n v="9.8800000000000008"/>
    <n v="18.47"/>
    <n v="6.37"/>
    <n v="3176.74"/>
  </r>
  <r>
    <x v="368"/>
    <s v="Referral"/>
    <s v="Flash Sale"/>
    <s v="Basic Plan"/>
    <n v="4814"/>
    <n v="295"/>
    <n v="39"/>
    <n v="61.63"/>
    <n v="6061.67"/>
    <n v="6.13"/>
    <n v="13.22"/>
    <n v="1.58"/>
    <n v="98.36"/>
    <n v="6000.04"/>
  </r>
  <r>
    <x v="369"/>
    <s v="Google Ads"/>
    <s v="Brand Awareness"/>
    <s v="Starter Kit"/>
    <n v="7618"/>
    <n v="252"/>
    <n v="23"/>
    <n v="623.41"/>
    <n v="3766.29"/>
    <n v="3.31"/>
    <n v="9.1300000000000008"/>
    <n v="27.1"/>
    <n v="6.04"/>
    <n v="3142.88"/>
  </r>
  <r>
    <x v="369"/>
    <s v="Facebook Ads"/>
    <s v="Lead Generation"/>
    <s v="Enterprise Plan"/>
    <n v="7516"/>
    <n v="229"/>
    <n v="19"/>
    <n v="375.38"/>
    <n v="1835.87"/>
    <n v="3.05"/>
    <n v="8.3000000000000007"/>
    <n v="19.760000000000002"/>
    <n v="4.8899999999999997"/>
    <n v="1460.49"/>
  </r>
  <r>
    <x v="369"/>
    <s v="Instagram Ads"/>
    <s v="Flash Sale"/>
    <s v="Basic Plan"/>
    <n v="6909"/>
    <n v="250"/>
    <n v="19"/>
    <n v="452.69"/>
    <n v="1659.26"/>
    <n v="3.62"/>
    <n v="7.6"/>
    <n v="23.83"/>
    <n v="3.67"/>
    <n v="1206.57"/>
  </r>
  <r>
    <x v="369"/>
    <s v="LinkedIn Ads"/>
    <s v="Brand Awareness"/>
    <s v="Starter Kit"/>
    <n v="2140"/>
    <n v="38"/>
    <n v="5"/>
    <n v="786.88"/>
    <n v="1025.08"/>
    <n v="1.78"/>
    <n v="13.16"/>
    <n v="157.38"/>
    <n v="1.3"/>
    <n v="238.2"/>
  </r>
  <r>
    <x v="369"/>
    <s v="Email Marketing"/>
    <s v="Seasonal Promotion"/>
    <s v="Starter Kit"/>
    <n v="9126"/>
    <n v="1427"/>
    <n v="171"/>
    <n v="151.84"/>
    <n v="24953.4"/>
    <n v="15.64"/>
    <n v="11.98"/>
    <n v="0.89"/>
    <n v="164.34"/>
    <n v="24801.56"/>
  </r>
  <r>
    <x v="369"/>
    <s v="Organic Search"/>
    <s v="Seasonal Promotion"/>
    <s v="Enterprise Plan"/>
    <n v="16517"/>
    <n v="887"/>
    <n v="98"/>
    <n v="0"/>
    <n v="13797.14"/>
    <n v="5.37"/>
    <n v="11.05"/>
    <n v="0"/>
    <n v="0"/>
    <n v="13797.14"/>
  </r>
  <r>
    <x v="369"/>
    <s v="Display Ads"/>
    <s v="Lead Generation"/>
    <s v="Premium Plan"/>
    <n v="19844"/>
    <n v="306"/>
    <n v="7"/>
    <n v="614.92999999999995"/>
    <n v="636.14"/>
    <n v="1.54"/>
    <n v="2.29"/>
    <n v="87.85"/>
    <n v="1.03"/>
    <n v="21.21"/>
  </r>
  <r>
    <x v="369"/>
    <s v="YouTube Ads"/>
    <s v="Product Launch"/>
    <s v="Basic Plan"/>
    <n v="10365"/>
    <n v="225"/>
    <n v="10"/>
    <n v="730.99"/>
    <n v="1306.28"/>
    <n v="2.17"/>
    <n v="4.4400000000000004"/>
    <n v="73.099999999999994"/>
    <n v="1.79"/>
    <n v="575.29"/>
  </r>
  <r>
    <x v="369"/>
    <s v="Twitter Ads"/>
    <s v="Seasonal Promotion"/>
    <s v="Premium Plan"/>
    <n v="7249"/>
    <n v="213"/>
    <n v="7"/>
    <n v="285.45"/>
    <n v="808.55"/>
    <n v="2.94"/>
    <n v="3.29"/>
    <n v="40.78"/>
    <n v="2.83"/>
    <n v="523.1"/>
  </r>
  <r>
    <x v="369"/>
    <s v="TikTok Ads"/>
    <s v="Brand Awareness"/>
    <s v="Add-on Service"/>
    <n v="12617"/>
    <n v="515"/>
    <n v="33"/>
    <n v="630.23"/>
    <n v="3198.42"/>
    <n v="4.08"/>
    <n v="6.41"/>
    <n v="19.100000000000001"/>
    <n v="5.08"/>
    <n v="2568.19"/>
  </r>
  <r>
    <x v="369"/>
    <s v="Affiliate Marketing"/>
    <s v="Retargeting"/>
    <s v="Starter Kit"/>
    <n v="3881"/>
    <n v="166"/>
    <n v="17"/>
    <n v="342"/>
    <n v="2024.69"/>
    <n v="4.28"/>
    <n v="10.24"/>
    <n v="20.12"/>
    <n v="5.92"/>
    <n v="1682.69"/>
  </r>
  <r>
    <x v="369"/>
    <s v="Referral"/>
    <s v="Flash Sale"/>
    <s v="Starter Kit"/>
    <n v="1870"/>
    <n v="107"/>
    <n v="14"/>
    <n v="97.05"/>
    <n v="2135.04"/>
    <n v="5.72"/>
    <n v="13.08"/>
    <n v="6.93"/>
    <n v="22"/>
    <n v="2037.99"/>
  </r>
  <r>
    <x v="370"/>
    <s v="Google Ads"/>
    <s v="Brand Awareness"/>
    <s v="Basic Plan"/>
    <n v="8184"/>
    <n v="293"/>
    <n v="27"/>
    <n v="784.63"/>
    <n v="5134.04"/>
    <n v="3.58"/>
    <n v="9.2200000000000006"/>
    <n v="29.06"/>
    <n v="6.54"/>
    <n v="4349.41"/>
  </r>
  <r>
    <x v="370"/>
    <s v="Facebook Ads"/>
    <s v="Flash Sale"/>
    <s v="Basic Plan"/>
    <n v="8069"/>
    <n v="278"/>
    <n v="18"/>
    <n v="383.31"/>
    <n v="2399.7199999999998"/>
    <n v="3.45"/>
    <n v="6.47"/>
    <n v="21.3"/>
    <n v="6.26"/>
    <n v="2016.41"/>
  </r>
  <r>
    <x v="370"/>
    <s v="Instagram Ads"/>
    <s v="Lead Generation"/>
    <s v="Enterprise Plan"/>
    <n v="8700"/>
    <n v="355"/>
    <n v="18"/>
    <n v="440.11"/>
    <n v="1996.98"/>
    <n v="4.08"/>
    <n v="5.07"/>
    <n v="24.45"/>
    <n v="4.54"/>
    <n v="1556.87"/>
  </r>
  <r>
    <x v="370"/>
    <s v="LinkedIn Ads"/>
    <s v="Product Launch"/>
    <s v="Starter Kit"/>
    <n v="3152"/>
    <n v="59"/>
    <n v="8"/>
    <n v="968.8"/>
    <n v="2833.88"/>
    <n v="1.87"/>
    <n v="13.56"/>
    <n v="121.1"/>
    <n v="2.93"/>
    <n v="1865.08"/>
  </r>
  <r>
    <x v="370"/>
    <s v="Email Marketing"/>
    <s v="Retargeting"/>
    <s v="Basic Plan"/>
    <n v="13179"/>
    <n v="2104"/>
    <n v="182"/>
    <n v="151.87"/>
    <n v="21282.74"/>
    <n v="15.96"/>
    <n v="8.65"/>
    <n v="0.83"/>
    <n v="140.13999999999999"/>
    <n v="21130.87"/>
  </r>
  <r>
    <x v="370"/>
    <s v="Organic Search"/>
    <s v="Retargeting"/>
    <s v="Basic Plan"/>
    <n v="15847"/>
    <n v="713"/>
    <n v="108"/>
    <n v="0"/>
    <n v="14452.68"/>
    <n v="4.5"/>
    <n v="15.15"/>
    <n v="0"/>
    <n v="0"/>
    <n v="14452.68"/>
  </r>
  <r>
    <x v="370"/>
    <s v="Display Ads"/>
    <s v="Seasonal Promotion"/>
    <s v="Basic Plan"/>
    <n v="18050"/>
    <n v="265"/>
    <n v="11"/>
    <n v="771.22"/>
    <n v="1223.92"/>
    <n v="1.47"/>
    <n v="4.1500000000000004"/>
    <n v="70.11"/>
    <n v="1.59"/>
    <n v="452.7"/>
  </r>
  <r>
    <x v="370"/>
    <s v="YouTube Ads"/>
    <s v="Product Launch"/>
    <s v="Basic Plan"/>
    <n v="9110"/>
    <n v="173"/>
    <n v="8"/>
    <n v="532.19000000000005"/>
    <n v="1147.9100000000001"/>
    <n v="1.9"/>
    <n v="4.62"/>
    <n v="66.52"/>
    <n v="2.16"/>
    <n v="615.72"/>
  </r>
  <r>
    <x v="370"/>
    <s v="Twitter Ads"/>
    <s v="Retargeting"/>
    <s v="Basic Plan"/>
    <n v="5475"/>
    <n v="128"/>
    <n v="5"/>
    <n v="332.61"/>
    <n v="412.8"/>
    <n v="2.34"/>
    <n v="3.91"/>
    <n v="66.52"/>
    <n v="1.24"/>
    <n v="80.19"/>
  </r>
  <r>
    <x v="370"/>
    <s v="TikTok Ads"/>
    <s v="Retargeting"/>
    <s v="Basic Plan"/>
    <n v="10884"/>
    <n v="286"/>
    <n v="11"/>
    <n v="451.46"/>
    <n v="748.47"/>
    <n v="2.63"/>
    <n v="3.85"/>
    <n v="41.04"/>
    <n v="1.66"/>
    <n v="297.01"/>
  </r>
  <r>
    <x v="370"/>
    <s v="Affiliate Marketing"/>
    <s v="Brand Awareness"/>
    <s v="Enterprise Plan"/>
    <n v="3639"/>
    <n v="200"/>
    <n v="17"/>
    <n v="235.15"/>
    <n v="1884.15"/>
    <n v="5.5"/>
    <n v="8.5"/>
    <n v="13.83"/>
    <n v="8.01"/>
    <n v="1649"/>
  </r>
  <r>
    <x v="370"/>
    <s v="Referral"/>
    <s v="Product Launch"/>
    <s v="Basic Plan"/>
    <n v="2334"/>
    <n v="157"/>
    <n v="26"/>
    <n v="86.96"/>
    <n v="3106.54"/>
    <n v="6.73"/>
    <n v="16.559999999999999"/>
    <n v="3.34"/>
    <n v="35.72"/>
    <n v="3019.58"/>
  </r>
  <r>
    <x v="371"/>
    <s v="Google Ads"/>
    <s v="Seasonal Promotion"/>
    <s v="Starter Kit"/>
    <n v="9810"/>
    <n v="353"/>
    <n v="32"/>
    <n v="832.98"/>
    <n v="5122.3599999999997"/>
    <n v="3.6"/>
    <n v="9.07"/>
    <n v="26.03"/>
    <n v="6.15"/>
    <n v="4289.38"/>
  </r>
  <r>
    <x v="371"/>
    <s v="Facebook Ads"/>
    <s v="Lead Generation"/>
    <s v="Enterprise Plan"/>
    <n v="13957"/>
    <n v="494"/>
    <n v="40"/>
    <n v="641.84"/>
    <n v="3336.88"/>
    <n v="3.54"/>
    <n v="8.1"/>
    <n v="16.05"/>
    <n v="5.2"/>
    <n v="2695.04"/>
  </r>
  <r>
    <x v="371"/>
    <s v="Instagram Ads"/>
    <s v="Seasonal Promotion"/>
    <s v="Starter Kit"/>
    <n v="11348"/>
    <n v="328"/>
    <n v="20"/>
    <n v="563.85"/>
    <n v="1780"/>
    <n v="2.89"/>
    <n v="6.1"/>
    <n v="28.19"/>
    <n v="3.16"/>
    <n v="1216.1500000000001"/>
  </r>
  <r>
    <x v="371"/>
    <s v="LinkedIn Ads"/>
    <s v="Brand Awareness"/>
    <s v="Premium Plan"/>
    <n v="2578"/>
    <n v="56"/>
    <n v="5"/>
    <n v="1109.56"/>
    <n v="1074.03"/>
    <n v="2.17"/>
    <n v="8.93"/>
    <n v="221.91"/>
    <n v="0.97"/>
    <n v="-35.53"/>
  </r>
  <r>
    <x v="371"/>
    <s v="Email Marketing"/>
    <s v="Retargeting"/>
    <s v="Basic Plan"/>
    <n v="14675"/>
    <n v="3060"/>
    <n v="426"/>
    <n v="248.92"/>
    <n v="58446.84"/>
    <n v="20.85"/>
    <n v="13.92"/>
    <n v="0.57999999999999996"/>
    <n v="234.8"/>
    <n v="58197.919999999998"/>
  </r>
  <r>
    <x v="371"/>
    <s v="Organic Search"/>
    <s v="Product Launch"/>
    <s v="Starter Kit"/>
    <n v="20147"/>
    <n v="986"/>
    <n v="136"/>
    <n v="0"/>
    <n v="16873.560000000001"/>
    <n v="4.8899999999999997"/>
    <n v="13.79"/>
    <n v="0"/>
    <n v="0"/>
    <n v="16873.560000000001"/>
  </r>
  <r>
    <x v="371"/>
    <s v="Display Ads"/>
    <s v="Flash Sale"/>
    <s v="Basic Plan"/>
    <n v="28245"/>
    <n v="340"/>
    <n v="12"/>
    <n v="615.63"/>
    <n v="1575.24"/>
    <n v="1.2"/>
    <n v="3.53"/>
    <n v="51.3"/>
    <n v="2.56"/>
    <n v="959.61"/>
  </r>
  <r>
    <x v="371"/>
    <s v="YouTube Ads"/>
    <s v="Flash Sale"/>
    <s v="Starter Kit"/>
    <n v="20103"/>
    <n v="445"/>
    <n v="30"/>
    <n v="1159.06"/>
    <n v="4224.91"/>
    <n v="2.21"/>
    <n v="6.74"/>
    <n v="38.64"/>
    <n v="3.65"/>
    <n v="3065.85"/>
  </r>
  <r>
    <x v="371"/>
    <s v="Twitter Ads"/>
    <s v="Flash Sale"/>
    <s v="Starter Kit"/>
    <n v="11287"/>
    <n v="254"/>
    <n v="9"/>
    <n v="577.33000000000004"/>
    <n v="741.69"/>
    <n v="2.25"/>
    <n v="3.54"/>
    <n v="64.150000000000006"/>
    <n v="1.28"/>
    <n v="164.36"/>
  </r>
  <r>
    <x v="371"/>
    <s v="TikTok Ads"/>
    <s v="Flash Sale"/>
    <s v="Add-on Service"/>
    <n v="24424"/>
    <n v="1096"/>
    <n v="44"/>
    <n v="527.89"/>
    <n v="4664.1000000000004"/>
    <n v="4.49"/>
    <n v="4.01"/>
    <n v="12"/>
    <n v="8.84"/>
    <n v="4136.21"/>
  </r>
  <r>
    <x v="371"/>
    <s v="Affiliate Marketing"/>
    <s v="Product Launch"/>
    <s v="Premium Plan"/>
    <n v="6349"/>
    <n v="324"/>
    <n v="41"/>
    <n v="294.85000000000002"/>
    <n v="4277.32"/>
    <n v="5.0999999999999996"/>
    <n v="12.65"/>
    <n v="7.19"/>
    <n v="14.51"/>
    <n v="3982.47"/>
  </r>
  <r>
    <x v="371"/>
    <s v="Referral"/>
    <s v="Brand Awareness"/>
    <s v="Add-on Service"/>
    <n v="4417"/>
    <n v="367"/>
    <n v="54"/>
    <n v="70.239999999999995"/>
    <n v="8146.81"/>
    <n v="8.31"/>
    <n v="14.71"/>
    <n v="1.3"/>
    <n v="115.99"/>
    <n v="8076.57"/>
  </r>
  <r>
    <x v="372"/>
    <s v="Google Ads"/>
    <s v="Brand Awareness"/>
    <s v="Premium Plan"/>
    <n v="11900"/>
    <n v="369"/>
    <n v="43"/>
    <n v="831.9"/>
    <n v="6379.56"/>
    <n v="3.1"/>
    <n v="11.65"/>
    <n v="19.350000000000001"/>
    <n v="7.67"/>
    <n v="5547.66"/>
  </r>
  <r>
    <x v="372"/>
    <s v="Facebook Ads"/>
    <s v="Product Launch"/>
    <s v="Basic Plan"/>
    <n v="11374"/>
    <n v="402"/>
    <n v="19"/>
    <n v="512.74"/>
    <n v="1909.27"/>
    <n v="3.53"/>
    <n v="4.7300000000000004"/>
    <n v="26.99"/>
    <n v="3.72"/>
    <n v="1396.53"/>
  </r>
  <r>
    <x v="372"/>
    <s v="Instagram Ads"/>
    <s v="Retargeting"/>
    <s v="Enterprise Plan"/>
    <n v="10925"/>
    <n v="420"/>
    <n v="17"/>
    <n v="733.35"/>
    <n v="1675.91"/>
    <n v="3.84"/>
    <n v="4.05"/>
    <n v="43.14"/>
    <n v="2.29"/>
    <n v="942.56"/>
  </r>
  <r>
    <x v="372"/>
    <s v="LinkedIn Ads"/>
    <s v="Seasonal Promotion"/>
    <s v="Add-on Service"/>
    <n v="2563"/>
    <n v="58"/>
    <n v="8"/>
    <n v="1438.09"/>
    <n v="2604.88"/>
    <n v="2.2599999999999998"/>
    <n v="13.79"/>
    <n v="179.76"/>
    <n v="1.81"/>
    <n v="1166.79"/>
  </r>
  <r>
    <x v="372"/>
    <s v="Email Marketing"/>
    <s v="Flash Sale"/>
    <s v="Premium Plan"/>
    <n v="19685"/>
    <n v="4170"/>
    <n v="561"/>
    <n v="121.18"/>
    <n v="72885.08"/>
    <n v="21.18"/>
    <n v="13.45"/>
    <n v="0.22"/>
    <n v="601.46"/>
    <n v="72763.899999999994"/>
  </r>
  <r>
    <x v="372"/>
    <s v="Organic Search"/>
    <s v="Brand Awareness"/>
    <s v="Enterprise Plan"/>
    <n v="29727"/>
    <n v="1207"/>
    <n v="179"/>
    <n v="0"/>
    <n v="19775.37"/>
    <n v="4.0599999999999996"/>
    <n v="14.83"/>
    <n v="0"/>
    <n v="0"/>
    <n v="19775.37"/>
  </r>
  <r>
    <x v="372"/>
    <s v="Display Ads"/>
    <s v="Seasonal Promotion"/>
    <s v="Add-on Service"/>
    <n v="24752"/>
    <n v="279"/>
    <n v="11"/>
    <n v="806.58"/>
    <n v="1389.03"/>
    <n v="1.1299999999999999"/>
    <n v="3.94"/>
    <n v="73.33"/>
    <n v="1.72"/>
    <n v="582.45000000000005"/>
  </r>
  <r>
    <x v="372"/>
    <s v="YouTube Ads"/>
    <s v="Retargeting"/>
    <s v="Enterprise Plan"/>
    <n v="16269"/>
    <n v="368"/>
    <n v="20"/>
    <n v="989.83"/>
    <n v="2292.33"/>
    <n v="2.2599999999999998"/>
    <n v="5.43"/>
    <n v="49.49"/>
    <n v="2.3199999999999998"/>
    <n v="1302.5"/>
  </r>
  <r>
    <x v="372"/>
    <s v="Twitter Ads"/>
    <s v="Retargeting"/>
    <s v="Enterprise Plan"/>
    <n v="8673"/>
    <n v="220"/>
    <n v="6"/>
    <n v="515.88"/>
    <n v="469.73"/>
    <n v="2.54"/>
    <n v="2.73"/>
    <n v="85.98"/>
    <n v="0.91"/>
    <n v="-46.15"/>
  </r>
  <r>
    <x v="372"/>
    <s v="TikTok Ads"/>
    <s v="Lead Generation"/>
    <s v="Add-on Service"/>
    <n v="20572"/>
    <n v="850"/>
    <n v="30"/>
    <n v="680.82"/>
    <n v="2292.14"/>
    <n v="4.13"/>
    <n v="3.53"/>
    <n v="22.69"/>
    <n v="3.37"/>
    <n v="1611.32"/>
  </r>
  <r>
    <x v="372"/>
    <s v="Affiliate Marketing"/>
    <s v="Brand Awareness"/>
    <s v="Add-on Service"/>
    <n v="7781"/>
    <n v="374"/>
    <n v="45"/>
    <n v="450.4"/>
    <n v="6453.79"/>
    <n v="4.8099999999999996"/>
    <n v="12.03"/>
    <n v="10.01"/>
    <n v="14.33"/>
    <n v="6003.39"/>
  </r>
  <r>
    <x v="372"/>
    <s v="Referral"/>
    <s v="Lead Generation"/>
    <s v="Enterprise Plan"/>
    <n v="5598"/>
    <n v="316"/>
    <n v="38"/>
    <n v="135.74"/>
    <n v="5496.78"/>
    <n v="5.64"/>
    <n v="12.03"/>
    <n v="3.57"/>
    <n v="40.49"/>
    <n v="5361.04"/>
  </r>
  <r>
    <x v="373"/>
    <s v="Google Ads"/>
    <s v="Lead Generation"/>
    <s v="Add-on Service"/>
    <n v="10087"/>
    <n v="373"/>
    <n v="31"/>
    <n v="1082.05"/>
    <n v="6036.45"/>
    <n v="3.7"/>
    <n v="8.31"/>
    <n v="34.9"/>
    <n v="5.58"/>
    <n v="4954.3999999999996"/>
  </r>
  <r>
    <x v="373"/>
    <s v="Facebook Ads"/>
    <s v="Retargeting"/>
    <s v="Enterprise Plan"/>
    <n v="10757"/>
    <n v="365"/>
    <n v="21"/>
    <n v="660.88"/>
    <n v="3217.46"/>
    <n v="3.39"/>
    <n v="5.75"/>
    <n v="31.47"/>
    <n v="4.87"/>
    <n v="2556.58"/>
  </r>
  <r>
    <x v="373"/>
    <s v="Instagram Ads"/>
    <s v="Retargeting"/>
    <s v="Basic Plan"/>
    <n v="11073"/>
    <n v="342"/>
    <n v="18"/>
    <n v="503.13"/>
    <n v="1394.36"/>
    <n v="3.09"/>
    <n v="5.26"/>
    <n v="27.95"/>
    <n v="2.77"/>
    <n v="891.23"/>
  </r>
  <r>
    <x v="373"/>
    <s v="LinkedIn Ads"/>
    <s v="Brand Awareness"/>
    <s v="Enterprise Plan"/>
    <n v="2825"/>
    <n v="74"/>
    <n v="10"/>
    <n v="1349.24"/>
    <n v="3367.16"/>
    <n v="2.62"/>
    <n v="13.51"/>
    <n v="134.91999999999999"/>
    <n v="2.5"/>
    <n v="2017.92"/>
  </r>
  <r>
    <x v="373"/>
    <s v="Email Marketing"/>
    <s v="Flash Sale"/>
    <s v="Add-on Service"/>
    <n v="14825"/>
    <n v="2296"/>
    <n v="213"/>
    <n v="143.31"/>
    <n v="36436.25"/>
    <n v="15.49"/>
    <n v="9.2799999999999994"/>
    <n v="0.67"/>
    <n v="254.25"/>
    <n v="36292.94"/>
  </r>
  <r>
    <x v="373"/>
    <s v="Organic Search"/>
    <s v="Retargeting"/>
    <s v="Basic Plan"/>
    <n v="18549"/>
    <n v="1315"/>
    <n v="164"/>
    <n v="0"/>
    <n v="20776.52"/>
    <n v="7.09"/>
    <n v="12.47"/>
    <n v="0"/>
    <n v="0"/>
    <n v="20776.52"/>
  </r>
  <r>
    <x v="373"/>
    <s v="Display Ads"/>
    <s v="Product Launch"/>
    <s v="Premium Plan"/>
    <n v="21268"/>
    <n v="310"/>
    <n v="9"/>
    <n v="646.54"/>
    <n v="999.09"/>
    <n v="1.46"/>
    <n v="2.9"/>
    <n v="71.84"/>
    <n v="1.55"/>
    <n v="352.55"/>
  </r>
  <r>
    <x v="373"/>
    <s v="YouTube Ads"/>
    <s v="Product Launch"/>
    <s v="Premium Plan"/>
    <n v="12999"/>
    <n v="357"/>
    <n v="21"/>
    <n v="1099.32"/>
    <n v="2534.0100000000002"/>
    <n v="2.75"/>
    <n v="5.88"/>
    <n v="52.35"/>
    <n v="2.31"/>
    <n v="1434.69"/>
  </r>
  <r>
    <x v="373"/>
    <s v="Twitter Ads"/>
    <s v="Lead Generation"/>
    <s v="Starter Kit"/>
    <n v="8135"/>
    <n v="224"/>
    <n v="10"/>
    <n v="530.32000000000005"/>
    <n v="730.34"/>
    <n v="2.75"/>
    <n v="4.46"/>
    <n v="53.03"/>
    <n v="1.38"/>
    <n v="200.02"/>
  </r>
  <r>
    <x v="373"/>
    <s v="TikTok Ads"/>
    <s v="Product Launch"/>
    <s v="Enterprise Plan"/>
    <n v="17024"/>
    <n v="623"/>
    <n v="19"/>
    <n v="681.17"/>
    <n v="1640.78"/>
    <n v="3.66"/>
    <n v="3.05"/>
    <n v="35.85"/>
    <n v="2.41"/>
    <n v="959.61"/>
  </r>
  <r>
    <x v="373"/>
    <s v="Affiliate Marketing"/>
    <s v="Retargeting"/>
    <s v="Enterprise Plan"/>
    <n v="7850"/>
    <n v="338"/>
    <n v="32"/>
    <n v="546.20000000000005"/>
    <n v="3972.48"/>
    <n v="4.3099999999999996"/>
    <n v="9.4700000000000006"/>
    <n v="17.07"/>
    <n v="7.27"/>
    <n v="3426.28"/>
  </r>
  <r>
    <x v="373"/>
    <s v="Referral"/>
    <s v="Product Launch"/>
    <s v="Add-on Service"/>
    <n v="3486"/>
    <n v="175"/>
    <n v="27"/>
    <n v="165.89"/>
    <n v="3935.83"/>
    <n v="5.0199999999999996"/>
    <n v="15.43"/>
    <n v="6.14"/>
    <n v="23.73"/>
    <n v="3769.94"/>
  </r>
  <r>
    <x v="374"/>
    <s v="Google Ads"/>
    <s v="Product Launch"/>
    <s v="Add-on Service"/>
    <n v="9231"/>
    <n v="294"/>
    <n v="31"/>
    <n v="1132.68"/>
    <n v="4402.12"/>
    <n v="3.18"/>
    <n v="10.54"/>
    <n v="36.54"/>
    <n v="3.89"/>
    <n v="3269.44"/>
  </r>
  <r>
    <x v="374"/>
    <s v="Facebook Ads"/>
    <s v="Product Launch"/>
    <s v="Starter Kit"/>
    <n v="13034"/>
    <n v="326"/>
    <n v="26"/>
    <n v="555.16999999999996"/>
    <n v="3477.12"/>
    <n v="2.5"/>
    <n v="7.98"/>
    <n v="21.35"/>
    <n v="6.26"/>
    <n v="2921.95"/>
  </r>
  <r>
    <x v="374"/>
    <s v="Instagram Ads"/>
    <s v="Lead Generation"/>
    <s v="Enterprise Plan"/>
    <n v="14480"/>
    <n v="398"/>
    <n v="19"/>
    <n v="586.74"/>
    <n v="1766.42"/>
    <n v="2.75"/>
    <n v="4.7699999999999996"/>
    <n v="30.88"/>
    <n v="3.01"/>
    <n v="1179.68"/>
  </r>
  <r>
    <x v="374"/>
    <s v="LinkedIn Ads"/>
    <s v="Flash Sale"/>
    <s v="Starter Kit"/>
    <n v="4744"/>
    <n v="108"/>
    <n v="15"/>
    <n v="1157.49"/>
    <n v="3463.69"/>
    <n v="2.2799999999999998"/>
    <n v="13.89"/>
    <n v="77.17"/>
    <n v="2.99"/>
    <n v="2306.1999999999998"/>
  </r>
  <r>
    <x v="374"/>
    <s v="Email Marketing"/>
    <s v="Lead Generation"/>
    <s v="Add-on Service"/>
    <n v="16463"/>
    <n v="3184"/>
    <n v="338"/>
    <n v="125.2"/>
    <n v="49253.05"/>
    <n v="19.34"/>
    <n v="10.62"/>
    <n v="0.37"/>
    <n v="393.39"/>
    <n v="49127.85"/>
  </r>
  <r>
    <x v="374"/>
    <s v="Organic Search"/>
    <s v="Flash Sale"/>
    <s v="Starter Kit"/>
    <n v="25186"/>
    <n v="1331"/>
    <n v="141"/>
    <n v="0"/>
    <n v="17496.759999999998"/>
    <n v="5.28"/>
    <n v="10.59"/>
    <n v="0"/>
    <n v="0"/>
    <n v="17496.759999999998"/>
  </r>
  <r>
    <x v="374"/>
    <s v="Display Ads"/>
    <s v="Brand Awareness"/>
    <s v="Basic Plan"/>
    <n v="32611"/>
    <n v="400"/>
    <n v="11"/>
    <n v="881.21"/>
    <n v="1320.18"/>
    <n v="1.23"/>
    <n v="2.75"/>
    <n v="80.11"/>
    <n v="1.5"/>
    <n v="438.97"/>
  </r>
  <r>
    <x v="374"/>
    <s v="YouTube Ads"/>
    <s v="Lead Generation"/>
    <s v="Premium Plan"/>
    <n v="19833"/>
    <n v="354"/>
    <n v="25"/>
    <n v="1038.68"/>
    <n v="3352.96"/>
    <n v="1.78"/>
    <n v="7.06"/>
    <n v="41.55"/>
    <n v="3.23"/>
    <n v="2314.2800000000002"/>
  </r>
  <r>
    <x v="374"/>
    <s v="Twitter Ads"/>
    <s v="Lead Generation"/>
    <s v="Basic Plan"/>
    <n v="9011"/>
    <n v="294"/>
    <n v="11"/>
    <n v="527.28"/>
    <n v="1323.59"/>
    <n v="3.26"/>
    <n v="3.74"/>
    <n v="47.93"/>
    <n v="2.5099999999999998"/>
    <n v="796.31"/>
  </r>
  <r>
    <x v="374"/>
    <s v="TikTok Ads"/>
    <s v="Brand Awareness"/>
    <s v="Starter Kit"/>
    <n v="19343"/>
    <n v="864"/>
    <n v="27"/>
    <n v="622.42999999999995"/>
    <n v="2288.2600000000002"/>
    <n v="4.47"/>
    <n v="3.12"/>
    <n v="23.05"/>
    <n v="3.68"/>
    <n v="1665.83"/>
  </r>
  <r>
    <x v="374"/>
    <s v="Affiliate Marketing"/>
    <s v="Product Launch"/>
    <s v="Basic Plan"/>
    <n v="6933"/>
    <n v="427"/>
    <n v="54"/>
    <n v="256.3"/>
    <n v="6896.49"/>
    <n v="6.16"/>
    <n v="12.65"/>
    <n v="4.75"/>
    <n v="26.91"/>
    <n v="6640.19"/>
  </r>
  <r>
    <x v="374"/>
    <s v="Referral"/>
    <s v="Flash Sale"/>
    <s v="Starter Kit"/>
    <n v="2664"/>
    <n v="250"/>
    <n v="39"/>
    <n v="127.09"/>
    <n v="5943.72"/>
    <n v="9.3800000000000008"/>
    <n v="15.6"/>
    <n v="3.26"/>
    <n v="46.77"/>
    <n v="5816.63"/>
  </r>
  <r>
    <x v="375"/>
    <s v="Google Ads"/>
    <s v="Retargeting"/>
    <s v="Premium Plan"/>
    <n v="12493"/>
    <n v="404"/>
    <n v="37"/>
    <n v="940.55"/>
    <n v="4868.01"/>
    <n v="3.23"/>
    <n v="9.16"/>
    <n v="25.42"/>
    <n v="5.18"/>
    <n v="3927.46"/>
  </r>
  <r>
    <x v="375"/>
    <s v="Facebook Ads"/>
    <s v="Retargeting"/>
    <s v="Premium Plan"/>
    <n v="15586"/>
    <n v="411"/>
    <n v="22"/>
    <n v="658.26"/>
    <n v="2883.42"/>
    <n v="2.64"/>
    <n v="5.35"/>
    <n v="29.92"/>
    <n v="4.38"/>
    <n v="2225.16"/>
  </r>
  <r>
    <x v="375"/>
    <s v="Instagram Ads"/>
    <s v="Retargeting"/>
    <s v="Enterprise Plan"/>
    <n v="8723"/>
    <n v="387"/>
    <n v="28"/>
    <n v="819.39"/>
    <n v="2810.93"/>
    <n v="4.4400000000000004"/>
    <n v="7.24"/>
    <n v="29.26"/>
    <n v="3.43"/>
    <n v="1991.54"/>
  </r>
  <r>
    <x v="375"/>
    <s v="LinkedIn Ads"/>
    <s v="Flash Sale"/>
    <s v="Add-on Service"/>
    <n v="2750"/>
    <n v="81"/>
    <n v="8"/>
    <n v="1318.44"/>
    <n v="2403.6"/>
    <n v="2.95"/>
    <n v="9.8800000000000008"/>
    <n v="164.8"/>
    <n v="1.82"/>
    <n v="1085.1600000000001"/>
  </r>
  <r>
    <x v="375"/>
    <s v="Email Marketing"/>
    <s v="Retargeting"/>
    <s v="Starter Kit"/>
    <n v="20341"/>
    <n v="3548"/>
    <n v="410"/>
    <n v="153.83000000000001"/>
    <n v="45199.44"/>
    <n v="17.440000000000001"/>
    <n v="11.56"/>
    <n v="0.38"/>
    <n v="293.83"/>
    <n v="45045.61"/>
  </r>
  <r>
    <x v="375"/>
    <s v="Organic Search"/>
    <s v="Retargeting"/>
    <s v="Premium Plan"/>
    <n v="23028"/>
    <n v="1103"/>
    <n v="124"/>
    <n v="0"/>
    <n v="17364.03"/>
    <n v="4.79"/>
    <n v="11.24"/>
    <n v="0"/>
    <n v="0"/>
    <n v="17364.03"/>
  </r>
  <r>
    <x v="375"/>
    <s v="Display Ads"/>
    <s v="Flash Sale"/>
    <s v="Basic Plan"/>
    <n v="30935"/>
    <n v="419"/>
    <n v="18"/>
    <n v="890.9"/>
    <n v="2439.94"/>
    <n v="1.35"/>
    <n v="4.3"/>
    <n v="49.49"/>
    <n v="2.74"/>
    <n v="1549.04"/>
  </r>
  <r>
    <x v="375"/>
    <s v="YouTube Ads"/>
    <s v="Brand Awareness"/>
    <s v="Enterprise Plan"/>
    <n v="18518"/>
    <n v="374"/>
    <n v="22"/>
    <n v="704.59"/>
    <n v="2166.98"/>
    <n v="2.02"/>
    <n v="5.88"/>
    <n v="32.03"/>
    <n v="3.08"/>
    <n v="1462.39"/>
  </r>
  <r>
    <x v="375"/>
    <s v="Twitter Ads"/>
    <s v="Brand Awareness"/>
    <s v="Basic Plan"/>
    <n v="11785"/>
    <n v="369"/>
    <n v="15"/>
    <n v="480.5"/>
    <n v="1791.23"/>
    <n v="3.13"/>
    <n v="4.07"/>
    <n v="32.03"/>
    <n v="3.73"/>
    <n v="1310.73"/>
  </r>
  <r>
    <x v="375"/>
    <s v="TikTok Ads"/>
    <s v="Product Launch"/>
    <s v="Basic Plan"/>
    <n v="22809"/>
    <n v="762"/>
    <n v="49"/>
    <n v="871.56"/>
    <n v="3772.82"/>
    <n v="3.34"/>
    <n v="6.43"/>
    <n v="17.79"/>
    <n v="4.33"/>
    <n v="2901.26"/>
  </r>
  <r>
    <x v="375"/>
    <s v="Affiliate Marketing"/>
    <s v="Lead Generation"/>
    <s v="Add-on Service"/>
    <n v="7094"/>
    <n v="354"/>
    <n v="31"/>
    <n v="279.25"/>
    <n v="4626.84"/>
    <n v="4.99"/>
    <n v="8.76"/>
    <n v="9.01"/>
    <n v="16.57"/>
    <n v="4347.59"/>
  </r>
  <r>
    <x v="375"/>
    <s v="Referral"/>
    <s v="Product Launch"/>
    <s v="Add-on Service"/>
    <n v="5618"/>
    <n v="470"/>
    <n v="70"/>
    <n v="144.97999999999999"/>
    <n v="10377.81"/>
    <n v="8.3699999999999992"/>
    <n v="14.89"/>
    <n v="2.0699999999999998"/>
    <n v="71.58"/>
    <n v="10232.83"/>
  </r>
  <r>
    <x v="376"/>
    <s v="Google Ads"/>
    <s v="Flash Sale"/>
    <s v="Add-on Service"/>
    <n v="7089"/>
    <n v="348"/>
    <n v="38"/>
    <n v="709.72"/>
    <n v="5363.71"/>
    <n v="4.91"/>
    <n v="10.92"/>
    <n v="18.68"/>
    <n v="7.56"/>
    <n v="4653.99"/>
  </r>
  <r>
    <x v="376"/>
    <s v="Facebook Ads"/>
    <s v="Lead Generation"/>
    <s v="Add-on Service"/>
    <n v="8111"/>
    <n v="316"/>
    <n v="17"/>
    <n v="460.58"/>
    <n v="1567.3"/>
    <n v="3.9"/>
    <n v="5.38"/>
    <n v="27.09"/>
    <n v="3.4"/>
    <n v="1106.72"/>
  </r>
  <r>
    <x v="376"/>
    <s v="Instagram Ads"/>
    <s v="Brand Awareness"/>
    <s v="Add-on Service"/>
    <n v="6502"/>
    <n v="246"/>
    <n v="13"/>
    <n v="448.62"/>
    <n v="1409.78"/>
    <n v="3.78"/>
    <n v="5.28"/>
    <n v="34.51"/>
    <n v="3.14"/>
    <n v="961.16"/>
  </r>
  <r>
    <x v="376"/>
    <s v="LinkedIn Ads"/>
    <s v="Seasonal Promotion"/>
    <s v="Basic Plan"/>
    <n v="2037"/>
    <n v="54"/>
    <n v="5"/>
    <n v="697.62"/>
    <n v="1604.45"/>
    <n v="2.65"/>
    <n v="9.26"/>
    <n v="139.52000000000001"/>
    <n v="2.2999999999999998"/>
    <n v="906.83"/>
  </r>
  <r>
    <x v="376"/>
    <s v="Email Marketing"/>
    <s v="Retargeting"/>
    <s v="Premium Plan"/>
    <n v="9493"/>
    <n v="1423"/>
    <n v="161"/>
    <n v="120.72"/>
    <n v="18118.54"/>
    <n v="14.99"/>
    <n v="11.31"/>
    <n v="0.75"/>
    <n v="150.09"/>
    <n v="17997.82"/>
  </r>
  <r>
    <x v="376"/>
    <s v="Organic Search"/>
    <s v="Lead Generation"/>
    <s v="Starter Kit"/>
    <n v="15671"/>
    <n v="677"/>
    <n v="104"/>
    <n v="0"/>
    <n v="12940.56"/>
    <n v="4.32"/>
    <n v="15.36"/>
    <n v="0"/>
    <n v="0"/>
    <n v="12940.56"/>
  </r>
  <r>
    <x v="376"/>
    <s v="Display Ads"/>
    <s v="Flash Sale"/>
    <s v="Premium Plan"/>
    <n v="15594"/>
    <n v="224"/>
    <n v="7"/>
    <n v="436.38"/>
    <n v="728.83"/>
    <n v="1.44"/>
    <n v="3.12"/>
    <n v="62.34"/>
    <n v="1.67"/>
    <n v="292.45"/>
  </r>
  <r>
    <x v="376"/>
    <s v="YouTube Ads"/>
    <s v="Product Launch"/>
    <s v="Premium Plan"/>
    <n v="14033"/>
    <n v="308"/>
    <n v="14"/>
    <n v="745.04"/>
    <n v="1361.8"/>
    <n v="2.19"/>
    <n v="4.55"/>
    <n v="53.22"/>
    <n v="1.83"/>
    <n v="616.76"/>
  </r>
  <r>
    <x v="376"/>
    <s v="Twitter Ads"/>
    <s v="Product Launch"/>
    <s v="Premium Plan"/>
    <n v="6713"/>
    <n v="141"/>
    <n v="7"/>
    <n v="311.94"/>
    <n v="786.16"/>
    <n v="2.1"/>
    <n v="4.96"/>
    <n v="44.56"/>
    <n v="2.52"/>
    <n v="474.22"/>
  </r>
  <r>
    <x v="376"/>
    <s v="TikTok Ads"/>
    <s v="Retargeting"/>
    <s v="Enterprise Plan"/>
    <n v="16479"/>
    <n v="540"/>
    <n v="24"/>
    <n v="504.99"/>
    <n v="2240.5700000000002"/>
    <n v="3.28"/>
    <n v="4.4400000000000004"/>
    <n v="21.04"/>
    <n v="4.4400000000000004"/>
    <n v="1735.58"/>
  </r>
  <r>
    <x v="376"/>
    <s v="Affiliate Marketing"/>
    <s v="Seasonal Promotion"/>
    <s v="Premium Plan"/>
    <n v="3805"/>
    <n v="263"/>
    <n v="32"/>
    <n v="202.19"/>
    <n v="3690.93"/>
    <n v="6.91"/>
    <n v="12.17"/>
    <n v="6.32"/>
    <n v="18.25"/>
    <n v="3488.74"/>
  </r>
  <r>
    <x v="376"/>
    <s v="Referral"/>
    <s v="Product Launch"/>
    <s v="Basic Plan"/>
    <n v="3323"/>
    <n v="331"/>
    <n v="45"/>
    <n v="79.069999999999993"/>
    <n v="5464.62"/>
    <n v="9.9600000000000009"/>
    <n v="13.6"/>
    <n v="1.76"/>
    <n v="69.11"/>
    <n v="5385.55"/>
  </r>
  <r>
    <x v="377"/>
    <s v="Google Ads"/>
    <s v="Brand Awareness"/>
    <s v="Premium Plan"/>
    <n v="6631"/>
    <n v="330"/>
    <n v="38"/>
    <n v="637.87"/>
    <n v="6270.52"/>
    <n v="4.9800000000000004"/>
    <n v="11.52"/>
    <n v="16.79"/>
    <n v="9.83"/>
    <n v="5632.65"/>
  </r>
  <r>
    <x v="377"/>
    <s v="Facebook Ads"/>
    <s v="Retargeting"/>
    <s v="Starter Kit"/>
    <n v="9378"/>
    <n v="345"/>
    <n v="20"/>
    <n v="674.78"/>
    <n v="1748.39"/>
    <n v="3.68"/>
    <n v="5.8"/>
    <n v="33.74"/>
    <n v="2.59"/>
    <n v="1073.6099999999999"/>
  </r>
  <r>
    <x v="377"/>
    <s v="Instagram Ads"/>
    <s v="Retargeting"/>
    <s v="Enterprise Plan"/>
    <n v="9982"/>
    <n v="434"/>
    <n v="25"/>
    <n v="446.7"/>
    <n v="1998.54"/>
    <n v="4.3499999999999996"/>
    <n v="5.76"/>
    <n v="17.87"/>
    <n v="4.47"/>
    <n v="1551.84"/>
  </r>
  <r>
    <x v="377"/>
    <s v="LinkedIn Ads"/>
    <s v="Seasonal Promotion"/>
    <s v="Premium Plan"/>
    <n v="2981"/>
    <n v="80"/>
    <n v="9"/>
    <n v="819.03"/>
    <n v="2242.15"/>
    <n v="2.68"/>
    <n v="11.25"/>
    <n v="91"/>
    <n v="2.74"/>
    <n v="1423.12"/>
  </r>
  <r>
    <x v="377"/>
    <s v="Email Marketing"/>
    <s v="Product Launch"/>
    <s v="Premium Plan"/>
    <n v="14053"/>
    <n v="2570"/>
    <n v="235"/>
    <n v="144.29"/>
    <n v="30700.83"/>
    <n v="18.29"/>
    <n v="9.14"/>
    <n v="0.61"/>
    <n v="212.77"/>
    <n v="30556.54"/>
  </r>
  <r>
    <x v="377"/>
    <s v="Organic Search"/>
    <s v="Flash Sale"/>
    <s v="Add-on Service"/>
    <n v="18940"/>
    <n v="1035"/>
    <n v="131"/>
    <n v="0"/>
    <n v="16267.98"/>
    <n v="5.46"/>
    <n v="12.66"/>
    <n v="0"/>
    <n v="0"/>
    <n v="16267.98"/>
  </r>
  <r>
    <x v="377"/>
    <s v="Display Ads"/>
    <s v="Retargeting"/>
    <s v="Enterprise Plan"/>
    <n v="21808"/>
    <n v="232"/>
    <n v="7"/>
    <n v="482.75"/>
    <n v="628.02"/>
    <n v="1.06"/>
    <n v="3.02"/>
    <n v="68.959999999999994"/>
    <n v="1.3"/>
    <n v="145.27000000000001"/>
  </r>
  <r>
    <x v="377"/>
    <s v="YouTube Ads"/>
    <s v="Flash Sale"/>
    <s v="Add-on Service"/>
    <n v="10192"/>
    <n v="204"/>
    <n v="8"/>
    <n v="553.85"/>
    <n v="1131.7"/>
    <n v="2"/>
    <n v="3.92"/>
    <n v="69.23"/>
    <n v="2.04"/>
    <n v="577.85"/>
  </r>
  <r>
    <x v="377"/>
    <s v="Twitter Ads"/>
    <s v="Lead Generation"/>
    <s v="Basic Plan"/>
    <n v="7317"/>
    <n v="151"/>
    <n v="5"/>
    <n v="303.29000000000002"/>
    <n v="465.41"/>
    <n v="2.06"/>
    <n v="3.31"/>
    <n v="60.66"/>
    <n v="1.53"/>
    <n v="162.12"/>
  </r>
  <r>
    <x v="377"/>
    <s v="TikTok Ads"/>
    <s v="Brand Awareness"/>
    <s v="Enterprise Plan"/>
    <n v="17573"/>
    <n v="521"/>
    <n v="31"/>
    <n v="460.03"/>
    <n v="2683.28"/>
    <n v="2.96"/>
    <n v="5.95"/>
    <n v="14.84"/>
    <n v="5.83"/>
    <n v="2223.25"/>
  </r>
  <r>
    <x v="377"/>
    <s v="Affiliate Marketing"/>
    <s v="Product Launch"/>
    <s v="Premium Plan"/>
    <n v="5025"/>
    <n v="280"/>
    <n v="31"/>
    <n v="183.03"/>
    <n v="3074.75"/>
    <n v="5.57"/>
    <n v="11.07"/>
    <n v="5.9"/>
    <n v="16.8"/>
    <n v="2891.72"/>
  </r>
  <r>
    <x v="377"/>
    <s v="Referral"/>
    <s v="Flash Sale"/>
    <s v="Premium Plan"/>
    <n v="2179"/>
    <n v="192"/>
    <n v="24"/>
    <n v="111.8"/>
    <n v="3260.49"/>
    <n v="8.81"/>
    <n v="12.5"/>
    <n v="4.66"/>
    <n v="29.16"/>
    <n v="3148.69"/>
  </r>
  <r>
    <x v="378"/>
    <s v="Google Ads"/>
    <s v="Seasonal Promotion"/>
    <s v="Add-on Service"/>
    <n v="7251"/>
    <n v="348"/>
    <n v="37"/>
    <n v="689.37"/>
    <n v="5442.89"/>
    <n v="4.8"/>
    <n v="10.63"/>
    <n v="18.63"/>
    <n v="7.9"/>
    <n v="4753.5200000000004"/>
  </r>
  <r>
    <x v="378"/>
    <s v="Facebook Ads"/>
    <s v="Retargeting"/>
    <s v="Premium Plan"/>
    <n v="11313"/>
    <n v="439"/>
    <n v="37"/>
    <n v="956.19"/>
    <n v="3362.28"/>
    <n v="3.88"/>
    <n v="8.43"/>
    <n v="25.84"/>
    <n v="3.52"/>
    <n v="2406.09"/>
  </r>
  <r>
    <x v="378"/>
    <s v="Instagram Ads"/>
    <s v="Retargeting"/>
    <s v="Enterprise Plan"/>
    <n v="13740"/>
    <n v="365"/>
    <n v="22"/>
    <n v="644.36"/>
    <n v="2759.49"/>
    <n v="2.66"/>
    <n v="6.03"/>
    <n v="29.29"/>
    <n v="4.28"/>
    <n v="2115.13"/>
  </r>
  <r>
    <x v="378"/>
    <s v="LinkedIn Ads"/>
    <s v="Lead Generation"/>
    <s v="Basic Plan"/>
    <n v="4059"/>
    <n v="102"/>
    <n v="10"/>
    <n v="1510.04"/>
    <n v="2581.1799999999998"/>
    <n v="2.5099999999999998"/>
    <n v="9.8000000000000007"/>
    <n v="151"/>
    <n v="1.71"/>
    <n v="1071.1400000000001"/>
  </r>
  <r>
    <x v="378"/>
    <s v="Email Marketing"/>
    <s v="Retargeting"/>
    <s v="Premium Plan"/>
    <n v="20609"/>
    <n v="4973"/>
    <n v="622"/>
    <n v="112.96"/>
    <n v="73356.58"/>
    <n v="24.13"/>
    <n v="12.51"/>
    <n v="0.18"/>
    <n v="649.4"/>
    <n v="73243.62"/>
  </r>
  <r>
    <x v="378"/>
    <s v="Organic Search"/>
    <s v="Brand Awareness"/>
    <s v="Basic Plan"/>
    <n v="22213"/>
    <n v="1581"/>
    <n v="187"/>
    <n v="0"/>
    <n v="24619.83"/>
    <n v="7.12"/>
    <n v="11.83"/>
    <n v="0"/>
    <n v="0"/>
    <n v="24619.83"/>
  </r>
  <r>
    <x v="378"/>
    <s v="Display Ads"/>
    <s v="Lead Generation"/>
    <s v="Starter Kit"/>
    <n v="24874"/>
    <n v="378"/>
    <n v="15"/>
    <n v="968.35"/>
    <n v="1366.11"/>
    <n v="1.52"/>
    <n v="3.97"/>
    <n v="64.56"/>
    <n v="1.41"/>
    <n v="397.76"/>
  </r>
  <r>
    <x v="378"/>
    <s v="YouTube Ads"/>
    <s v="Retargeting"/>
    <s v="Enterprise Plan"/>
    <n v="15543"/>
    <n v="447"/>
    <n v="29"/>
    <n v="922.78"/>
    <n v="3012.32"/>
    <n v="2.88"/>
    <n v="6.49"/>
    <n v="31.82"/>
    <n v="3.26"/>
    <n v="2089.54"/>
  </r>
  <r>
    <x v="378"/>
    <s v="Twitter Ads"/>
    <s v="Flash Sale"/>
    <s v="Basic Plan"/>
    <n v="9782"/>
    <n v="225"/>
    <n v="11"/>
    <n v="508.27"/>
    <n v="1111.4100000000001"/>
    <n v="2.2999999999999998"/>
    <n v="4.8899999999999997"/>
    <n v="46.21"/>
    <n v="2.19"/>
    <n v="603.14"/>
  </r>
  <r>
    <x v="378"/>
    <s v="TikTok Ads"/>
    <s v="Brand Awareness"/>
    <s v="Enterprise Plan"/>
    <n v="16728"/>
    <n v="482"/>
    <n v="25"/>
    <n v="644.29999999999995"/>
    <n v="2336.1799999999998"/>
    <n v="2.88"/>
    <n v="5.19"/>
    <n v="25.77"/>
    <n v="3.63"/>
    <n v="1691.88"/>
  </r>
  <r>
    <x v="378"/>
    <s v="Affiliate Marketing"/>
    <s v="Retargeting"/>
    <s v="Starter Kit"/>
    <n v="5774"/>
    <n v="299"/>
    <n v="32"/>
    <n v="510.76"/>
    <n v="3532.43"/>
    <n v="5.18"/>
    <n v="10.7"/>
    <n v="15.96"/>
    <n v="6.92"/>
    <n v="3021.67"/>
  </r>
  <r>
    <x v="378"/>
    <s v="Referral"/>
    <s v="Flash Sale"/>
    <s v="Enterprise Plan"/>
    <n v="4723"/>
    <n v="438"/>
    <n v="73"/>
    <n v="168.39"/>
    <n v="8153.54"/>
    <n v="9.27"/>
    <n v="16.670000000000002"/>
    <n v="2.31"/>
    <n v="48.42"/>
    <n v="7985.15"/>
  </r>
  <r>
    <x v="379"/>
    <s v="Google Ads"/>
    <s v="Flash Sale"/>
    <s v="Add-on Service"/>
    <n v="11084"/>
    <n v="467"/>
    <n v="37"/>
    <n v="1116.22"/>
    <n v="5119.3"/>
    <n v="4.21"/>
    <n v="7.92"/>
    <n v="30.17"/>
    <n v="4.59"/>
    <n v="4003.08"/>
  </r>
  <r>
    <x v="379"/>
    <s v="Facebook Ads"/>
    <s v="Lead Generation"/>
    <s v="Enterprise Plan"/>
    <n v="13443"/>
    <n v="360"/>
    <n v="22"/>
    <n v="641.1"/>
    <n v="2817.11"/>
    <n v="2.68"/>
    <n v="6.11"/>
    <n v="29.14"/>
    <n v="4.3899999999999997"/>
    <n v="2176.0100000000002"/>
  </r>
  <r>
    <x v="379"/>
    <s v="Instagram Ads"/>
    <s v="Flash Sale"/>
    <s v="Premium Plan"/>
    <n v="10241"/>
    <n v="438"/>
    <n v="23"/>
    <n v="506.76"/>
    <n v="2473.06"/>
    <n v="4.28"/>
    <n v="5.25"/>
    <n v="22.03"/>
    <n v="4.88"/>
    <n v="1966.3"/>
  </r>
  <r>
    <x v="379"/>
    <s v="LinkedIn Ads"/>
    <s v="Product Launch"/>
    <s v="Add-on Service"/>
    <n v="4004"/>
    <n v="117"/>
    <n v="12"/>
    <n v="957.28"/>
    <n v="3229.89"/>
    <n v="2.92"/>
    <n v="10.26"/>
    <n v="79.77"/>
    <n v="3.37"/>
    <n v="2272.61"/>
  </r>
  <r>
    <x v="379"/>
    <s v="Email Marketing"/>
    <s v="Lead Generation"/>
    <s v="Starter Kit"/>
    <n v="20228"/>
    <n v="3443"/>
    <n v="465"/>
    <n v="96.49"/>
    <n v="71367.570000000007"/>
    <n v="17.02"/>
    <n v="13.51"/>
    <n v="0.21"/>
    <n v="739.64"/>
    <n v="71271.08"/>
  </r>
  <r>
    <x v="379"/>
    <s v="Organic Search"/>
    <s v="Retargeting"/>
    <s v="Starter Kit"/>
    <n v="27018"/>
    <n v="1306"/>
    <n v="193"/>
    <n v="0"/>
    <n v="26623.43"/>
    <n v="4.83"/>
    <n v="14.78"/>
    <n v="0"/>
    <n v="0"/>
    <n v="26623.43"/>
  </r>
  <r>
    <x v="379"/>
    <s v="Display Ads"/>
    <s v="Retargeting"/>
    <s v="Enterprise Plan"/>
    <n v="22602"/>
    <n v="244"/>
    <n v="6"/>
    <n v="1052.72"/>
    <n v="629.75"/>
    <n v="1.08"/>
    <n v="2.46"/>
    <n v="175.45"/>
    <n v="0.6"/>
    <n v="-422.97"/>
  </r>
  <r>
    <x v="379"/>
    <s v="YouTube Ads"/>
    <s v="Seasonal Promotion"/>
    <s v="Add-on Service"/>
    <n v="19431"/>
    <n v="513"/>
    <n v="28"/>
    <n v="993.1"/>
    <n v="3998.49"/>
    <n v="2.64"/>
    <n v="5.46"/>
    <n v="35.47"/>
    <n v="4.03"/>
    <n v="3005.39"/>
  </r>
  <r>
    <x v="379"/>
    <s v="Twitter Ads"/>
    <s v="Retargeting"/>
    <s v="Premium Plan"/>
    <n v="8309"/>
    <n v="173"/>
    <n v="6"/>
    <n v="594.4"/>
    <n v="584.02"/>
    <n v="2.08"/>
    <n v="3.47"/>
    <n v="99.07"/>
    <n v="0.98"/>
    <n v="-10.38"/>
  </r>
  <r>
    <x v="379"/>
    <s v="TikTok Ads"/>
    <s v="Retargeting"/>
    <s v="Enterprise Plan"/>
    <n v="19145"/>
    <n v="674"/>
    <n v="41"/>
    <n v="881.76"/>
    <n v="3790.53"/>
    <n v="3.52"/>
    <n v="6.08"/>
    <n v="21.51"/>
    <n v="4.3"/>
    <n v="2908.77"/>
  </r>
  <r>
    <x v="379"/>
    <s v="Affiliate Marketing"/>
    <s v="Seasonal Promotion"/>
    <s v="Basic Plan"/>
    <n v="5573"/>
    <n v="323"/>
    <n v="39"/>
    <n v="585.89"/>
    <n v="4704.8500000000004"/>
    <n v="5.8"/>
    <n v="12.07"/>
    <n v="15.02"/>
    <n v="8.0299999999999994"/>
    <n v="4118.96"/>
  </r>
  <r>
    <x v="379"/>
    <s v="Referral"/>
    <s v="Retargeting"/>
    <s v="Starter Kit"/>
    <n v="5421"/>
    <n v="413"/>
    <n v="69"/>
    <n v="54.79"/>
    <n v="9473.7099999999991"/>
    <n v="7.62"/>
    <n v="16.71"/>
    <n v="0.79"/>
    <n v="172.91"/>
    <n v="9418.92"/>
  </r>
  <r>
    <x v="380"/>
    <s v="Google Ads"/>
    <s v="Brand Awareness"/>
    <s v="Premium Plan"/>
    <n v="8307"/>
    <n v="257"/>
    <n v="20"/>
    <n v="681.59"/>
    <n v="2400.61"/>
    <n v="3.09"/>
    <n v="7.78"/>
    <n v="34.08"/>
    <n v="3.52"/>
    <n v="1719.02"/>
  </r>
  <r>
    <x v="380"/>
    <s v="Facebook Ads"/>
    <s v="Seasonal Promotion"/>
    <s v="Enterprise Plan"/>
    <n v="10715"/>
    <n v="425"/>
    <n v="21"/>
    <n v="708.6"/>
    <n v="1884.37"/>
    <n v="3.97"/>
    <n v="4.9400000000000004"/>
    <n v="33.74"/>
    <n v="2.66"/>
    <n v="1175.77"/>
  </r>
  <r>
    <x v="380"/>
    <s v="Instagram Ads"/>
    <s v="Retargeting"/>
    <s v="Basic Plan"/>
    <n v="14743"/>
    <n v="610"/>
    <n v="33"/>
    <n v="835.95"/>
    <n v="3098.73"/>
    <n v="4.1399999999999997"/>
    <n v="5.41"/>
    <n v="25.33"/>
    <n v="3.71"/>
    <n v="2262.7800000000002"/>
  </r>
  <r>
    <x v="380"/>
    <s v="LinkedIn Ads"/>
    <s v="Flash Sale"/>
    <s v="Basic Plan"/>
    <n v="3319"/>
    <n v="90"/>
    <n v="11"/>
    <n v="1308.05"/>
    <n v="2951.95"/>
    <n v="2.71"/>
    <n v="12.22"/>
    <n v="118.91"/>
    <n v="2.2599999999999998"/>
    <n v="1643.9"/>
  </r>
  <r>
    <x v="380"/>
    <s v="Email Marketing"/>
    <s v="Retargeting"/>
    <s v="Add-on Service"/>
    <n v="20764"/>
    <n v="4780"/>
    <n v="583"/>
    <n v="234.69"/>
    <n v="64095.89"/>
    <n v="23.02"/>
    <n v="12.2"/>
    <n v="0.4"/>
    <n v="273.11"/>
    <n v="63861.2"/>
  </r>
  <r>
    <x v="380"/>
    <s v="Organic Search"/>
    <s v="Flash Sale"/>
    <s v="Add-on Service"/>
    <n v="21134"/>
    <n v="1123"/>
    <n v="153"/>
    <n v="0"/>
    <n v="16889.3"/>
    <n v="5.31"/>
    <n v="13.62"/>
    <n v="0"/>
    <n v="0"/>
    <n v="16889.3"/>
  </r>
  <r>
    <x v="380"/>
    <s v="Display Ads"/>
    <s v="Brand Awareness"/>
    <s v="Enterprise Plan"/>
    <n v="33748"/>
    <n v="522"/>
    <n v="18"/>
    <n v="967.99"/>
    <n v="2432.66"/>
    <n v="1.55"/>
    <n v="3.45"/>
    <n v="53.78"/>
    <n v="2.5099999999999998"/>
    <n v="1464.67"/>
  </r>
  <r>
    <x v="380"/>
    <s v="YouTube Ads"/>
    <s v="Retargeting"/>
    <s v="Starter Kit"/>
    <n v="15373"/>
    <n v="368"/>
    <n v="24"/>
    <n v="957.42"/>
    <n v="3354.73"/>
    <n v="2.39"/>
    <n v="6.52"/>
    <n v="39.89"/>
    <n v="3.5"/>
    <n v="2397.31"/>
  </r>
  <r>
    <x v="380"/>
    <s v="Twitter Ads"/>
    <s v="Brand Awareness"/>
    <s v="Starter Kit"/>
    <n v="10574"/>
    <n v="261"/>
    <n v="10"/>
    <n v="374.37"/>
    <n v="959.44"/>
    <n v="2.4700000000000002"/>
    <n v="3.83"/>
    <n v="37.44"/>
    <n v="2.56"/>
    <n v="585.07000000000005"/>
  </r>
  <r>
    <x v="380"/>
    <s v="TikTok Ads"/>
    <s v="Product Launch"/>
    <s v="Basic Plan"/>
    <n v="17557"/>
    <n v="689"/>
    <n v="34"/>
    <n v="516.52"/>
    <n v="3280.54"/>
    <n v="3.92"/>
    <n v="4.93"/>
    <n v="15.19"/>
    <n v="6.35"/>
    <n v="2764.02"/>
  </r>
  <r>
    <x v="380"/>
    <s v="Affiliate Marketing"/>
    <s v="Lead Generation"/>
    <s v="Enterprise Plan"/>
    <n v="5806"/>
    <n v="268"/>
    <n v="30"/>
    <n v="463.63"/>
    <n v="4392.9799999999996"/>
    <n v="4.62"/>
    <n v="11.19"/>
    <n v="15.45"/>
    <n v="9.48"/>
    <n v="3929.35"/>
  </r>
  <r>
    <x v="380"/>
    <s v="Referral"/>
    <s v="Lead Generation"/>
    <s v="Add-on Service"/>
    <n v="3264"/>
    <n v="280"/>
    <n v="45"/>
    <n v="129.18"/>
    <n v="8494.19"/>
    <n v="8.58"/>
    <n v="16.07"/>
    <n v="2.87"/>
    <n v="65.75"/>
    <n v="8365.01"/>
  </r>
  <r>
    <x v="381"/>
    <s v="Google Ads"/>
    <s v="Retargeting"/>
    <s v="Enterprise Plan"/>
    <n v="9886"/>
    <n v="344"/>
    <n v="37"/>
    <n v="740.98"/>
    <n v="5326.95"/>
    <n v="3.48"/>
    <n v="10.76"/>
    <n v="20.03"/>
    <n v="7.19"/>
    <n v="4585.97"/>
  </r>
  <r>
    <x v="381"/>
    <s v="Facebook Ads"/>
    <s v="Seasonal Promotion"/>
    <s v="Premium Plan"/>
    <n v="15634"/>
    <n v="425"/>
    <n v="28"/>
    <n v="738.97"/>
    <n v="3169.75"/>
    <n v="2.72"/>
    <n v="6.59"/>
    <n v="26.39"/>
    <n v="4.29"/>
    <n v="2430.7800000000002"/>
  </r>
  <r>
    <x v="381"/>
    <s v="Instagram Ads"/>
    <s v="Seasonal Promotion"/>
    <s v="Premium Plan"/>
    <n v="13749"/>
    <n v="494"/>
    <n v="33"/>
    <n v="734.48"/>
    <n v="3286.74"/>
    <n v="3.59"/>
    <n v="6.68"/>
    <n v="22.26"/>
    <n v="4.47"/>
    <n v="2552.2600000000002"/>
  </r>
  <r>
    <x v="381"/>
    <s v="LinkedIn Ads"/>
    <s v="Brand Awareness"/>
    <s v="Add-on Service"/>
    <n v="5071"/>
    <n v="117"/>
    <n v="11"/>
    <n v="880.72"/>
    <n v="2397.77"/>
    <n v="2.31"/>
    <n v="9.4"/>
    <n v="80.069999999999993"/>
    <n v="2.72"/>
    <n v="1517.05"/>
  </r>
  <r>
    <x v="381"/>
    <s v="Email Marketing"/>
    <s v="Brand Awareness"/>
    <s v="Add-on Service"/>
    <n v="16341"/>
    <n v="3223"/>
    <n v="341"/>
    <n v="200.48"/>
    <n v="39392.089999999997"/>
    <n v="19.72"/>
    <n v="10.58"/>
    <n v="0.59"/>
    <n v="196.49"/>
    <n v="39191.61"/>
  </r>
  <r>
    <x v="381"/>
    <s v="Organic Search"/>
    <s v="Retargeting"/>
    <s v="Starter Kit"/>
    <n v="18859"/>
    <n v="753"/>
    <n v="77"/>
    <n v="0"/>
    <n v="10850.45"/>
    <n v="3.99"/>
    <n v="10.23"/>
    <n v="0"/>
    <n v="0"/>
    <n v="10850.45"/>
  </r>
  <r>
    <x v="381"/>
    <s v="Display Ads"/>
    <s v="Brand Awareness"/>
    <s v="Starter Kit"/>
    <n v="29305"/>
    <n v="396"/>
    <n v="18"/>
    <n v="859.96"/>
    <n v="2300.29"/>
    <n v="1.35"/>
    <n v="4.55"/>
    <n v="47.78"/>
    <n v="2.67"/>
    <n v="1440.33"/>
  </r>
  <r>
    <x v="381"/>
    <s v="YouTube Ads"/>
    <s v="Flash Sale"/>
    <s v="Add-on Service"/>
    <n v="20546"/>
    <n v="562"/>
    <n v="34"/>
    <n v="699.62"/>
    <n v="3699.13"/>
    <n v="2.74"/>
    <n v="6.05"/>
    <n v="20.58"/>
    <n v="5.29"/>
    <n v="2999.51"/>
  </r>
  <r>
    <x v="381"/>
    <s v="Twitter Ads"/>
    <s v="Product Launch"/>
    <s v="Enterprise Plan"/>
    <n v="8875"/>
    <n v="270"/>
    <n v="11"/>
    <n v="616.22"/>
    <n v="1311.76"/>
    <n v="3.04"/>
    <n v="4.07"/>
    <n v="56.02"/>
    <n v="2.13"/>
    <n v="695.54"/>
  </r>
  <r>
    <x v="381"/>
    <s v="TikTok Ads"/>
    <s v="Product Launch"/>
    <s v="Add-on Service"/>
    <n v="16494"/>
    <n v="677"/>
    <n v="39"/>
    <n v="721.78"/>
    <n v="3585.18"/>
    <n v="4.0999999999999996"/>
    <n v="5.76"/>
    <n v="18.510000000000002"/>
    <n v="4.97"/>
    <n v="2863.4"/>
  </r>
  <r>
    <x v="381"/>
    <s v="Affiliate Marketing"/>
    <s v="Brand Awareness"/>
    <s v="Add-on Service"/>
    <n v="4632"/>
    <n v="237"/>
    <n v="22"/>
    <n v="414.28"/>
    <n v="2522.12"/>
    <n v="5.12"/>
    <n v="9.2799999999999994"/>
    <n v="18.829999999999998"/>
    <n v="6.09"/>
    <n v="2107.84"/>
  </r>
  <r>
    <x v="381"/>
    <s v="Referral"/>
    <s v="Brand Awareness"/>
    <s v="Premium Plan"/>
    <n v="4376"/>
    <n v="276"/>
    <n v="45"/>
    <n v="123.21"/>
    <n v="5828.88"/>
    <n v="6.31"/>
    <n v="16.3"/>
    <n v="2.74"/>
    <n v="47.31"/>
    <n v="5705.67"/>
  </r>
  <r>
    <x v="382"/>
    <s v="Google Ads"/>
    <s v="Flash Sale"/>
    <s v="Starter Kit"/>
    <n v="11132"/>
    <n v="428"/>
    <n v="37"/>
    <n v="883.85"/>
    <n v="5107.99"/>
    <n v="3.84"/>
    <n v="8.64"/>
    <n v="23.89"/>
    <n v="5.78"/>
    <n v="4224.1400000000003"/>
  </r>
  <r>
    <x v="382"/>
    <s v="Facebook Ads"/>
    <s v="Lead Generation"/>
    <s v="Basic Plan"/>
    <n v="15050"/>
    <n v="593"/>
    <n v="35"/>
    <n v="860.24"/>
    <n v="4505.12"/>
    <n v="3.94"/>
    <n v="5.9"/>
    <n v="24.58"/>
    <n v="5.24"/>
    <n v="3644.88"/>
  </r>
  <r>
    <x v="382"/>
    <s v="Instagram Ads"/>
    <s v="Retargeting"/>
    <s v="Premium Plan"/>
    <n v="9978"/>
    <n v="283"/>
    <n v="22"/>
    <n v="541.64"/>
    <n v="1818.08"/>
    <n v="2.84"/>
    <n v="7.77"/>
    <n v="24.62"/>
    <n v="3.36"/>
    <n v="1276.44"/>
  </r>
  <r>
    <x v="382"/>
    <s v="LinkedIn Ads"/>
    <s v="Brand Awareness"/>
    <s v="Starter Kit"/>
    <n v="2963"/>
    <n v="70"/>
    <n v="9"/>
    <n v="1083.75"/>
    <n v="2850.95"/>
    <n v="2.36"/>
    <n v="12.86"/>
    <n v="120.42"/>
    <n v="2.63"/>
    <n v="1767.2"/>
  </r>
  <r>
    <x v="382"/>
    <s v="Email Marketing"/>
    <s v="Flash Sale"/>
    <s v="Enterprise Plan"/>
    <n v="18904"/>
    <n v="4405"/>
    <n v="375"/>
    <n v="199.77"/>
    <n v="39994.15"/>
    <n v="23.3"/>
    <n v="8.51"/>
    <n v="0.53"/>
    <n v="200.2"/>
    <n v="39794.379999999997"/>
  </r>
  <r>
    <x v="382"/>
    <s v="Organic Search"/>
    <s v="Product Launch"/>
    <s v="Add-on Service"/>
    <n v="21174"/>
    <n v="1013"/>
    <n v="113"/>
    <n v="0"/>
    <n v="15743.73"/>
    <n v="4.78"/>
    <n v="11.15"/>
    <n v="0"/>
    <n v="0"/>
    <n v="15743.73"/>
  </r>
  <r>
    <x v="382"/>
    <s v="Display Ads"/>
    <s v="Flash Sale"/>
    <s v="Starter Kit"/>
    <n v="22946"/>
    <n v="277"/>
    <n v="10"/>
    <n v="827.78"/>
    <n v="1213.51"/>
    <n v="1.21"/>
    <n v="3.61"/>
    <n v="82.78"/>
    <n v="1.47"/>
    <n v="385.73"/>
  </r>
  <r>
    <x v="382"/>
    <s v="YouTube Ads"/>
    <s v="Flash Sale"/>
    <s v="Starter Kit"/>
    <n v="15044"/>
    <n v="436"/>
    <n v="30"/>
    <n v="895.78"/>
    <n v="4042.23"/>
    <n v="2.9"/>
    <n v="6.88"/>
    <n v="29.86"/>
    <n v="4.51"/>
    <n v="3146.45"/>
  </r>
  <r>
    <x v="382"/>
    <s v="Twitter Ads"/>
    <s v="Seasonal Promotion"/>
    <s v="Enterprise Plan"/>
    <n v="7748"/>
    <n v="269"/>
    <n v="10"/>
    <n v="574.11"/>
    <n v="871.97"/>
    <n v="3.47"/>
    <n v="3.72"/>
    <n v="57.41"/>
    <n v="1.52"/>
    <n v="297.86"/>
  </r>
  <r>
    <x v="382"/>
    <s v="TikTok Ads"/>
    <s v="Product Launch"/>
    <s v="Basic Plan"/>
    <n v="17525"/>
    <n v="576"/>
    <n v="35"/>
    <n v="628.35"/>
    <n v="3242.08"/>
    <n v="3.29"/>
    <n v="6.08"/>
    <n v="17.95"/>
    <n v="5.16"/>
    <n v="2613.73"/>
  </r>
  <r>
    <x v="382"/>
    <s v="Affiliate Marketing"/>
    <s v="Lead Generation"/>
    <s v="Basic Plan"/>
    <n v="7564"/>
    <n v="523"/>
    <n v="52"/>
    <n v="430.55"/>
    <n v="7090.37"/>
    <n v="6.91"/>
    <n v="9.94"/>
    <n v="8.2799999999999994"/>
    <n v="16.47"/>
    <n v="6659.82"/>
  </r>
  <r>
    <x v="382"/>
    <s v="Referral"/>
    <s v="Brand Awareness"/>
    <s v="Add-on Service"/>
    <n v="4555"/>
    <n v="278"/>
    <n v="38"/>
    <n v="131.58000000000001"/>
    <n v="5605.4"/>
    <n v="6.1"/>
    <n v="13.67"/>
    <n v="3.46"/>
    <n v="42.6"/>
    <n v="5473.82"/>
  </r>
  <r>
    <x v="383"/>
    <s v="Google Ads"/>
    <s v="Product Launch"/>
    <s v="Premium Plan"/>
    <n v="7074"/>
    <n v="232"/>
    <n v="26"/>
    <n v="732.6"/>
    <n v="4152.57"/>
    <n v="3.28"/>
    <n v="11.21"/>
    <n v="28.18"/>
    <n v="5.67"/>
    <n v="3419.97"/>
  </r>
  <r>
    <x v="383"/>
    <s v="Facebook Ads"/>
    <s v="Retargeting"/>
    <s v="Add-on Service"/>
    <n v="8925"/>
    <n v="342"/>
    <n v="20"/>
    <n v="632.71"/>
    <n v="1834.95"/>
    <n v="3.83"/>
    <n v="5.85"/>
    <n v="31.64"/>
    <n v="2.9"/>
    <n v="1202.24"/>
  </r>
  <r>
    <x v="383"/>
    <s v="Instagram Ads"/>
    <s v="Brand Awareness"/>
    <s v="Premium Plan"/>
    <n v="9127"/>
    <n v="368"/>
    <n v="17"/>
    <n v="479.92"/>
    <n v="1547.92"/>
    <n v="4.03"/>
    <n v="4.62"/>
    <n v="28.23"/>
    <n v="3.23"/>
    <n v="1068"/>
  </r>
  <r>
    <x v="383"/>
    <s v="LinkedIn Ads"/>
    <s v="Retargeting"/>
    <s v="Premium Plan"/>
    <n v="2148"/>
    <n v="35"/>
    <n v="3"/>
    <n v="878.97"/>
    <n v="618.80999999999995"/>
    <n v="1.63"/>
    <n v="8.57"/>
    <n v="292.99"/>
    <n v="0.7"/>
    <n v="-260.16000000000003"/>
  </r>
  <r>
    <x v="383"/>
    <s v="Email Marketing"/>
    <s v="Brand Awareness"/>
    <s v="Basic Plan"/>
    <n v="10832"/>
    <n v="2344"/>
    <n v="246"/>
    <n v="161.28"/>
    <n v="38833.370000000003"/>
    <n v="21.64"/>
    <n v="10.49"/>
    <n v="0.66"/>
    <n v="240.78"/>
    <n v="38672.089999999997"/>
  </r>
  <r>
    <x v="383"/>
    <s v="Organic Search"/>
    <s v="Flash Sale"/>
    <s v="Starter Kit"/>
    <n v="15288"/>
    <n v="1134"/>
    <n v="148"/>
    <n v="0"/>
    <n v="17776.18"/>
    <n v="7.42"/>
    <n v="13.05"/>
    <n v="0"/>
    <n v="0"/>
    <n v="17776.18"/>
  </r>
  <r>
    <x v="383"/>
    <s v="Display Ads"/>
    <s v="Retargeting"/>
    <s v="Starter Kit"/>
    <n v="17108"/>
    <n v="260"/>
    <n v="5"/>
    <n v="700.57"/>
    <n v="452.71"/>
    <n v="1.52"/>
    <n v="1.92"/>
    <n v="140.11000000000001"/>
    <n v="0.65"/>
    <n v="-247.86"/>
  </r>
  <r>
    <x v="383"/>
    <s v="YouTube Ads"/>
    <s v="Flash Sale"/>
    <s v="Add-on Service"/>
    <n v="14645"/>
    <n v="301"/>
    <n v="19"/>
    <n v="689.62"/>
    <n v="2019.28"/>
    <n v="2.06"/>
    <n v="6.31"/>
    <n v="36.299999999999997"/>
    <n v="2.93"/>
    <n v="1329.66"/>
  </r>
  <r>
    <x v="383"/>
    <s v="Twitter Ads"/>
    <s v="Flash Sale"/>
    <s v="Starter Kit"/>
    <n v="4824"/>
    <n v="143"/>
    <n v="6"/>
    <n v="351.75"/>
    <n v="544"/>
    <n v="2.96"/>
    <n v="4.2"/>
    <n v="58.62"/>
    <n v="1.55"/>
    <n v="192.25"/>
  </r>
  <r>
    <x v="383"/>
    <s v="TikTok Ads"/>
    <s v="Product Launch"/>
    <s v="Add-on Service"/>
    <n v="15503"/>
    <n v="603"/>
    <n v="20"/>
    <n v="633.23"/>
    <n v="1627.66"/>
    <n v="3.89"/>
    <n v="3.32"/>
    <n v="31.66"/>
    <n v="2.57"/>
    <n v="994.43"/>
  </r>
  <r>
    <x v="383"/>
    <s v="Affiliate Marketing"/>
    <s v="Seasonal Promotion"/>
    <s v="Enterprise Plan"/>
    <n v="4655"/>
    <n v="264"/>
    <n v="27"/>
    <n v="349.2"/>
    <n v="2526.96"/>
    <n v="5.67"/>
    <n v="10.23"/>
    <n v="12.93"/>
    <n v="7.24"/>
    <n v="2177.7600000000002"/>
  </r>
  <r>
    <x v="383"/>
    <s v="Referral"/>
    <s v="Flash Sale"/>
    <s v="Starter Kit"/>
    <n v="2577"/>
    <n v="133"/>
    <n v="16"/>
    <n v="70.599999999999994"/>
    <n v="2725.05"/>
    <n v="5.16"/>
    <n v="12.03"/>
    <n v="4.41"/>
    <n v="38.6"/>
    <n v="2654.45"/>
  </r>
  <r>
    <x v="384"/>
    <s v="Google Ads"/>
    <s v="Product Launch"/>
    <s v="Premium Plan"/>
    <n v="4953"/>
    <n v="236"/>
    <n v="26"/>
    <n v="614.94000000000005"/>
    <n v="3915.84"/>
    <n v="4.76"/>
    <n v="11.02"/>
    <n v="23.65"/>
    <n v="6.37"/>
    <n v="3300.9"/>
  </r>
  <r>
    <x v="384"/>
    <s v="Facebook Ads"/>
    <s v="Lead Generation"/>
    <s v="Basic Plan"/>
    <n v="7660"/>
    <n v="289"/>
    <n v="25"/>
    <n v="428.84"/>
    <n v="2685.59"/>
    <n v="3.77"/>
    <n v="8.65"/>
    <n v="17.149999999999999"/>
    <n v="6.26"/>
    <n v="2256.75"/>
  </r>
  <r>
    <x v="384"/>
    <s v="Instagram Ads"/>
    <s v="Brand Awareness"/>
    <s v="Basic Plan"/>
    <n v="7530"/>
    <n v="282"/>
    <n v="11"/>
    <n v="485.51"/>
    <n v="1092.2"/>
    <n v="3.75"/>
    <n v="3.9"/>
    <n v="44.14"/>
    <n v="2.25"/>
    <n v="606.69000000000005"/>
  </r>
  <r>
    <x v="384"/>
    <s v="LinkedIn Ads"/>
    <s v="Brand Awareness"/>
    <s v="Premium Plan"/>
    <n v="2497"/>
    <n v="73"/>
    <n v="7"/>
    <n v="744.92"/>
    <n v="1291.8800000000001"/>
    <n v="2.92"/>
    <n v="9.59"/>
    <n v="106.42"/>
    <n v="1.73"/>
    <n v="546.96"/>
  </r>
  <r>
    <x v="384"/>
    <s v="Email Marketing"/>
    <s v="Flash Sale"/>
    <s v="Basic Plan"/>
    <n v="14256"/>
    <n v="2288"/>
    <n v="308"/>
    <n v="106.57"/>
    <n v="39858.85"/>
    <n v="16.05"/>
    <n v="13.46"/>
    <n v="0.35"/>
    <n v="374.02"/>
    <n v="39752.28"/>
  </r>
  <r>
    <x v="384"/>
    <s v="Organic Search"/>
    <s v="Brand Awareness"/>
    <s v="Basic Plan"/>
    <n v="20655"/>
    <n v="1186"/>
    <n v="186"/>
    <n v="0"/>
    <n v="19516.78"/>
    <n v="5.74"/>
    <n v="15.68"/>
    <n v="0"/>
    <n v="0"/>
    <n v="19516.78"/>
  </r>
  <r>
    <x v="384"/>
    <s v="Display Ads"/>
    <s v="Retargeting"/>
    <s v="Basic Plan"/>
    <n v="19562"/>
    <n v="354"/>
    <n v="8"/>
    <n v="729.48"/>
    <n v="911.57"/>
    <n v="1.81"/>
    <n v="2.2599999999999998"/>
    <n v="91.18"/>
    <n v="1.25"/>
    <n v="182.09"/>
  </r>
  <r>
    <x v="384"/>
    <s v="YouTube Ads"/>
    <s v="Flash Sale"/>
    <s v="Basic Plan"/>
    <n v="12747"/>
    <n v="210"/>
    <n v="16"/>
    <n v="620.42999999999995"/>
    <n v="1687.69"/>
    <n v="1.65"/>
    <n v="7.62"/>
    <n v="38.78"/>
    <n v="2.72"/>
    <n v="1067.26"/>
  </r>
  <r>
    <x v="384"/>
    <s v="Twitter Ads"/>
    <s v="Retargeting"/>
    <s v="Add-on Service"/>
    <n v="6771"/>
    <n v="182"/>
    <n v="6"/>
    <n v="240.08"/>
    <n v="635.51"/>
    <n v="2.69"/>
    <n v="3.3"/>
    <n v="40.01"/>
    <n v="2.65"/>
    <n v="395.43"/>
  </r>
  <r>
    <x v="384"/>
    <s v="TikTok Ads"/>
    <s v="Lead Generation"/>
    <s v="Premium Plan"/>
    <n v="11992"/>
    <n v="320"/>
    <n v="16"/>
    <n v="647.30999999999995"/>
    <n v="1605.56"/>
    <n v="2.67"/>
    <n v="5"/>
    <n v="40.46"/>
    <n v="2.48"/>
    <n v="958.25"/>
  </r>
  <r>
    <x v="384"/>
    <s v="Affiliate Marketing"/>
    <s v="Product Launch"/>
    <s v="Starter Kit"/>
    <n v="5617"/>
    <n v="362"/>
    <n v="38"/>
    <n v="254.53"/>
    <n v="4463.3"/>
    <n v="6.44"/>
    <n v="10.5"/>
    <n v="6.7"/>
    <n v="17.54"/>
    <n v="4208.7700000000004"/>
  </r>
  <r>
    <x v="384"/>
    <s v="Referral"/>
    <s v="Lead Generation"/>
    <s v="Starter Kit"/>
    <n v="3636"/>
    <n v="248"/>
    <n v="30"/>
    <n v="58.21"/>
    <n v="5144.99"/>
    <n v="6.82"/>
    <n v="12.1"/>
    <n v="1.94"/>
    <n v="88.39"/>
    <n v="5086.78"/>
  </r>
  <r>
    <x v="385"/>
    <s v="Google Ads"/>
    <s v="Retargeting"/>
    <s v="Premium Plan"/>
    <n v="9435"/>
    <n v="436"/>
    <n v="48"/>
    <n v="1059.7"/>
    <n v="6027"/>
    <n v="4.62"/>
    <n v="11.01"/>
    <n v="22.08"/>
    <n v="5.69"/>
    <n v="4967.3"/>
  </r>
  <r>
    <x v="385"/>
    <s v="Facebook Ads"/>
    <s v="Brand Awareness"/>
    <s v="Basic Plan"/>
    <n v="12064"/>
    <n v="458"/>
    <n v="36"/>
    <n v="724.36"/>
    <n v="4814.1899999999996"/>
    <n v="3.8"/>
    <n v="7.86"/>
    <n v="20.12"/>
    <n v="6.65"/>
    <n v="4089.83"/>
  </r>
  <r>
    <x v="385"/>
    <s v="Instagram Ads"/>
    <s v="Lead Generation"/>
    <s v="Starter Kit"/>
    <n v="15144"/>
    <n v="640"/>
    <n v="48"/>
    <n v="563.04"/>
    <n v="5707.64"/>
    <n v="4.2300000000000004"/>
    <n v="7.5"/>
    <n v="11.73"/>
    <n v="10.14"/>
    <n v="5144.6000000000004"/>
  </r>
  <r>
    <x v="385"/>
    <s v="LinkedIn Ads"/>
    <s v="Retargeting"/>
    <s v="Starter Kit"/>
    <n v="3556"/>
    <n v="90"/>
    <n v="10"/>
    <n v="1230.25"/>
    <n v="3438.49"/>
    <n v="2.5299999999999998"/>
    <n v="11.11"/>
    <n v="123.02"/>
    <n v="2.79"/>
    <n v="2208.2399999999998"/>
  </r>
  <r>
    <x v="385"/>
    <s v="Email Marketing"/>
    <s v="Brand Awareness"/>
    <s v="Starter Kit"/>
    <n v="14675"/>
    <n v="2697"/>
    <n v="286"/>
    <n v="224.48"/>
    <n v="32360.41"/>
    <n v="18.38"/>
    <n v="10.6"/>
    <n v="0.78"/>
    <n v="144.16"/>
    <n v="32135.93"/>
  </r>
  <r>
    <x v="385"/>
    <s v="Organic Search"/>
    <s v="Seasonal Promotion"/>
    <s v="Basic Plan"/>
    <n v="20762"/>
    <n v="1122"/>
    <n v="136"/>
    <n v="0"/>
    <n v="16619.439999999999"/>
    <n v="5.4"/>
    <n v="12.12"/>
    <n v="0"/>
    <n v="0"/>
    <n v="16619.439999999999"/>
  </r>
  <r>
    <x v="385"/>
    <s v="Display Ads"/>
    <s v="Lead Generation"/>
    <s v="Enterprise Plan"/>
    <n v="24679"/>
    <n v="404"/>
    <n v="17"/>
    <n v="933.14"/>
    <n v="2082.5"/>
    <n v="1.64"/>
    <n v="4.21"/>
    <n v="54.89"/>
    <n v="2.23"/>
    <n v="1149.3599999999999"/>
  </r>
  <r>
    <x v="385"/>
    <s v="YouTube Ads"/>
    <s v="Seasonal Promotion"/>
    <s v="Starter Kit"/>
    <n v="14513"/>
    <n v="404"/>
    <n v="19"/>
    <n v="1140.82"/>
    <n v="2263.33"/>
    <n v="2.78"/>
    <n v="4.7"/>
    <n v="60.04"/>
    <n v="1.98"/>
    <n v="1122.51"/>
  </r>
  <r>
    <x v="385"/>
    <s v="Twitter Ads"/>
    <s v="Brand Awareness"/>
    <s v="Enterprise Plan"/>
    <n v="11554"/>
    <n v="340"/>
    <n v="19"/>
    <n v="588.59"/>
    <n v="2026.77"/>
    <n v="2.94"/>
    <n v="5.59"/>
    <n v="30.98"/>
    <n v="3.44"/>
    <n v="1438.18"/>
  </r>
  <r>
    <x v="385"/>
    <s v="TikTok Ads"/>
    <s v="Brand Awareness"/>
    <s v="Premium Plan"/>
    <n v="24907"/>
    <n v="628"/>
    <n v="41"/>
    <n v="766.36"/>
    <n v="3965.94"/>
    <n v="2.52"/>
    <n v="6.53"/>
    <n v="18.690000000000001"/>
    <n v="5.18"/>
    <n v="3199.58"/>
  </r>
  <r>
    <x v="385"/>
    <s v="Affiliate Marketing"/>
    <s v="Flash Sale"/>
    <s v="Starter Kit"/>
    <n v="6843"/>
    <n v="287"/>
    <n v="27"/>
    <n v="487.94"/>
    <n v="3303.29"/>
    <n v="4.1900000000000004"/>
    <n v="9.41"/>
    <n v="18.07"/>
    <n v="6.77"/>
    <n v="2815.35"/>
  </r>
  <r>
    <x v="385"/>
    <s v="Referral"/>
    <s v="Retargeting"/>
    <s v="Starter Kit"/>
    <n v="5177"/>
    <n v="273"/>
    <n v="36"/>
    <n v="59.7"/>
    <n v="4636.54"/>
    <n v="5.27"/>
    <n v="13.19"/>
    <n v="1.66"/>
    <n v="77.66"/>
    <n v="4576.84"/>
  </r>
  <r>
    <x v="386"/>
    <s v="Google Ads"/>
    <s v="Flash Sale"/>
    <s v="Add-on Service"/>
    <n v="6919"/>
    <n v="272"/>
    <n v="31"/>
    <n v="1042.22"/>
    <n v="5294.62"/>
    <n v="3.93"/>
    <n v="11.4"/>
    <n v="33.619999999999997"/>
    <n v="5.08"/>
    <n v="4252.3999999999996"/>
  </r>
  <r>
    <x v="386"/>
    <s v="Facebook Ads"/>
    <s v="Seasonal Promotion"/>
    <s v="Add-on Service"/>
    <n v="16122"/>
    <n v="558"/>
    <n v="38"/>
    <n v="686.69"/>
    <n v="4918.3599999999997"/>
    <n v="3.46"/>
    <n v="6.81"/>
    <n v="18.07"/>
    <n v="7.16"/>
    <n v="4231.67"/>
  </r>
  <r>
    <x v="386"/>
    <s v="Instagram Ads"/>
    <s v="Product Launch"/>
    <s v="Premium Plan"/>
    <n v="12010"/>
    <n v="425"/>
    <n v="17"/>
    <n v="570.16"/>
    <n v="1876.71"/>
    <n v="3.54"/>
    <n v="4"/>
    <n v="33.54"/>
    <n v="3.29"/>
    <n v="1306.55"/>
  </r>
  <r>
    <x v="386"/>
    <s v="LinkedIn Ads"/>
    <s v="Retargeting"/>
    <s v="Starter Kit"/>
    <n v="4097"/>
    <n v="87"/>
    <n v="9"/>
    <n v="1221.95"/>
    <n v="2614.39"/>
    <n v="2.12"/>
    <n v="10.34"/>
    <n v="135.77000000000001"/>
    <n v="2.14"/>
    <n v="1392.44"/>
  </r>
  <r>
    <x v="386"/>
    <s v="Email Marketing"/>
    <s v="Retargeting"/>
    <s v="Add-on Service"/>
    <n v="14807"/>
    <n v="2834"/>
    <n v="250"/>
    <n v="99.22"/>
    <n v="32537.24"/>
    <n v="19.14"/>
    <n v="8.82"/>
    <n v="0.4"/>
    <n v="327.93"/>
    <n v="32438.02"/>
  </r>
  <r>
    <x v="386"/>
    <s v="Organic Search"/>
    <s v="Seasonal Promotion"/>
    <s v="Add-on Service"/>
    <n v="24389"/>
    <n v="1047"/>
    <n v="158"/>
    <n v="0"/>
    <n v="23625.56"/>
    <n v="4.29"/>
    <n v="15.09"/>
    <n v="0"/>
    <n v="0"/>
    <n v="23625.56"/>
  </r>
  <r>
    <x v="386"/>
    <s v="Display Ads"/>
    <s v="Flash Sale"/>
    <s v="Starter Kit"/>
    <n v="22375"/>
    <n v="364"/>
    <n v="16"/>
    <n v="878.64"/>
    <n v="1752.6"/>
    <n v="1.63"/>
    <n v="4.4000000000000004"/>
    <n v="54.92"/>
    <n v="1.99"/>
    <n v="873.96"/>
  </r>
  <r>
    <x v="386"/>
    <s v="YouTube Ads"/>
    <s v="Lead Generation"/>
    <s v="Premium Plan"/>
    <n v="18516"/>
    <n v="387"/>
    <n v="17"/>
    <n v="701.05"/>
    <n v="1646.73"/>
    <n v="2.09"/>
    <n v="4.3899999999999997"/>
    <n v="41.24"/>
    <n v="2.35"/>
    <n v="945.68"/>
  </r>
  <r>
    <x v="386"/>
    <s v="Twitter Ads"/>
    <s v="Seasonal Promotion"/>
    <s v="Premium Plan"/>
    <n v="10938"/>
    <n v="307"/>
    <n v="11"/>
    <n v="632.12"/>
    <n v="752.14"/>
    <n v="2.81"/>
    <n v="3.58"/>
    <n v="57.47"/>
    <n v="1.19"/>
    <n v="120.02"/>
  </r>
  <r>
    <x v="386"/>
    <s v="TikTok Ads"/>
    <s v="Retargeting"/>
    <s v="Add-on Service"/>
    <n v="21296"/>
    <n v="901"/>
    <n v="49"/>
    <n v="663.66"/>
    <n v="4146.63"/>
    <n v="4.2300000000000004"/>
    <n v="5.44"/>
    <n v="13.54"/>
    <n v="6.25"/>
    <n v="3482.97"/>
  </r>
  <r>
    <x v="386"/>
    <s v="Affiliate Marketing"/>
    <s v="Product Launch"/>
    <s v="Add-on Service"/>
    <n v="6408"/>
    <n v="311"/>
    <n v="30"/>
    <n v="320.63"/>
    <n v="3598"/>
    <n v="4.8499999999999996"/>
    <n v="9.65"/>
    <n v="10.69"/>
    <n v="11.22"/>
    <n v="3277.37"/>
  </r>
  <r>
    <x v="386"/>
    <s v="Referral"/>
    <s v="Brand Awareness"/>
    <s v="Enterprise Plan"/>
    <n v="2605"/>
    <n v="200"/>
    <n v="29"/>
    <n v="98.12"/>
    <n v="4637.78"/>
    <n v="7.68"/>
    <n v="14.5"/>
    <n v="3.38"/>
    <n v="47.27"/>
    <n v="4539.66"/>
  </r>
  <r>
    <x v="387"/>
    <s v="Google Ads"/>
    <s v="Flash Sale"/>
    <s v="Starter Kit"/>
    <n v="10171"/>
    <n v="360"/>
    <n v="39"/>
    <n v="967.54"/>
    <n v="5656.29"/>
    <n v="3.54"/>
    <n v="10.83"/>
    <n v="24.81"/>
    <n v="5.85"/>
    <n v="4688.75"/>
  </r>
  <r>
    <x v="387"/>
    <s v="Facebook Ads"/>
    <s v="Retargeting"/>
    <s v="Premium Plan"/>
    <n v="13841"/>
    <n v="552"/>
    <n v="28"/>
    <n v="980.02"/>
    <n v="3731.8"/>
    <n v="3.99"/>
    <n v="5.07"/>
    <n v="35"/>
    <n v="3.81"/>
    <n v="2751.78"/>
  </r>
  <r>
    <x v="387"/>
    <s v="Instagram Ads"/>
    <s v="Retargeting"/>
    <s v="Add-on Service"/>
    <n v="11321"/>
    <n v="319"/>
    <n v="14"/>
    <n v="701.21"/>
    <n v="1225.28"/>
    <n v="2.82"/>
    <n v="4.3899999999999997"/>
    <n v="50.09"/>
    <n v="1.75"/>
    <n v="524.07000000000005"/>
  </r>
  <r>
    <x v="387"/>
    <s v="LinkedIn Ads"/>
    <s v="Flash Sale"/>
    <s v="Enterprise Plan"/>
    <n v="3740"/>
    <n v="86"/>
    <n v="9"/>
    <n v="962.66"/>
    <n v="2477.44"/>
    <n v="2.2999999999999998"/>
    <n v="10.47"/>
    <n v="106.96"/>
    <n v="2.57"/>
    <n v="1514.78"/>
  </r>
  <r>
    <x v="387"/>
    <s v="Email Marketing"/>
    <s v="Retargeting"/>
    <s v="Starter Kit"/>
    <n v="21123"/>
    <n v="3670"/>
    <n v="372"/>
    <n v="154.86000000000001"/>
    <n v="50194.3"/>
    <n v="17.37"/>
    <n v="10.14"/>
    <n v="0.42"/>
    <n v="324.13"/>
    <n v="50039.44"/>
  </r>
  <r>
    <x v="387"/>
    <s v="Organic Search"/>
    <s v="Brand Awareness"/>
    <s v="Basic Plan"/>
    <n v="17645"/>
    <n v="1179"/>
    <n v="174"/>
    <n v="0"/>
    <n v="22439.48"/>
    <n v="6.68"/>
    <n v="14.76"/>
    <n v="0"/>
    <n v="0"/>
    <n v="22439.48"/>
  </r>
  <r>
    <x v="387"/>
    <s v="Display Ads"/>
    <s v="Product Launch"/>
    <s v="Basic Plan"/>
    <n v="21567"/>
    <n v="418"/>
    <n v="14"/>
    <n v="764.27"/>
    <n v="1251.5"/>
    <n v="1.94"/>
    <n v="3.35"/>
    <n v="54.59"/>
    <n v="1.64"/>
    <n v="487.23"/>
  </r>
  <r>
    <x v="387"/>
    <s v="YouTube Ads"/>
    <s v="Retargeting"/>
    <s v="Enterprise Plan"/>
    <n v="16762"/>
    <n v="420"/>
    <n v="17"/>
    <n v="969.07"/>
    <n v="2253.77"/>
    <n v="2.5099999999999998"/>
    <n v="4.05"/>
    <n v="57"/>
    <n v="2.33"/>
    <n v="1284.7"/>
  </r>
  <r>
    <x v="387"/>
    <s v="Twitter Ads"/>
    <s v="Retargeting"/>
    <s v="Basic Plan"/>
    <n v="11560"/>
    <n v="272"/>
    <n v="11"/>
    <n v="536.64"/>
    <n v="1130.53"/>
    <n v="2.35"/>
    <n v="4.04"/>
    <n v="48.79"/>
    <n v="2.11"/>
    <n v="593.89"/>
  </r>
  <r>
    <x v="387"/>
    <s v="TikTok Ads"/>
    <s v="Seasonal Promotion"/>
    <s v="Basic Plan"/>
    <n v="18265"/>
    <n v="815"/>
    <n v="34"/>
    <n v="931.92"/>
    <n v="3283.13"/>
    <n v="4.46"/>
    <n v="4.17"/>
    <n v="27.41"/>
    <n v="3.52"/>
    <n v="2351.21"/>
  </r>
  <r>
    <x v="387"/>
    <s v="Affiliate Marketing"/>
    <s v="Seasonal Promotion"/>
    <s v="Enterprise Plan"/>
    <n v="8170"/>
    <n v="539"/>
    <n v="68"/>
    <n v="439.93"/>
    <n v="7659.38"/>
    <n v="6.6"/>
    <n v="12.62"/>
    <n v="6.47"/>
    <n v="17.41"/>
    <n v="7219.45"/>
  </r>
  <r>
    <x v="387"/>
    <s v="Referral"/>
    <s v="Seasonal Promotion"/>
    <s v="Starter Kit"/>
    <n v="3122"/>
    <n v="277"/>
    <n v="43"/>
    <n v="128.06"/>
    <n v="6924.08"/>
    <n v="8.8699999999999992"/>
    <n v="15.52"/>
    <n v="2.98"/>
    <n v="54.07"/>
    <n v="6796.02"/>
  </r>
  <r>
    <x v="388"/>
    <s v="Google Ads"/>
    <s v="Lead Generation"/>
    <s v="Enterprise Plan"/>
    <n v="8697"/>
    <n v="272"/>
    <n v="25"/>
    <n v="818.91"/>
    <n v="3426.4"/>
    <n v="3.13"/>
    <n v="9.19"/>
    <n v="32.76"/>
    <n v="4.18"/>
    <n v="2607.4899999999998"/>
  </r>
  <r>
    <x v="388"/>
    <s v="Facebook Ads"/>
    <s v="Flash Sale"/>
    <s v="Starter Kit"/>
    <n v="12606"/>
    <n v="471"/>
    <n v="31"/>
    <n v="834.91"/>
    <n v="2627.4"/>
    <n v="3.74"/>
    <n v="6.58"/>
    <n v="26.93"/>
    <n v="3.15"/>
    <n v="1792.49"/>
  </r>
  <r>
    <x v="388"/>
    <s v="Instagram Ads"/>
    <s v="Retargeting"/>
    <s v="Enterprise Plan"/>
    <n v="12545"/>
    <n v="465"/>
    <n v="32"/>
    <n v="522.76"/>
    <n v="3465.52"/>
    <n v="3.71"/>
    <n v="6.88"/>
    <n v="16.34"/>
    <n v="6.63"/>
    <n v="2942.76"/>
  </r>
  <r>
    <x v="388"/>
    <s v="LinkedIn Ads"/>
    <s v="Retargeting"/>
    <s v="Basic Plan"/>
    <n v="3345"/>
    <n v="73"/>
    <n v="10"/>
    <n v="1483.64"/>
    <n v="2788.98"/>
    <n v="2.1800000000000002"/>
    <n v="13.7"/>
    <n v="148.36000000000001"/>
    <n v="1.88"/>
    <n v="1305.3399999999999"/>
  </r>
  <r>
    <x v="388"/>
    <s v="Email Marketing"/>
    <s v="Seasonal Promotion"/>
    <s v="Basic Plan"/>
    <n v="18231"/>
    <n v="4281"/>
    <n v="487"/>
    <n v="202.24"/>
    <n v="63202.42"/>
    <n v="23.48"/>
    <n v="11.38"/>
    <n v="0.42"/>
    <n v="312.51"/>
    <n v="63000.18"/>
  </r>
  <r>
    <x v="388"/>
    <s v="Organic Search"/>
    <s v="Product Launch"/>
    <s v="Premium Plan"/>
    <n v="26449"/>
    <n v="1221"/>
    <n v="177"/>
    <n v="0"/>
    <n v="22843.31"/>
    <n v="4.62"/>
    <n v="14.5"/>
    <n v="0"/>
    <n v="0"/>
    <n v="22843.31"/>
  </r>
  <r>
    <x v="388"/>
    <s v="Display Ads"/>
    <s v="Flash Sale"/>
    <s v="Starter Kit"/>
    <n v="21497"/>
    <n v="318"/>
    <n v="8"/>
    <n v="1060.25"/>
    <n v="916.2"/>
    <n v="1.48"/>
    <n v="2.52"/>
    <n v="132.53"/>
    <n v="0.86"/>
    <n v="-144.05000000000001"/>
  </r>
  <r>
    <x v="388"/>
    <s v="YouTube Ads"/>
    <s v="Lead Generation"/>
    <s v="Basic Plan"/>
    <n v="15482"/>
    <n v="295"/>
    <n v="18"/>
    <n v="732.64"/>
    <n v="2043.92"/>
    <n v="1.91"/>
    <n v="6.1"/>
    <n v="40.700000000000003"/>
    <n v="2.79"/>
    <n v="1311.28"/>
  </r>
  <r>
    <x v="388"/>
    <s v="Twitter Ads"/>
    <s v="Lead Generation"/>
    <s v="Basic Plan"/>
    <n v="9960"/>
    <n v="338"/>
    <n v="16"/>
    <n v="421.68"/>
    <n v="1547.12"/>
    <n v="3.39"/>
    <n v="4.7300000000000004"/>
    <n v="26.36"/>
    <n v="3.67"/>
    <n v="1125.44"/>
  </r>
  <r>
    <x v="388"/>
    <s v="TikTok Ads"/>
    <s v="Seasonal Promotion"/>
    <s v="Starter Kit"/>
    <n v="20083"/>
    <n v="561"/>
    <n v="25"/>
    <n v="638.09"/>
    <n v="2476.21"/>
    <n v="2.79"/>
    <n v="4.46"/>
    <n v="25.52"/>
    <n v="3.88"/>
    <n v="1838.12"/>
  </r>
  <r>
    <x v="388"/>
    <s v="Affiliate Marketing"/>
    <s v="Brand Awareness"/>
    <s v="Starter Kit"/>
    <n v="6240"/>
    <n v="294"/>
    <n v="28"/>
    <n v="472.44"/>
    <n v="2999.49"/>
    <n v="4.71"/>
    <n v="9.52"/>
    <n v="16.87"/>
    <n v="6.35"/>
    <n v="2527.0500000000002"/>
  </r>
  <r>
    <x v="388"/>
    <s v="Referral"/>
    <s v="Retargeting"/>
    <s v="Enterprise Plan"/>
    <n v="5404"/>
    <n v="537"/>
    <n v="81"/>
    <n v="87"/>
    <n v="9065.8700000000008"/>
    <n v="9.94"/>
    <n v="15.08"/>
    <n v="1.07"/>
    <n v="104.21"/>
    <n v="8978.8700000000008"/>
  </r>
  <r>
    <x v="389"/>
    <s v="Google Ads"/>
    <s v="Lead Generation"/>
    <s v="Basic Plan"/>
    <n v="10459"/>
    <n v="472"/>
    <n v="48"/>
    <n v="1107.51"/>
    <n v="7894.7"/>
    <n v="4.51"/>
    <n v="10.17"/>
    <n v="23.07"/>
    <n v="7.13"/>
    <n v="6787.19"/>
  </r>
  <r>
    <x v="389"/>
    <s v="Facebook Ads"/>
    <s v="Seasonal Promotion"/>
    <s v="Premium Plan"/>
    <n v="10686"/>
    <n v="315"/>
    <n v="25"/>
    <n v="521.86"/>
    <n v="2533.83"/>
    <n v="2.95"/>
    <n v="7.94"/>
    <n v="20.87"/>
    <n v="4.8600000000000003"/>
    <n v="2011.97"/>
  </r>
  <r>
    <x v="389"/>
    <s v="Instagram Ads"/>
    <s v="Brand Awareness"/>
    <s v="Enterprise Plan"/>
    <n v="14706"/>
    <n v="567"/>
    <n v="22"/>
    <n v="738.04"/>
    <n v="2473.56"/>
    <n v="3.86"/>
    <n v="3.88"/>
    <n v="33.549999999999997"/>
    <n v="3.35"/>
    <n v="1735.52"/>
  </r>
  <r>
    <x v="389"/>
    <s v="LinkedIn Ads"/>
    <s v="Product Launch"/>
    <s v="Enterprise Plan"/>
    <n v="4265"/>
    <n v="71"/>
    <n v="8"/>
    <n v="1508.16"/>
    <n v="1849.52"/>
    <n v="1.66"/>
    <n v="11.27"/>
    <n v="188.52"/>
    <n v="1.23"/>
    <n v="341.36"/>
  </r>
  <r>
    <x v="389"/>
    <s v="Email Marketing"/>
    <s v="Flash Sale"/>
    <s v="Basic Plan"/>
    <n v="15785"/>
    <n v="3434"/>
    <n v="400"/>
    <n v="92.94"/>
    <n v="53359.19"/>
    <n v="21.75"/>
    <n v="11.65"/>
    <n v="0.23"/>
    <n v="574.13"/>
    <n v="53266.25"/>
  </r>
  <r>
    <x v="389"/>
    <s v="Organic Search"/>
    <s v="Lead Generation"/>
    <s v="Add-on Service"/>
    <n v="23375"/>
    <n v="1161"/>
    <n v="163"/>
    <n v="0"/>
    <n v="23206.83"/>
    <n v="4.97"/>
    <n v="14.04"/>
    <n v="0"/>
    <n v="0"/>
    <n v="23206.83"/>
  </r>
  <r>
    <x v="389"/>
    <s v="Display Ads"/>
    <s v="Brand Awareness"/>
    <s v="Premium Plan"/>
    <n v="29945"/>
    <n v="386"/>
    <n v="7"/>
    <n v="977.89"/>
    <n v="670.89"/>
    <n v="1.29"/>
    <n v="1.81"/>
    <n v="139.69999999999999"/>
    <n v="0.69"/>
    <n v="-307"/>
  </r>
  <r>
    <x v="389"/>
    <s v="YouTube Ads"/>
    <s v="Product Launch"/>
    <s v="Starter Kit"/>
    <n v="17133"/>
    <n v="486"/>
    <n v="22"/>
    <n v="887.71"/>
    <n v="2323.2399999999998"/>
    <n v="2.84"/>
    <n v="4.53"/>
    <n v="40.35"/>
    <n v="2.62"/>
    <n v="1435.53"/>
  </r>
  <r>
    <x v="389"/>
    <s v="Twitter Ads"/>
    <s v="Brand Awareness"/>
    <s v="Add-on Service"/>
    <n v="8769"/>
    <n v="221"/>
    <n v="10"/>
    <n v="518.42999999999995"/>
    <n v="992.05"/>
    <n v="2.52"/>
    <n v="4.5199999999999996"/>
    <n v="51.84"/>
    <n v="1.91"/>
    <n v="473.62"/>
  </r>
  <r>
    <x v="389"/>
    <s v="TikTok Ads"/>
    <s v="Lead Generation"/>
    <s v="Premium Plan"/>
    <n v="18055"/>
    <n v="584"/>
    <n v="24"/>
    <n v="766.18"/>
    <n v="2172.38"/>
    <n v="3.23"/>
    <n v="4.1100000000000003"/>
    <n v="31.92"/>
    <n v="2.84"/>
    <n v="1406.2"/>
  </r>
  <r>
    <x v="389"/>
    <s v="Affiliate Marketing"/>
    <s v="Seasonal Promotion"/>
    <s v="Basic Plan"/>
    <n v="8453"/>
    <n v="401"/>
    <n v="45"/>
    <n v="572.03"/>
    <n v="5224.7299999999996"/>
    <n v="4.74"/>
    <n v="11.22"/>
    <n v="12.71"/>
    <n v="9.1300000000000008"/>
    <n v="4652.7"/>
  </r>
  <r>
    <x v="389"/>
    <s v="Referral"/>
    <s v="Retargeting"/>
    <s v="Enterprise Plan"/>
    <n v="3989"/>
    <n v="214"/>
    <n v="30"/>
    <n v="97.21"/>
    <n v="3865.81"/>
    <n v="5.36"/>
    <n v="14.02"/>
    <n v="3.24"/>
    <n v="39.770000000000003"/>
    <n v="3768.6"/>
  </r>
  <r>
    <x v="390"/>
    <s v="Google Ads"/>
    <s v="Product Launch"/>
    <s v="Enterprise Plan"/>
    <n v="6987"/>
    <n v="284"/>
    <n v="32"/>
    <n v="822.83"/>
    <n v="3713.88"/>
    <n v="4.0599999999999996"/>
    <n v="11.27"/>
    <n v="25.71"/>
    <n v="4.51"/>
    <n v="2891.05"/>
  </r>
  <r>
    <x v="390"/>
    <s v="Facebook Ads"/>
    <s v="Brand Awareness"/>
    <s v="Add-on Service"/>
    <n v="7184"/>
    <n v="248"/>
    <n v="17"/>
    <n v="505.37"/>
    <n v="2307.96"/>
    <n v="3.45"/>
    <n v="6.85"/>
    <n v="29.73"/>
    <n v="4.57"/>
    <n v="1802.59"/>
  </r>
  <r>
    <x v="390"/>
    <s v="Instagram Ads"/>
    <s v="Product Launch"/>
    <s v="Basic Plan"/>
    <n v="9572"/>
    <n v="416"/>
    <n v="30"/>
    <n v="575.52"/>
    <n v="2916.25"/>
    <n v="4.3499999999999996"/>
    <n v="7.21"/>
    <n v="19.18"/>
    <n v="5.07"/>
    <n v="2340.73"/>
  </r>
  <r>
    <x v="390"/>
    <s v="LinkedIn Ads"/>
    <s v="Flash Sale"/>
    <s v="Add-on Service"/>
    <n v="2079"/>
    <n v="30"/>
    <n v="3"/>
    <n v="1026.57"/>
    <n v="764.34"/>
    <n v="1.44"/>
    <n v="10"/>
    <n v="342.19"/>
    <n v="0.74"/>
    <n v="-262.23"/>
  </r>
  <r>
    <x v="390"/>
    <s v="Email Marketing"/>
    <s v="Seasonal Promotion"/>
    <s v="Premium Plan"/>
    <n v="9066"/>
    <n v="2194"/>
    <n v="260"/>
    <n v="132.44"/>
    <n v="38110.42"/>
    <n v="24.2"/>
    <n v="11.85"/>
    <n v="0.51"/>
    <n v="287.76"/>
    <n v="37977.980000000003"/>
  </r>
  <r>
    <x v="390"/>
    <s v="Organic Search"/>
    <s v="Flash Sale"/>
    <s v="Premium Plan"/>
    <n v="19773"/>
    <n v="967"/>
    <n v="123"/>
    <n v="0"/>
    <n v="17503.14"/>
    <n v="4.8899999999999997"/>
    <n v="12.72"/>
    <n v="0"/>
    <n v="0"/>
    <n v="17503.14"/>
  </r>
  <r>
    <x v="390"/>
    <s v="Display Ads"/>
    <s v="Retargeting"/>
    <s v="Starter Kit"/>
    <n v="23637"/>
    <n v="357"/>
    <n v="15"/>
    <n v="745.02"/>
    <n v="1322"/>
    <n v="1.51"/>
    <n v="4.2"/>
    <n v="49.67"/>
    <n v="1.77"/>
    <n v="576.98"/>
  </r>
  <r>
    <x v="390"/>
    <s v="YouTube Ads"/>
    <s v="Brand Awareness"/>
    <s v="Premium Plan"/>
    <n v="14319"/>
    <n v="425"/>
    <n v="21"/>
    <n v="551.54999999999995"/>
    <n v="2305.16"/>
    <n v="2.97"/>
    <n v="4.9400000000000004"/>
    <n v="26.26"/>
    <n v="4.18"/>
    <n v="1753.61"/>
  </r>
  <r>
    <x v="390"/>
    <s v="Twitter Ads"/>
    <s v="Seasonal Promotion"/>
    <s v="Add-on Service"/>
    <n v="6801"/>
    <n v="222"/>
    <n v="8"/>
    <n v="239.94"/>
    <n v="827.71"/>
    <n v="3.26"/>
    <n v="3.6"/>
    <n v="29.99"/>
    <n v="3.45"/>
    <n v="587.77"/>
  </r>
  <r>
    <x v="390"/>
    <s v="TikTok Ads"/>
    <s v="Brand Awareness"/>
    <s v="Add-on Service"/>
    <n v="14162"/>
    <n v="394"/>
    <n v="26"/>
    <n v="648.16999999999996"/>
    <n v="2003.95"/>
    <n v="2.78"/>
    <n v="6.6"/>
    <n v="24.93"/>
    <n v="3.09"/>
    <n v="1355.78"/>
  </r>
  <r>
    <x v="390"/>
    <s v="Affiliate Marketing"/>
    <s v="Brand Awareness"/>
    <s v="Add-on Service"/>
    <n v="3356"/>
    <n v="164"/>
    <n v="20"/>
    <n v="232.7"/>
    <n v="2745.37"/>
    <n v="4.8899999999999997"/>
    <n v="12.2"/>
    <n v="11.64"/>
    <n v="11.8"/>
    <n v="2512.67"/>
  </r>
  <r>
    <x v="390"/>
    <s v="Referral"/>
    <s v="Brand Awareness"/>
    <s v="Basic Plan"/>
    <n v="2472"/>
    <n v="236"/>
    <n v="39"/>
    <n v="92.74"/>
    <n v="6755.03"/>
    <n v="9.5500000000000007"/>
    <n v="16.53"/>
    <n v="2.38"/>
    <n v="72.84"/>
    <n v="6662.29"/>
  </r>
  <r>
    <x v="391"/>
    <s v="Google Ads"/>
    <s v="Flash Sale"/>
    <s v="Premium Plan"/>
    <n v="6944"/>
    <n v="323"/>
    <n v="38"/>
    <n v="605.30999999999995"/>
    <n v="5675.91"/>
    <n v="4.6500000000000004"/>
    <n v="11.76"/>
    <n v="15.93"/>
    <n v="9.3800000000000008"/>
    <n v="5070.6000000000004"/>
  </r>
  <r>
    <x v="391"/>
    <s v="Facebook Ads"/>
    <s v="Lead Generation"/>
    <s v="Enterprise Plan"/>
    <n v="8104"/>
    <n v="208"/>
    <n v="10"/>
    <n v="578.79999999999995"/>
    <n v="1097.79"/>
    <n v="2.57"/>
    <n v="4.8099999999999996"/>
    <n v="57.88"/>
    <n v="1.9"/>
    <n v="518.99"/>
  </r>
  <r>
    <x v="391"/>
    <s v="Instagram Ads"/>
    <s v="Lead Generation"/>
    <s v="Enterprise Plan"/>
    <n v="8388"/>
    <n v="335"/>
    <n v="24"/>
    <n v="484.46"/>
    <n v="2116.15"/>
    <n v="3.99"/>
    <n v="7.16"/>
    <n v="20.190000000000001"/>
    <n v="4.37"/>
    <n v="1631.69"/>
  </r>
  <r>
    <x v="391"/>
    <s v="LinkedIn Ads"/>
    <s v="Flash Sale"/>
    <s v="Starter Kit"/>
    <n v="2207"/>
    <n v="43"/>
    <n v="5"/>
    <n v="879.53"/>
    <n v="1876.69"/>
    <n v="1.95"/>
    <n v="11.63"/>
    <n v="175.91"/>
    <n v="2.13"/>
    <n v="997.16"/>
  </r>
  <r>
    <x v="391"/>
    <s v="Email Marketing"/>
    <s v="Seasonal Promotion"/>
    <s v="Starter Kit"/>
    <n v="13549"/>
    <n v="2422"/>
    <n v="318"/>
    <n v="145.88"/>
    <n v="44738.559999999998"/>
    <n v="17.88"/>
    <n v="13.13"/>
    <n v="0.46"/>
    <n v="306.68"/>
    <n v="44592.68"/>
  </r>
  <r>
    <x v="391"/>
    <s v="Organic Search"/>
    <s v="Flash Sale"/>
    <s v="Premium Plan"/>
    <n v="12155"/>
    <n v="816"/>
    <n v="123"/>
    <n v="0"/>
    <n v="11634.85"/>
    <n v="6.71"/>
    <n v="15.07"/>
    <n v="0"/>
    <n v="0"/>
    <n v="11634.85"/>
  </r>
  <r>
    <x v="391"/>
    <s v="Display Ads"/>
    <s v="Lead Generation"/>
    <s v="Enterprise Plan"/>
    <n v="17819"/>
    <n v="332"/>
    <n v="14"/>
    <n v="616.48"/>
    <n v="1250.3599999999999"/>
    <n v="1.86"/>
    <n v="4.22"/>
    <n v="44.03"/>
    <n v="2.0299999999999998"/>
    <n v="633.88"/>
  </r>
  <r>
    <x v="391"/>
    <s v="YouTube Ads"/>
    <s v="Product Launch"/>
    <s v="Basic Plan"/>
    <n v="13884"/>
    <n v="286"/>
    <n v="11"/>
    <n v="482.07"/>
    <n v="1234.83"/>
    <n v="2.06"/>
    <n v="3.85"/>
    <n v="43.82"/>
    <n v="2.56"/>
    <n v="752.76"/>
  </r>
  <r>
    <x v="391"/>
    <s v="Twitter Ads"/>
    <s v="Brand Awareness"/>
    <s v="Basic Plan"/>
    <n v="7339"/>
    <n v="249"/>
    <n v="14"/>
    <n v="325.56"/>
    <n v="1516.04"/>
    <n v="3.39"/>
    <n v="5.62"/>
    <n v="23.25"/>
    <n v="4.66"/>
    <n v="1190.48"/>
  </r>
  <r>
    <x v="391"/>
    <s v="TikTok Ads"/>
    <s v="Retargeting"/>
    <s v="Starter Kit"/>
    <n v="15561"/>
    <n v="556"/>
    <n v="33"/>
    <n v="360.07"/>
    <n v="3017.92"/>
    <n v="3.57"/>
    <n v="5.94"/>
    <n v="10.91"/>
    <n v="8.3800000000000008"/>
    <n v="2657.85"/>
  </r>
  <r>
    <x v="391"/>
    <s v="Affiliate Marketing"/>
    <s v="Brand Awareness"/>
    <s v="Basic Plan"/>
    <n v="5469"/>
    <n v="232"/>
    <n v="28"/>
    <n v="219"/>
    <n v="3281.1"/>
    <n v="4.24"/>
    <n v="12.07"/>
    <n v="7.82"/>
    <n v="14.98"/>
    <n v="3062.1"/>
  </r>
  <r>
    <x v="391"/>
    <s v="Referral"/>
    <s v="Retargeting"/>
    <s v="Enterprise Plan"/>
    <n v="3051"/>
    <n v="248"/>
    <n v="30"/>
    <n v="103.73"/>
    <n v="4733.24"/>
    <n v="8.1300000000000008"/>
    <n v="12.1"/>
    <n v="3.46"/>
    <n v="45.63"/>
    <n v="4629.51"/>
  </r>
  <r>
    <x v="392"/>
    <s v="Google Ads"/>
    <s v="Product Launch"/>
    <s v="Add-on Service"/>
    <n v="10942"/>
    <n v="519"/>
    <n v="51"/>
    <n v="944.9"/>
    <n v="7310.56"/>
    <n v="4.74"/>
    <n v="9.83"/>
    <n v="18.53"/>
    <n v="7.74"/>
    <n v="6365.66"/>
  </r>
  <r>
    <x v="392"/>
    <s v="Facebook Ads"/>
    <s v="Lead Generation"/>
    <s v="Premium Plan"/>
    <n v="11136"/>
    <n v="330"/>
    <n v="25"/>
    <n v="1011.12"/>
    <n v="2938.49"/>
    <n v="2.96"/>
    <n v="7.58"/>
    <n v="40.44"/>
    <n v="2.91"/>
    <n v="1927.37"/>
  </r>
  <r>
    <x v="392"/>
    <s v="Instagram Ads"/>
    <s v="Product Launch"/>
    <s v="Enterprise Plan"/>
    <n v="10289"/>
    <n v="258"/>
    <n v="11"/>
    <n v="740.66"/>
    <n v="1031.02"/>
    <n v="2.5099999999999998"/>
    <n v="4.26"/>
    <n v="67.33"/>
    <n v="1.39"/>
    <n v="290.36"/>
  </r>
  <r>
    <x v="392"/>
    <s v="LinkedIn Ads"/>
    <s v="Flash Sale"/>
    <s v="Starter Kit"/>
    <n v="2978"/>
    <n v="48"/>
    <n v="6"/>
    <n v="766.01"/>
    <n v="1626.04"/>
    <n v="1.61"/>
    <n v="12.5"/>
    <n v="127.67"/>
    <n v="2.12"/>
    <n v="860.03"/>
  </r>
  <r>
    <x v="392"/>
    <s v="Email Marketing"/>
    <s v="Product Launch"/>
    <s v="Basic Plan"/>
    <n v="21090"/>
    <n v="4935"/>
    <n v="634"/>
    <n v="112.66"/>
    <n v="92967.9"/>
    <n v="23.4"/>
    <n v="12.85"/>
    <n v="0.18"/>
    <n v="825.21"/>
    <n v="92855.24"/>
  </r>
  <r>
    <x v="392"/>
    <s v="Organic Search"/>
    <s v="Lead Generation"/>
    <s v="Add-on Service"/>
    <n v="19153"/>
    <n v="1152"/>
    <n v="139"/>
    <n v="0"/>
    <n v="14606.11"/>
    <n v="6.01"/>
    <n v="12.07"/>
    <n v="0"/>
    <n v="0"/>
    <n v="14606.11"/>
  </r>
  <r>
    <x v="392"/>
    <s v="Display Ads"/>
    <s v="Retargeting"/>
    <s v="Basic Plan"/>
    <n v="28160"/>
    <n v="307"/>
    <n v="13"/>
    <n v="1022.88"/>
    <n v="1639.57"/>
    <n v="1.0900000000000001"/>
    <n v="4.2300000000000004"/>
    <n v="78.680000000000007"/>
    <n v="1.6"/>
    <n v="616.69000000000005"/>
  </r>
  <r>
    <x v="392"/>
    <s v="YouTube Ads"/>
    <s v="Lead Generation"/>
    <s v="Starter Kit"/>
    <n v="16795"/>
    <n v="382"/>
    <n v="22"/>
    <n v="818.4"/>
    <n v="2237.7800000000002"/>
    <n v="2.27"/>
    <n v="5.76"/>
    <n v="37.200000000000003"/>
    <n v="2.73"/>
    <n v="1419.38"/>
  </r>
  <r>
    <x v="392"/>
    <s v="Twitter Ads"/>
    <s v="Retargeting"/>
    <s v="Starter Kit"/>
    <n v="7295"/>
    <n v="208"/>
    <n v="11"/>
    <n v="443.75"/>
    <n v="1229.8900000000001"/>
    <n v="2.85"/>
    <n v="5.29"/>
    <n v="40.340000000000003"/>
    <n v="2.77"/>
    <n v="786.14"/>
  </r>
  <r>
    <x v="392"/>
    <s v="TikTok Ads"/>
    <s v="Retargeting"/>
    <s v="Add-on Service"/>
    <n v="22228"/>
    <n v="941"/>
    <n v="58"/>
    <n v="927.05"/>
    <n v="4154.03"/>
    <n v="4.2300000000000004"/>
    <n v="6.16"/>
    <n v="15.98"/>
    <n v="4.4800000000000004"/>
    <n v="3226.98"/>
  </r>
  <r>
    <x v="392"/>
    <s v="Affiliate Marketing"/>
    <s v="Flash Sale"/>
    <s v="Enterprise Plan"/>
    <n v="4990"/>
    <n v="271"/>
    <n v="28"/>
    <n v="371.05"/>
    <n v="3833.26"/>
    <n v="5.43"/>
    <n v="10.33"/>
    <n v="13.25"/>
    <n v="10.33"/>
    <n v="3462.21"/>
  </r>
  <r>
    <x v="392"/>
    <s v="Referral"/>
    <s v="Brand Awareness"/>
    <s v="Starter Kit"/>
    <n v="4675"/>
    <n v="311"/>
    <n v="39"/>
    <n v="156.84"/>
    <n v="5858.3"/>
    <n v="6.65"/>
    <n v="12.54"/>
    <n v="4.0199999999999996"/>
    <n v="37.35"/>
    <n v="5701.46"/>
  </r>
  <r>
    <x v="393"/>
    <s v="Google Ads"/>
    <s v="Lead Generation"/>
    <s v="Premium Plan"/>
    <n v="7500"/>
    <n v="282"/>
    <n v="28"/>
    <n v="816.35"/>
    <n v="4832.8999999999996"/>
    <n v="3.76"/>
    <n v="9.93"/>
    <n v="29.16"/>
    <n v="5.92"/>
    <n v="4016.55"/>
  </r>
  <r>
    <x v="393"/>
    <s v="Facebook Ads"/>
    <s v="Flash Sale"/>
    <s v="Add-on Service"/>
    <n v="10466"/>
    <n v="222"/>
    <n v="19"/>
    <n v="791.52"/>
    <n v="2578.52"/>
    <n v="2.12"/>
    <n v="8.56"/>
    <n v="41.66"/>
    <n v="3.26"/>
    <n v="1787"/>
  </r>
  <r>
    <x v="393"/>
    <s v="Instagram Ads"/>
    <s v="Brand Awareness"/>
    <s v="Premium Plan"/>
    <n v="10164"/>
    <n v="434"/>
    <n v="18"/>
    <n v="474.09"/>
    <n v="1594.45"/>
    <n v="4.2699999999999996"/>
    <n v="4.1500000000000004"/>
    <n v="26.34"/>
    <n v="3.36"/>
    <n v="1120.3599999999999"/>
  </r>
  <r>
    <x v="393"/>
    <s v="LinkedIn Ads"/>
    <s v="Product Launch"/>
    <s v="Enterprise Plan"/>
    <n v="3592"/>
    <n v="86"/>
    <n v="11"/>
    <n v="949.17"/>
    <n v="2518.0300000000002"/>
    <n v="2.39"/>
    <n v="12.79"/>
    <n v="86.29"/>
    <n v="2.65"/>
    <n v="1568.86"/>
  </r>
  <r>
    <x v="393"/>
    <s v="Email Marketing"/>
    <s v="Retargeting"/>
    <s v="Basic Plan"/>
    <n v="17175"/>
    <n v="3769"/>
    <n v="352"/>
    <n v="155.69999999999999"/>
    <n v="49142.81"/>
    <n v="21.94"/>
    <n v="9.34"/>
    <n v="0.44"/>
    <n v="315.62"/>
    <n v="48987.11"/>
  </r>
  <r>
    <x v="393"/>
    <s v="Organic Search"/>
    <s v="Retargeting"/>
    <s v="Premium Plan"/>
    <n v="28010"/>
    <n v="1158"/>
    <n v="147"/>
    <n v="0"/>
    <n v="23351.07"/>
    <n v="4.13"/>
    <n v="12.69"/>
    <n v="0"/>
    <n v="0"/>
    <n v="23351.07"/>
  </r>
  <r>
    <x v="393"/>
    <s v="Display Ads"/>
    <s v="Retargeting"/>
    <s v="Premium Plan"/>
    <n v="24143"/>
    <n v="456"/>
    <n v="19"/>
    <n v="885.07"/>
    <n v="2192.0700000000002"/>
    <n v="1.89"/>
    <n v="4.17"/>
    <n v="46.58"/>
    <n v="2.48"/>
    <n v="1307"/>
  </r>
  <r>
    <x v="393"/>
    <s v="YouTube Ads"/>
    <s v="Flash Sale"/>
    <s v="Basic Plan"/>
    <n v="19365"/>
    <n v="501"/>
    <n v="39"/>
    <n v="1159.8900000000001"/>
    <n v="5597.65"/>
    <n v="2.59"/>
    <n v="7.78"/>
    <n v="29.74"/>
    <n v="4.83"/>
    <n v="4437.76"/>
  </r>
  <r>
    <x v="393"/>
    <s v="Twitter Ads"/>
    <s v="Seasonal Promotion"/>
    <s v="Premium Plan"/>
    <n v="9935"/>
    <n v="240"/>
    <n v="12"/>
    <n v="623.9"/>
    <n v="973.24"/>
    <n v="2.42"/>
    <n v="5"/>
    <n v="51.99"/>
    <n v="1.56"/>
    <n v="349.34"/>
  </r>
  <r>
    <x v="393"/>
    <s v="TikTok Ads"/>
    <s v="Flash Sale"/>
    <s v="Add-on Service"/>
    <n v="16541"/>
    <n v="624"/>
    <n v="41"/>
    <n v="537.01"/>
    <n v="3818.07"/>
    <n v="3.77"/>
    <n v="6.57"/>
    <n v="13.1"/>
    <n v="7.11"/>
    <n v="3281.06"/>
  </r>
  <r>
    <x v="393"/>
    <s v="Affiliate Marketing"/>
    <s v="Product Launch"/>
    <s v="Starter Kit"/>
    <n v="8031"/>
    <n v="537"/>
    <n v="59"/>
    <n v="352.29"/>
    <n v="7231.12"/>
    <n v="6.69"/>
    <n v="10.99"/>
    <n v="5.97"/>
    <n v="20.53"/>
    <n v="6878.83"/>
  </r>
  <r>
    <x v="393"/>
    <s v="Referral"/>
    <s v="Retargeting"/>
    <s v="Add-on Service"/>
    <n v="3201"/>
    <n v="189"/>
    <n v="24"/>
    <n v="63.8"/>
    <n v="4100.3"/>
    <n v="5.9"/>
    <n v="12.7"/>
    <n v="2.66"/>
    <n v="64.27"/>
    <n v="4036.5"/>
  </r>
  <r>
    <x v="394"/>
    <s v="Google Ads"/>
    <s v="Product Launch"/>
    <s v="Enterprise Plan"/>
    <n v="10820"/>
    <n v="466"/>
    <n v="46"/>
    <n v="990.67"/>
    <n v="8279.76"/>
    <n v="4.3099999999999996"/>
    <n v="9.8699999999999992"/>
    <n v="21.54"/>
    <n v="8.36"/>
    <n v="7289.09"/>
  </r>
  <r>
    <x v="394"/>
    <s v="Facebook Ads"/>
    <s v="Product Launch"/>
    <s v="Premium Plan"/>
    <n v="13237"/>
    <n v="362"/>
    <n v="28"/>
    <n v="691.83"/>
    <n v="4017.02"/>
    <n v="2.73"/>
    <n v="7.73"/>
    <n v="24.71"/>
    <n v="5.81"/>
    <n v="3325.19"/>
  </r>
  <r>
    <x v="394"/>
    <s v="Instagram Ads"/>
    <s v="Product Launch"/>
    <s v="Add-on Service"/>
    <n v="14432"/>
    <n v="413"/>
    <n v="20"/>
    <n v="472.68"/>
    <n v="2027.37"/>
    <n v="2.86"/>
    <n v="4.84"/>
    <n v="23.63"/>
    <n v="4.29"/>
    <n v="1554.69"/>
  </r>
  <r>
    <x v="394"/>
    <s v="LinkedIn Ads"/>
    <s v="Seasonal Promotion"/>
    <s v="Basic Plan"/>
    <n v="3466"/>
    <n v="100"/>
    <n v="12"/>
    <n v="1402.46"/>
    <n v="4212.24"/>
    <n v="2.89"/>
    <n v="12"/>
    <n v="116.87"/>
    <n v="3"/>
    <n v="2809.78"/>
  </r>
  <r>
    <x v="394"/>
    <s v="Email Marketing"/>
    <s v="Flash Sale"/>
    <s v="Starter Kit"/>
    <n v="17827"/>
    <n v="4452"/>
    <n v="572"/>
    <n v="141.34"/>
    <n v="63914.02"/>
    <n v="24.97"/>
    <n v="12.85"/>
    <n v="0.25"/>
    <n v="452.2"/>
    <n v="63772.68"/>
  </r>
  <r>
    <x v="394"/>
    <s v="Organic Search"/>
    <s v="Retargeting"/>
    <s v="Basic Plan"/>
    <n v="26772"/>
    <n v="1075"/>
    <n v="119"/>
    <n v="0"/>
    <n v="12094.77"/>
    <n v="4.0199999999999996"/>
    <n v="11.07"/>
    <n v="0"/>
    <n v="0"/>
    <n v="12094.77"/>
  </r>
  <r>
    <x v="394"/>
    <s v="Display Ads"/>
    <s v="Seasonal Promotion"/>
    <s v="Add-on Service"/>
    <n v="27315"/>
    <n v="497"/>
    <n v="23"/>
    <n v="1001.81"/>
    <n v="1981.39"/>
    <n v="1.82"/>
    <n v="4.63"/>
    <n v="43.56"/>
    <n v="1.98"/>
    <n v="979.58"/>
  </r>
  <r>
    <x v="394"/>
    <s v="YouTube Ads"/>
    <s v="Seasonal Promotion"/>
    <s v="Starter Kit"/>
    <n v="16835"/>
    <n v="501"/>
    <n v="30"/>
    <n v="1109.3599999999999"/>
    <n v="3089.15"/>
    <n v="2.98"/>
    <n v="5.99"/>
    <n v="36.979999999999997"/>
    <n v="2.78"/>
    <n v="1979.79"/>
  </r>
  <r>
    <x v="394"/>
    <s v="Twitter Ads"/>
    <s v="Flash Sale"/>
    <s v="Enterprise Plan"/>
    <n v="9846"/>
    <n v="201"/>
    <n v="11"/>
    <n v="469.86"/>
    <n v="1006.41"/>
    <n v="2.04"/>
    <n v="5.47"/>
    <n v="42.71"/>
    <n v="2.14"/>
    <n v="536.54999999999995"/>
  </r>
  <r>
    <x v="394"/>
    <s v="TikTok Ads"/>
    <s v="Flash Sale"/>
    <s v="Starter Kit"/>
    <n v="20798"/>
    <n v="748"/>
    <n v="47"/>
    <n v="556.34"/>
    <n v="3495.55"/>
    <n v="3.6"/>
    <n v="6.28"/>
    <n v="11.84"/>
    <n v="6.28"/>
    <n v="2939.21"/>
  </r>
  <r>
    <x v="394"/>
    <s v="Affiliate Marketing"/>
    <s v="Lead Generation"/>
    <s v="Enterprise Plan"/>
    <n v="7060"/>
    <n v="300"/>
    <n v="36"/>
    <n v="335.22"/>
    <n v="4775.4399999999996"/>
    <n v="4.25"/>
    <n v="12"/>
    <n v="9.31"/>
    <n v="14.25"/>
    <n v="4440.22"/>
  </r>
  <r>
    <x v="394"/>
    <s v="Referral"/>
    <s v="Brand Awareness"/>
    <s v="Premium Plan"/>
    <n v="4707"/>
    <n v="432"/>
    <n v="77"/>
    <n v="120.17"/>
    <n v="11207.82"/>
    <n v="9.18"/>
    <n v="17.82"/>
    <n v="1.56"/>
    <n v="93.27"/>
    <n v="11087.65"/>
  </r>
  <r>
    <x v="395"/>
    <s v="Google Ads"/>
    <s v="Seasonal Promotion"/>
    <s v="Enterprise Plan"/>
    <n v="7549"/>
    <n v="341"/>
    <n v="34"/>
    <n v="857.34"/>
    <n v="5197.79"/>
    <n v="4.5199999999999996"/>
    <n v="9.9700000000000006"/>
    <n v="25.22"/>
    <n v="6.06"/>
    <n v="4340.45"/>
  </r>
  <r>
    <x v="395"/>
    <s v="Facebook Ads"/>
    <s v="Retargeting"/>
    <s v="Basic Plan"/>
    <n v="16085"/>
    <n v="470"/>
    <n v="24"/>
    <n v="955.97"/>
    <n v="2471.9899999999998"/>
    <n v="2.92"/>
    <n v="5.1100000000000003"/>
    <n v="39.83"/>
    <n v="2.59"/>
    <n v="1516.02"/>
  </r>
  <r>
    <x v="395"/>
    <s v="Instagram Ads"/>
    <s v="Seasonal Promotion"/>
    <s v="Add-on Service"/>
    <n v="11680"/>
    <n v="365"/>
    <n v="17"/>
    <n v="695.16"/>
    <n v="1472.18"/>
    <n v="3.12"/>
    <n v="4.66"/>
    <n v="40.89"/>
    <n v="2.12"/>
    <n v="777.02"/>
  </r>
  <r>
    <x v="395"/>
    <s v="LinkedIn Ads"/>
    <s v="Product Launch"/>
    <s v="Basic Plan"/>
    <n v="2899"/>
    <n v="52"/>
    <n v="7"/>
    <n v="1187.71"/>
    <n v="1637.38"/>
    <n v="1.79"/>
    <n v="13.46"/>
    <n v="169.67"/>
    <n v="1.38"/>
    <n v="449.67"/>
  </r>
  <r>
    <x v="395"/>
    <s v="Email Marketing"/>
    <s v="Brand Awareness"/>
    <s v="Add-on Service"/>
    <n v="20963"/>
    <n v="3936"/>
    <n v="333"/>
    <n v="127.86"/>
    <n v="36047.599999999999"/>
    <n v="18.78"/>
    <n v="8.4600000000000009"/>
    <n v="0.38"/>
    <n v="281.93"/>
    <n v="35919.74"/>
  </r>
  <r>
    <x v="395"/>
    <s v="Organic Search"/>
    <s v="Seasonal Promotion"/>
    <s v="Enterprise Plan"/>
    <n v="26599"/>
    <n v="1175"/>
    <n v="165"/>
    <n v="0"/>
    <n v="18446.88"/>
    <n v="4.42"/>
    <n v="14.04"/>
    <n v="0"/>
    <n v="0"/>
    <n v="18446.88"/>
  </r>
  <r>
    <x v="395"/>
    <s v="Display Ads"/>
    <s v="Seasonal Promotion"/>
    <s v="Enterprise Plan"/>
    <n v="29796"/>
    <n v="323"/>
    <n v="11"/>
    <n v="854.57"/>
    <n v="1069.21"/>
    <n v="1.08"/>
    <n v="3.41"/>
    <n v="77.69"/>
    <n v="1.25"/>
    <n v="214.64"/>
  </r>
  <r>
    <x v="395"/>
    <s v="YouTube Ads"/>
    <s v="Flash Sale"/>
    <s v="Basic Plan"/>
    <n v="14956"/>
    <n v="319"/>
    <n v="14"/>
    <n v="883.54"/>
    <n v="1458.6"/>
    <n v="2.13"/>
    <n v="4.3899999999999997"/>
    <n v="63.11"/>
    <n v="1.65"/>
    <n v="575.05999999999995"/>
  </r>
  <r>
    <x v="395"/>
    <s v="Twitter Ads"/>
    <s v="Brand Awareness"/>
    <s v="Premium Plan"/>
    <n v="11614"/>
    <n v="337"/>
    <n v="17"/>
    <n v="438.47"/>
    <n v="1579.49"/>
    <n v="2.9"/>
    <n v="5.04"/>
    <n v="25.79"/>
    <n v="3.6"/>
    <n v="1141.02"/>
  </r>
  <r>
    <x v="395"/>
    <s v="TikTok Ads"/>
    <s v="Seasonal Promotion"/>
    <s v="Add-on Service"/>
    <n v="17861"/>
    <n v="679"/>
    <n v="46"/>
    <n v="703.39"/>
    <n v="4044.95"/>
    <n v="3.8"/>
    <n v="6.77"/>
    <n v="15.29"/>
    <n v="5.75"/>
    <n v="3341.56"/>
  </r>
  <r>
    <x v="395"/>
    <s v="Affiliate Marketing"/>
    <s v="Product Launch"/>
    <s v="Basic Plan"/>
    <n v="7724"/>
    <n v="437"/>
    <n v="34"/>
    <n v="282.14"/>
    <n v="3913.8"/>
    <n v="5.66"/>
    <n v="7.78"/>
    <n v="8.3000000000000007"/>
    <n v="13.87"/>
    <n v="3631.66"/>
  </r>
  <r>
    <x v="395"/>
    <s v="Referral"/>
    <s v="Product Launch"/>
    <s v="Starter Kit"/>
    <n v="3275"/>
    <n v="187"/>
    <n v="29"/>
    <n v="151.86000000000001"/>
    <n v="5026.41"/>
    <n v="5.71"/>
    <n v="15.51"/>
    <n v="5.24"/>
    <n v="33.1"/>
    <n v="4874.55"/>
  </r>
  <r>
    <x v="396"/>
    <s v="Google Ads"/>
    <s v="Seasonal Promotion"/>
    <s v="Premium Plan"/>
    <n v="8343"/>
    <n v="413"/>
    <n v="38"/>
    <n v="1274.8800000000001"/>
    <n v="6152.39"/>
    <n v="4.95"/>
    <n v="9.1999999999999993"/>
    <n v="33.549999999999997"/>
    <n v="4.83"/>
    <n v="4877.51"/>
  </r>
  <r>
    <x v="396"/>
    <s v="Facebook Ads"/>
    <s v="Flash Sale"/>
    <s v="Premium Plan"/>
    <n v="10653"/>
    <n v="374"/>
    <n v="32"/>
    <n v="869.92"/>
    <n v="4162.3"/>
    <n v="3.51"/>
    <n v="8.56"/>
    <n v="27.18"/>
    <n v="4.78"/>
    <n v="3292.38"/>
  </r>
  <r>
    <x v="396"/>
    <s v="Instagram Ads"/>
    <s v="Product Launch"/>
    <s v="Enterprise Plan"/>
    <n v="10429"/>
    <n v="389"/>
    <n v="17"/>
    <n v="497.26"/>
    <n v="2144.1999999999998"/>
    <n v="3.73"/>
    <n v="4.37"/>
    <n v="29.25"/>
    <n v="4.3099999999999996"/>
    <n v="1646.94"/>
  </r>
  <r>
    <x v="396"/>
    <s v="LinkedIn Ads"/>
    <s v="Flash Sale"/>
    <s v="Add-on Service"/>
    <n v="2657"/>
    <n v="69"/>
    <n v="6"/>
    <n v="1142.23"/>
    <n v="1878.64"/>
    <n v="2.6"/>
    <n v="8.6999999999999993"/>
    <n v="190.37"/>
    <n v="1.64"/>
    <n v="736.41"/>
  </r>
  <r>
    <x v="396"/>
    <s v="Email Marketing"/>
    <s v="Product Launch"/>
    <s v="Premium Plan"/>
    <n v="14128"/>
    <n v="3274"/>
    <n v="413"/>
    <n v="169.23"/>
    <n v="57739.56"/>
    <n v="23.17"/>
    <n v="12.61"/>
    <n v="0.41"/>
    <n v="341.19"/>
    <n v="57570.33"/>
  </r>
  <r>
    <x v="396"/>
    <s v="Organic Search"/>
    <s v="Brand Awareness"/>
    <s v="Premium Plan"/>
    <n v="27171"/>
    <n v="1392"/>
    <n v="144"/>
    <n v="0"/>
    <n v="17614.330000000002"/>
    <n v="5.12"/>
    <n v="10.34"/>
    <n v="0"/>
    <n v="0"/>
    <n v="17614.330000000002"/>
  </r>
  <r>
    <x v="396"/>
    <s v="Display Ads"/>
    <s v="Retargeting"/>
    <s v="Enterprise Plan"/>
    <n v="24824"/>
    <n v="292"/>
    <n v="5"/>
    <n v="977.87"/>
    <n v="577.91999999999996"/>
    <n v="1.18"/>
    <n v="1.71"/>
    <n v="195.57"/>
    <n v="0.59"/>
    <n v="-399.95"/>
  </r>
  <r>
    <x v="396"/>
    <s v="YouTube Ads"/>
    <s v="Seasonal Promotion"/>
    <s v="Premium Plan"/>
    <n v="20530"/>
    <n v="611"/>
    <n v="35"/>
    <n v="885.45"/>
    <n v="3843.17"/>
    <n v="2.98"/>
    <n v="5.73"/>
    <n v="25.3"/>
    <n v="4.34"/>
    <n v="2957.72"/>
  </r>
  <r>
    <x v="396"/>
    <s v="Twitter Ads"/>
    <s v="Retargeting"/>
    <s v="Enterprise Plan"/>
    <n v="7559"/>
    <n v="169"/>
    <n v="5"/>
    <n v="623.04"/>
    <n v="371.15"/>
    <n v="2.2400000000000002"/>
    <n v="2.96"/>
    <n v="124.61"/>
    <n v="0.6"/>
    <n v="-251.89"/>
  </r>
  <r>
    <x v="396"/>
    <s v="TikTok Ads"/>
    <s v="Lead Generation"/>
    <s v="Add-on Service"/>
    <n v="24848"/>
    <n v="1047"/>
    <n v="34"/>
    <n v="538.22"/>
    <n v="2889.19"/>
    <n v="4.21"/>
    <n v="3.25"/>
    <n v="15.83"/>
    <n v="5.37"/>
    <n v="2350.9699999999998"/>
  </r>
  <r>
    <x v="396"/>
    <s v="Affiliate Marketing"/>
    <s v="Seasonal Promotion"/>
    <s v="Add-on Service"/>
    <n v="6297"/>
    <n v="252"/>
    <n v="25"/>
    <n v="288.5"/>
    <n v="3344.18"/>
    <n v="4"/>
    <n v="9.92"/>
    <n v="11.54"/>
    <n v="11.59"/>
    <n v="3055.68"/>
  </r>
  <r>
    <x v="396"/>
    <s v="Referral"/>
    <s v="Seasonal Promotion"/>
    <s v="Basic Plan"/>
    <n v="2806"/>
    <n v="164"/>
    <n v="25"/>
    <n v="137.88999999999999"/>
    <n v="3347.36"/>
    <n v="5.84"/>
    <n v="15.24"/>
    <n v="5.52"/>
    <n v="24.28"/>
    <n v="3209.47"/>
  </r>
  <r>
    <x v="397"/>
    <s v="Google Ads"/>
    <s v="Product Launch"/>
    <s v="Enterprise Plan"/>
    <n v="8231"/>
    <n v="390"/>
    <n v="43"/>
    <n v="637.49"/>
    <n v="6562.64"/>
    <n v="4.74"/>
    <n v="11.03"/>
    <n v="14.83"/>
    <n v="10.29"/>
    <n v="5925.15"/>
  </r>
  <r>
    <x v="397"/>
    <s v="Facebook Ads"/>
    <s v="Product Launch"/>
    <s v="Add-on Service"/>
    <n v="9411"/>
    <n v="291"/>
    <n v="16"/>
    <n v="660.47"/>
    <n v="1742.5"/>
    <n v="3.09"/>
    <n v="5.5"/>
    <n v="41.28"/>
    <n v="2.64"/>
    <n v="1082.03"/>
  </r>
  <r>
    <x v="397"/>
    <s v="Instagram Ads"/>
    <s v="Flash Sale"/>
    <s v="Basic Plan"/>
    <n v="10436"/>
    <n v="282"/>
    <n v="14"/>
    <n v="403.88"/>
    <n v="1221.8800000000001"/>
    <n v="2.7"/>
    <n v="4.96"/>
    <n v="28.85"/>
    <n v="3.03"/>
    <n v="818"/>
  </r>
  <r>
    <x v="397"/>
    <s v="LinkedIn Ads"/>
    <s v="Flash Sale"/>
    <s v="Starter Kit"/>
    <n v="3285"/>
    <n v="89"/>
    <n v="9"/>
    <n v="822.55"/>
    <n v="2676.79"/>
    <n v="2.71"/>
    <n v="10.11"/>
    <n v="91.39"/>
    <n v="3.25"/>
    <n v="1854.24"/>
  </r>
  <r>
    <x v="397"/>
    <s v="Email Marketing"/>
    <s v="Seasonal Promotion"/>
    <s v="Basic Plan"/>
    <n v="9929"/>
    <n v="2415"/>
    <n v="327"/>
    <n v="76.47"/>
    <n v="51377.45"/>
    <n v="24.32"/>
    <n v="13.54"/>
    <n v="0.23"/>
    <n v="671.86"/>
    <n v="51300.98"/>
  </r>
  <r>
    <x v="397"/>
    <s v="Organic Search"/>
    <s v="Brand Awareness"/>
    <s v="Enterprise Plan"/>
    <n v="17792"/>
    <n v="1324"/>
    <n v="151"/>
    <n v="0"/>
    <n v="17538.509999999998"/>
    <n v="7.44"/>
    <n v="11.4"/>
    <n v="0"/>
    <n v="0"/>
    <n v="17538.509999999998"/>
  </r>
  <r>
    <x v="397"/>
    <s v="Display Ads"/>
    <s v="Seasonal Promotion"/>
    <s v="Add-on Service"/>
    <n v="15120"/>
    <n v="161"/>
    <n v="7"/>
    <n v="756.93"/>
    <n v="615.78"/>
    <n v="1.06"/>
    <n v="4.3499999999999996"/>
    <n v="108.13"/>
    <n v="0.81"/>
    <n v="-141.15"/>
  </r>
  <r>
    <x v="397"/>
    <s v="YouTube Ads"/>
    <s v="Lead Generation"/>
    <s v="Enterprise Plan"/>
    <n v="11657"/>
    <n v="289"/>
    <n v="19"/>
    <n v="718.34"/>
    <n v="1905.16"/>
    <n v="2.48"/>
    <n v="6.57"/>
    <n v="37.81"/>
    <n v="2.65"/>
    <n v="1186.82"/>
  </r>
  <r>
    <x v="397"/>
    <s v="Twitter Ads"/>
    <s v="Retargeting"/>
    <s v="Premium Plan"/>
    <n v="8139"/>
    <n v="195"/>
    <n v="10"/>
    <n v="413.8"/>
    <n v="917.12"/>
    <n v="2.4"/>
    <n v="5.13"/>
    <n v="41.38"/>
    <n v="2.2200000000000002"/>
    <n v="503.32"/>
  </r>
  <r>
    <x v="397"/>
    <s v="TikTok Ads"/>
    <s v="Lead Generation"/>
    <s v="Starter Kit"/>
    <n v="12110"/>
    <n v="425"/>
    <n v="13"/>
    <n v="543.36"/>
    <n v="1087.04"/>
    <n v="3.51"/>
    <n v="3.06"/>
    <n v="41.8"/>
    <n v="2"/>
    <n v="543.67999999999995"/>
  </r>
  <r>
    <x v="397"/>
    <s v="Affiliate Marketing"/>
    <s v="Retargeting"/>
    <s v="Premium Plan"/>
    <n v="2998"/>
    <n v="191"/>
    <n v="15"/>
    <n v="247.95"/>
    <n v="1617.74"/>
    <n v="6.37"/>
    <n v="7.85"/>
    <n v="16.53"/>
    <n v="6.52"/>
    <n v="1369.79"/>
  </r>
  <r>
    <x v="397"/>
    <s v="Referral"/>
    <s v="Brand Awareness"/>
    <s v="Premium Plan"/>
    <n v="4085"/>
    <n v="296"/>
    <n v="38"/>
    <n v="33.65"/>
    <n v="5869.31"/>
    <n v="7.25"/>
    <n v="12.84"/>
    <n v="0.89"/>
    <n v="174.42"/>
    <n v="5835.66"/>
  </r>
  <r>
    <x v="398"/>
    <s v="Google Ads"/>
    <s v="Retargeting"/>
    <s v="Basic Plan"/>
    <n v="6018"/>
    <n v="236"/>
    <n v="19"/>
    <n v="506.76"/>
    <n v="3336.08"/>
    <n v="3.92"/>
    <n v="8.0500000000000007"/>
    <n v="26.67"/>
    <n v="6.58"/>
    <n v="2829.32"/>
  </r>
  <r>
    <x v="398"/>
    <s v="Facebook Ads"/>
    <s v="Retargeting"/>
    <s v="Basic Plan"/>
    <n v="10492"/>
    <n v="321"/>
    <n v="17"/>
    <n v="384.69"/>
    <n v="1585.79"/>
    <n v="3.06"/>
    <n v="5.3"/>
    <n v="22.63"/>
    <n v="4.12"/>
    <n v="1201.0999999999999"/>
  </r>
  <r>
    <x v="398"/>
    <s v="Instagram Ads"/>
    <s v="Retargeting"/>
    <s v="Premium Plan"/>
    <n v="9425"/>
    <n v="342"/>
    <n v="23"/>
    <n v="375.96"/>
    <n v="2147.52"/>
    <n v="3.63"/>
    <n v="6.73"/>
    <n v="16.350000000000001"/>
    <n v="5.71"/>
    <n v="1771.56"/>
  </r>
  <r>
    <x v="398"/>
    <s v="LinkedIn Ads"/>
    <s v="Product Launch"/>
    <s v="Add-on Service"/>
    <n v="2985"/>
    <n v="65"/>
    <n v="6"/>
    <n v="915.94"/>
    <n v="1624.59"/>
    <n v="2.1800000000000002"/>
    <n v="9.23"/>
    <n v="152.66"/>
    <n v="1.77"/>
    <n v="708.65"/>
  </r>
  <r>
    <x v="398"/>
    <s v="Email Marketing"/>
    <s v="Retargeting"/>
    <s v="Add-on Service"/>
    <n v="11503"/>
    <n v="2094"/>
    <n v="277"/>
    <n v="117.24"/>
    <n v="32737.52"/>
    <n v="18.2"/>
    <n v="13.23"/>
    <n v="0.42"/>
    <n v="279.24"/>
    <n v="32620.28"/>
  </r>
  <r>
    <x v="398"/>
    <s v="Organic Search"/>
    <s v="Seasonal Promotion"/>
    <s v="Add-on Service"/>
    <n v="16286"/>
    <n v="704"/>
    <n v="89"/>
    <n v="0"/>
    <n v="13278.53"/>
    <n v="4.32"/>
    <n v="12.64"/>
    <n v="0"/>
    <n v="0"/>
    <n v="13278.53"/>
  </r>
  <r>
    <x v="398"/>
    <s v="Display Ads"/>
    <s v="Retargeting"/>
    <s v="Enterprise Plan"/>
    <n v="17463"/>
    <n v="305"/>
    <n v="6"/>
    <n v="696.13"/>
    <n v="636.52"/>
    <n v="1.75"/>
    <n v="1.97"/>
    <n v="116.02"/>
    <n v="0.91"/>
    <n v="-59.61"/>
  </r>
  <r>
    <x v="398"/>
    <s v="YouTube Ads"/>
    <s v="Seasonal Promotion"/>
    <s v="Starter Kit"/>
    <n v="13650"/>
    <n v="253"/>
    <n v="10"/>
    <n v="512.03"/>
    <n v="1304.6099999999999"/>
    <n v="1.85"/>
    <n v="3.95"/>
    <n v="51.2"/>
    <n v="2.5499999999999998"/>
    <n v="792.58"/>
  </r>
  <r>
    <x v="398"/>
    <s v="Twitter Ads"/>
    <s v="Flash Sale"/>
    <s v="Starter Kit"/>
    <n v="6030"/>
    <n v="136"/>
    <n v="3"/>
    <n v="406.59"/>
    <n v="312.04000000000002"/>
    <n v="2.2599999999999998"/>
    <n v="2.21"/>
    <n v="135.53"/>
    <n v="0.77"/>
    <n v="-94.55"/>
  </r>
  <r>
    <x v="398"/>
    <s v="TikTok Ads"/>
    <s v="Retargeting"/>
    <s v="Starter Kit"/>
    <n v="10953"/>
    <n v="480"/>
    <n v="18"/>
    <n v="418.4"/>
    <n v="1621.19"/>
    <n v="4.38"/>
    <n v="3.75"/>
    <n v="23.24"/>
    <n v="3.87"/>
    <n v="1202.79"/>
  </r>
  <r>
    <x v="398"/>
    <s v="Affiliate Marketing"/>
    <s v="Flash Sale"/>
    <s v="Starter Kit"/>
    <n v="3242"/>
    <n v="162"/>
    <n v="13"/>
    <n v="348.41"/>
    <n v="1611.41"/>
    <n v="5"/>
    <n v="8.02"/>
    <n v="26.8"/>
    <n v="4.63"/>
    <n v="1263"/>
  </r>
  <r>
    <x v="398"/>
    <s v="Referral"/>
    <s v="Lead Generation"/>
    <s v="Basic Plan"/>
    <n v="3301"/>
    <n v="185"/>
    <n v="30"/>
    <n v="58.44"/>
    <n v="4125.26"/>
    <n v="5.6"/>
    <n v="16.22"/>
    <n v="1.95"/>
    <n v="70.59"/>
    <n v="4066.82"/>
  </r>
  <r>
    <x v="399"/>
    <s v="Google Ads"/>
    <s v="Seasonal Promotion"/>
    <s v="Basic Plan"/>
    <n v="8793"/>
    <n v="274"/>
    <n v="23"/>
    <n v="903.24"/>
    <n v="3558.08"/>
    <n v="3.12"/>
    <n v="8.39"/>
    <n v="39.270000000000003"/>
    <n v="3.94"/>
    <n v="2654.84"/>
  </r>
  <r>
    <x v="399"/>
    <s v="Facebook Ads"/>
    <s v="Retargeting"/>
    <s v="Starter Kit"/>
    <n v="11873"/>
    <n v="269"/>
    <n v="22"/>
    <n v="953.21"/>
    <n v="2227.1799999999998"/>
    <n v="2.27"/>
    <n v="8.18"/>
    <n v="43.33"/>
    <n v="2.34"/>
    <n v="1273.97"/>
  </r>
  <r>
    <x v="399"/>
    <s v="Instagram Ads"/>
    <s v="Lead Generation"/>
    <s v="Add-on Service"/>
    <n v="9764"/>
    <n v="354"/>
    <n v="22"/>
    <n v="791.26"/>
    <n v="2738.73"/>
    <n v="3.63"/>
    <n v="6.21"/>
    <n v="35.97"/>
    <n v="3.46"/>
    <n v="1947.47"/>
  </r>
  <r>
    <x v="399"/>
    <s v="LinkedIn Ads"/>
    <s v="Seasonal Promotion"/>
    <s v="Premium Plan"/>
    <n v="4788"/>
    <n v="75"/>
    <n v="10"/>
    <n v="1258.99"/>
    <n v="2337.69"/>
    <n v="1.57"/>
    <n v="13.33"/>
    <n v="125.9"/>
    <n v="1.86"/>
    <n v="1078.7"/>
  </r>
  <r>
    <x v="399"/>
    <s v="Email Marketing"/>
    <s v="Flash Sale"/>
    <s v="Basic Plan"/>
    <n v="16107"/>
    <n v="3731"/>
    <n v="436"/>
    <n v="166.13"/>
    <n v="51392.7"/>
    <n v="23.16"/>
    <n v="11.69"/>
    <n v="0.38"/>
    <n v="309.35000000000002"/>
    <n v="51226.57"/>
  </r>
  <r>
    <x v="399"/>
    <s v="Organic Search"/>
    <s v="Retargeting"/>
    <s v="Starter Kit"/>
    <n v="20913"/>
    <n v="1409"/>
    <n v="211"/>
    <n v="0"/>
    <n v="23026.07"/>
    <n v="6.74"/>
    <n v="14.98"/>
    <n v="0"/>
    <n v="0"/>
    <n v="23026.07"/>
  </r>
  <r>
    <x v="399"/>
    <s v="Display Ads"/>
    <s v="Brand Awareness"/>
    <s v="Basic Plan"/>
    <n v="31518"/>
    <n v="324"/>
    <n v="11"/>
    <n v="599.37"/>
    <n v="1150.73"/>
    <n v="1.03"/>
    <n v="3.4"/>
    <n v="54.49"/>
    <n v="1.92"/>
    <n v="551.36"/>
  </r>
  <r>
    <x v="399"/>
    <s v="YouTube Ads"/>
    <s v="Seasonal Promotion"/>
    <s v="Enterprise Plan"/>
    <n v="16924"/>
    <n v="347"/>
    <n v="25"/>
    <n v="831.23"/>
    <n v="2521.39"/>
    <n v="2.0499999999999998"/>
    <n v="7.2"/>
    <n v="33.25"/>
    <n v="3.03"/>
    <n v="1690.16"/>
  </r>
  <r>
    <x v="399"/>
    <s v="Twitter Ads"/>
    <s v="Brand Awareness"/>
    <s v="Add-on Service"/>
    <n v="11113"/>
    <n v="314"/>
    <n v="14"/>
    <n v="371.41"/>
    <n v="1198.76"/>
    <n v="2.83"/>
    <n v="4.46"/>
    <n v="26.53"/>
    <n v="3.23"/>
    <n v="827.35"/>
  </r>
  <r>
    <x v="399"/>
    <s v="TikTok Ads"/>
    <s v="Retargeting"/>
    <s v="Premium Plan"/>
    <n v="19117"/>
    <n v="483"/>
    <n v="18"/>
    <n v="667.86"/>
    <n v="1527.25"/>
    <n v="2.5299999999999998"/>
    <n v="3.73"/>
    <n v="37.1"/>
    <n v="2.29"/>
    <n v="859.39"/>
  </r>
  <r>
    <x v="399"/>
    <s v="Affiliate Marketing"/>
    <s v="Brand Awareness"/>
    <s v="Enterprise Plan"/>
    <n v="5410"/>
    <n v="260"/>
    <n v="27"/>
    <n v="283.68"/>
    <n v="3427.1"/>
    <n v="4.8099999999999996"/>
    <n v="10.38"/>
    <n v="10.51"/>
    <n v="12.08"/>
    <n v="3143.42"/>
  </r>
  <r>
    <x v="399"/>
    <s v="Referral"/>
    <s v="Seasonal Promotion"/>
    <s v="Enterprise Plan"/>
    <n v="4888"/>
    <n v="374"/>
    <n v="45"/>
    <n v="141.62"/>
    <n v="6508.2"/>
    <n v="7.65"/>
    <n v="12.03"/>
    <n v="3.15"/>
    <n v="45.96"/>
    <n v="6366.58"/>
  </r>
  <r>
    <x v="400"/>
    <s v="Google Ads"/>
    <s v="Brand Awareness"/>
    <s v="Add-on Service"/>
    <n v="9201"/>
    <n v="415"/>
    <n v="36"/>
    <n v="801.49"/>
    <n v="4316.54"/>
    <n v="4.51"/>
    <n v="8.67"/>
    <n v="22.26"/>
    <n v="5.39"/>
    <n v="3515.05"/>
  </r>
  <r>
    <x v="400"/>
    <s v="Facebook Ads"/>
    <s v="Lead Generation"/>
    <s v="Premium Plan"/>
    <n v="11514"/>
    <n v="313"/>
    <n v="21"/>
    <n v="944.29"/>
    <n v="2317.79"/>
    <n v="2.72"/>
    <n v="6.71"/>
    <n v="44.97"/>
    <n v="2.4500000000000002"/>
    <n v="1373.5"/>
  </r>
  <r>
    <x v="400"/>
    <s v="Instagram Ads"/>
    <s v="Product Launch"/>
    <s v="Enterprise Plan"/>
    <n v="11530"/>
    <n v="311"/>
    <n v="22"/>
    <n v="692.79"/>
    <n v="1908.8"/>
    <n v="2.7"/>
    <n v="7.07"/>
    <n v="31.49"/>
    <n v="2.76"/>
    <n v="1216.01"/>
  </r>
  <r>
    <x v="400"/>
    <s v="LinkedIn Ads"/>
    <s v="Product Launch"/>
    <s v="Enterprise Plan"/>
    <n v="3162"/>
    <n v="87"/>
    <n v="11"/>
    <n v="878.62"/>
    <n v="3140.37"/>
    <n v="2.75"/>
    <n v="12.64"/>
    <n v="79.87"/>
    <n v="3.57"/>
    <n v="2261.75"/>
  </r>
  <r>
    <x v="400"/>
    <s v="Email Marketing"/>
    <s v="Product Launch"/>
    <s v="Starter Kit"/>
    <n v="21086"/>
    <n v="4850"/>
    <n v="489"/>
    <n v="133.16999999999999"/>
    <n v="58098.16"/>
    <n v="23"/>
    <n v="10.08"/>
    <n v="0.27"/>
    <n v="436.27"/>
    <n v="57964.99"/>
  </r>
  <r>
    <x v="400"/>
    <s v="Organic Search"/>
    <s v="Brand Awareness"/>
    <s v="Basic Plan"/>
    <n v="28036"/>
    <n v="1290"/>
    <n v="171"/>
    <n v="0"/>
    <n v="26514.32"/>
    <n v="4.5999999999999996"/>
    <n v="13.26"/>
    <n v="0"/>
    <n v="0"/>
    <n v="26514.32"/>
  </r>
  <r>
    <x v="400"/>
    <s v="Display Ads"/>
    <s v="Lead Generation"/>
    <s v="Add-on Service"/>
    <n v="23294"/>
    <n v="328"/>
    <n v="10"/>
    <n v="1050.17"/>
    <n v="1008.32"/>
    <n v="1.41"/>
    <n v="3.05"/>
    <n v="105.02"/>
    <n v="0.96"/>
    <n v="-41.85"/>
  </r>
  <r>
    <x v="400"/>
    <s v="YouTube Ads"/>
    <s v="Retargeting"/>
    <s v="Premium Plan"/>
    <n v="13072"/>
    <n v="312"/>
    <n v="12"/>
    <n v="781.47"/>
    <n v="1608.97"/>
    <n v="2.39"/>
    <n v="3.85"/>
    <n v="65.12"/>
    <n v="2.06"/>
    <n v="827.5"/>
  </r>
  <r>
    <x v="400"/>
    <s v="Twitter Ads"/>
    <s v="Product Launch"/>
    <s v="Enterprise Plan"/>
    <n v="6950"/>
    <n v="150"/>
    <n v="5"/>
    <n v="369.69"/>
    <n v="583.82000000000005"/>
    <n v="2.16"/>
    <n v="3.33"/>
    <n v="73.94"/>
    <n v="1.58"/>
    <n v="214.13"/>
  </r>
  <r>
    <x v="400"/>
    <s v="TikTok Ads"/>
    <s v="Lead Generation"/>
    <s v="Basic Plan"/>
    <n v="25103"/>
    <n v="1080"/>
    <n v="33"/>
    <n v="800.68"/>
    <n v="2611.38"/>
    <n v="4.3"/>
    <n v="3.06"/>
    <n v="24.26"/>
    <n v="3.26"/>
    <n v="1810.7"/>
  </r>
  <r>
    <x v="400"/>
    <s v="Affiliate Marketing"/>
    <s v="Flash Sale"/>
    <s v="Starter Kit"/>
    <n v="5291"/>
    <n v="289"/>
    <n v="31"/>
    <n v="390.22"/>
    <n v="3746.51"/>
    <n v="5.46"/>
    <n v="10.73"/>
    <n v="12.59"/>
    <n v="9.6"/>
    <n v="3356.29"/>
  </r>
  <r>
    <x v="400"/>
    <s v="Referral"/>
    <s v="Brand Awareness"/>
    <s v="Premium Plan"/>
    <n v="5629"/>
    <n v="426"/>
    <n v="69"/>
    <n v="149.44999999999999"/>
    <n v="10798.06"/>
    <n v="7.57"/>
    <n v="16.2"/>
    <n v="2.17"/>
    <n v="72.25"/>
    <n v="10648.61"/>
  </r>
  <r>
    <x v="401"/>
    <s v="Google Ads"/>
    <s v="Seasonal Promotion"/>
    <s v="Enterprise Plan"/>
    <n v="12458"/>
    <n v="546"/>
    <n v="46"/>
    <n v="937.68"/>
    <n v="6179.88"/>
    <n v="4.38"/>
    <n v="8.42"/>
    <n v="20.38"/>
    <n v="6.59"/>
    <n v="5242.2"/>
  </r>
  <r>
    <x v="401"/>
    <s v="Facebook Ads"/>
    <s v="Brand Awareness"/>
    <s v="Premium Plan"/>
    <n v="15740"/>
    <n v="355"/>
    <n v="25"/>
    <n v="610.46"/>
    <n v="2449.13"/>
    <n v="2.2599999999999998"/>
    <n v="7.04"/>
    <n v="24.42"/>
    <n v="4.01"/>
    <n v="1838.67"/>
  </r>
  <r>
    <x v="401"/>
    <s v="Instagram Ads"/>
    <s v="Retargeting"/>
    <s v="Starter Kit"/>
    <n v="14585"/>
    <n v="631"/>
    <n v="31"/>
    <n v="517.59"/>
    <n v="3276.35"/>
    <n v="4.33"/>
    <n v="4.91"/>
    <n v="16.7"/>
    <n v="6.33"/>
    <n v="2758.76"/>
  </r>
  <r>
    <x v="401"/>
    <s v="LinkedIn Ads"/>
    <s v="Seasonal Promotion"/>
    <s v="Enterprise Plan"/>
    <n v="5042"/>
    <n v="131"/>
    <n v="15"/>
    <n v="769.66"/>
    <n v="3276.13"/>
    <n v="2.6"/>
    <n v="11.45"/>
    <n v="51.31"/>
    <n v="4.26"/>
    <n v="2506.4699999999998"/>
  </r>
  <r>
    <x v="401"/>
    <s v="Email Marketing"/>
    <s v="Seasonal Promotion"/>
    <s v="Starter Kit"/>
    <n v="14860"/>
    <n v="3028"/>
    <n v="355"/>
    <n v="154.22"/>
    <n v="47922.39"/>
    <n v="20.38"/>
    <n v="11.72"/>
    <n v="0.43"/>
    <n v="310.74"/>
    <n v="47768.17"/>
  </r>
  <r>
    <x v="401"/>
    <s v="Organic Search"/>
    <s v="Product Launch"/>
    <s v="Starter Kit"/>
    <n v="26937"/>
    <n v="1955"/>
    <n v="199"/>
    <n v="0"/>
    <n v="23365.09"/>
    <n v="7.26"/>
    <n v="10.18"/>
    <n v="0"/>
    <n v="0"/>
    <n v="23365.09"/>
  </r>
  <r>
    <x v="401"/>
    <s v="Display Ads"/>
    <s v="Retargeting"/>
    <s v="Add-on Service"/>
    <n v="27545"/>
    <n v="292"/>
    <n v="11"/>
    <n v="889.52"/>
    <n v="983.47"/>
    <n v="1.06"/>
    <n v="3.77"/>
    <n v="80.87"/>
    <n v="1.1100000000000001"/>
    <n v="93.95"/>
  </r>
  <r>
    <x v="401"/>
    <s v="YouTube Ads"/>
    <s v="Lead Generation"/>
    <s v="Basic Plan"/>
    <n v="19732"/>
    <n v="436"/>
    <n v="19"/>
    <n v="810.17"/>
    <n v="2520.1799999999998"/>
    <n v="2.21"/>
    <n v="4.3600000000000003"/>
    <n v="42.64"/>
    <n v="3.11"/>
    <n v="1710.01"/>
  </r>
  <r>
    <x v="401"/>
    <s v="Twitter Ads"/>
    <s v="Seasonal Promotion"/>
    <s v="Starter Kit"/>
    <n v="7293"/>
    <n v="188"/>
    <n v="5"/>
    <n v="530.91"/>
    <n v="394.91"/>
    <n v="2.58"/>
    <n v="2.66"/>
    <n v="106.18"/>
    <n v="0.74"/>
    <n v="-136"/>
  </r>
  <r>
    <x v="401"/>
    <s v="TikTok Ads"/>
    <s v="Retargeting"/>
    <s v="Starter Kit"/>
    <n v="15957"/>
    <n v="640"/>
    <n v="23"/>
    <n v="598.03"/>
    <n v="2480.8200000000002"/>
    <n v="4.01"/>
    <n v="3.59"/>
    <n v="26"/>
    <n v="4.1500000000000004"/>
    <n v="1882.79"/>
  </r>
  <r>
    <x v="401"/>
    <s v="Affiliate Marketing"/>
    <s v="Lead Generation"/>
    <s v="Enterprise Plan"/>
    <n v="5744"/>
    <n v="361"/>
    <n v="30"/>
    <n v="458.72"/>
    <n v="3304.17"/>
    <n v="6.28"/>
    <n v="8.31"/>
    <n v="15.29"/>
    <n v="7.2"/>
    <n v="2845.45"/>
  </r>
  <r>
    <x v="401"/>
    <s v="Referral"/>
    <s v="Brand Awareness"/>
    <s v="Add-on Service"/>
    <n v="2833"/>
    <n v="230"/>
    <n v="28"/>
    <n v="141.24"/>
    <n v="3474.46"/>
    <n v="8.1199999999999992"/>
    <n v="12.17"/>
    <n v="5.04"/>
    <n v="24.6"/>
    <n v="3333.22"/>
  </r>
  <r>
    <x v="402"/>
    <s v="Google Ads"/>
    <s v="Flash Sale"/>
    <s v="Add-on Service"/>
    <n v="7591"/>
    <n v="360"/>
    <n v="39"/>
    <n v="862.96"/>
    <n v="5197.16"/>
    <n v="4.74"/>
    <n v="10.83"/>
    <n v="22.13"/>
    <n v="6.02"/>
    <n v="4334.2"/>
  </r>
  <r>
    <x v="402"/>
    <s v="Facebook Ads"/>
    <s v="Retargeting"/>
    <s v="Starter Kit"/>
    <n v="12471"/>
    <n v="357"/>
    <n v="23"/>
    <n v="727.96"/>
    <n v="2275.42"/>
    <n v="2.86"/>
    <n v="6.44"/>
    <n v="31.65"/>
    <n v="3.13"/>
    <n v="1547.46"/>
  </r>
  <r>
    <x v="402"/>
    <s v="Instagram Ads"/>
    <s v="Lead Generation"/>
    <s v="Starter Kit"/>
    <n v="14151"/>
    <n v="629"/>
    <n v="44"/>
    <n v="779.27"/>
    <n v="4818.8"/>
    <n v="4.4400000000000004"/>
    <n v="7"/>
    <n v="17.71"/>
    <n v="6.18"/>
    <n v="4039.53"/>
  </r>
  <r>
    <x v="402"/>
    <s v="LinkedIn Ads"/>
    <s v="Product Launch"/>
    <s v="Add-on Service"/>
    <n v="4160"/>
    <n v="96"/>
    <n v="11"/>
    <n v="1468.28"/>
    <n v="2933.48"/>
    <n v="2.31"/>
    <n v="11.46"/>
    <n v="133.47999999999999"/>
    <n v="2"/>
    <n v="1465.2"/>
  </r>
  <r>
    <x v="402"/>
    <s v="Email Marketing"/>
    <s v="Brand Awareness"/>
    <s v="Starter Kit"/>
    <n v="17461"/>
    <n v="3087"/>
    <n v="362"/>
    <n v="114.78"/>
    <n v="50782.97"/>
    <n v="17.68"/>
    <n v="11.73"/>
    <n v="0.32"/>
    <n v="442.44"/>
    <n v="50668.19"/>
  </r>
  <r>
    <x v="402"/>
    <s v="Organic Search"/>
    <s v="Flash Sale"/>
    <s v="Enterprise Plan"/>
    <n v="25030"/>
    <n v="1114"/>
    <n v="120"/>
    <n v="0"/>
    <n v="13292.43"/>
    <n v="4.45"/>
    <n v="10.77"/>
    <n v="0"/>
    <n v="0"/>
    <n v="13292.43"/>
  </r>
  <r>
    <x v="402"/>
    <s v="Display Ads"/>
    <s v="Flash Sale"/>
    <s v="Premium Plan"/>
    <n v="33453"/>
    <n v="650"/>
    <n v="31"/>
    <n v="757.93"/>
    <n v="2861.3"/>
    <n v="1.94"/>
    <n v="4.7699999999999996"/>
    <n v="24.45"/>
    <n v="3.78"/>
    <n v="2103.37"/>
  </r>
  <r>
    <x v="402"/>
    <s v="YouTube Ads"/>
    <s v="Lead Generation"/>
    <s v="Premium Plan"/>
    <n v="15161"/>
    <n v="239"/>
    <n v="15"/>
    <n v="1081.8"/>
    <n v="1803.11"/>
    <n v="1.58"/>
    <n v="6.28"/>
    <n v="72.12"/>
    <n v="1.67"/>
    <n v="721.31"/>
  </r>
  <r>
    <x v="402"/>
    <s v="Twitter Ads"/>
    <s v="Seasonal Promotion"/>
    <s v="Enterprise Plan"/>
    <n v="10371"/>
    <n v="277"/>
    <n v="9"/>
    <n v="530.47"/>
    <n v="1011.15"/>
    <n v="2.67"/>
    <n v="3.25"/>
    <n v="58.94"/>
    <n v="1.91"/>
    <n v="480.68"/>
  </r>
  <r>
    <x v="402"/>
    <s v="TikTok Ads"/>
    <s v="Seasonal Promotion"/>
    <s v="Premium Plan"/>
    <n v="22870"/>
    <n v="1012"/>
    <n v="60"/>
    <n v="606.16999999999996"/>
    <n v="5637.14"/>
    <n v="4.43"/>
    <n v="5.93"/>
    <n v="10.1"/>
    <n v="9.3000000000000007"/>
    <n v="5030.97"/>
  </r>
  <r>
    <x v="402"/>
    <s v="Affiliate Marketing"/>
    <s v="Flash Sale"/>
    <s v="Add-on Service"/>
    <n v="6715"/>
    <n v="457"/>
    <n v="51"/>
    <n v="389.56"/>
    <n v="7450.78"/>
    <n v="6.81"/>
    <n v="11.16"/>
    <n v="7.64"/>
    <n v="19.13"/>
    <n v="7061.22"/>
  </r>
  <r>
    <x v="402"/>
    <s v="Referral"/>
    <s v="Brand Awareness"/>
    <s v="Basic Plan"/>
    <n v="3951"/>
    <n v="341"/>
    <n v="56"/>
    <n v="91.97"/>
    <n v="7471.56"/>
    <n v="8.6300000000000008"/>
    <n v="16.420000000000002"/>
    <n v="1.64"/>
    <n v="81.239999999999995"/>
    <n v="7379.59"/>
  </r>
  <r>
    <x v="403"/>
    <s v="Google Ads"/>
    <s v="Seasonal Promotion"/>
    <s v="Add-on Service"/>
    <n v="8904"/>
    <n v="273"/>
    <n v="23"/>
    <n v="804.94"/>
    <n v="3679.87"/>
    <n v="3.07"/>
    <n v="8.42"/>
    <n v="35"/>
    <n v="4.57"/>
    <n v="2874.93"/>
  </r>
  <r>
    <x v="403"/>
    <s v="Facebook Ads"/>
    <s v="Seasonal Promotion"/>
    <s v="Premium Plan"/>
    <n v="12330"/>
    <n v="268"/>
    <n v="16"/>
    <n v="684.07"/>
    <n v="1472.27"/>
    <n v="2.17"/>
    <n v="5.97"/>
    <n v="42.75"/>
    <n v="2.15"/>
    <n v="788.2"/>
  </r>
  <r>
    <x v="403"/>
    <s v="Instagram Ads"/>
    <s v="Seasonal Promotion"/>
    <s v="Add-on Service"/>
    <n v="15032"/>
    <n v="607"/>
    <n v="31"/>
    <n v="489.72"/>
    <n v="3194.76"/>
    <n v="4.04"/>
    <n v="5.1100000000000003"/>
    <n v="15.8"/>
    <n v="6.52"/>
    <n v="2705.04"/>
  </r>
  <r>
    <x v="403"/>
    <s v="LinkedIn Ads"/>
    <s v="Lead Generation"/>
    <s v="Starter Kit"/>
    <n v="3080"/>
    <n v="59"/>
    <n v="8"/>
    <n v="1116.53"/>
    <n v="1742.3"/>
    <n v="1.92"/>
    <n v="13.56"/>
    <n v="139.57"/>
    <n v="1.56"/>
    <n v="625.77"/>
  </r>
  <r>
    <x v="403"/>
    <s v="Email Marketing"/>
    <s v="Seasonal Promotion"/>
    <s v="Premium Plan"/>
    <n v="15575"/>
    <n v="2846"/>
    <n v="267"/>
    <n v="170.4"/>
    <n v="39082.53"/>
    <n v="18.27"/>
    <n v="9.3800000000000008"/>
    <n v="0.64"/>
    <n v="229.36"/>
    <n v="38912.129999999997"/>
  </r>
  <r>
    <x v="403"/>
    <s v="Organic Search"/>
    <s v="Brand Awareness"/>
    <s v="Add-on Service"/>
    <n v="27867"/>
    <n v="1545"/>
    <n v="202"/>
    <n v="0"/>
    <n v="22234.080000000002"/>
    <n v="5.54"/>
    <n v="13.07"/>
    <n v="0"/>
    <n v="0"/>
    <n v="22234.080000000002"/>
  </r>
  <r>
    <x v="403"/>
    <s v="Display Ads"/>
    <s v="Lead Generation"/>
    <s v="Premium Plan"/>
    <n v="31010"/>
    <n v="584"/>
    <n v="22"/>
    <n v="729.75"/>
    <n v="1939.29"/>
    <n v="1.88"/>
    <n v="3.77"/>
    <n v="33.17"/>
    <n v="2.66"/>
    <n v="1209.54"/>
  </r>
  <r>
    <x v="403"/>
    <s v="YouTube Ads"/>
    <s v="Product Launch"/>
    <s v="Basic Plan"/>
    <n v="13321"/>
    <n v="242"/>
    <n v="15"/>
    <n v="778.36"/>
    <n v="1439.14"/>
    <n v="1.82"/>
    <n v="6.2"/>
    <n v="51.89"/>
    <n v="1.85"/>
    <n v="660.78"/>
  </r>
  <r>
    <x v="403"/>
    <s v="Twitter Ads"/>
    <s v="Lead Generation"/>
    <s v="Add-on Service"/>
    <n v="9264"/>
    <n v="317"/>
    <n v="17"/>
    <n v="410.18"/>
    <n v="1363.44"/>
    <n v="3.42"/>
    <n v="5.36"/>
    <n v="24.13"/>
    <n v="3.32"/>
    <n v="953.26"/>
  </r>
  <r>
    <x v="403"/>
    <s v="TikTok Ads"/>
    <s v="Retargeting"/>
    <s v="Premium Plan"/>
    <n v="21046"/>
    <n v="617"/>
    <n v="28"/>
    <n v="744.25"/>
    <n v="2439.9899999999998"/>
    <n v="2.93"/>
    <n v="4.54"/>
    <n v="26.58"/>
    <n v="3.28"/>
    <n v="1695.74"/>
  </r>
  <r>
    <x v="403"/>
    <s v="Affiliate Marketing"/>
    <s v="Seasonal Promotion"/>
    <s v="Add-on Service"/>
    <n v="4878"/>
    <n v="238"/>
    <n v="22"/>
    <n v="302.55"/>
    <n v="2316.9299999999998"/>
    <n v="4.88"/>
    <n v="9.24"/>
    <n v="13.75"/>
    <n v="7.66"/>
    <n v="2014.38"/>
  </r>
  <r>
    <x v="403"/>
    <s v="Referral"/>
    <s v="Product Launch"/>
    <s v="Starter Kit"/>
    <n v="5284"/>
    <n v="349"/>
    <n v="59"/>
    <n v="160.91"/>
    <n v="9200.35"/>
    <n v="6.6"/>
    <n v="16.91"/>
    <n v="2.73"/>
    <n v="57.18"/>
    <n v="9039.44"/>
  </r>
  <r>
    <x v="404"/>
    <s v="Google Ads"/>
    <s v="Seasonal Promotion"/>
    <s v="Premium Plan"/>
    <n v="6411"/>
    <n v="292"/>
    <n v="30"/>
    <n v="604.96"/>
    <n v="5310"/>
    <n v="4.55"/>
    <n v="10.27"/>
    <n v="20.170000000000002"/>
    <n v="8.7799999999999994"/>
    <n v="4705.04"/>
  </r>
  <r>
    <x v="404"/>
    <s v="Facebook Ads"/>
    <s v="Retargeting"/>
    <s v="Premium Plan"/>
    <n v="8541"/>
    <n v="201"/>
    <n v="14"/>
    <n v="368.38"/>
    <n v="1762.72"/>
    <n v="2.35"/>
    <n v="6.97"/>
    <n v="26.31"/>
    <n v="4.79"/>
    <n v="1394.34"/>
  </r>
  <r>
    <x v="404"/>
    <s v="Instagram Ads"/>
    <s v="Product Launch"/>
    <s v="Starter Kit"/>
    <n v="8240"/>
    <n v="233"/>
    <n v="14"/>
    <n v="528.17999999999995"/>
    <n v="1409.2"/>
    <n v="2.83"/>
    <n v="6.01"/>
    <n v="37.729999999999997"/>
    <n v="2.67"/>
    <n v="881.02"/>
  </r>
  <r>
    <x v="404"/>
    <s v="LinkedIn Ads"/>
    <s v="Lead Generation"/>
    <s v="Starter Kit"/>
    <n v="2053"/>
    <n v="45"/>
    <n v="5"/>
    <n v="629.11"/>
    <n v="1349.69"/>
    <n v="2.19"/>
    <n v="11.11"/>
    <n v="125.82"/>
    <n v="2.15"/>
    <n v="720.58"/>
  </r>
  <r>
    <x v="404"/>
    <s v="Email Marketing"/>
    <s v="Brand Awareness"/>
    <s v="Add-on Service"/>
    <n v="14005"/>
    <n v="2286"/>
    <n v="269"/>
    <n v="161.47"/>
    <n v="29813.08"/>
    <n v="16.32"/>
    <n v="11.77"/>
    <n v="0.6"/>
    <n v="184.64"/>
    <n v="29651.61"/>
  </r>
  <r>
    <x v="404"/>
    <s v="Organic Search"/>
    <s v="Product Launch"/>
    <s v="Starter Kit"/>
    <n v="13761"/>
    <n v="759"/>
    <n v="110"/>
    <n v="0"/>
    <n v="16801.03"/>
    <n v="5.52"/>
    <n v="14.49"/>
    <n v="0"/>
    <n v="0"/>
    <n v="16801.03"/>
  </r>
  <r>
    <x v="404"/>
    <s v="Display Ads"/>
    <s v="Product Launch"/>
    <s v="Premium Plan"/>
    <n v="16119"/>
    <n v="239"/>
    <n v="5"/>
    <n v="758.39"/>
    <n v="395.77"/>
    <n v="1.48"/>
    <n v="2.09"/>
    <n v="151.68"/>
    <n v="0.52"/>
    <n v="-362.62"/>
  </r>
  <r>
    <x v="404"/>
    <s v="YouTube Ads"/>
    <s v="Brand Awareness"/>
    <s v="Premium Plan"/>
    <n v="9034"/>
    <n v="243"/>
    <n v="10"/>
    <n v="750.94"/>
    <n v="1325.35"/>
    <n v="2.69"/>
    <n v="4.12"/>
    <n v="75.09"/>
    <n v="1.76"/>
    <n v="574.41"/>
  </r>
  <r>
    <x v="404"/>
    <s v="Twitter Ads"/>
    <s v="Seasonal Promotion"/>
    <s v="Basic Plan"/>
    <n v="4787"/>
    <n v="101"/>
    <n v="4"/>
    <n v="330.31"/>
    <n v="344.33"/>
    <n v="2.11"/>
    <n v="3.96"/>
    <n v="82.58"/>
    <n v="1.04"/>
    <n v="14.02"/>
  </r>
  <r>
    <x v="404"/>
    <s v="TikTok Ads"/>
    <s v="Product Launch"/>
    <s v="Basic Plan"/>
    <n v="15190"/>
    <n v="533"/>
    <n v="17"/>
    <n v="607.82000000000005"/>
    <n v="1308.53"/>
    <n v="3.51"/>
    <n v="3.19"/>
    <n v="35.75"/>
    <n v="2.15"/>
    <n v="700.71"/>
  </r>
  <r>
    <x v="404"/>
    <s v="Affiliate Marketing"/>
    <s v="Lead Generation"/>
    <s v="Enterprise Plan"/>
    <n v="3709"/>
    <n v="190"/>
    <n v="17"/>
    <n v="217.32"/>
    <n v="2190.4699999999998"/>
    <n v="5.12"/>
    <n v="8.9499999999999993"/>
    <n v="12.78"/>
    <n v="10.08"/>
    <n v="1973.15"/>
  </r>
  <r>
    <x v="404"/>
    <s v="Referral"/>
    <s v="Brand Awareness"/>
    <s v="Basic Plan"/>
    <n v="3483"/>
    <n v="337"/>
    <n v="57"/>
    <n v="36.22"/>
    <n v="8178.34"/>
    <n v="9.68"/>
    <n v="16.91"/>
    <n v="0.64"/>
    <n v="225.8"/>
    <n v="8142.12"/>
  </r>
  <r>
    <x v="405"/>
    <s v="Google Ads"/>
    <s v="Product Launch"/>
    <s v="Starter Kit"/>
    <n v="8697"/>
    <n v="349"/>
    <n v="37"/>
    <n v="831.22"/>
    <n v="4871.8"/>
    <n v="4.01"/>
    <n v="10.6"/>
    <n v="22.47"/>
    <n v="5.86"/>
    <n v="4040.58"/>
  </r>
  <r>
    <x v="405"/>
    <s v="Facebook Ads"/>
    <s v="Flash Sale"/>
    <s v="Basic Plan"/>
    <n v="10256"/>
    <n v="309"/>
    <n v="20"/>
    <n v="573.61"/>
    <n v="2233.34"/>
    <n v="3.01"/>
    <n v="6.47"/>
    <n v="28.68"/>
    <n v="3.89"/>
    <n v="1659.73"/>
  </r>
  <r>
    <x v="405"/>
    <s v="Instagram Ads"/>
    <s v="Brand Awareness"/>
    <s v="Add-on Service"/>
    <n v="7234"/>
    <n v="228"/>
    <n v="11"/>
    <n v="411.8"/>
    <n v="1243.9000000000001"/>
    <n v="3.15"/>
    <n v="4.82"/>
    <n v="37.44"/>
    <n v="3.02"/>
    <n v="832.1"/>
  </r>
  <r>
    <x v="405"/>
    <s v="LinkedIn Ads"/>
    <s v="Product Launch"/>
    <s v="Basic Plan"/>
    <n v="2312"/>
    <n v="61"/>
    <n v="8"/>
    <n v="765.74"/>
    <n v="2031.75"/>
    <n v="2.64"/>
    <n v="13.11"/>
    <n v="95.72"/>
    <n v="2.65"/>
    <n v="1266.01"/>
  </r>
  <r>
    <x v="405"/>
    <s v="Email Marketing"/>
    <s v="Brand Awareness"/>
    <s v="Premium Plan"/>
    <n v="10564"/>
    <n v="2451"/>
    <n v="235"/>
    <n v="85.62"/>
    <n v="26668.49"/>
    <n v="23.2"/>
    <n v="9.59"/>
    <n v="0.36"/>
    <n v="311.48"/>
    <n v="26582.87"/>
  </r>
  <r>
    <x v="405"/>
    <s v="Organic Search"/>
    <s v="Product Launch"/>
    <s v="Starter Kit"/>
    <n v="14546"/>
    <n v="910"/>
    <n v="108"/>
    <n v="0"/>
    <n v="15973.1"/>
    <n v="6.26"/>
    <n v="11.87"/>
    <n v="0"/>
    <n v="0"/>
    <n v="15973.1"/>
  </r>
  <r>
    <x v="405"/>
    <s v="Display Ads"/>
    <s v="Brand Awareness"/>
    <s v="Enterprise Plan"/>
    <n v="19711"/>
    <n v="295"/>
    <n v="8"/>
    <n v="765.22"/>
    <n v="832.94"/>
    <n v="1.5"/>
    <n v="2.71"/>
    <n v="95.65"/>
    <n v="1.0900000000000001"/>
    <n v="67.72"/>
  </r>
  <r>
    <x v="405"/>
    <s v="YouTube Ads"/>
    <s v="Lead Generation"/>
    <s v="Starter Kit"/>
    <n v="12549"/>
    <n v="195"/>
    <n v="8"/>
    <n v="800.44"/>
    <n v="1045.54"/>
    <n v="1.55"/>
    <n v="4.0999999999999996"/>
    <n v="100.06"/>
    <n v="1.31"/>
    <n v="245.1"/>
  </r>
  <r>
    <x v="405"/>
    <s v="Twitter Ads"/>
    <s v="Product Launch"/>
    <s v="Enterprise Plan"/>
    <n v="6410"/>
    <n v="199"/>
    <n v="9"/>
    <n v="355.25"/>
    <n v="897.21"/>
    <n v="3.1"/>
    <n v="4.5199999999999996"/>
    <n v="39.47"/>
    <n v="2.5299999999999998"/>
    <n v="541.96"/>
  </r>
  <r>
    <x v="405"/>
    <s v="TikTok Ads"/>
    <s v="Retargeting"/>
    <s v="Premium Plan"/>
    <n v="13352"/>
    <n v="520"/>
    <n v="35"/>
    <n v="485.03"/>
    <n v="2904.77"/>
    <n v="3.89"/>
    <n v="6.73"/>
    <n v="13.86"/>
    <n v="5.99"/>
    <n v="2419.7399999999998"/>
  </r>
  <r>
    <x v="405"/>
    <s v="Affiliate Marketing"/>
    <s v="Brand Awareness"/>
    <s v="Basic Plan"/>
    <n v="4072"/>
    <n v="187"/>
    <n v="22"/>
    <n v="271.08"/>
    <n v="3449.8"/>
    <n v="4.59"/>
    <n v="11.76"/>
    <n v="12.32"/>
    <n v="12.73"/>
    <n v="3178.72"/>
  </r>
  <r>
    <x v="405"/>
    <s v="Referral"/>
    <s v="Lead Generation"/>
    <s v="Add-on Service"/>
    <n v="1921"/>
    <n v="186"/>
    <n v="28"/>
    <n v="89.95"/>
    <n v="4062.65"/>
    <n v="9.68"/>
    <n v="15.05"/>
    <n v="3.21"/>
    <n v="45.17"/>
    <n v="3972.7"/>
  </r>
  <r>
    <x v="406"/>
    <s v="Google Ads"/>
    <s v="Seasonal Promotion"/>
    <s v="Basic Plan"/>
    <n v="10588"/>
    <n v="356"/>
    <n v="39"/>
    <n v="879.29"/>
    <n v="4751.38"/>
    <n v="3.36"/>
    <n v="10.96"/>
    <n v="22.55"/>
    <n v="5.4"/>
    <n v="3872.09"/>
  </r>
  <r>
    <x v="406"/>
    <s v="Facebook Ads"/>
    <s v="Retargeting"/>
    <s v="Add-on Service"/>
    <n v="15587"/>
    <n v="535"/>
    <n v="45"/>
    <n v="843.07"/>
    <n v="4813.41"/>
    <n v="3.43"/>
    <n v="8.41"/>
    <n v="18.73"/>
    <n v="5.71"/>
    <n v="3970.34"/>
  </r>
  <r>
    <x v="406"/>
    <s v="Instagram Ads"/>
    <s v="Seasonal Promotion"/>
    <s v="Starter Kit"/>
    <n v="10983"/>
    <n v="351"/>
    <n v="16"/>
    <n v="495.36"/>
    <n v="1555.84"/>
    <n v="3.2"/>
    <n v="4.5599999999999996"/>
    <n v="30.96"/>
    <n v="3.14"/>
    <n v="1060.48"/>
  </r>
  <r>
    <x v="406"/>
    <s v="LinkedIn Ads"/>
    <s v="Brand Awareness"/>
    <s v="Enterprise Plan"/>
    <n v="4113"/>
    <n v="79"/>
    <n v="10"/>
    <n v="1021.54"/>
    <n v="2212.6999999999998"/>
    <n v="1.92"/>
    <n v="12.66"/>
    <n v="102.15"/>
    <n v="2.17"/>
    <n v="1191.1600000000001"/>
  </r>
  <r>
    <x v="406"/>
    <s v="Email Marketing"/>
    <s v="Brand Awareness"/>
    <s v="Enterprise Plan"/>
    <n v="15740"/>
    <n v="2703"/>
    <n v="244"/>
    <n v="248.67"/>
    <n v="29260.33"/>
    <n v="17.170000000000002"/>
    <n v="9.0299999999999994"/>
    <n v="1.02"/>
    <n v="117.67"/>
    <n v="29011.66"/>
  </r>
  <r>
    <x v="406"/>
    <s v="Organic Search"/>
    <s v="Retargeting"/>
    <s v="Add-on Service"/>
    <n v="28798"/>
    <n v="1853"/>
    <n v="277"/>
    <n v="0"/>
    <n v="38220.519999999997"/>
    <n v="6.43"/>
    <n v="14.95"/>
    <n v="0"/>
    <n v="0"/>
    <n v="38220.519999999997"/>
  </r>
  <r>
    <x v="406"/>
    <s v="Display Ads"/>
    <s v="Retargeting"/>
    <s v="Premium Plan"/>
    <n v="29456"/>
    <n v="491"/>
    <n v="17"/>
    <n v="859.97"/>
    <n v="1914.64"/>
    <n v="1.67"/>
    <n v="3.46"/>
    <n v="50.59"/>
    <n v="2.23"/>
    <n v="1054.67"/>
  </r>
  <r>
    <x v="406"/>
    <s v="YouTube Ads"/>
    <s v="Retargeting"/>
    <s v="Premium Plan"/>
    <n v="14643"/>
    <n v="436"/>
    <n v="28"/>
    <n v="1184.43"/>
    <n v="3364.39"/>
    <n v="2.98"/>
    <n v="6.42"/>
    <n v="42.3"/>
    <n v="2.84"/>
    <n v="2179.96"/>
  </r>
  <r>
    <x v="406"/>
    <s v="Twitter Ads"/>
    <s v="Retargeting"/>
    <s v="Basic Plan"/>
    <n v="10696"/>
    <n v="326"/>
    <n v="17"/>
    <n v="457.39"/>
    <n v="1619.53"/>
    <n v="3.05"/>
    <n v="5.21"/>
    <n v="26.91"/>
    <n v="3.54"/>
    <n v="1162.1400000000001"/>
  </r>
  <r>
    <x v="406"/>
    <s v="TikTok Ads"/>
    <s v="Brand Awareness"/>
    <s v="Enterprise Plan"/>
    <n v="21062"/>
    <n v="767"/>
    <n v="33"/>
    <n v="915.7"/>
    <n v="2732.42"/>
    <n v="3.64"/>
    <n v="4.3"/>
    <n v="27.75"/>
    <n v="2.98"/>
    <n v="1816.72"/>
  </r>
  <r>
    <x v="406"/>
    <s v="Affiliate Marketing"/>
    <s v="Seasonal Promotion"/>
    <s v="Add-on Service"/>
    <n v="8455"/>
    <n v="538"/>
    <n v="56"/>
    <n v="391.12"/>
    <n v="6947.78"/>
    <n v="6.36"/>
    <n v="10.41"/>
    <n v="6.98"/>
    <n v="17.760000000000002"/>
    <n v="6556.66"/>
  </r>
  <r>
    <x v="406"/>
    <s v="Referral"/>
    <s v="Flash Sale"/>
    <s v="Premium Plan"/>
    <n v="3353"/>
    <n v="184"/>
    <n v="22"/>
    <n v="47.09"/>
    <n v="3779.31"/>
    <n v="5.49"/>
    <n v="11.96"/>
    <n v="2.14"/>
    <n v="80.260000000000005"/>
    <n v="3732.22"/>
  </r>
  <r>
    <x v="407"/>
    <s v="Google Ads"/>
    <s v="Lead Generation"/>
    <s v="Add-on Service"/>
    <n v="9739"/>
    <n v="341"/>
    <n v="39"/>
    <n v="929.78"/>
    <n v="6312.42"/>
    <n v="3.5"/>
    <n v="11.44"/>
    <n v="23.84"/>
    <n v="6.79"/>
    <n v="5382.64"/>
  </r>
  <r>
    <x v="407"/>
    <s v="Facebook Ads"/>
    <s v="Flash Sale"/>
    <s v="Basic Plan"/>
    <n v="14148"/>
    <n v="459"/>
    <n v="40"/>
    <n v="587.25"/>
    <n v="5176.3999999999996"/>
    <n v="3.24"/>
    <n v="8.7100000000000009"/>
    <n v="14.68"/>
    <n v="8.81"/>
    <n v="4589.1499999999996"/>
  </r>
  <r>
    <x v="407"/>
    <s v="Instagram Ads"/>
    <s v="Product Launch"/>
    <s v="Add-on Service"/>
    <n v="14165"/>
    <n v="560"/>
    <n v="40"/>
    <n v="665.81"/>
    <n v="4609.54"/>
    <n v="3.95"/>
    <n v="7.14"/>
    <n v="16.649999999999999"/>
    <n v="6.92"/>
    <n v="3943.73"/>
  </r>
  <r>
    <x v="407"/>
    <s v="LinkedIn Ads"/>
    <s v="Retargeting"/>
    <s v="Starter Kit"/>
    <n v="4979"/>
    <n v="136"/>
    <n v="14"/>
    <n v="850.38"/>
    <n v="3065.54"/>
    <n v="2.73"/>
    <n v="10.29"/>
    <n v="60.74"/>
    <n v="3.6"/>
    <n v="2215.16"/>
  </r>
  <r>
    <x v="407"/>
    <s v="Email Marketing"/>
    <s v="Brand Awareness"/>
    <s v="Add-on Service"/>
    <n v="18675"/>
    <n v="4443"/>
    <n v="374"/>
    <n v="201.3"/>
    <n v="55369.38"/>
    <n v="23.79"/>
    <n v="8.42"/>
    <n v="0.54"/>
    <n v="275.06"/>
    <n v="55168.08"/>
  </r>
  <r>
    <x v="407"/>
    <s v="Organic Search"/>
    <s v="Lead Generation"/>
    <s v="Basic Plan"/>
    <n v="22045"/>
    <n v="1372"/>
    <n v="213"/>
    <n v="0"/>
    <n v="24117.65"/>
    <n v="6.22"/>
    <n v="15.52"/>
    <n v="0"/>
    <n v="0"/>
    <n v="24117.65"/>
  </r>
  <r>
    <x v="407"/>
    <s v="Display Ads"/>
    <s v="Product Launch"/>
    <s v="Add-on Service"/>
    <n v="32073"/>
    <n v="594"/>
    <n v="21"/>
    <n v="702.12"/>
    <n v="2511.79"/>
    <n v="1.85"/>
    <n v="3.54"/>
    <n v="33.43"/>
    <n v="3.58"/>
    <n v="1809.67"/>
  </r>
  <r>
    <x v="407"/>
    <s v="YouTube Ads"/>
    <s v="Lead Generation"/>
    <s v="Basic Plan"/>
    <n v="13460"/>
    <n v="211"/>
    <n v="15"/>
    <n v="681.94"/>
    <n v="1752.15"/>
    <n v="1.57"/>
    <n v="7.11"/>
    <n v="45.46"/>
    <n v="2.57"/>
    <n v="1070.21"/>
  </r>
  <r>
    <x v="407"/>
    <s v="Twitter Ads"/>
    <s v="Seasonal Promotion"/>
    <s v="Starter Kit"/>
    <n v="7438"/>
    <n v="257"/>
    <n v="11"/>
    <n v="344.52"/>
    <n v="1177.05"/>
    <n v="3.46"/>
    <n v="4.28"/>
    <n v="31.32"/>
    <n v="3.42"/>
    <n v="832.53"/>
  </r>
  <r>
    <x v="407"/>
    <s v="TikTok Ads"/>
    <s v="Seasonal Promotion"/>
    <s v="Starter Kit"/>
    <n v="25226"/>
    <n v="1039"/>
    <n v="32"/>
    <n v="933.46"/>
    <n v="2430.37"/>
    <n v="4.12"/>
    <n v="3.08"/>
    <n v="29.17"/>
    <n v="2.6"/>
    <n v="1496.91"/>
  </r>
  <r>
    <x v="407"/>
    <s v="Affiliate Marketing"/>
    <s v="Brand Awareness"/>
    <s v="Premium Plan"/>
    <n v="4781"/>
    <n v="304"/>
    <n v="30"/>
    <n v="291.97000000000003"/>
    <n v="4118.8"/>
    <n v="6.36"/>
    <n v="9.8699999999999992"/>
    <n v="9.73"/>
    <n v="14.11"/>
    <n v="3826.83"/>
  </r>
  <r>
    <x v="407"/>
    <s v="Referral"/>
    <s v="Retargeting"/>
    <s v="Add-on Service"/>
    <n v="3574"/>
    <n v="242"/>
    <n v="40"/>
    <n v="54.83"/>
    <n v="6859.86"/>
    <n v="6.77"/>
    <n v="16.53"/>
    <n v="1.37"/>
    <n v="125.11"/>
    <n v="6805.03"/>
  </r>
  <r>
    <x v="408"/>
    <s v="Google Ads"/>
    <s v="Product Launch"/>
    <s v="Basic Plan"/>
    <n v="9058"/>
    <n v="324"/>
    <n v="26"/>
    <n v="1190.44"/>
    <n v="4299.2"/>
    <n v="3.58"/>
    <n v="8.02"/>
    <n v="45.79"/>
    <n v="3.61"/>
    <n v="3108.76"/>
  </r>
  <r>
    <x v="408"/>
    <s v="Facebook Ads"/>
    <s v="Brand Awareness"/>
    <s v="Premium Plan"/>
    <n v="15975"/>
    <n v="485"/>
    <n v="32"/>
    <n v="686.33"/>
    <n v="3737.11"/>
    <n v="3.04"/>
    <n v="6.6"/>
    <n v="21.45"/>
    <n v="5.45"/>
    <n v="3050.78"/>
  </r>
  <r>
    <x v="408"/>
    <s v="Instagram Ads"/>
    <s v="Retargeting"/>
    <s v="Enterprise Plan"/>
    <n v="12570"/>
    <n v="355"/>
    <n v="16"/>
    <n v="506.54"/>
    <n v="1957.38"/>
    <n v="2.82"/>
    <n v="4.51"/>
    <n v="31.66"/>
    <n v="3.86"/>
    <n v="1450.84"/>
  </r>
  <r>
    <x v="408"/>
    <s v="LinkedIn Ads"/>
    <s v="Seasonal Promotion"/>
    <s v="Enterprise Plan"/>
    <n v="4181"/>
    <n v="65"/>
    <n v="8"/>
    <n v="995.08"/>
    <n v="2185.33"/>
    <n v="1.55"/>
    <n v="12.31"/>
    <n v="124.38"/>
    <n v="2.2000000000000002"/>
    <n v="1190.25"/>
  </r>
  <r>
    <x v="408"/>
    <s v="Email Marketing"/>
    <s v="Flash Sale"/>
    <s v="Starter Kit"/>
    <n v="18992"/>
    <n v="3498"/>
    <n v="442"/>
    <n v="254.03"/>
    <n v="56683.94"/>
    <n v="18.420000000000002"/>
    <n v="12.64"/>
    <n v="0.56999999999999995"/>
    <n v="223.14"/>
    <n v="56429.91"/>
  </r>
  <r>
    <x v="408"/>
    <s v="Organic Search"/>
    <s v="Product Launch"/>
    <s v="Basic Plan"/>
    <n v="21207"/>
    <n v="1400"/>
    <n v="194"/>
    <n v="0"/>
    <n v="24881.42"/>
    <n v="6.6"/>
    <n v="13.86"/>
    <n v="0"/>
    <n v="0"/>
    <n v="24881.42"/>
  </r>
  <r>
    <x v="408"/>
    <s v="Display Ads"/>
    <s v="Seasonal Promotion"/>
    <s v="Add-on Service"/>
    <n v="28561"/>
    <n v="468"/>
    <n v="19"/>
    <n v="758.83"/>
    <n v="2000.06"/>
    <n v="1.64"/>
    <n v="4.0599999999999996"/>
    <n v="39.94"/>
    <n v="2.64"/>
    <n v="1241.23"/>
  </r>
  <r>
    <x v="408"/>
    <s v="YouTube Ads"/>
    <s v="Product Launch"/>
    <s v="Premium Plan"/>
    <n v="20884"/>
    <n v="378"/>
    <n v="18"/>
    <n v="999.56"/>
    <n v="2286.66"/>
    <n v="1.81"/>
    <n v="4.76"/>
    <n v="55.53"/>
    <n v="2.29"/>
    <n v="1287.0999999999999"/>
  </r>
  <r>
    <x v="408"/>
    <s v="Twitter Ads"/>
    <s v="Lead Generation"/>
    <s v="Add-on Service"/>
    <n v="7253"/>
    <n v="251"/>
    <n v="11"/>
    <n v="347.07"/>
    <n v="875.9"/>
    <n v="3.46"/>
    <n v="4.38"/>
    <n v="31.55"/>
    <n v="2.52"/>
    <n v="528.83000000000004"/>
  </r>
  <r>
    <x v="408"/>
    <s v="TikTok Ads"/>
    <s v="Seasonal Promotion"/>
    <s v="Premium Plan"/>
    <n v="16175"/>
    <n v="422"/>
    <n v="17"/>
    <n v="930.83"/>
    <n v="1534.69"/>
    <n v="2.61"/>
    <n v="4.03"/>
    <n v="54.75"/>
    <n v="1.65"/>
    <n v="603.86"/>
  </r>
  <r>
    <x v="408"/>
    <s v="Affiliate Marketing"/>
    <s v="Product Launch"/>
    <s v="Premium Plan"/>
    <n v="6656"/>
    <n v="374"/>
    <n v="37"/>
    <n v="323.75"/>
    <n v="5972.93"/>
    <n v="5.62"/>
    <n v="9.89"/>
    <n v="8.75"/>
    <n v="18.45"/>
    <n v="5649.18"/>
  </r>
  <r>
    <x v="408"/>
    <s v="Referral"/>
    <s v="Retargeting"/>
    <s v="Premium Plan"/>
    <n v="3475"/>
    <n v="263"/>
    <n v="31"/>
    <n v="142.52000000000001"/>
    <n v="5571.33"/>
    <n v="7.57"/>
    <n v="11.79"/>
    <n v="4.5999999999999996"/>
    <n v="39.090000000000003"/>
    <n v="5428.81"/>
  </r>
  <r>
    <x v="409"/>
    <s v="Google Ads"/>
    <s v="Lead Generation"/>
    <s v="Add-on Service"/>
    <n v="10470"/>
    <n v="351"/>
    <n v="29"/>
    <n v="814.92"/>
    <n v="4679.12"/>
    <n v="3.35"/>
    <n v="8.26"/>
    <n v="28.1"/>
    <n v="5.74"/>
    <n v="3864.2"/>
  </r>
  <r>
    <x v="409"/>
    <s v="Facebook Ads"/>
    <s v="Product Launch"/>
    <s v="Starter Kit"/>
    <n v="13588"/>
    <n v="481"/>
    <n v="34"/>
    <n v="929.91"/>
    <n v="3663.06"/>
    <n v="3.54"/>
    <n v="7.07"/>
    <n v="27.35"/>
    <n v="3.94"/>
    <n v="2733.15"/>
  </r>
  <r>
    <x v="409"/>
    <s v="Instagram Ads"/>
    <s v="Lead Generation"/>
    <s v="Add-on Service"/>
    <n v="13475"/>
    <n v="361"/>
    <n v="17"/>
    <n v="769.8"/>
    <n v="1844.75"/>
    <n v="2.68"/>
    <n v="4.71"/>
    <n v="45.28"/>
    <n v="2.4"/>
    <n v="1074.95"/>
  </r>
  <r>
    <x v="409"/>
    <s v="LinkedIn Ads"/>
    <s v="Seasonal Promotion"/>
    <s v="Enterprise Plan"/>
    <n v="4062"/>
    <n v="79"/>
    <n v="8"/>
    <n v="1234.08"/>
    <n v="2796.78"/>
    <n v="1.94"/>
    <n v="10.130000000000001"/>
    <n v="154.26"/>
    <n v="2.27"/>
    <n v="1562.7"/>
  </r>
  <r>
    <x v="409"/>
    <s v="Email Marketing"/>
    <s v="Flash Sale"/>
    <s v="Enterprise Plan"/>
    <n v="16905"/>
    <n v="3977"/>
    <n v="390"/>
    <n v="206.76"/>
    <n v="42494.37"/>
    <n v="23.53"/>
    <n v="9.81"/>
    <n v="0.53"/>
    <n v="205.53"/>
    <n v="42287.61"/>
  </r>
  <r>
    <x v="409"/>
    <s v="Organic Search"/>
    <s v="Flash Sale"/>
    <s v="Enterprise Plan"/>
    <n v="17535"/>
    <n v="1187"/>
    <n v="155"/>
    <n v="0"/>
    <n v="23719.26"/>
    <n v="6.77"/>
    <n v="13.06"/>
    <n v="0"/>
    <n v="0"/>
    <n v="23719.26"/>
  </r>
  <r>
    <x v="409"/>
    <s v="Display Ads"/>
    <s v="Flash Sale"/>
    <s v="Starter Kit"/>
    <n v="21883"/>
    <n v="404"/>
    <n v="17"/>
    <n v="740.09"/>
    <n v="2008.44"/>
    <n v="1.85"/>
    <n v="4.21"/>
    <n v="43.53"/>
    <n v="2.71"/>
    <n v="1268.3499999999999"/>
  </r>
  <r>
    <x v="409"/>
    <s v="YouTube Ads"/>
    <s v="Product Launch"/>
    <s v="Basic Plan"/>
    <n v="20910"/>
    <n v="320"/>
    <n v="19"/>
    <n v="929.14"/>
    <n v="2362.1799999999998"/>
    <n v="1.53"/>
    <n v="5.94"/>
    <n v="48.9"/>
    <n v="2.54"/>
    <n v="1433.04"/>
  </r>
  <r>
    <x v="409"/>
    <s v="Twitter Ads"/>
    <s v="Flash Sale"/>
    <s v="Enterprise Plan"/>
    <n v="10319"/>
    <n v="243"/>
    <n v="13"/>
    <n v="479.64"/>
    <n v="1138.96"/>
    <n v="2.35"/>
    <n v="5.35"/>
    <n v="36.9"/>
    <n v="2.37"/>
    <n v="659.32"/>
  </r>
  <r>
    <x v="409"/>
    <s v="TikTok Ads"/>
    <s v="Product Launch"/>
    <s v="Basic Plan"/>
    <n v="21538"/>
    <n v="565"/>
    <n v="34"/>
    <n v="806.06"/>
    <n v="3196.11"/>
    <n v="2.62"/>
    <n v="6.02"/>
    <n v="23.71"/>
    <n v="3.97"/>
    <n v="2390.0500000000002"/>
  </r>
  <r>
    <x v="409"/>
    <s v="Affiliate Marketing"/>
    <s v="Retargeting"/>
    <s v="Add-on Service"/>
    <n v="6600"/>
    <n v="419"/>
    <n v="37"/>
    <n v="540.34"/>
    <n v="4416.43"/>
    <n v="6.35"/>
    <n v="8.83"/>
    <n v="14.6"/>
    <n v="8.17"/>
    <n v="3876.09"/>
  </r>
  <r>
    <x v="409"/>
    <s v="Referral"/>
    <s v="Product Launch"/>
    <s v="Premium Plan"/>
    <n v="4448"/>
    <n v="249"/>
    <n v="33"/>
    <n v="42.65"/>
    <n v="4893.2"/>
    <n v="5.6"/>
    <n v="13.25"/>
    <n v="1.29"/>
    <n v="114.73"/>
    <n v="4850.55"/>
  </r>
  <r>
    <x v="410"/>
    <s v="Google Ads"/>
    <s v="Flash Sale"/>
    <s v="Basic Plan"/>
    <n v="10863"/>
    <n v="436"/>
    <n v="40"/>
    <n v="765.49"/>
    <n v="4692.29"/>
    <n v="4.01"/>
    <n v="9.17"/>
    <n v="19.14"/>
    <n v="6.13"/>
    <n v="3926.8"/>
  </r>
  <r>
    <x v="410"/>
    <s v="Facebook Ads"/>
    <s v="Flash Sale"/>
    <s v="Premium Plan"/>
    <n v="12927"/>
    <n v="391"/>
    <n v="26"/>
    <n v="737.56"/>
    <n v="3140.81"/>
    <n v="3.02"/>
    <n v="6.65"/>
    <n v="28.37"/>
    <n v="4.26"/>
    <n v="2403.25"/>
  </r>
  <r>
    <x v="410"/>
    <s v="Instagram Ads"/>
    <s v="Seasonal Promotion"/>
    <s v="Starter Kit"/>
    <n v="10147"/>
    <n v="432"/>
    <n v="21"/>
    <n v="711.69"/>
    <n v="2323.5100000000002"/>
    <n v="4.26"/>
    <n v="4.8600000000000003"/>
    <n v="33.89"/>
    <n v="3.26"/>
    <n v="1611.82"/>
  </r>
  <r>
    <x v="410"/>
    <s v="LinkedIn Ads"/>
    <s v="Brand Awareness"/>
    <s v="Premium Plan"/>
    <n v="5025"/>
    <n v="105"/>
    <n v="12"/>
    <n v="784.6"/>
    <n v="3715.06"/>
    <n v="2.09"/>
    <n v="11.43"/>
    <n v="65.38"/>
    <n v="4.7300000000000004"/>
    <n v="2930.46"/>
  </r>
  <r>
    <x v="410"/>
    <s v="Email Marketing"/>
    <s v="Flash Sale"/>
    <s v="Basic Plan"/>
    <n v="20293"/>
    <n v="3182"/>
    <n v="296"/>
    <n v="104.1"/>
    <n v="36905.58"/>
    <n v="15.68"/>
    <n v="9.3000000000000007"/>
    <n v="0.35"/>
    <n v="354.52"/>
    <n v="36801.480000000003"/>
  </r>
  <r>
    <x v="410"/>
    <s v="Organic Search"/>
    <s v="Retargeting"/>
    <s v="Add-on Service"/>
    <n v="18650"/>
    <n v="1440"/>
    <n v="165"/>
    <n v="0"/>
    <n v="24843.31"/>
    <n v="7.72"/>
    <n v="11.46"/>
    <n v="0"/>
    <n v="0"/>
    <n v="24843.31"/>
  </r>
  <r>
    <x v="410"/>
    <s v="Display Ads"/>
    <s v="Flash Sale"/>
    <s v="Starter Kit"/>
    <n v="26796"/>
    <n v="320"/>
    <n v="13"/>
    <n v="810.8"/>
    <n v="1540.68"/>
    <n v="1.19"/>
    <n v="4.0599999999999996"/>
    <n v="62.37"/>
    <n v="1.9"/>
    <n v="729.88"/>
  </r>
  <r>
    <x v="410"/>
    <s v="YouTube Ads"/>
    <s v="Retargeting"/>
    <s v="Add-on Service"/>
    <n v="19104"/>
    <n v="365"/>
    <n v="23"/>
    <n v="925.06"/>
    <n v="3314.47"/>
    <n v="1.91"/>
    <n v="6.3"/>
    <n v="40.22"/>
    <n v="3.58"/>
    <n v="2389.41"/>
  </r>
  <r>
    <x v="410"/>
    <s v="Twitter Ads"/>
    <s v="Brand Awareness"/>
    <s v="Premium Plan"/>
    <n v="10066"/>
    <n v="345"/>
    <n v="18"/>
    <n v="392.78"/>
    <n v="1625.26"/>
    <n v="3.43"/>
    <n v="5.22"/>
    <n v="21.82"/>
    <n v="4.1399999999999997"/>
    <n v="1232.48"/>
  </r>
  <r>
    <x v="410"/>
    <s v="TikTok Ads"/>
    <s v="Seasonal Promotion"/>
    <s v="Premium Plan"/>
    <n v="20785"/>
    <n v="712"/>
    <n v="30"/>
    <n v="609.35"/>
    <n v="2383.19"/>
    <n v="3.43"/>
    <n v="4.21"/>
    <n v="20.309999999999999"/>
    <n v="3.91"/>
    <n v="1773.84"/>
  </r>
  <r>
    <x v="410"/>
    <s v="Affiliate Marketing"/>
    <s v="Flash Sale"/>
    <s v="Starter Kit"/>
    <n v="7004"/>
    <n v="417"/>
    <n v="42"/>
    <n v="532.46"/>
    <n v="4739.34"/>
    <n v="5.95"/>
    <n v="10.07"/>
    <n v="12.68"/>
    <n v="8.9"/>
    <n v="4206.88"/>
  </r>
  <r>
    <x v="410"/>
    <s v="Referral"/>
    <s v="Flash Sale"/>
    <s v="Premium Plan"/>
    <n v="2708"/>
    <n v="246"/>
    <n v="37"/>
    <n v="121.65"/>
    <n v="5071.88"/>
    <n v="9.08"/>
    <n v="15.04"/>
    <n v="3.29"/>
    <n v="41.69"/>
    <n v="4950.2299999999996"/>
  </r>
  <r>
    <x v="411"/>
    <s v="Google Ads"/>
    <s v="Product Launch"/>
    <s v="Starter Kit"/>
    <n v="7193"/>
    <n v="220"/>
    <n v="17"/>
    <n v="800.03"/>
    <n v="2143.75"/>
    <n v="3.06"/>
    <n v="7.73"/>
    <n v="47.06"/>
    <n v="2.68"/>
    <n v="1343.72"/>
  </r>
  <r>
    <x v="411"/>
    <s v="Facebook Ads"/>
    <s v="Seasonal Promotion"/>
    <s v="Enterprise Plan"/>
    <n v="11403"/>
    <n v="330"/>
    <n v="27"/>
    <n v="446.96"/>
    <n v="3583.2"/>
    <n v="2.89"/>
    <n v="8.18"/>
    <n v="16.55"/>
    <n v="8.02"/>
    <n v="3136.24"/>
  </r>
  <r>
    <x v="411"/>
    <s v="Instagram Ads"/>
    <s v="Retargeting"/>
    <s v="Basic Plan"/>
    <n v="8184"/>
    <n v="330"/>
    <n v="16"/>
    <n v="456.49"/>
    <n v="1296.9100000000001"/>
    <n v="4.03"/>
    <n v="4.8499999999999996"/>
    <n v="28.53"/>
    <n v="2.84"/>
    <n v="840.42"/>
  </r>
  <r>
    <x v="411"/>
    <s v="LinkedIn Ads"/>
    <s v="Flash Sale"/>
    <s v="Premium Plan"/>
    <n v="2395"/>
    <n v="47"/>
    <n v="4"/>
    <n v="834.27"/>
    <n v="1002.23"/>
    <n v="1.96"/>
    <n v="8.51"/>
    <n v="208.57"/>
    <n v="1.2"/>
    <n v="167.96"/>
  </r>
  <r>
    <x v="411"/>
    <s v="Email Marketing"/>
    <s v="Brand Awareness"/>
    <s v="Starter Kit"/>
    <n v="12511"/>
    <n v="2479"/>
    <n v="240"/>
    <n v="103.74"/>
    <n v="34522.44"/>
    <n v="19.809999999999999"/>
    <n v="9.68"/>
    <n v="0.43"/>
    <n v="332.78"/>
    <n v="34418.699999999997"/>
  </r>
  <r>
    <x v="411"/>
    <s v="Organic Search"/>
    <s v="Product Launch"/>
    <s v="Basic Plan"/>
    <n v="12293"/>
    <n v="824"/>
    <n v="120"/>
    <n v="0"/>
    <n v="15681.47"/>
    <n v="6.7"/>
    <n v="14.56"/>
    <n v="0"/>
    <n v="0"/>
    <n v="15681.47"/>
  </r>
  <r>
    <x v="411"/>
    <s v="Display Ads"/>
    <s v="Retargeting"/>
    <s v="Premium Plan"/>
    <n v="15411"/>
    <n v="274"/>
    <n v="5"/>
    <n v="492.61"/>
    <n v="469.31"/>
    <n v="1.78"/>
    <n v="1.82"/>
    <n v="98.52"/>
    <n v="0.95"/>
    <n v="-23.3"/>
  </r>
  <r>
    <x v="411"/>
    <s v="YouTube Ads"/>
    <s v="Lead Generation"/>
    <s v="Premium Plan"/>
    <n v="12968"/>
    <n v="332"/>
    <n v="20"/>
    <n v="793.69"/>
    <n v="2066.7199999999998"/>
    <n v="2.56"/>
    <n v="6.02"/>
    <n v="39.68"/>
    <n v="2.6"/>
    <n v="1273.03"/>
  </r>
  <r>
    <x v="411"/>
    <s v="Twitter Ads"/>
    <s v="Product Launch"/>
    <s v="Enterprise Plan"/>
    <n v="6261"/>
    <n v="172"/>
    <n v="5"/>
    <n v="435.29"/>
    <n v="499.14"/>
    <n v="2.75"/>
    <n v="2.91"/>
    <n v="87.06"/>
    <n v="1.1499999999999999"/>
    <n v="63.85"/>
  </r>
  <r>
    <x v="411"/>
    <s v="TikTok Ads"/>
    <s v="Lead Generation"/>
    <s v="Premium Plan"/>
    <n v="16009"/>
    <n v="680"/>
    <n v="24"/>
    <n v="405.21"/>
    <n v="1745.14"/>
    <n v="4.25"/>
    <n v="3.53"/>
    <n v="16.88"/>
    <n v="4.3099999999999996"/>
    <n v="1339.93"/>
  </r>
  <r>
    <x v="411"/>
    <s v="Affiliate Marketing"/>
    <s v="Seasonal Promotion"/>
    <s v="Enterprise Plan"/>
    <n v="5893"/>
    <n v="340"/>
    <n v="36"/>
    <n v="279.95"/>
    <n v="3357.25"/>
    <n v="5.77"/>
    <n v="10.59"/>
    <n v="7.78"/>
    <n v="11.99"/>
    <n v="3077.3"/>
  </r>
  <r>
    <x v="411"/>
    <s v="Referral"/>
    <s v="Flash Sale"/>
    <s v="Basic Plan"/>
    <n v="3555"/>
    <n v="198"/>
    <n v="24"/>
    <n v="52.3"/>
    <n v="3511.23"/>
    <n v="5.57"/>
    <n v="12.12"/>
    <n v="2.1800000000000002"/>
    <n v="67.14"/>
    <n v="3458.93"/>
  </r>
  <r>
    <x v="412"/>
    <s v="Google Ads"/>
    <s v="Lead Generation"/>
    <s v="Starter Kit"/>
    <n v="6825"/>
    <n v="239"/>
    <n v="19"/>
    <n v="653.30999999999995"/>
    <n v="3493.86"/>
    <n v="3.5"/>
    <n v="7.95"/>
    <n v="34.380000000000003"/>
    <n v="5.35"/>
    <n v="2840.55"/>
  </r>
  <r>
    <x v="412"/>
    <s v="Facebook Ads"/>
    <s v="Product Launch"/>
    <s v="Premium Plan"/>
    <n v="7441"/>
    <n v="207"/>
    <n v="17"/>
    <n v="601.78"/>
    <n v="1700.8"/>
    <n v="2.78"/>
    <n v="8.2100000000000009"/>
    <n v="35.4"/>
    <n v="2.83"/>
    <n v="1099.02"/>
  </r>
  <r>
    <x v="412"/>
    <s v="Instagram Ads"/>
    <s v="Product Launch"/>
    <s v="Starter Kit"/>
    <n v="9556"/>
    <n v="374"/>
    <n v="15"/>
    <n v="433.26"/>
    <n v="1708.41"/>
    <n v="3.91"/>
    <n v="4.01"/>
    <n v="28.88"/>
    <n v="3.94"/>
    <n v="1275.1500000000001"/>
  </r>
  <r>
    <x v="412"/>
    <s v="LinkedIn Ads"/>
    <s v="Flash Sale"/>
    <s v="Add-on Service"/>
    <n v="2354"/>
    <n v="39"/>
    <n v="4"/>
    <n v="1054.52"/>
    <n v="1307.97"/>
    <n v="1.66"/>
    <n v="10.26"/>
    <n v="263.63"/>
    <n v="1.24"/>
    <n v="253.45"/>
  </r>
  <r>
    <x v="412"/>
    <s v="Email Marketing"/>
    <s v="Lead Generation"/>
    <s v="Premium Plan"/>
    <n v="12844"/>
    <n v="2864"/>
    <n v="338"/>
    <n v="168.66"/>
    <n v="48052.33"/>
    <n v="22.3"/>
    <n v="11.8"/>
    <n v="0.5"/>
    <n v="284.91000000000003"/>
    <n v="47883.67"/>
  </r>
  <r>
    <x v="412"/>
    <s v="Organic Search"/>
    <s v="Lead Generation"/>
    <s v="Starter Kit"/>
    <n v="16808"/>
    <n v="1247"/>
    <n v="143"/>
    <n v="0"/>
    <n v="16924.16"/>
    <n v="7.42"/>
    <n v="11.47"/>
    <n v="0"/>
    <n v="0"/>
    <n v="16924.16"/>
  </r>
  <r>
    <x v="412"/>
    <s v="Display Ads"/>
    <s v="Brand Awareness"/>
    <s v="Enterprise Plan"/>
    <n v="17209"/>
    <n v="207"/>
    <n v="5"/>
    <n v="746"/>
    <n v="416.35"/>
    <n v="1.2"/>
    <n v="2.42"/>
    <n v="149.19999999999999"/>
    <n v="0.56000000000000005"/>
    <n v="-329.65"/>
  </r>
  <r>
    <x v="412"/>
    <s v="YouTube Ads"/>
    <s v="Seasonal Promotion"/>
    <s v="Add-on Service"/>
    <n v="14386"/>
    <n v="354"/>
    <n v="16"/>
    <n v="706.47"/>
    <n v="1854.25"/>
    <n v="2.46"/>
    <n v="4.5199999999999996"/>
    <n v="44.15"/>
    <n v="2.62"/>
    <n v="1147.78"/>
  </r>
  <r>
    <x v="412"/>
    <s v="Twitter Ads"/>
    <s v="Retargeting"/>
    <s v="Basic Plan"/>
    <n v="8298"/>
    <n v="220"/>
    <n v="10"/>
    <n v="430.07"/>
    <n v="1006.77"/>
    <n v="2.65"/>
    <n v="4.55"/>
    <n v="43.01"/>
    <n v="2.34"/>
    <n v="576.70000000000005"/>
  </r>
  <r>
    <x v="412"/>
    <s v="TikTok Ads"/>
    <s v="Seasonal Promotion"/>
    <s v="Basic Plan"/>
    <n v="13350"/>
    <n v="403"/>
    <n v="16"/>
    <n v="554.62"/>
    <n v="1299.81"/>
    <n v="3.02"/>
    <n v="3.97"/>
    <n v="34.659999999999997"/>
    <n v="2.34"/>
    <n v="745.19"/>
  </r>
  <r>
    <x v="412"/>
    <s v="Affiliate Marketing"/>
    <s v="Flash Sale"/>
    <s v="Add-on Service"/>
    <n v="4711"/>
    <n v="246"/>
    <n v="28"/>
    <n v="183.68"/>
    <n v="4094.28"/>
    <n v="5.22"/>
    <n v="11.38"/>
    <n v="6.56"/>
    <n v="22.29"/>
    <n v="3910.6"/>
  </r>
  <r>
    <x v="412"/>
    <s v="Referral"/>
    <s v="Flash Sale"/>
    <s v="Add-on Service"/>
    <n v="3737"/>
    <n v="370"/>
    <n v="45"/>
    <n v="92.51"/>
    <n v="7731.6"/>
    <n v="9.9"/>
    <n v="12.16"/>
    <n v="2.06"/>
    <n v="83.58"/>
    <n v="7639.09"/>
  </r>
  <r>
    <x v="413"/>
    <s v="Google Ads"/>
    <s v="Seasonal Promotion"/>
    <s v="Basic Plan"/>
    <n v="11210"/>
    <n v="353"/>
    <n v="31"/>
    <n v="943.11"/>
    <n v="5096.72"/>
    <n v="3.15"/>
    <n v="8.7799999999999994"/>
    <n v="30.42"/>
    <n v="5.4"/>
    <n v="4153.6099999999997"/>
  </r>
  <r>
    <x v="413"/>
    <s v="Facebook Ads"/>
    <s v="Brand Awareness"/>
    <s v="Add-on Service"/>
    <n v="13027"/>
    <n v="392"/>
    <n v="33"/>
    <n v="682.75"/>
    <n v="4570.3"/>
    <n v="3.01"/>
    <n v="8.42"/>
    <n v="20.69"/>
    <n v="6.69"/>
    <n v="3887.55"/>
  </r>
  <r>
    <x v="413"/>
    <s v="Instagram Ads"/>
    <s v="Lead Generation"/>
    <s v="Premium Plan"/>
    <n v="12053"/>
    <n v="328"/>
    <n v="25"/>
    <n v="548.63"/>
    <n v="2494.73"/>
    <n v="2.72"/>
    <n v="7.62"/>
    <n v="21.95"/>
    <n v="4.55"/>
    <n v="1946.1"/>
  </r>
  <r>
    <x v="413"/>
    <s v="LinkedIn Ads"/>
    <s v="Lead Generation"/>
    <s v="Enterprise Plan"/>
    <n v="4885"/>
    <n v="86"/>
    <n v="9"/>
    <n v="1136.43"/>
    <n v="3025.02"/>
    <n v="1.76"/>
    <n v="10.47"/>
    <n v="126.27"/>
    <n v="2.66"/>
    <n v="1888.59"/>
  </r>
  <r>
    <x v="413"/>
    <s v="Email Marketing"/>
    <s v="Seasonal Promotion"/>
    <s v="Basic Plan"/>
    <n v="15470"/>
    <n v="2828"/>
    <n v="268"/>
    <n v="118.43"/>
    <n v="40437.449999999997"/>
    <n v="18.28"/>
    <n v="9.48"/>
    <n v="0.44"/>
    <n v="341.45"/>
    <n v="40319.019999999997"/>
  </r>
  <r>
    <x v="413"/>
    <s v="Organic Search"/>
    <s v="Seasonal Promotion"/>
    <s v="Enterprise Plan"/>
    <n v="22758"/>
    <n v="1706"/>
    <n v="229"/>
    <n v="0"/>
    <n v="30719.63"/>
    <n v="7.5"/>
    <n v="13.42"/>
    <n v="0"/>
    <n v="0"/>
    <n v="30719.63"/>
  </r>
  <r>
    <x v="413"/>
    <s v="Display Ads"/>
    <s v="Lead Generation"/>
    <s v="Premium Plan"/>
    <n v="30749"/>
    <n v="344"/>
    <n v="6"/>
    <n v="899.46"/>
    <n v="798.68"/>
    <n v="1.1200000000000001"/>
    <n v="1.74"/>
    <n v="149.91"/>
    <n v="0.89"/>
    <n v="-100.78"/>
  </r>
  <r>
    <x v="413"/>
    <s v="YouTube Ads"/>
    <s v="Flash Sale"/>
    <s v="Add-on Service"/>
    <n v="14581"/>
    <n v="403"/>
    <n v="20"/>
    <n v="750.53"/>
    <n v="2397.5"/>
    <n v="2.76"/>
    <n v="4.96"/>
    <n v="37.53"/>
    <n v="3.19"/>
    <n v="1646.97"/>
  </r>
  <r>
    <x v="413"/>
    <s v="Twitter Ads"/>
    <s v="Seasonal Promotion"/>
    <s v="Enterprise Plan"/>
    <n v="7554"/>
    <n v="187"/>
    <n v="5"/>
    <n v="470.65"/>
    <n v="457.9"/>
    <n v="2.48"/>
    <n v="2.67"/>
    <n v="94.13"/>
    <n v="0.97"/>
    <n v="-12.75"/>
  </r>
  <r>
    <x v="413"/>
    <s v="TikTok Ads"/>
    <s v="Flash Sale"/>
    <s v="Add-on Service"/>
    <n v="20238"/>
    <n v="554"/>
    <n v="26"/>
    <n v="711.77"/>
    <n v="2626.24"/>
    <n v="2.74"/>
    <n v="4.6900000000000004"/>
    <n v="27.38"/>
    <n v="3.69"/>
    <n v="1914.47"/>
  </r>
  <r>
    <x v="413"/>
    <s v="Affiliate Marketing"/>
    <s v="Retargeting"/>
    <s v="Premium Plan"/>
    <n v="5239"/>
    <n v="278"/>
    <n v="28"/>
    <n v="375.64"/>
    <n v="2872.88"/>
    <n v="5.31"/>
    <n v="10.07"/>
    <n v="13.42"/>
    <n v="7.65"/>
    <n v="2497.2399999999998"/>
  </r>
  <r>
    <x v="413"/>
    <s v="Referral"/>
    <s v="Retargeting"/>
    <s v="Premium Plan"/>
    <n v="3018"/>
    <n v="255"/>
    <n v="33"/>
    <n v="147.47999999999999"/>
    <n v="5854.6"/>
    <n v="8.4499999999999993"/>
    <n v="12.94"/>
    <n v="4.47"/>
    <n v="39.700000000000003"/>
    <n v="5707.12"/>
  </r>
  <r>
    <x v="414"/>
    <s v="Google Ads"/>
    <s v="Product Launch"/>
    <s v="Starter Kit"/>
    <n v="9436"/>
    <n v="350"/>
    <n v="34"/>
    <n v="1143.43"/>
    <n v="5616.15"/>
    <n v="3.71"/>
    <n v="9.7100000000000009"/>
    <n v="33.630000000000003"/>
    <n v="4.91"/>
    <n v="4472.72"/>
  </r>
  <r>
    <x v="414"/>
    <s v="Facebook Ads"/>
    <s v="Retargeting"/>
    <s v="Enterprise Plan"/>
    <n v="16901"/>
    <n v="555"/>
    <n v="33"/>
    <n v="695.45"/>
    <n v="3035.66"/>
    <n v="3.28"/>
    <n v="5.95"/>
    <n v="21.07"/>
    <n v="4.37"/>
    <n v="2340.21"/>
  </r>
  <r>
    <x v="414"/>
    <s v="Instagram Ads"/>
    <s v="Brand Awareness"/>
    <s v="Add-on Service"/>
    <n v="11248"/>
    <n v="461"/>
    <n v="21"/>
    <n v="667.54"/>
    <n v="2173.56"/>
    <n v="4.0999999999999996"/>
    <n v="4.5599999999999996"/>
    <n v="31.79"/>
    <n v="3.26"/>
    <n v="1506.02"/>
  </r>
  <r>
    <x v="414"/>
    <s v="LinkedIn Ads"/>
    <s v="Retargeting"/>
    <s v="Starter Kit"/>
    <n v="3969"/>
    <n v="97"/>
    <n v="11"/>
    <n v="1437.97"/>
    <n v="2413.69"/>
    <n v="2.44"/>
    <n v="11.34"/>
    <n v="130.72"/>
    <n v="1.68"/>
    <n v="975.72"/>
  </r>
  <r>
    <x v="414"/>
    <s v="Email Marketing"/>
    <s v="Product Launch"/>
    <s v="Add-on Service"/>
    <n v="16473"/>
    <n v="3507"/>
    <n v="328"/>
    <n v="151.18"/>
    <n v="37209.379999999997"/>
    <n v="21.29"/>
    <n v="9.35"/>
    <n v="0.46"/>
    <n v="246.13"/>
    <n v="37058.199999999997"/>
  </r>
  <r>
    <x v="414"/>
    <s v="Organic Search"/>
    <s v="Brand Awareness"/>
    <s v="Basic Plan"/>
    <n v="27042"/>
    <n v="1743"/>
    <n v="185"/>
    <n v="0"/>
    <n v="24425.88"/>
    <n v="6.45"/>
    <n v="10.61"/>
    <n v="0"/>
    <n v="0"/>
    <n v="24425.88"/>
  </r>
  <r>
    <x v="414"/>
    <s v="Display Ads"/>
    <s v="Brand Awareness"/>
    <s v="Enterprise Plan"/>
    <n v="29421"/>
    <n v="414"/>
    <n v="8"/>
    <n v="676.79"/>
    <n v="997.2"/>
    <n v="1.41"/>
    <n v="1.93"/>
    <n v="84.6"/>
    <n v="1.47"/>
    <n v="320.41000000000003"/>
  </r>
  <r>
    <x v="414"/>
    <s v="YouTube Ads"/>
    <s v="Retargeting"/>
    <s v="Add-on Service"/>
    <n v="20176"/>
    <n v="526"/>
    <n v="41"/>
    <n v="1140.9000000000001"/>
    <n v="4106.0200000000004"/>
    <n v="2.61"/>
    <n v="7.79"/>
    <n v="27.83"/>
    <n v="3.6"/>
    <n v="2965.12"/>
  </r>
  <r>
    <x v="414"/>
    <s v="Twitter Ads"/>
    <s v="Retargeting"/>
    <s v="Enterprise Plan"/>
    <n v="9310"/>
    <n v="209"/>
    <n v="7"/>
    <n v="608.71"/>
    <n v="690.75"/>
    <n v="2.2400000000000002"/>
    <n v="3.35"/>
    <n v="86.96"/>
    <n v="1.1299999999999999"/>
    <n v="82.04"/>
  </r>
  <r>
    <x v="414"/>
    <s v="TikTok Ads"/>
    <s v="Brand Awareness"/>
    <s v="Starter Kit"/>
    <n v="24509"/>
    <n v="667"/>
    <n v="27"/>
    <n v="920.04"/>
    <n v="2801.98"/>
    <n v="2.72"/>
    <n v="4.05"/>
    <n v="34.08"/>
    <n v="3.05"/>
    <n v="1881.94"/>
  </r>
  <r>
    <x v="414"/>
    <s v="Affiliate Marketing"/>
    <s v="Lead Generation"/>
    <s v="Enterprise Plan"/>
    <n v="7928"/>
    <n v="324"/>
    <n v="30"/>
    <n v="324.51"/>
    <n v="3529.82"/>
    <n v="4.09"/>
    <n v="9.26"/>
    <n v="10.82"/>
    <n v="10.88"/>
    <n v="3205.31"/>
  </r>
  <r>
    <x v="414"/>
    <s v="Referral"/>
    <s v="Brand Awareness"/>
    <s v="Add-on Service"/>
    <n v="4151"/>
    <n v="271"/>
    <n v="43"/>
    <n v="132.43"/>
    <n v="5220.3999999999996"/>
    <n v="6.53"/>
    <n v="15.87"/>
    <n v="3.08"/>
    <n v="39.42"/>
    <n v="5087.97"/>
  </r>
  <r>
    <x v="415"/>
    <s v="Google Ads"/>
    <s v="Brand Awareness"/>
    <s v="Basic Plan"/>
    <n v="10781"/>
    <n v="383"/>
    <n v="34"/>
    <n v="944.88"/>
    <n v="4420.1400000000003"/>
    <n v="3.55"/>
    <n v="8.8800000000000008"/>
    <n v="27.79"/>
    <n v="4.68"/>
    <n v="3475.26"/>
  </r>
  <r>
    <x v="415"/>
    <s v="Facebook Ads"/>
    <s v="Flash Sale"/>
    <s v="Starter Kit"/>
    <n v="13653"/>
    <n v="318"/>
    <n v="20"/>
    <n v="529.84"/>
    <n v="2742.27"/>
    <n v="2.33"/>
    <n v="6.29"/>
    <n v="26.49"/>
    <n v="5.18"/>
    <n v="2212.4299999999998"/>
  </r>
  <r>
    <x v="415"/>
    <s v="Instagram Ads"/>
    <s v="Brand Awareness"/>
    <s v="Basic Plan"/>
    <n v="13231"/>
    <n v="368"/>
    <n v="27"/>
    <n v="747.99"/>
    <n v="2736.79"/>
    <n v="2.78"/>
    <n v="7.34"/>
    <n v="27.7"/>
    <n v="3.66"/>
    <n v="1988.8"/>
  </r>
  <r>
    <x v="415"/>
    <s v="LinkedIn Ads"/>
    <s v="Lead Generation"/>
    <s v="Basic Plan"/>
    <n v="2667"/>
    <n v="79"/>
    <n v="11"/>
    <n v="1112.83"/>
    <n v="3101.42"/>
    <n v="2.96"/>
    <n v="13.92"/>
    <n v="101.17"/>
    <n v="2.79"/>
    <n v="1988.59"/>
  </r>
  <r>
    <x v="415"/>
    <s v="Email Marketing"/>
    <s v="Product Launch"/>
    <s v="Enterprise Plan"/>
    <n v="16421"/>
    <n v="3348"/>
    <n v="331"/>
    <n v="95.75"/>
    <n v="41068.46"/>
    <n v="20.39"/>
    <n v="9.89"/>
    <n v="0.28999999999999998"/>
    <n v="428.91"/>
    <n v="40972.71"/>
  </r>
  <r>
    <x v="415"/>
    <s v="Organic Search"/>
    <s v="Brand Awareness"/>
    <s v="Premium Plan"/>
    <n v="28112"/>
    <n v="1490"/>
    <n v="209"/>
    <n v="0"/>
    <n v="22788.84"/>
    <n v="5.3"/>
    <n v="14.03"/>
    <n v="0"/>
    <n v="0"/>
    <n v="22788.84"/>
  </r>
  <r>
    <x v="415"/>
    <s v="Display Ads"/>
    <s v="Brand Awareness"/>
    <s v="Starter Kit"/>
    <n v="31816"/>
    <n v="594"/>
    <n v="23"/>
    <n v="847.7"/>
    <n v="2374.85"/>
    <n v="1.87"/>
    <n v="3.87"/>
    <n v="36.86"/>
    <n v="2.8"/>
    <n v="1527.15"/>
  </r>
  <r>
    <x v="415"/>
    <s v="YouTube Ads"/>
    <s v="Retargeting"/>
    <s v="Premium Plan"/>
    <n v="20049"/>
    <n v="446"/>
    <n v="17"/>
    <n v="801.52"/>
    <n v="2100.71"/>
    <n v="2.2200000000000002"/>
    <n v="3.81"/>
    <n v="47.15"/>
    <n v="2.62"/>
    <n v="1299.19"/>
  </r>
  <r>
    <x v="415"/>
    <s v="Twitter Ads"/>
    <s v="Seasonal Promotion"/>
    <s v="Enterprise Plan"/>
    <n v="11208"/>
    <n v="258"/>
    <n v="11"/>
    <n v="584.62"/>
    <n v="1208.4100000000001"/>
    <n v="2.2999999999999998"/>
    <n v="4.26"/>
    <n v="53.15"/>
    <n v="2.0699999999999998"/>
    <n v="623.79"/>
  </r>
  <r>
    <x v="415"/>
    <s v="TikTok Ads"/>
    <s v="Product Launch"/>
    <s v="Basic Plan"/>
    <n v="20281"/>
    <n v="891"/>
    <n v="60"/>
    <n v="854.31"/>
    <n v="4655.32"/>
    <n v="4.3899999999999997"/>
    <n v="6.73"/>
    <n v="14.24"/>
    <n v="5.45"/>
    <n v="3801.01"/>
  </r>
  <r>
    <x v="415"/>
    <s v="Affiliate Marketing"/>
    <s v="Brand Awareness"/>
    <s v="Starter Kit"/>
    <n v="7249"/>
    <n v="348"/>
    <n v="40"/>
    <n v="414.2"/>
    <n v="5862.75"/>
    <n v="4.8"/>
    <n v="11.49"/>
    <n v="10.36"/>
    <n v="14.15"/>
    <n v="5448.55"/>
  </r>
  <r>
    <x v="415"/>
    <s v="Referral"/>
    <s v="Lead Generation"/>
    <s v="Enterprise Plan"/>
    <n v="3589"/>
    <n v="300"/>
    <n v="46"/>
    <n v="145.83000000000001"/>
    <n v="6506.12"/>
    <n v="8.36"/>
    <n v="15.33"/>
    <n v="3.17"/>
    <n v="44.61"/>
    <n v="6360.29"/>
  </r>
  <r>
    <x v="416"/>
    <s v="Google Ads"/>
    <s v="Brand Awareness"/>
    <s v="Enterprise Plan"/>
    <n v="8509"/>
    <n v="364"/>
    <n v="34"/>
    <n v="1274.44"/>
    <n v="4587.82"/>
    <n v="4.28"/>
    <n v="9.34"/>
    <n v="37.479999999999997"/>
    <n v="3.6"/>
    <n v="3313.38"/>
  </r>
  <r>
    <x v="416"/>
    <s v="Facebook Ads"/>
    <s v="Seasonal Promotion"/>
    <s v="Basic Plan"/>
    <n v="16796"/>
    <n v="368"/>
    <n v="28"/>
    <n v="614.80999999999995"/>
    <n v="2749.75"/>
    <n v="2.19"/>
    <n v="7.61"/>
    <n v="21.96"/>
    <n v="4.47"/>
    <n v="2134.94"/>
  </r>
  <r>
    <x v="416"/>
    <s v="Instagram Ads"/>
    <s v="Brand Awareness"/>
    <s v="Add-on Service"/>
    <n v="9493"/>
    <n v="294"/>
    <n v="15"/>
    <n v="734.24"/>
    <n v="1613.31"/>
    <n v="3.1"/>
    <n v="5.0999999999999996"/>
    <n v="48.95"/>
    <n v="2.2000000000000002"/>
    <n v="879.07"/>
  </r>
  <r>
    <x v="416"/>
    <s v="LinkedIn Ads"/>
    <s v="Seasonal Promotion"/>
    <s v="Starter Kit"/>
    <n v="5066"/>
    <n v="108"/>
    <n v="16"/>
    <n v="1095.75"/>
    <n v="3140.2"/>
    <n v="2.13"/>
    <n v="14.81"/>
    <n v="68.48"/>
    <n v="2.87"/>
    <n v="2044.45"/>
  </r>
  <r>
    <x v="416"/>
    <s v="Email Marketing"/>
    <s v="Brand Awareness"/>
    <s v="Starter Kit"/>
    <n v="13605"/>
    <n v="2497"/>
    <n v="293"/>
    <n v="187.75"/>
    <n v="39579.49"/>
    <n v="18.350000000000001"/>
    <n v="11.73"/>
    <n v="0.64"/>
    <n v="210.81"/>
    <n v="39391.74"/>
  </r>
  <r>
    <x v="416"/>
    <s v="Organic Search"/>
    <s v="Seasonal Promotion"/>
    <s v="Premium Plan"/>
    <n v="19275"/>
    <n v="1061"/>
    <n v="159"/>
    <n v="0"/>
    <n v="19320.8"/>
    <n v="5.5"/>
    <n v="14.99"/>
    <n v="0"/>
    <n v="0"/>
    <n v="19320.8"/>
  </r>
  <r>
    <x v="416"/>
    <s v="Display Ads"/>
    <s v="Brand Awareness"/>
    <s v="Premium Plan"/>
    <n v="29157"/>
    <n v="328"/>
    <n v="8"/>
    <n v="824.06"/>
    <n v="927.62"/>
    <n v="1.1200000000000001"/>
    <n v="2.44"/>
    <n v="103.01"/>
    <n v="1.1299999999999999"/>
    <n v="103.56"/>
  </r>
  <r>
    <x v="416"/>
    <s v="YouTube Ads"/>
    <s v="Brand Awareness"/>
    <s v="Starter Kit"/>
    <n v="15054"/>
    <n v="419"/>
    <n v="22"/>
    <n v="774.05"/>
    <n v="2268.21"/>
    <n v="2.78"/>
    <n v="5.25"/>
    <n v="35.18"/>
    <n v="2.93"/>
    <n v="1494.16"/>
  </r>
  <r>
    <x v="416"/>
    <s v="Twitter Ads"/>
    <s v="Product Launch"/>
    <s v="Premium Plan"/>
    <n v="8745"/>
    <n v="217"/>
    <n v="9"/>
    <n v="656.96"/>
    <n v="767.07"/>
    <n v="2.48"/>
    <n v="4.1500000000000004"/>
    <n v="73"/>
    <n v="1.17"/>
    <n v="110.11"/>
  </r>
  <r>
    <x v="416"/>
    <s v="TikTok Ads"/>
    <s v="Lead Generation"/>
    <s v="Premium Plan"/>
    <n v="22726"/>
    <n v="864"/>
    <n v="27"/>
    <n v="758.65"/>
    <n v="1863.28"/>
    <n v="3.8"/>
    <n v="3.12"/>
    <n v="28.1"/>
    <n v="2.46"/>
    <n v="1104.6300000000001"/>
  </r>
  <r>
    <x v="416"/>
    <s v="Affiliate Marketing"/>
    <s v="Retargeting"/>
    <s v="Premium Plan"/>
    <n v="4623"/>
    <n v="193"/>
    <n v="21"/>
    <n v="306.02999999999997"/>
    <n v="2433.98"/>
    <n v="4.17"/>
    <n v="10.88"/>
    <n v="14.57"/>
    <n v="7.95"/>
    <n v="2127.9499999999998"/>
  </r>
  <r>
    <x v="416"/>
    <s v="Referral"/>
    <s v="Product Launch"/>
    <s v="Add-on Service"/>
    <n v="4770"/>
    <n v="443"/>
    <n v="59"/>
    <n v="51.67"/>
    <n v="9100.61"/>
    <n v="9.2899999999999991"/>
    <n v="13.32"/>
    <n v="0.88"/>
    <n v="176.13"/>
    <n v="9048.94"/>
  </r>
  <r>
    <x v="417"/>
    <s v="Google Ads"/>
    <s v="Flash Sale"/>
    <s v="Starter Kit"/>
    <n v="7989"/>
    <n v="325"/>
    <n v="35"/>
    <n v="781.57"/>
    <n v="5222.8999999999996"/>
    <n v="4.07"/>
    <n v="10.77"/>
    <n v="22.33"/>
    <n v="6.68"/>
    <n v="4441.33"/>
  </r>
  <r>
    <x v="417"/>
    <s v="Facebook Ads"/>
    <s v="Brand Awareness"/>
    <s v="Premium Plan"/>
    <n v="10462"/>
    <n v="256"/>
    <n v="17"/>
    <n v="671.9"/>
    <n v="2328.16"/>
    <n v="2.4500000000000002"/>
    <n v="6.64"/>
    <n v="39.520000000000003"/>
    <n v="3.47"/>
    <n v="1656.26"/>
  </r>
  <r>
    <x v="417"/>
    <s v="Instagram Ads"/>
    <s v="Flash Sale"/>
    <s v="Premium Plan"/>
    <n v="11790"/>
    <n v="323"/>
    <n v="24"/>
    <n v="544.79999999999995"/>
    <n v="2415.0100000000002"/>
    <n v="2.74"/>
    <n v="7.43"/>
    <n v="22.7"/>
    <n v="4.43"/>
    <n v="1870.21"/>
  </r>
  <r>
    <x v="417"/>
    <s v="LinkedIn Ads"/>
    <s v="Seasonal Promotion"/>
    <s v="Premium Plan"/>
    <n v="4300"/>
    <n v="97"/>
    <n v="10"/>
    <n v="885.96"/>
    <n v="2322.7800000000002"/>
    <n v="2.2599999999999998"/>
    <n v="10.31"/>
    <n v="88.6"/>
    <n v="2.62"/>
    <n v="1436.82"/>
  </r>
  <r>
    <x v="417"/>
    <s v="Email Marketing"/>
    <s v="Product Launch"/>
    <s v="Starter Kit"/>
    <n v="18051"/>
    <n v="4427"/>
    <n v="588"/>
    <n v="149.56"/>
    <n v="75039.95"/>
    <n v="24.52"/>
    <n v="13.28"/>
    <n v="0.25"/>
    <n v="501.74"/>
    <n v="74890.39"/>
  </r>
  <r>
    <x v="417"/>
    <s v="Organic Search"/>
    <s v="Retargeting"/>
    <s v="Premium Plan"/>
    <n v="22662"/>
    <n v="923"/>
    <n v="136"/>
    <n v="0"/>
    <n v="15388.6"/>
    <n v="4.07"/>
    <n v="14.73"/>
    <n v="0"/>
    <n v="0"/>
    <n v="15388.6"/>
  </r>
  <r>
    <x v="417"/>
    <s v="Display Ads"/>
    <s v="Seasonal Promotion"/>
    <s v="Starter Kit"/>
    <n v="28238"/>
    <n v="426"/>
    <n v="14"/>
    <n v="682.75"/>
    <n v="1382.58"/>
    <n v="1.51"/>
    <n v="3.29"/>
    <n v="48.77"/>
    <n v="2.0299999999999998"/>
    <n v="699.83"/>
  </r>
  <r>
    <x v="417"/>
    <s v="YouTube Ads"/>
    <s v="Lead Generation"/>
    <s v="Add-on Service"/>
    <n v="20149"/>
    <n v="566"/>
    <n v="34"/>
    <n v="1122.6500000000001"/>
    <n v="3545.24"/>
    <n v="2.81"/>
    <n v="6.01"/>
    <n v="33.020000000000003"/>
    <n v="3.16"/>
    <n v="2422.59"/>
  </r>
  <r>
    <x v="417"/>
    <s v="Twitter Ads"/>
    <s v="Flash Sale"/>
    <s v="Add-on Service"/>
    <n v="7343"/>
    <n v="173"/>
    <n v="6"/>
    <n v="675.93"/>
    <n v="489.34"/>
    <n v="2.36"/>
    <n v="3.47"/>
    <n v="112.65"/>
    <n v="0.72"/>
    <n v="-186.59"/>
  </r>
  <r>
    <x v="417"/>
    <s v="TikTok Ads"/>
    <s v="Brand Awareness"/>
    <s v="Starter Kit"/>
    <n v="23269"/>
    <n v="749"/>
    <n v="28"/>
    <n v="573.65"/>
    <n v="2052.62"/>
    <n v="3.22"/>
    <n v="3.74"/>
    <n v="20.49"/>
    <n v="3.58"/>
    <n v="1478.97"/>
  </r>
  <r>
    <x v="417"/>
    <s v="Affiliate Marketing"/>
    <s v="Retargeting"/>
    <s v="Starter Kit"/>
    <n v="7494"/>
    <n v="487"/>
    <n v="60"/>
    <n v="496.66"/>
    <n v="6681.51"/>
    <n v="6.5"/>
    <n v="12.32"/>
    <n v="8.2799999999999994"/>
    <n v="13.45"/>
    <n v="6184.85"/>
  </r>
  <r>
    <x v="417"/>
    <s v="Referral"/>
    <s v="Retargeting"/>
    <s v="Add-on Service"/>
    <n v="4148"/>
    <n v="228"/>
    <n v="31"/>
    <n v="54.57"/>
    <n v="5155.08"/>
    <n v="5.5"/>
    <n v="13.6"/>
    <n v="1.76"/>
    <n v="94.47"/>
    <n v="5100.51"/>
  </r>
  <r>
    <x v="418"/>
    <s v="Google Ads"/>
    <s v="Seasonal Promotion"/>
    <s v="Premium Plan"/>
    <n v="8196"/>
    <n v="287"/>
    <n v="32"/>
    <n v="491.19"/>
    <n v="4976.7299999999996"/>
    <n v="3.5"/>
    <n v="11.15"/>
    <n v="15.35"/>
    <n v="10.130000000000001"/>
    <n v="4485.54"/>
  </r>
  <r>
    <x v="418"/>
    <s v="Facebook Ads"/>
    <s v="Product Launch"/>
    <s v="Premium Plan"/>
    <n v="11067"/>
    <n v="442"/>
    <n v="38"/>
    <n v="625.29"/>
    <n v="4012.6"/>
    <n v="3.99"/>
    <n v="8.6"/>
    <n v="16.45"/>
    <n v="6.42"/>
    <n v="3387.31"/>
  </r>
  <r>
    <x v="418"/>
    <s v="Instagram Ads"/>
    <s v="Retargeting"/>
    <s v="Add-on Service"/>
    <n v="9318"/>
    <n v="394"/>
    <n v="27"/>
    <n v="331.13"/>
    <n v="2302.5700000000002"/>
    <n v="4.2300000000000004"/>
    <n v="6.85"/>
    <n v="12.26"/>
    <n v="6.95"/>
    <n v="1971.44"/>
  </r>
  <r>
    <x v="418"/>
    <s v="LinkedIn Ads"/>
    <s v="Product Launch"/>
    <s v="Add-on Service"/>
    <n v="3155"/>
    <n v="83"/>
    <n v="8"/>
    <n v="995.66"/>
    <n v="2673.13"/>
    <n v="2.63"/>
    <n v="9.64"/>
    <n v="124.46"/>
    <n v="2.68"/>
    <n v="1677.47"/>
  </r>
  <r>
    <x v="418"/>
    <s v="Email Marketing"/>
    <s v="Lead Generation"/>
    <s v="Premium Plan"/>
    <n v="9994"/>
    <n v="1695"/>
    <n v="190"/>
    <n v="80.72"/>
    <n v="22593.35"/>
    <n v="16.96"/>
    <n v="11.21"/>
    <n v="0.42"/>
    <n v="279.89999999999998"/>
    <n v="22512.63"/>
  </r>
  <r>
    <x v="418"/>
    <s v="Organic Search"/>
    <s v="Brand Awareness"/>
    <s v="Premium Plan"/>
    <n v="16607"/>
    <n v="1214"/>
    <n v="162"/>
    <n v="0"/>
    <n v="17829.02"/>
    <n v="7.31"/>
    <n v="13.34"/>
    <n v="0"/>
    <n v="0"/>
    <n v="17829.02"/>
  </r>
  <r>
    <x v="418"/>
    <s v="Display Ads"/>
    <s v="Seasonal Promotion"/>
    <s v="Premium Plan"/>
    <n v="17034"/>
    <n v="202"/>
    <n v="8"/>
    <n v="606.45000000000005"/>
    <n v="1035.04"/>
    <n v="1.19"/>
    <n v="3.96"/>
    <n v="75.81"/>
    <n v="1.71"/>
    <n v="428.59"/>
  </r>
  <r>
    <x v="418"/>
    <s v="YouTube Ads"/>
    <s v="Seasonal Promotion"/>
    <s v="Basic Plan"/>
    <n v="9766"/>
    <n v="207"/>
    <n v="15"/>
    <n v="717.76"/>
    <n v="1650.18"/>
    <n v="2.12"/>
    <n v="7.25"/>
    <n v="47.85"/>
    <n v="2.2999999999999998"/>
    <n v="932.42"/>
  </r>
  <r>
    <x v="418"/>
    <s v="Twitter Ads"/>
    <s v="Seasonal Promotion"/>
    <s v="Basic Plan"/>
    <n v="6940"/>
    <n v="163"/>
    <n v="6"/>
    <n v="297.81"/>
    <n v="539.6"/>
    <n v="2.35"/>
    <n v="3.68"/>
    <n v="49.64"/>
    <n v="1.81"/>
    <n v="241.79"/>
  </r>
  <r>
    <x v="418"/>
    <s v="TikTok Ads"/>
    <s v="Flash Sale"/>
    <s v="Add-on Service"/>
    <n v="12548"/>
    <n v="526"/>
    <n v="34"/>
    <n v="445.01"/>
    <n v="3020.75"/>
    <n v="4.1900000000000004"/>
    <n v="6.46"/>
    <n v="13.09"/>
    <n v="6.79"/>
    <n v="2575.7399999999998"/>
  </r>
  <r>
    <x v="418"/>
    <s v="Affiliate Marketing"/>
    <s v="Product Launch"/>
    <s v="Enterprise Plan"/>
    <n v="4671"/>
    <n v="274"/>
    <n v="24"/>
    <n v="283.89999999999998"/>
    <n v="2310.37"/>
    <n v="5.87"/>
    <n v="8.76"/>
    <n v="11.83"/>
    <n v="8.14"/>
    <n v="2026.47"/>
  </r>
  <r>
    <x v="418"/>
    <s v="Referral"/>
    <s v="Retargeting"/>
    <s v="Starter Kit"/>
    <n v="2539"/>
    <n v="189"/>
    <n v="29"/>
    <n v="99.49"/>
    <n v="5228.07"/>
    <n v="7.44"/>
    <n v="15.34"/>
    <n v="3.43"/>
    <n v="52.55"/>
    <n v="5128.58"/>
  </r>
  <r>
    <x v="419"/>
    <s v="Google Ads"/>
    <s v="Flash Sale"/>
    <s v="Add-on Service"/>
    <n v="7823"/>
    <n v="320"/>
    <n v="31"/>
    <n v="834.44"/>
    <n v="5868.45"/>
    <n v="4.09"/>
    <n v="9.69"/>
    <n v="26.92"/>
    <n v="7.03"/>
    <n v="5034.01"/>
  </r>
  <r>
    <x v="419"/>
    <s v="Facebook Ads"/>
    <s v="Retargeting"/>
    <s v="Basic Plan"/>
    <n v="9320"/>
    <n v="330"/>
    <n v="20"/>
    <n v="590.71"/>
    <n v="2021.03"/>
    <n v="3.54"/>
    <n v="6.06"/>
    <n v="29.54"/>
    <n v="3.42"/>
    <n v="1430.32"/>
  </r>
  <r>
    <x v="419"/>
    <s v="Instagram Ads"/>
    <s v="Lead Generation"/>
    <s v="Basic Plan"/>
    <n v="6398"/>
    <n v="261"/>
    <n v="20"/>
    <n v="422.82"/>
    <n v="2077.06"/>
    <n v="4.08"/>
    <n v="7.66"/>
    <n v="21.14"/>
    <n v="4.91"/>
    <n v="1654.24"/>
  </r>
  <r>
    <x v="419"/>
    <s v="LinkedIn Ads"/>
    <s v="Brand Awareness"/>
    <s v="Premium Plan"/>
    <n v="3259"/>
    <n v="53"/>
    <n v="5"/>
    <n v="764.56"/>
    <n v="1810.25"/>
    <n v="1.63"/>
    <n v="9.43"/>
    <n v="152.91"/>
    <n v="2.37"/>
    <n v="1045.69"/>
  </r>
  <r>
    <x v="419"/>
    <s v="Email Marketing"/>
    <s v="Lead Generation"/>
    <s v="Enterprise Plan"/>
    <n v="14335"/>
    <n v="3344"/>
    <n v="329"/>
    <n v="169.2"/>
    <n v="43194.74"/>
    <n v="23.33"/>
    <n v="9.84"/>
    <n v="0.51"/>
    <n v="255.29"/>
    <n v="43025.54"/>
  </r>
  <r>
    <x v="419"/>
    <s v="Organic Search"/>
    <s v="Seasonal Promotion"/>
    <s v="Starter Kit"/>
    <n v="14406"/>
    <n v="714"/>
    <n v="73"/>
    <n v="0"/>
    <n v="10170.81"/>
    <n v="4.96"/>
    <n v="10.220000000000001"/>
    <n v="0"/>
    <n v="0"/>
    <n v="10170.81"/>
  </r>
  <r>
    <x v="419"/>
    <s v="Display Ads"/>
    <s v="Seasonal Promotion"/>
    <s v="Enterprise Plan"/>
    <n v="15825"/>
    <n v="212"/>
    <n v="7"/>
    <n v="465.55"/>
    <n v="629.34"/>
    <n v="1.34"/>
    <n v="3.3"/>
    <n v="66.510000000000005"/>
    <n v="1.35"/>
    <n v="163.79"/>
  </r>
  <r>
    <x v="419"/>
    <s v="YouTube Ads"/>
    <s v="Product Launch"/>
    <s v="Add-on Service"/>
    <n v="12663"/>
    <n v="204"/>
    <n v="14"/>
    <n v="687.16"/>
    <n v="1791.61"/>
    <n v="1.61"/>
    <n v="6.86"/>
    <n v="49.08"/>
    <n v="2.61"/>
    <n v="1104.45"/>
  </r>
  <r>
    <x v="419"/>
    <s v="Twitter Ads"/>
    <s v="Seasonal Promotion"/>
    <s v="Basic Plan"/>
    <n v="6793"/>
    <n v="226"/>
    <n v="7"/>
    <n v="398.81"/>
    <n v="764.97"/>
    <n v="3.33"/>
    <n v="3.1"/>
    <n v="56.97"/>
    <n v="1.92"/>
    <n v="366.16"/>
  </r>
  <r>
    <x v="419"/>
    <s v="TikTok Ads"/>
    <s v="Lead Generation"/>
    <s v="Starter Kit"/>
    <n v="14581"/>
    <n v="487"/>
    <n v="16"/>
    <n v="510.55"/>
    <n v="1282.71"/>
    <n v="3.34"/>
    <n v="3.29"/>
    <n v="31.91"/>
    <n v="2.5099999999999998"/>
    <n v="772.16"/>
  </r>
  <r>
    <x v="419"/>
    <s v="Affiliate Marketing"/>
    <s v="Product Launch"/>
    <s v="Add-on Service"/>
    <n v="4693"/>
    <n v="231"/>
    <n v="20"/>
    <n v="409.25"/>
    <n v="2176.4"/>
    <n v="4.92"/>
    <n v="8.66"/>
    <n v="20.46"/>
    <n v="5.32"/>
    <n v="1767.15"/>
  </r>
  <r>
    <x v="419"/>
    <s v="Referral"/>
    <s v="Product Launch"/>
    <s v="Enterprise Plan"/>
    <n v="3113"/>
    <n v="164"/>
    <n v="20"/>
    <n v="54.6"/>
    <n v="3462.6"/>
    <n v="5.27"/>
    <n v="12.2"/>
    <n v="2.73"/>
    <n v="63.42"/>
    <n v="3408"/>
  </r>
  <r>
    <x v="420"/>
    <s v="Google Ads"/>
    <s v="Product Launch"/>
    <s v="Premium Plan"/>
    <n v="11100"/>
    <n v="333"/>
    <n v="28"/>
    <n v="747.77"/>
    <n v="5042.25"/>
    <n v="3"/>
    <n v="8.41"/>
    <n v="26.71"/>
    <n v="6.74"/>
    <n v="4294.4799999999996"/>
  </r>
  <r>
    <x v="420"/>
    <s v="Facebook Ads"/>
    <s v="Seasonal Promotion"/>
    <s v="Add-on Service"/>
    <n v="11198"/>
    <n v="301"/>
    <n v="18"/>
    <n v="886.75"/>
    <n v="1889.32"/>
    <n v="2.69"/>
    <n v="5.98"/>
    <n v="49.26"/>
    <n v="2.13"/>
    <n v="1002.57"/>
  </r>
  <r>
    <x v="420"/>
    <s v="Instagram Ads"/>
    <s v="Flash Sale"/>
    <s v="Basic Plan"/>
    <n v="13764"/>
    <n v="513"/>
    <n v="34"/>
    <n v="752.05"/>
    <n v="2996.44"/>
    <n v="3.73"/>
    <n v="6.63"/>
    <n v="22.12"/>
    <n v="3.98"/>
    <n v="2244.39"/>
  </r>
  <r>
    <x v="420"/>
    <s v="LinkedIn Ads"/>
    <s v="Brand Awareness"/>
    <s v="Basic Plan"/>
    <n v="3154"/>
    <n v="58"/>
    <n v="6"/>
    <n v="1091.3699999999999"/>
    <n v="1427.19"/>
    <n v="1.84"/>
    <n v="10.34"/>
    <n v="181.9"/>
    <n v="1.31"/>
    <n v="335.82"/>
  </r>
  <r>
    <x v="420"/>
    <s v="Email Marketing"/>
    <s v="Seasonal Promotion"/>
    <s v="Add-on Service"/>
    <n v="18297"/>
    <n v="3761"/>
    <n v="368"/>
    <n v="236.28"/>
    <n v="59401.63"/>
    <n v="20.56"/>
    <n v="9.7799999999999994"/>
    <n v="0.64"/>
    <n v="251.4"/>
    <n v="59165.35"/>
  </r>
  <r>
    <x v="420"/>
    <s v="Organic Search"/>
    <s v="Brand Awareness"/>
    <s v="Starter Kit"/>
    <n v="23409"/>
    <n v="1648"/>
    <n v="251"/>
    <n v="0"/>
    <n v="29445.61"/>
    <n v="7.04"/>
    <n v="15.23"/>
    <n v="0"/>
    <n v="0"/>
    <n v="29445.61"/>
  </r>
  <r>
    <x v="420"/>
    <s v="Display Ads"/>
    <s v="Product Launch"/>
    <s v="Basic Plan"/>
    <n v="23801"/>
    <n v="465"/>
    <n v="19"/>
    <n v="989.55"/>
    <n v="2537.46"/>
    <n v="1.95"/>
    <n v="4.09"/>
    <n v="52.08"/>
    <n v="2.56"/>
    <n v="1547.91"/>
  </r>
  <r>
    <x v="420"/>
    <s v="YouTube Ads"/>
    <s v="Lead Generation"/>
    <s v="Basic Plan"/>
    <n v="14280"/>
    <n v="363"/>
    <n v="17"/>
    <n v="987.31"/>
    <n v="1929.09"/>
    <n v="2.54"/>
    <n v="4.68"/>
    <n v="58.08"/>
    <n v="1.95"/>
    <n v="941.78"/>
  </r>
  <r>
    <x v="420"/>
    <s v="Twitter Ads"/>
    <s v="Brand Awareness"/>
    <s v="Enterprise Plan"/>
    <n v="10686"/>
    <n v="232"/>
    <n v="7"/>
    <n v="478.01"/>
    <n v="598.66999999999996"/>
    <n v="2.17"/>
    <n v="3.02"/>
    <n v="68.290000000000006"/>
    <n v="1.25"/>
    <n v="120.66"/>
  </r>
  <r>
    <x v="420"/>
    <s v="TikTok Ads"/>
    <s v="Lead Generation"/>
    <s v="Starter Kit"/>
    <n v="17918"/>
    <n v="595"/>
    <n v="34"/>
    <n v="747.48"/>
    <n v="2751.97"/>
    <n v="3.32"/>
    <n v="5.71"/>
    <n v="21.98"/>
    <n v="3.68"/>
    <n v="2004.49"/>
  </r>
  <r>
    <x v="420"/>
    <s v="Affiliate Marketing"/>
    <s v="Flash Sale"/>
    <s v="Starter Kit"/>
    <n v="6642"/>
    <n v="418"/>
    <n v="49"/>
    <n v="318.95"/>
    <n v="4990.75"/>
    <n v="6.29"/>
    <n v="11.72"/>
    <n v="6.51"/>
    <n v="15.65"/>
    <n v="4671.8"/>
  </r>
  <r>
    <x v="420"/>
    <s v="Referral"/>
    <s v="Seasonal Promotion"/>
    <s v="Enterprise Plan"/>
    <n v="3581"/>
    <n v="311"/>
    <n v="45"/>
    <n v="169.87"/>
    <n v="5679.25"/>
    <n v="8.68"/>
    <n v="14.47"/>
    <n v="3.77"/>
    <n v="33.43"/>
    <n v="5509.38"/>
  </r>
  <r>
    <x v="421"/>
    <s v="Google Ads"/>
    <s v="Seasonal Promotion"/>
    <s v="Add-on Service"/>
    <n v="9993"/>
    <n v="326"/>
    <n v="29"/>
    <n v="993.18"/>
    <n v="4881.72"/>
    <n v="3.26"/>
    <n v="8.9"/>
    <n v="34.25"/>
    <n v="4.92"/>
    <n v="3888.54"/>
  </r>
  <r>
    <x v="421"/>
    <s v="Facebook Ads"/>
    <s v="Product Launch"/>
    <s v="Add-on Service"/>
    <n v="13077"/>
    <n v="335"/>
    <n v="28"/>
    <n v="954.43"/>
    <n v="4092.16"/>
    <n v="2.56"/>
    <n v="8.36"/>
    <n v="34.090000000000003"/>
    <n v="4.29"/>
    <n v="3137.73"/>
  </r>
  <r>
    <x v="421"/>
    <s v="Instagram Ads"/>
    <s v="Product Launch"/>
    <s v="Starter Kit"/>
    <n v="10517"/>
    <n v="424"/>
    <n v="23"/>
    <n v="623.77"/>
    <n v="2460.4699999999998"/>
    <n v="4.03"/>
    <n v="5.42"/>
    <n v="27.12"/>
    <n v="3.94"/>
    <n v="1836.7"/>
  </r>
  <r>
    <x v="421"/>
    <s v="LinkedIn Ads"/>
    <s v="Product Launch"/>
    <s v="Basic Plan"/>
    <n v="3371"/>
    <n v="95"/>
    <n v="11"/>
    <n v="1256.54"/>
    <n v="2328.42"/>
    <n v="2.82"/>
    <n v="11.58"/>
    <n v="114.23"/>
    <n v="1.85"/>
    <n v="1071.8800000000001"/>
  </r>
  <r>
    <x v="421"/>
    <s v="Email Marketing"/>
    <s v="Brand Awareness"/>
    <s v="Starter Kit"/>
    <n v="14431"/>
    <n v="2793"/>
    <n v="295"/>
    <n v="215.05"/>
    <n v="33494.94"/>
    <n v="19.350000000000001"/>
    <n v="10.56"/>
    <n v="0.73"/>
    <n v="155.75"/>
    <n v="33279.89"/>
  </r>
  <r>
    <x v="421"/>
    <s v="Organic Search"/>
    <s v="Brand Awareness"/>
    <s v="Starter Kit"/>
    <n v="29174"/>
    <n v="1679"/>
    <n v="183"/>
    <n v="0"/>
    <n v="23289.03"/>
    <n v="5.76"/>
    <n v="10.9"/>
    <n v="0"/>
    <n v="0"/>
    <n v="23289.03"/>
  </r>
  <r>
    <x v="421"/>
    <s v="Display Ads"/>
    <s v="Lead Generation"/>
    <s v="Premium Plan"/>
    <n v="33749"/>
    <n v="493"/>
    <n v="15"/>
    <n v="695.3"/>
    <n v="1535.53"/>
    <n v="1.46"/>
    <n v="3.04"/>
    <n v="46.35"/>
    <n v="2.21"/>
    <n v="840.23"/>
  </r>
  <r>
    <x v="421"/>
    <s v="YouTube Ads"/>
    <s v="Flash Sale"/>
    <s v="Basic Plan"/>
    <n v="16485"/>
    <n v="281"/>
    <n v="12"/>
    <n v="870.82"/>
    <n v="1466.49"/>
    <n v="1.7"/>
    <n v="4.2699999999999996"/>
    <n v="72.569999999999993"/>
    <n v="1.68"/>
    <n v="595.66999999999996"/>
  </r>
  <r>
    <x v="421"/>
    <s v="Twitter Ads"/>
    <s v="Flash Sale"/>
    <s v="Basic Plan"/>
    <n v="8209"/>
    <n v="172"/>
    <n v="5"/>
    <n v="389.17"/>
    <n v="413.54"/>
    <n v="2.1"/>
    <n v="2.91"/>
    <n v="77.83"/>
    <n v="1.06"/>
    <n v="24.37"/>
  </r>
  <r>
    <x v="421"/>
    <s v="TikTok Ads"/>
    <s v="Retargeting"/>
    <s v="Add-on Service"/>
    <n v="18814"/>
    <n v="720"/>
    <n v="21"/>
    <n v="616.52"/>
    <n v="1535"/>
    <n v="3.83"/>
    <n v="2.92"/>
    <n v="29.36"/>
    <n v="2.4900000000000002"/>
    <n v="918.48"/>
  </r>
  <r>
    <x v="421"/>
    <s v="Affiliate Marketing"/>
    <s v="Lead Generation"/>
    <s v="Basic Plan"/>
    <n v="8024"/>
    <n v="459"/>
    <n v="36"/>
    <n v="478.46"/>
    <n v="4187.84"/>
    <n v="5.72"/>
    <n v="7.84"/>
    <n v="13.29"/>
    <n v="8.75"/>
    <n v="3709.38"/>
  </r>
  <r>
    <x v="421"/>
    <s v="Referral"/>
    <s v="Retargeting"/>
    <s v="Enterprise Plan"/>
    <n v="5310"/>
    <n v="509"/>
    <n v="65"/>
    <n v="128.08000000000001"/>
    <n v="12164.99"/>
    <n v="9.59"/>
    <n v="12.77"/>
    <n v="1.97"/>
    <n v="94.98"/>
    <n v="12036.91"/>
  </r>
  <r>
    <x v="422"/>
    <s v="Google Ads"/>
    <s v="Flash Sale"/>
    <s v="Starter Kit"/>
    <n v="12463"/>
    <n v="417"/>
    <n v="33"/>
    <n v="1194.6199999999999"/>
    <n v="4835.96"/>
    <n v="3.35"/>
    <n v="7.91"/>
    <n v="36.200000000000003"/>
    <n v="4.05"/>
    <n v="3641.34"/>
  </r>
  <r>
    <x v="422"/>
    <s v="Facebook Ads"/>
    <s v="Lead Generation"/>
    <s v="Starter Kit"/>
    <n v="14981"/>
    <n v="530"/>
    <n v="27"/>
    <n v="559.16999999999996"/>
    <n v="3097.25"/>
    <n v="3.54"/>
    <n v="5.09"/>
    <n v="20.71"/>
    <n v="5.54"/>
    <n v="2538.08"/>
  </r>
  <r>
    <x v="422"/>
    <s v="Instagram Ads"/>
    <s v="Lead Generation"/>
    <s v="Premium Plan"/>
    <n v="8754"/>
    <n v="392"/>
    <n v="28"/>
    <n v="525.44000000000005"/>
    <n v="2415.27"/>
    <n v="4.4800000000000004"/>
    <n v="7.14"/>
    <n v="18.77"/>
    <n v="4.5999999999999996"/>
    <n v="1889.83"/>
  </r>
  <r>
    <x v="422"/>
    <s v="LinkedIn Ads"/>
    <s v="Product Launch"/>
    <s v="Premium Plan"/>
    <n v="3121"/>
    <n v="82"/>
    <n v="8"/>
    <n v="1000.82"/>
    <n v="2554.04"/>
    <n v="2.63"/>
    <n v="9.76"/>
    <n v="125.1"/>
    <n v="2.5499999999999998"/>
    <n v="1553.22"/>
  </r>
  <r>
    <x v="422"/>
    <s v="Email Marketing"/>
    <s v="Brand Awareness"/>
    <s v="Enterprise Plan"/>
    <n v="12982"/>
    <n v="2350"/>
    <n v="254"/>
    <n v="111.91"/>
    <n v="40195.870000000003"/>
    <n v="18.100000000000001"/>
    <n v="10.81"/>
    <n v="0.44"/>
    <n v="359.18"/>
    <n v="40083.96"/>
  </r>
  <r>
    <x v="422"/>
    <s v="Organic Search"/>
    <s v="Brand Awareness"/>
    <s v="Add-on Service"/>
    <n v="20116"/>
    <n v="1481"/>
    <n v="191"/>
    <n v="0"/>
    <n v="23648.98"/>
    <n v="7.36"/>
    <n v="12.9"/>
    <n v="0"/>
    <n v="0"/>
    <n v="23648.98"/>
  </r>
  <r>
    <x v="422"/>
    <s v="Display Ads"/>
    <s v="Brand Awareness"/>
    <s v="Basic Plan"/>
    <n v="27062"/>
    <n v="412"/>
    <n v="15"/>
    <n v="741.23"/>
    <n v="1959.69"/>
    <n v="1.52"/>
    <n v="3.64"/>
    <n v="49.42"/>
    <n v="2.64"/>
    <n v="1218.46"/>
  </r>
  <r>
    <x v="422"/>
    <s v="YouTube Ads"/>
    <s v="Product Launch"/>
    <s v="Starter Kit"/>
    <n v="19017"/>
    <n v="487"/>
    <n v="28"/>
    <n v="1116.1400000000001"/>
    <n v="3097.41"/>
    <n v="2.56"/>
    <n v="5.75"/>
    <n v="39.86"/>
    <n v="2.78"/>
    <n v="1981.27"/>
  </r>
  <r>
    <x v="422"/>
    <s v="Twitter Ads"/>
    <s v="Lead Generation"/>
    <s v="Add-on Service"/>
    <n v="11633"/>
    <n v="346"/>
    <n v="12"/>
    <n v="626.76"/>
    <n v="888.33"/>
    <n v="2.97"/>
    <n v="3.47"/>
    <n v="52.23"/>
    <n v="1.42"/>
    <n v="261.57"/>
  </r>
  <r>
    <x v="422"/>
    <s v="TikTok Ads"/>
    <s v="Product Launch"/>
    <s v="Premium Plan"/>
    <n v="22746"/>
    <n v="992"/>
    <n v="53"/>
    <n v="917.45"/>
    <n v="4437.7700000000004"/>
    <n v="4.3600000000000003"/>
    <n v="5.34"/>
    <n v="17.309999999999999"/>
    <n v="4.84"/>
    <n v="3520.32"/>
  </r>
  <r>
    <x v="422"/>
    <s v="Affiliate Marketing"/>
    <s v="Brand Awareness"/>
    <s v="Basic Plan"/>
    <n v="6873"/>
    <n v="406"/>
    <n v="50"/>
    <n v="267.89999999999998"/>
    <n v="6802.59"/>
    <n v="5.91"/>
    <n v="12.32"/>
    <n v="5.36"/>
    <n v="25.39"/>
    <n v="6534.69"/>
  </r>
  <r>
    <x v="422"/>
    <s v="Referral"/>
    <s v="Lead Generation"/>
    <s v="Enterprise Plan"/>
    <n v="3160"/>
    <n v="188"/>
    <n v="29"/>
    <n v="148.88999999999999"/>
    <n v="4231.6000000000004"/>
    <n v="5.95"/>
    <n v="15.43"/>
    <n v="5.13"/>
    <n v="28.42"/>
    <n v="4082.71"/>
  </r>
  <r>
    <x v="423"/>
    <s v="Google Ads"/>
    <s v="Lead Generation"/>
    <s v="Basic Plan"/>
    <n v="11846"/>
    <n v="399"/>
    <n v="47"/>
    <n v="990.85"/>
    <n v="7476.78"/>
    <n v="3.37"/>
    <n v="11.78"/>
    <n v="21.08"/>
    <n v="7.55"/>
    <n v="6485.93"/>
  </r>
  <r>
    <x v="423"/>
    <s v="Facebook Ads"/>
    <s v="Product Launch"/>
    <s v="Basic Plan"/>
    <n v="12343"/>
    <n v="277"/>
    <n v="13"/>
    <n v="575.71"/>
    <n v="1348.22"/>
    <n v="2.2400000000000002"/>
    <n v="4.6900000000000004"/>
    <n v="44.29"/>
    <n v="2.34"/>
    <n v="772.51"/>
  </r>
  <r>
    <x v="423"/>
    <s v="Instagram Ads"/>
    <s v="Product Launch"/>
    <s v="Add-on Service"/>
    <n v="14542"/>
    <n v="388"/>
    <n v="22"/>
    <n v="561.82000000000005"/>
    <n v="1997.43"/>
    <n v="2.67"/>
    <n v="5.67"/>
    <n v="25.54"/>
    <n v="3.56"/>
    <n v="1435.61"/>
  </r>
  <r>
    <x v="423"/>
    <s v="LinkedIn Ads"/>
    <s v="Lead Generation"/>
    <s v="Basic Plan"/>
    <n v="4853"/>
    <n v="115"/>
    <n v="16"/>
    <n v="1009.09"/>
    <n v="3214.15"/>
    <n v="2.37"/>
    <n v="13.91"/>
    <n v="63.07"/>
    <n v="3.19"/>
    <n v="2205.06"/>
  </r>
  <r>
    <x v="423"/>
    <s v="Email Marketing"/>
    <s v="Lead Generation"/>
    <s v="Premium Plan"/>
    <n v="14048"/>
    <n v="2767"/>
    <n v="379"/>
    <n v="236.78"/>
    <n v="50254.68"/>
    <n v="19.7"/>
    <n v="13.7"/>
    <n v="0.62"/>
    <n v="212.24"/>
    <n v="50017.9"/>
  </r>
  <r>
    <x v="423"/>
    <s v="Organic Search"/>
    <s v="Lead Generation"/>
    <s v="Enterprise Plan"/>
    <n v="26553"/>
    <n v="1214"/>
    <n v="178"/>
    <n v="0"/>
    <n v="19366.84"/>
    <n v="4.57"/>
    <n v="14.66"/>
    <n v="0"/>
    <n v="0"/>
    <n v="19366.84"/>
  </r>
  <r>
    <x v="423"/>
    <s v="Display Ads"/>
    <s v="Brand Awareness"/>
    <s v="Premium Plan"/>
    <n v="24268"/>
    <n v="460"/>
    <n v="11"/>
    <n v="1102.31"/>
    <n v="1100.3"/>
    <n v="1.9"/>
    <n v="2.39"/>
    <n v="100.21"/>
    <n v="1"/>
    <n v="-2.0099999999999998"/>
  </r>
  <r>
    <x v="423"/>
    <s v="YouTube Ads"/>
    <s v="Flash Sale"/>
    <s v="Basic Plan"/>
    <n v="14331"/>
    <n v="385"/>
    <n v="27"/>
    <n v="984.81"/>
    <n v="3284.56"/>
    <n v="2.69"/>
    <n v="7.01"/>
    <n v="36.47"/>
    <n v="3.34"/>
    <n v="2299.75"/>
  </r>
  <r>
    <x v="423"/>
    <s v="Twitter Ads"/>
    <s v="Retargeting"/>
    <s v="Premium Plan"/>
    <n v="9001"/>
    <n v="216"/>
    <n v="7"/>
    <n v="362.59"/>
    <n v="671.59"/>
    <n v="2.4"/>
    <n v="3.24"/>
    <n v="51.8"/>
    <n v="1.85"/>
    <n v="309"/>
  </r>
  <r>
    <x v="423"/>
    <s v="TikTok Ads"/>
    <s v="Product Launch"/>
    <s v="Basic Plan"/>
    <n v="16960"/>
    <n v="646"/>
    <n v="27"/>
    <n v="559.70000000000005"/>
    <n v="3200.45"/>
    <n v="3.81"/>
    <n v="4.18"/>
    <n v="20.73"/>
    <n v="5.72"/>
    <n v="2640.75"/>
  </r>
  <r>
    <x v="423"/>
    <s v="Affiliate Marketing"/>
    <s v="Product Launch"/>
    <s v="Starter Kit"/>
    <n v="5982"/>
    <n v="340"/>
    <n v="34"/>
    <n v="383.81"/>
    <n v="3960.31"/>
    <n v="5.68"/>
    <n v="10"/>
    <n v="11.29"/>
    <n v="10.32"/>
    <n v="3576.5"/>
  </r>
  <r>
    <x v="423"/>
    <s v="Referral"/>
    <s v="Lead Generation"/>
    <s v="Enterprise Plan"/>
    <n v="3035"/>
    <n v="218"/>
    <n v="33"/>
    <n v="102.42"/>
    <n v="4968.46"/>
    <n v="7.18"/>
    <n v="15.14"/>
    <n v="3.1"/>
    <n v="48.51"/>
    <n v="4866.04"/>
  </r>
  <r>
    <x v="424"/>
    <s v="Google Ads"/>
    <s v="Product Launch"/>
    <s v="Basic Plan"/>
    <n v="10885"/>
    <n v="542"/>
    <n v="62"/>
    <n v="1102.46"/>
    <n v="8290.75"/>
    <n v="4.9800000000000004"/>
    <n v="11.44"/>
    <n v="17.78"/>
    <n v="7.52"/>
    <n v="7188.29"/>
  </r>
  <r>
    <x v="424"/>
    <s v="Facebook Ads"/>
    <s v="Seasonal Promotion"/>
    <s v="Add-on Service"/>
    <n v="16095"/>
    <n v="336"/>
    <n v="29"/>
    <n v="711.72"/>
    <n v="2711.64"/>
    <n v="2.09"/>
    <n v="8.6300000000000008"/>
    <n v="24.54"/>
    <n v="3.81"/>
    <n v="1999.92"/>
  </r>
  <r>
    <x v="424"/>
    <s v="Instagram Ads"/>
    <s v="Retargeting"/>
    <s v="Premium Plan"/>
    <n v="14597"/>
    <n v="460"/>
    <n v="20"/>
    <n v="673.73"/>
    <n v="1960.3"/>
    <n v="3.15"/>
    <n v="4.3499999999999996"/>
    <n v="33.69"/>
    <n v="2.91"/>
    <n v="1286.57"/>
  </r>
  <r>
    <x v="424"/>
    <s v="LinkedIn Ads"/>
    <s v="Brand Awareness"/>
    <s v="Basic Plan"/>
    <n v="3422"/>
    <n v="65"/>
    <n v="7"/>
    <n v="1237.25"/>
    <n v="1828.39"/>
    <n v="1.9"/>
    <n v="10.77"/>
    <n v="176.75"/>
    <n v="1.48"/>
    <n v="591.14"/>
  </r>
  <r>
    <x v="424"/>
    <s v="Email Marketing"/>
    <s v="Lead Generation"/>
    <s v="Basic Plan"/>
    <n v="17698"/>
    <n v="3274"/>
    <n v="345"/>
    <n v="102.32"/>
    <n v="47172.31"/>
    <n v="18.5"/>
    <n v="10.54"/>
    <n v="0.3"/>
    <n v="461.03"/>
    <n v="47069.99"/>
  </r>
  <r>
    <x v="424"/>
    <s v="Organic Search"/>
    <s v="Lead Generation"/>
    <s v="Add-on Service"/>
    <n v="28060"/>
    <n v="1322"/>
    <n v="175"/>
    <n v="0"/>
    <n v="18083.55"/>
    <n v="4.71"/>
    <n v="13.24"/>
    <n v="0"/>
    <n v="0"/>
    <n v="18083.55"/>
  </r>
  <r>
    <x v="424"/>
    <s v="Display Ads"/>
    <s v="Retargeting"/>
    <s v="Enterprise Plan"/>
    <n v="26673"/>
    <n v="498"/>
    <n v="11"/>
    <n v="871.12"/>
    <n v="1330.3"/>
    <n v="1.87"/>
    <n v="2.21"/>
    <n v="79.19"/>
    <n v="1.53"/>
    <n v="459.18"/>
  </r>
  <r>
    <x v="424"/>
    <s v="YouTube Ads"/>
    <s v="Product Launch"/>
    <s v="Add-on Service"/>
    <n v="18241"/>
    <n v="455"/>
    <n v="19"/>
    <n v="856.36"/>
    <n v="2092.46"/>
    <n v="2.4900000000000002"/>
    <n v="4.18"/>
    <n v="45.07"/>
    <n v="2.44"/>
    <n v="1236.0999999999999"/>
  </r>
  <r>
    <x v="424"/>
    <s v="Twitter Ads"/>
    <s v="Retargeting"/>
    <s v="Basic Plan"/>
    <n v="8247"/>
    <n v="237"/>
    <n v="12"/>
    <n v="563.22"/>
    <n v="909"/>
    <n v="2.87"/>
    <n v="5.0599999999999996"/>
    <n v="46.94"/>
    <n v="1.61"/>
    <n v="345.78"/>
  </r>
  <r>
    <x v="424"/>
    <s v="TikTok Ads"/>
    <s v="Brand Awareness"/>
    <s v="Add-on Service"/>
    <n v="25483"/>
    <n v="987"/>
    <n v="33"/>
    <n v="516.47"/>
    <n v="3422.43"/>
    <n v="3.87"/>
    <n v="3.34"/>
    <n v="15.65"/>
    <n v="6.63"/>
    <n v="2905.96"/>
  </r>
  <r>
    <x v="424"/>
    <s v="Affiliate Marketing"/>
    <s v="Seasonal Promotion"/>
    <s v="Basic Plan"/>
    <n v="5848"/>
    <n v="241"/>
    <n v="27"/>
    <n v="399.53"/>
    <n v="4260.6400000000003"/>
    <n v="4.12"/>
    <n v="11.2"/>
    <n v="14.8"/>
    <n v="10.66"/>
    <n v="3861.11"/>
  </r>
  <r>
    <x v="424"/>
    <s v="Referral"/>
    <s v="Seasonal Promotion"/>
    <s v="Enterprise Plan"/>
    <n v="5354"/>
    <n v="323"/>
    <n v="51"/>
    <n v="83.87"/>
    <n v="8121.64"/>
    <n v="6.03"/>
    <n v="15.79"/>
    <n v="1.64"/>
    <n v="96.84"/>
    <n v="8037.77"/>
  </r>
  <r>
    <x v="425"/>
    <s v="Google Ads"/>
    <s v="Lead Generation"/>
    <s v="Enterprise Plan"/>
    <n v="5888"/>
    <n v="255"/>
    <n v="24"/>
    <n v="665.23"/>
    <n v="3825.36"/>
    <n v="4.33"/>
    <n v="9.41"/>
    <n v="27.72"/>
    <n v="5.75"/>
    <n v="3160.13"/>
  </r>
  <r>
    <x v="425"/>
    <s v="Facebook Ads"/>
    <s v="Lead Generation"/>
    <s v="Premium Plan"/>
    <n v="9452"/>
    <n v="284"/>
    <n v="19"/>
    <n v="695.17"/>
    <n v="2783.52"/>
    <n v="3"/>
    <n v="6.69"/>
    <n v="36.590000000000003"/>
    <n v="4"/>
    <n v="2088.35"/>
  </r>
  <r>
    <x v="425"/>
    <s v="Instagram Ads"/>
    <s v="Flash Sale"/>
    <s v="Enterprise Plan"/>
    <n v="9749"/>
    <n v="345"/>
    <n v="14"/>
    <n v="552.4"/>
    <n v="1396.16"/>
    <n v="3.54"/>
    <n v="4.0599999999999996"/>
    <n v="39.46"/>
    <n v="2.5299999999999998"/>
    <n v="843.76"/>
  </r>
  <r>
    <x v="425"/>
    <s v="LinkedIn Ads"/>
    <s v="Lead Generation"/>
    <s v="Add-on Service"/>
    <n v="1823"/>
    <n v="48"/>
    <n v="4"/>
    <n v="614.4"/>
    <n v="909.74"/>
    <n v="2.63"/>
    <n v="8.33"/>
    <n v="153.6"/>
    <n v="1.48"/>
    <n v="295.33999999999997"/>
  </r>
  <r>
    <x v="425"/>
    <s v="Email Marketing"/>
    <s v="Seasonal Promotion"/>
    <s v="Starter Kit"/>
    <n v="9010"/>
    <n v="2106"/>
    <n v="193"/>
    <n v="141.97999999999999"/>
    <n v="33748.480000000003"/>
    <n v="23.37"/>
    <n v="9.16"/>
    <n v="0.74"/>
    <n v="237.7"/>
    <n v="33606.5"/>
  </r>
  <r>
    <x v="425"/>
    <s v="Organic Search"/>
    <s v="Lead Generation"/>
    <s v="Premium Plan"/>
    <n v="14823"/>
    <n v="1101"/>
    <n v="160"/>
    <n v="0"/>
    <n v="20072.689999999999"/>
    <n v="7.43"/>
    <n v="14.53"/>
    <n v="0"/>
    <n v="0"/>
    <n v="20072.689999999999"/>
  </r>
  <r>
    <x v="425"/>
    <s v="Display Ads"/>
    <s v="Retargeting"/>
    <s v="Add-on Service"/>
    <n v="21290"/>
    <n v="261"/>
    <n v="8"/>
    <n v="439.54"/>
    <n v="962.3"/>
    <n v="1.23"/>
    <n v="3.07"/>
    <n v="54.94"/>
    <n v="2.19"/>
    <n v="522.76"/>
  </r>
  <r>
    <x v="425"/>
    <s v="YouTube Ads"/>
    <s v="Brand Awareness"/>
    <s v="Basic Plan"/>
    <n v="14819"/>
    <n v="437"/>
    <n v="32"/>
    <n v="584.25"/>
    <n v="4157.3999999999996"/>
    <n v="2.95"/>
    <n v="7.32"/>
    <n v="18.260000000000002"/>
    <n v="7.12"/>
    <n v="3573.15"/>
  </r>
  <r>
    <x v="425"/>
    <s v="Twitter Ads"/>
    <s v="Seasonal Promotion"/>
    <s v="Starter Kit"/>
    <n v="6442"/>
    <n v="158"/>
    <n v="5"/>
    <n v="308.8"/>
    <n v="497.73"/>
    <n v="2.4500000000000002"/>
    <n v="3.16"/>
    <n v="61.76"/>
    <n v="1.61"/>
    <n v="188.93"/>
  </r>
  <r>
    <x v="425"/>
    <s v="TikTok Ads"/>
    <s v="Flash Sale"/>
    <s v="Add-on Service"/>
    <n v="16413"/>
    <n v="448"/>
    <n v="26"/>
    <n v="615.75"/>
    <n v="2668.9"/>
    <n v="2.73"/>
    <n v="5.8"/>
    <n v="23.68"/>
    <n v="4.33"/>
    <n v="2053.15"/>
  </r>
  <r>
    <x v="425"/>
    <s v="Affiliate Marketing"/>
    <s v="Product Launch"/>
    <s v="Starter Kit"/>
    <n v="4690"/>
    <n v="246"/>
    <n v="29"/>
    <n v="350.33"/>
    <n v="3936.97"/>
    <n v="5.25"/>
    <n v="11.79"/>
    <n v="12.08"/>
    <n v="11.24"/>
    <n v="3586.64"/>
  </r>
  <r>
    <x v="425"/>
    <s v="Referral"/>
    <s v="Seasonal Promotion"/>
    <s v="Starter Kit"/>
    <n v="2347"/>
    <n v="156"/>
    <n v="24"/>
    <n v="42.6"/>
    <n v="3161.24"/>
    <n v="6.65"/>
    <n v="15.38"/>
    <n v="1.78"/>
    <n v="74.209999999999994"/>
    <n v="3118.64"/>
  </r>
  <r>
    <x v="426"/>
    <s v="Google Ads"/>
    <s v="Lead Generation"/>
    <s v="Enterprise Plan"/>
    <n v="8881"/>
    <n v="345"/>
    <n v="34"/>
    <n v="681.07"/>
    <n v="5196.67"/>
    <n v="3.88"/>
    <n v="9.86"/>
    <n v="20.03"/>
    <n v="7.63"/>
    <n v="4515.6000000000004"/>
  </r>
  <r>
    <x v="426"/>
    <s v="Facebook Ads"/>
    <s v="Flash Sale"/>
    <s v="Enterprise Plan"/>
    <n v="10601"/>
    <n v="416"/>
    <n v="23"/>
    <n v="656.23"/>
    <n v="2606.52"/>
    <n v="3.92"/>
    <n v="5.53"/>
    <n v="28.53"/>
    <n v="3.97"/>
    <n v="1950.29"/>
  </r>
  <r>
    <x v="426"/>
    <s v="Instagram Ads"/>
    <s v="Seasonal Promotion"/>
    <s v="Starter Kit"/>
    <n v="9207"/>
    <n v="256"/>
    <n v="10"/>
    <n v="494.64"/>
    <n v="1028.1300000000001"/>
    <n v="2.78"/>
    <n v="3.91"/>
    <n v="49.46"/>
    <n v="2.08"/>
    <n v="533.49"/>
  </r>
  <r>
    <x v="426"/>
    <s v="LinkedIn Ads"/>
    <s v="Flash Sale"/>
    <s v="Starter Kit"/>
    <n v="2302"/>
    <n v="64"/>
    <n v="7"/>
    <n v="1031.98"/>
    <n v="2304.19"/>
    <n v="2.78"/>
    <n v="10.94"/>
    <n v="147.43"/>
    <n v="2.23"/>
    <n v="1272.21"/>
  </r>
  <r>
    <x v="426"/>
    <s v="Email Marketing"/>
    <s v="Retargeting"/>
    <s v="Enterprise Plan"/>
    <n v="14047"/>
    <n v="2166"/>
    <n v="251"/>
    <n v="85.03"/>
    <n v="30296.99"/>
    <n v="15.42"/>
    <n v="11.59"/>
    <n v="0.34"/>
    <n v="356.31"/>
    <n v="30211.96"/>
  </r>
  <r>
    <x v="426"/>
    <s v="Organic Search"/>
    <s v="Seasonal Promotion"/>
    <s v="Starter Kit"/>
    <n v="20182"/>
    <n v="1602"/>
    <n v="198"/>
    <n v="0"/>
    <n v="27534.02"/>
    <n v="7.94"/>
    <n v="12.36"/>
    <n v="0"/>
    <n v="0"/>
    <n v="27534.02"/>
  </r>
  <r>
    <x v="426"/>
    <s v="Display Ads"/>
    <s v="Flash Sale"/>
    <s v="Add-on Service"/>
    <n v="23739"/>
    <n v="248"/>
    <n v="11"/>
    <n v="565.53"/>
    <n v="1135.53"/>
    <n v="1.04"/>
    <n v="4.4400000000000004"/>
    <n v="51.41"/>
    <n v="2.0099999999999998"/>
    <n v="570"/>
  </r>
  <r>
    <x v="426"/>
    <s v="YouTube Ads"/>
    <s v="Flash Sale"/>
    <s v="Premium Plan"/>
    <n v="11532"/>
    <n v="327"/>
    <n v="19"/>
    <n v="538.05999999999995"/>
    <n v="2256.14"/>
    <n v="2.84"/>
    <n v="5.81"/>
    <n v="28.32"/>
    <n v="4.1900000000000004"/>
    <n v="1718.08"/>
  </r>
  <r>
    <x v="426"/>
    <s v="Twitter Ads"/>
    <s v="Lead Generation"/>
    <s v="Basic Plan"/>
    <n v="7184"/>
    <n v="199"/>
    <n v="11"/>
    <n v="411.95"/>
    <n v="877.32"/>
    <n v="2.77"/>
    <n v="5.53"/>
    <n v="37.450000000000003"/>
    <n v="2.13"/>
    <n v="465.37"/>
  </r>
  <r>
    <x v="426"/>
    <s v="TikTok Ads"/>
    <s v="Lead Generation"/>
    <s v="Starter Kit"/>
    <n v="16875"/>
    <n v="597"/>
    <n v="25"/>
    <n v="389.9"/>
    <n v="2273.35"/>
    <n v="3.54"/>
    <n v="4.1900000000000004"/>
    <n v="15.6"/>
    <n v="5.83"/>
    <n v="1883.45"/>
  </r>
  <r>
    <x v="426"/>
    <s v="Affiliate Marketing"/>
    <s v="Lead Generation"/>
    <s v="Starter Kit"/>
    <n v="3651"/>
    <n v="161"/>
    <n v="14"/>
    <n v="181.58"/>
    <n v="1973.74"/>
    <n v="4.41"/>
    <n v="8.6999999999999993"/>
    <n v="12.97"/>
    <n v="10.87"/>
    <n v="1792.16"/>
  </r>
  <r>
    <x v="426"/>
    <s v="Referral"/>
    <s v="Lead Generation"/>
    <s v="Enterprise Plan"/>
    <n v="2955"/>
    <n v="189"/>
    <n v="29"/>
    <n v="47.34"/>
    <n v="4477.78"/>
    <n v="6.4"/>
    <n v="15.34"/>
    <n v="1.63"/>
    <n v="94.59"/>
    <n v="4430.4399999999996"/>
  </r>
  <r>
    <x v="427"/>
    <s v="Google Ads"/>
    <s v="Retargeting"/>
    <s v="Starter Kit"/>
    <n v="13240"/>
    <n v="587"/>
    <n v="56"/>
    <n v="867.08"/>
    <n v="8172.18"/>
    <n v="4.43"/>
    <n v="9.5399999999999991"/>
    <n v="15.48"/>
    <n v="9.42"/>
    <n v="7305.1"/>
  </r>
  <r>
    <x v="427"/>
    <s v="Facebook Ads"/>
    <s v="Seasonal Promotion"/>
    <s v="Basic Plan"/>
    <n v="18356"/>
    <n v="379"/>
    <n v="21"/>
    <n v="699.65"/>
    <n v="2348.2800000000002"/>
    <n v="2.06"/>
    <n v="5.54"/>
    <n v="33.32"/>
    <n v="3.36"/>
    <n v="1648.63"/>
  </r>
  <r>
    <x v="427"/>
    <s v="Instagram Ads"/>
    <s v="Product Launch"/>
    <s v="Enterprise Plan"/>
    <n v="16887"/>
    <n v="602"/>
    <n v="31"/>
    <n v="614.69000000000005"/>
    <n v="2885.71"/>
    <n v="3.56"/>
    <n v="5.15"/>
    <n v="19.829999999999998"/>
    <n v="4.6900000000000004"/>
    <n v="2271.02"/>
  </r>
  <r>
    <x v="427"/>
    <s v="LinkedIn Ads"/>
    <s v="Seasonal Promotion"/>
    <s v="Premium Plan"/>
    <n v="4265"/>
    <n v="109"/>
    <n v="14"/>
    <n v="1354.63"/>
    <n v="3907.58"/>
    <n v="2.56"/>
    <n v="12.84"/>
    <n v="96.76"/>
    <n v="2.88"/>
    <n v="2552.9499999999998"/>
  </r>
  <r>
    <x v="427"/>
    <s v="Email Marketing"/>
    <s v="Lead Generation"/>
    <s v="Premium Plan"/>
    <n v="19003"/>
    <n v="4489"/>
    <n v="508"/>
    <n v="280.57"/>
    <n v="77222.91"/>
    <n v="23.62"/>
    <n v="11.32"/>
    <n v="0.55000000000000004"/>
    <n v="275.24"/>
    <n v="76942.34"/>
  </r>
  <r>
    <x v="427"/>
    <s v="Organic Search"/>
    <s v="Product Launch"/>
    <s v="Starter Kit"/>
    <n v="30414"/>
    <n v="1351"/>
    <n v="176"/>
    <n v="0"/>
    <n v="22079.98"/>
    <n v="4.4400000000000004"/>
    <n v="13.03"/>
    <n v="0"/>
    <n v="0"/>
    <n v="22079.98"/>
  </r>
  <r>
    <x v="427"/>
    <s v="Display Ads"/>
    <s v="Seasonal Promotion"/>
    <s v="Enterprise Plan"/>
    <n v="25986"/>
    <n v="503"/>
    <n v="12"/>
    <n v="960.32"/>
    <n v="1453.01"/>
    <n v="1.94"/>
    <n v="2.39"/>
    <n v="80.03"/>
    <n v="1.51"/>
    <n v="492.69"/>
  </r>
  <r>
    <x v="427"/>
    <s v="YouTube Ads"/>
    <s v="Lead Generation"/>
    <s v="Add-on Service"/>
    <n v="24953"/>
    <n v="433"/>
    <n v="26"/>
    <n v="1039.52"/>
    <n v="3251.17"/>
    <n v="1.74"/>
    <n v="6"/>
    <n v="39.979999999999997"/>
    <n v="3.13"/>
    <n v="2211.65"/>
  </r>
  <r>
    <x v="427"/>
    <s v="Twitter Ads"/>
    <s v="Brand Awareness"/>
    <s v="Starter Kit"/>
    <n v="13341"/>
    <n v="284"/>
    <n v="11"/>
    <n v="433.9"/>
    <n v="872.27"/>
    <n v="2.13"/>
    <n v="3.87"/>
    <n v="39.450000000000003"/>
    <n v="2.0099999999999998"/>
    <n v="438.37"/>
  </r>
  <r>
    <x v="427"/>
    <s v="TikTok Ads"/>
    <s v="Seasonal Promotion"/>
    <s v="Add-on Service"/>
    <n v="18263"/>
    <n v="671"/>
    <n v="36"/>
    <n v="977.88"/>
    <n v="2887.37"/>
    <n v="3.67"/>
    <n v="5.37"/>
    <n v="27.16"/>
    <n v="2.95"/>
    <n v="1909.49"/>
  </r>
  <r>
    <x v="427"/>
    <s v="Affiliate Marketing"/>
    <s v="Product Launch"/>
    <s v="Starter Kit"/>
    <n v="5342"/>
    <n v="368"/>
    <n v="46"/>
    <n v="373.92"/>
    <n v="6106.72"/>
    <n v="6.89"/>
    <n v="12.5"/>
    <n v="8.1300000000000008"/>
    <n v="16.329999999999998"/>
    <n v="5732.8"/>
  </r>
  <r>
    <x v="427"/>
    <s v="Referral"/>
    <s v="Retargeting"/>
    <s v="Starter Kit"/>
    <n v="6235"/>
    <n v="393"/>
    <n v="60"/>
    <n v="160.07"/>
    <n v="9682.0499999999993"/>
    <n v="6.3"/>
    <n v="15.27"/>
    <n v="2.67"/>
    <n v="60.49"/>
    <n v="9521.98"/>
  </r>
  <r>
    <x v="428"/>
    <s v="Google Ads"/>
    <s v="Retargeting"/>
    <s v="Starter Kit"/>
    <n v="12451"/>
    <n v="610"/>
    <n v="68"/>
    <n v="913.66"/>
    <n v="11919.69"/>
    <n v="4.9000000000000004"/>
    <n v="11.15"/>
    <n v="13.44"/>
    <n v="13.05"/>
    <n v="11006.03"/>
  </r>
  <r>
    <x v="428"/>
    <s v="Facebook Ads"/>
    <s v="Product Launch"/>
    <s v="Starter Kit"/>
    <n v="14037"/>
    <n v="428"/>
    <n v="33"/>
    <n v="901.07"/>
    <n v="4230.29"/>
    <n v="3.05"/>
    <n v="7.71"/>
    <n v="27.31"/>
    <n v="4.6900000000000004"/>
    <n v="3329.22"/>
  </r>
  <r>
    <x v="428"/>
    <s v="Instagram Ads"/>
    <s v="Product Launch"/>
    <s v="Enterprise Plan"/>
    <n v="13460"/>
    <n v="530"/>
    <n v="32"/>
    <n v="912.99"/>
    <n v="3487.48"/>
    <n v="3.94"/>
    <n v="6.04"/>
    <n v="28.53"/>
    <n v="3.82"/>
    <n v="2574.4899999999998"/>
  </r>
  <r>
    <x v="428"/>
    <s v="LinkedIn Ads"/>
    <s v="Retargeting"/>
    <s v="Premium Plan"/>
    <n v="5727"/>
    <n v="129"/>
    <n v="18"/>
    <n v="1735.62"/>
    <n v="5191.18"/>
    <n v="2.25"/>
    <n v="13.95"/>
    <n v="96.42"/>
    <n v="2.99"/>
    <n v="3455.56"/>
  </r>
  <r>
    <x v="428"/>
    <s v="Email Marketing"/>
    <s v="Lead Generation"/>
    <s v="Starter Kit"/>
    <n v="18432"/>
    <n v="3609"/>
    <n v="401"/>
    <n v="203.97"/>
    <n v="56799.77"/>
    <n v="19.579999999999998"/>
    <n v="11.11"/>
    <n v="0.51"/>
    <n v="278.47000000000003"/>
    <n v="56595.8"/>
  </r>
  <r>
    <x v="428"/>
    <s v="Organic Search"/>
    <s v="Lead Generation"/>
    <s v="Enterprise Plan"/>
    <n v="30650"/>
    <n v="2379"/>
    <n v="265"/>
    <n v="0"/>
    <n v="28094.34"/>
    <n v="7.76"/>
    <n v="11.14"/>
    <n v="0"/>
    <n v="0"/>
    <n v="28094.34"/>
  </r>
  <r>
    <x v="428"/>
    <s v="Display Ads"/>
    <s v="Flash Sale"/>
    <s v="Premium Plan"/>
    <n v="36152"/>
    <n v="594"/>
    <n v="19"/>
    <n v="1047.55"/>
    <n v="2377.3000000000002"/>
    <n v="1.64"/>
    <n v="3.2"/>
    <n v="55.13"/>
    <n v="2.27"/>
    <n v="1329.75"/>
  </r>
  <r>
    <x v="428"/>
    <s v="YouTube Ads"/>
    <s v="Product Launch"/>
    <s v="Premium Plan"/>
    <n v="23548"/>
    <n v="436"/>
    <n v="26"/>
    <n v="1219.51"/>
    <n v="3326.04"/>
    <n v="1.85"/>
    <n v="5.96"/>
    <n v="46.9"/>
    <n v="2.73"/>
    <n v="2106.5300000000002"/>
  </r>
  <r>
    <x v="428"/>
    <s v="Twitter Ads"/>
    <s v="Product Launch"/>
    <s v="Add-on Service"/>
    <n v="10530"/>
    <n v="320"/>
    <n v="15"/>
    <n v="793.15"/>
    <n v="1617.94"/>
    <n v="3.04"/>
    <n v="4.6900000000000004"/>
    <n v="52.88"/>
    <n v="2.04"/>
    <n v="824.79"/>
  </r>
  <r>
    <x v="428"/>
    <s v="TikTok Ads"/>
    <s v="Seasonal Promotion"/>
    <s v="Add-on Service"/>
    <n v="20028"/>
    <n v="865"/>
    <n v="28"/>
    <n v="826.34"/>
    <n v="2454.21"/>
    <n v="4.32"/>
    <n v="3.24"/>
    <n v="29.51"/>
    <n v="2.97"/>
    <n v="1627.87"/>
  </r>
  <r>
    <x v="428"/>
    <s v="Affiliate Marketing"/>
    <s v="Flash Sale"/>
    <s v="Premium Plan"/>
    <n v="9806"/>
    <n v="632"/>
    <n v="75"/>
    <n v="394.84"/>
    <n v="9774.5499999999993"/>
    <n v="6.45"/>
    <n v="11.87"/>
    <n v="5.26"/>
    <n v="24.76"/>
    <n v="9379.7099999999991"/>
  </r>
  <r>
    <x v="428"/>
    <s v="Referral"/>
    <s v="Product Launch"/>
    <s v="Basic Plan"/>
    <n v="6448"/>
    <n v="466"/>
    <n v="75"/>
    <n v="107.75"/>
    <n v="9416.98"/>
    <n v="7.23"/>
    <n v="16.09"/>
    <n v="1.44"/>
    <n v="87.4"/>
    <n v="9309.23"/>
  </r>
  <r>
    <x v="429"/>
    <s v="Google Ads"/>
    <s v="Brand Awareness"/>
    <s v="Premium Plan"/>
    <n v="8431"/>
    <n v="335"/>
    <n v="30"/>
    <n v="1120.83"/>
    <n v="3983.96"/>
    <n v="3.97"/>
    <n v="8.9600000000000009"/>
    <n v="37.36"/>
    <n v="3.55"/>
    <n v="2863.13"/>
  </r>
  <r>
    <x v="429"/>
    <s v="Facebook Ads"/>
    <s v="Brand Awareness"/>
    <s v="Enterprise Plan"/>
    <n v="16873"/>
    <n v="528"/>
    <n v="36"/>
    <n v="1029.45"/>
    <n v="3983.46"/>
    <n v="3.13"/>
    <n v="6.82"/>
    <n v="28.6"/>
    <n v="3.87"/>
    <n v="2954.01"/>
  </r>
  <r>
    <x v="429"/>
    <s v="Instagram Ads"/>
    <s v="Brand Awareness"/>
    <s v="Add-on Service"/>
    <n v="14954"/>
    <n v="502"/>
    <n v="25"/>
    <n v="730.31"/>
    <n v="2387.63"/>
    <n v="3.36"/>
    <n v="4.9800000000000004"/>
    <n v="29.21"/>
    <n v="3.27"/>
    <n v="1657.32"/>
  </r>
  <r>
    <x v="429"/>
    <s v="LinkedIn Ads"/>
    <s v="Lead Generation"/>
    <s v="Enterprise Plan"/>
    <n v="5192"/>
    <n v="107"/>
    <n v="12"/>
    <n v="1228.42"/>
    <n v="3643.32"/>
    <n v="2.06"/>
    <n v="11.21"/>
    <n v="102.37"/>
    <n v="2.97"/>
    <n v="2414.9"/>
  </r>
  <r>
    <x v="429"/>
    <s v="Email Marketing"/>
    <s v="Lead Generation"/>
    <s v="Enterprise Plan"/>
    <n v="24790"/>
    <n v="4568"/>
    <n v="476"/>
    <n v="251.46"/>
    <n v="60437.97"/>
    <n v="18.43"/>
    <n v="10.42"/>
    <n v="0.53"/>
    <n v="240.35"/>
    <n v="60186.51"/>
  </r>
  <r>
    <x v="429"/>
    <s v="Organic Search"/>
    <s v="Product Launch"/>
    <s v="Enterprise Plan"/>
    <n v="32410"/>
    <n v="2566"/>
    <n v="348"/>
    <n v="0"/>
    <n v="39847.14"/>
    <n v="7.92"/>
    <n v="13.56"/>
    <n v="0"/>
    <n v="0"/>
    <n v="39847.14"/>
  </r>
  <r>
    <x v="429"/>
    <s v="Display Ads"/>
    <s v="Flash Sale"/>
    <s v="Enterprise Plan"/>
    <n v="29291"/>
    <n v="550"/>
    <n v="21"/>
    <n v="1237.01"/>
    <n v="2406.41"/>
    <n v="1.88"/>
    <n v="3.82"/>
    <n v="58.91"/>
    <n v="1.95"/>
    <n v="1169.4000000000001"/>
  </r>
  <r>
    <x v="429"/>
    <s v="YouTube Ads"/>
    <s v="Lead Generation"/>
    <s v="Add-on Service"/>
    <n v="24566"/>
    <n v="731"/>
    <n v="48"/>
    <n v="1351.06"/>
    <n v="4275.8900000000003"/>
    <n v="2.98"/>
    <n v="6.57"/>
    <n v="28.15"/>
    <n v="3.16"/>
    <n v="2924.83"/>
  </r>
  <r>
    <x v="429"/>
    <s v="Twitter Ads"/>
    <s v="Lead Generation"/>
    <s v="Add-on Service"/>
    <n v="11069"/>
    <n v="271"/>
    <n v="10"/>
    <n v="674.03"/>
    <n v="997.06"/>
    <n v="2.4500000000000002"/>
    <n v="3.69"/>
    <n v="67.400000000000006"/>
    <n v="1.48"/>
    <n v="323.02999999999997"/>
  </r>
  <r>
    <x v="429"/>
    <s v="TikTok Ads"/>
    <s v="Product Launch"/>
    <s v="Premium Plan"/>
    <n v="18124"/>
    <n v="680"/>
    <n v="22"/>
    <n v="1076.8599999999999"/>
    <n v="1722.64"/>
    <n v="3.75"/>
    <n v="3.24"/>
    <n v="48.95"/>
    <n v="1.6"/>
    <n v="645.78"/>
  </r>
  <r>
    <x v="429"/>
    <s v="Affiliate Marketing"/>
    <s v="Product Launch"/>
    <s v="Enterprise Plan"/>
    <n v="9732"/>
    <n v="517"/>
    <n v="62"/>
    <n v="622.64"/>
    <n v="8571.0300000000007"/>
    <n v="5.31"/>
    <n v="11.99"/>
    <n v="10.039999999999999"/>
    <n v="13.77"/>
    <n v="7948.39"/>
  </r>
  <r>
    <x v="429"/>
    <s v="Referral"/>
    <s v="Product Launch"/>
    <s v="Starter Kit"/>
    <n v="4955"/>
    <n v="429"/>
    <n v="76"/>
    <n v="58.83"/>
    <n v="13687.45"/>
    <n v="8.66"/>
    <n v="17.72"/>
    <n v="0.77"/>
    <n v="232.66"/>
    <n v="13628.62"/>
  </r>
  <r>
    <x v="430"/>
    <s v="Google Ads"/>
    <s v="Retargeting"/>
    <s v="Add-on Service"/>
    <n v="13550"/>
    <n v="526"/>
    <n v="44"/>
    <n v="891.97"/>
    <n v="5043.8500000000004"/>
    <n v="3.88"/>
    <n v="8.3699999999999992"/>
    <n v="20.27"/>
    <n v="5.65"/>
    <n v="4151.88"/>
  </r>
  <r>
    <x v="430"/>
    <s v="Facebook Ads"/>
    <s v="Flash Sale"/>
    <s v="Premium Plan"/>
    <n v="13548"/>
    <n v="464"/>
    <n v="29"/>
    <n v="1120.1099999999999"/>
    <n v="2716.73"/>
    <n v="3.42"/>
    <n v="6.25"/>
    <n v="38.619999999999997"/>
    <n v="2.4300000000000002"/>
    <n v="1596.62"/>
  </r>
  <r>
    <x v="430"/>
    <s v="Instagram Ads"/>
    <s v="Retargeting"/>
    <s v="Add-on Service"/>
    <n v="11104"/>
    <n v="379"/>
    <n v="19"/>
    <n v="617.65"/>
    <n v="2038.44"/>
    <n v="3.41"/>
    <n v="5.01"/>
    <n v="32.51"/>
    <n v="3.3"/>
    <n v="1420.79"/>
  </r>
  <r>
    <x v="430"/>
    <s v="LinkedIn Ads"/>
    <s v="Lead Generation"/>
    <s v="Starter Kit"/>
    <n v="4739"/>
    <n v="88"/>
    <n v="12"/>
    <n v="1632.01"/>
    <n v="2927.11"/>
    <n v="1.86"/>
    <n v="13.64"/>
    <n v="136"/>
    <n v="1.79"/>
    <n v="1295.0999999999999"/>
  </r>
  <r>
    <x v="430"/>
    <s v="Email Marketing"/>
    <s v="Lead Generation"/>
    <s v="Basic Plan"/>
    <n v="24416"/>
    <n v="3694"/>
    <n v="331"/>
    <n v="220.56"/>
    <n v="36950.74"/>
    <n v="15.13"/>
    <n v="8.9600000000000009"/>
    <n v="0.67"/>
    <n v="167.53"/>
    <n v="36730.18"/>
  </r>
  <r>
    <x v="430"/>
    <s v="Organic Search"/>
    <s v="Flash Sale"/>
    <s v="Basic Plan"/>
    <n v="26136"/>
    <n v="1943"/>
    <n v="203"/>
    <n v="0"/>
    <n v="25909.03"/>
    <n v="7.43"/>
    <n v="10.45"/>
    <n v="0"/>
    <n v="0"/>
    <n v="25909.03"/>
  </r>
  <r>
    <x v="430"/>
    <s v="Display Ads"/>
    <s v="Retargeting"/>
    <s v="Basic Plan"/>
    <n v="39340"/>
    <n v="757"/>
    <n v="16"/>
    <n v="998.73"/>
    <n v="1498.48"/>
    <n v="1.92"/>
    <n v="2.11"/>
    <n v="62.42"/>
    <n v="1.5"/>
    <n v="499.75"/>
  </r>
  <r>
    <x v="430"/>
    <s v="YouTube Ads"/>
    <s v="Seasonal Promotion"/>
    <s v="Add-on Service"/>
    <n v="17056"/>
    <n v="395"/>
    <n v="29"/>
    <n v="1271.8900000000001"/>
    <n v="4082.84"/>
    <n v="2.3199999999999998"/>
    <n v="7.34"/>
    <n v="43.86"/>
    <n v="3.21"/>
    <n v="2810.95"/>
  </r>
  <r>
    <x v="430"/>
    <s v="Twitter Ads"/>
    <s v="Seasonal Promotion"/>
    <s v="Starter Kit"/>
    <n v="9305"/>
    <n v="216"/>
    <n v="7"/>
    <n v="493.7"/>
    <n v="628.34"/>
    <n v="2.3199999999999998"/>
    <n v="3.24"/>
    <n v="70.53"/>
    <n v="1.27"/>
    <n v="134.63999999999999"/>
  </r>
  <r>
    <x v="430"/>
    <s v="TikTok Ads"/>
    <s v="Flash Sale"/>
    <s v="Starter Kit"/>
    <n v="20292"/>
    <n v="766"/>
    <n v="52"/>
    <n v="883.18"/>
    <n v="3775.91"/>
    <n v="3.77"/>
    <n v="6.79"/>
    <n v="16.98"/>
    <n v="4.28"/>
    <n v="2892.73"/>
  </r>
  <r>
    <x v="430"/>
    <s v="Affiliate Marketing"/>
    <s v="Product Launch"/>
    <s v="Premium Plan"/>
    <n v="6917"/>
    <n v="311"/>
    <n v="25"/>
    <n v="322.2"/>
    <n v="3396.62"/>
    <n v="4.5"/>
    <n v="8.0399999999999991"/>
    <n v="12.89"/>
    <n v="10.54"/>
    <n v="3074.42"/>
  </r>
  <r>
    <x v="430"/>
    <s v="Referral"/>
    <s v="Product Launch"/>
    <s v="Basic Plan"/>
    <n v="3588"/>
    <n v="293"/>
    <n v="42"/>
    <n v="63.52"/>
    <n v="6558.55"/>
    <n v="8.17"/>
    <n v="14.33"/>
    <n v="1.51"/>
    <n v="103.25"/>
    <n v="6495.03"/>
  </r>
  <r>
    <x v="431"/>
    <s v="Google Ads"/>
    <s v="Retargeting"/>
    <s v="Starter Kit"/>
    <n v="14586"/>
    <n v="685"/>
    <n v="56"/>
    <n v="1155.46"/>
    <n v="6845.97"/>
    <n v="4.7"/>
    <n v="8.18"/>
    <n v="20.63"/>
    <n v="5.92"/>
    <n v="5690.51"/>
  </r>
  <r>
    <x v="431"/>
    <s v="Facebook Ads"/>
    <s v="Lead Generation"/>
    <s v="Starter Kit"/>
    <n v="12021"/>
    <n v="270"/>
    <n v="23"/>
    <n v="778.94"/>
    <n v="2943.62"/>
    <n v="2.25"/>
    <n v="8.52"/>
    <n v="33.869999999999997"/>
    <n v="3.78"/>
    <n v="2164.6799999999998"/>
  </r>
  <r>
    <x v="431"/>
    <s v="Instagram Ads"/>
    <s v="Retargeting"/>
    <s v="Add-on Service"/>
    <n v="10122"/>
    <n v="275"/>
    <n v="17"/>
    <n v="926.45"/>
    <n v="2185.8200000000002"/>
    <n v="2.72"/>
    <n v="6.18"/>
    <n v="54.5"/>
    <n v="2.36"/>
    <n v="1259.3699999999999"/>
  </r>
  <r>
    <x v="431"/>
    <s v="LinkedIn Ads"/>
    <s v="Brand Awareness"/>
    <s v="Enterprise Plan"/>
    <n v="3732"/>
    <n v="66"/>
    <n v="9"/>
    <n v="1274.49"/>
    <n v="1828.34"/>
    <n v="1.77"/>
    <n v="13.64"/>
    <n v="141.61000000000001"/>
    <n v="1.43"/>
    <n v="553.85"/>
  </r>
  <r>
    <x v="431"/>
    <s v="Email Marketing"/>
    <s v="Lead Generation"/>
    <s v="Add-on Service"/>
    <n v="18947"/>
    <n v="4606"/>
    <n v="512"/>
    <n v="214.49"/>
    <n v="59687.13"/>
    <n v="24.31"/>
    <n v="11.12"/>
    <n v="0.42"/>
    <n v="278.27"/>
    <n v="59472.639999999999"/>
  </r>
  <r>
    <x v="431"/>
    <s v="Organic Search"/>
    <s v="Lead Generation"/>
    <s v="Enterprise Plan"/>
    <n v="33872"/>
    <n v="2699"/>
    <n v="283"/>
    <n v="0"/>
    <n v="33935.910000000003"/>
    <n v="7.97"/>
    <n v="10.49"/>
    <n v="0"/>
    <n v="0"/>
    <n v="33935.910000000003"/>
  </r>
  <r>
    <x v="431"/>
    <s v="Display Ads"/>
    <s v="Flash Sale"/>
    <s v="Premium Plan"/>
    <n v="38514"/>
    <n v="551"/>
    <n v="13"/>
    <n v="756.72"/>
    <n v="1262.71"/>
    <n v="1.43"/>
    <n v="2.36"/>
    <n v="58.21"/>
    <n v="1.67"/>
    <n v="505.99"/>
  </r>
  <r>
    <x v="431"/>
    <s v="YouTube Ads"/>
    <s v="Retargeting"/>
    <s v="Enterprise Plan"/>
    <n v="24903"/>
    <n v="425"/>
    <n v="31"/>
    <n v="1319.35"/>
    <n v="3628.94"/>
    <n v="1.71"/>
    <n v="7.29"/>
    <n v="42.56"/>
    <n v="2.75"/>
    <n v="2309.59"/>
  </r>
  <r>
    <x v="431"/>
    <s v="Twitter Ads"/>
    <s v="Product Launch"/>
    <s v="Basic Plan"/>
    <n v="9907"/>
    <n v="320"/>
    <n v="11"/>
    <n v="476.6"/>
    <n v="938.11"/>
    <n v="3.23"/>
    <n v="3.44"/>
    <n v="43.33"/>
    <n v="1.97"/>
    <n v="461.51"/>
  </r>
  <r>
    <x v="431"/>
    <s v="TikTok Ads"/>
    <s v="Retargeting"/>
    <s v="Starter Kit"/>
    <n v="23772"/>
    <n v="747"/>
    <n v="47"/>
    <n v="721.8"/>
    <n v="3203.95"/>
    <n v="3.14"/>
    <n v="6.29"/>
    <n v="15.36"/>
    <n v="4.4400000000000004"/>
    <n v="2482.15"/>
  </r>
  <r>
    <x v="431"/>
    <s v="Affiliate Marketing"/>
    <s v="Flash Sale"/>
    <s v="Starter Kit"/>
    <n v="5598"/>
    <n v="363"/>
    <n v="31"/>
    <n v="437.65"/>
    <n v="4064.64"/>
    <n v="6.48"/>
    <n v="8.5399999999999991"/>
    <n v="14.12"/>
    <n v="9.2899999999999991"/>
    <n v="3626.99"/>
  </r>
  <r>
    <x v="431"/>
    <s v="Referral"/>
    <s v="Flash Sale"/>
    <s v="Add-on Service"/>
    <n v="5095"/>
    <n v="471"/>
    <n v="69"/>
    <n v="118.62"/>
    <n v="8942.7800000000007"/>
    <n v="9.24"/>
    <n v="14.65"/>
    <n v="1.72"/>
    <n v="75.39"/>
    <n v="8824.16"/>
  </r>
  <r>
    <x v="432"/>
    <s v="Google Ads"/>
    <s v="Product Launch"/>
    <s v="Enterprise Plan"/>
    <n v="6157"/>
    <n v="252"/>
    <n v="22"/>
    <n v="789.59"/>
    <n v="3395.52"/>
    <n v="4.09"/>
    <n v="8.73"/>
    <n v="35.89"/>
    <n v="4.3"/>
    <n v="2605.9299999999998"/>
  </r>
  <r>
    <x v="432"/>
    <s v="Facebook Ads"/>
    <s v="Seasonal Promotion"/>
    <s v="Premium Plan"/>
    <n v="12124"/>
    <n v="452"/>
    <n v="31"/>
    <n v="499.32"/>
    <n v="3356.21"/>
    <n v="3.73"/>
    <n v="6.86"/>
    <n v="16.11"/>
    <n v="6.72"/>
    <n v="2856.89"/>
  </r>
  <r>
    <x v="432"/>
    <s v="Instagram Ads"/>
    <s v="Seasonal Promotion"/>
    <s v="Premium Plan"/>
    <n v="7535"/>
    <n v="205"/>
    <n v="11"/>
    <n v="484.46"/>
    <n v="1242.99"/>
    <n v="2.72"/>
    <n v="5.37"/>
    <n v="44.04"/>
    <n v="2.57"/>
    <n v="758.53"/>
  </r>
  <r>
    <x v="432"/>
    <s v="LinkedIn Ads"/>
    <s v="Lead Generation"/>
    <s v="Basic Plan"/>
    <n v="3215"/>
    <n v="68"/>
    <n v="8"/>
    <n v="744.84"/>
    <n v="1804.8"/>
    <n v="2.12"/>
    <n v="11.76"/>
    <n v="93.1"/>
    <n v="2.42"/>
    <n v="1059.96"/>
  </r>
  <r>
    <x v="432"/>
    <s v="Email Marketing"/>
    <s v="Product Launch"/>
    <s v="Add-on Service"/>
    <n v="10588"/>
    <n v="2476"/>
    <n v="302"/>
    <n v="143.75"/>
    <n v="40964.82"/>
    <n v="23.38"/>
    <n v="12.2"/>
    <n v="0.48"/>
    <n v="284.97000000000003"/>
    <n v="40821.07"/>
  </r>
  <r>
    <x v="432"/>
    <s v="Organic Search"/>
    <s v="Flash Sale"/>
    <s v="Add-on Service"/>
    <n v="24047"/>
    <n v="1092"/>
    <n v="146"/>
    <n v="0"/>
    <n v="21849.07"/>
    <n v="4.54"/>
    <n v="13.37"/>
    <n v="0"/>
    <n v="0"/>
    <n v="21849.07"/>
  </r>
  <r>
    <x v="432"/>
    <s v="Display Ads"/>
    <s v="Seasonal Promotion"/>
    <s v="Add-on Service"/>
    <n v="26278"/>
    <n v="380"/>
    <n v="13"/>
    <n v="558.75"/>
    <n v="1607.68"/>
    <n v="1.45"/>
    <n v="3.42"/>
    <n v="42.98"/>
    <n v="2.88"/>
    <n v="1048.93"/>
  </r>
  <r>
    <x v="432"/>
    <s v="YouTube Ads"/>
    <s v="Retargeting"/>
    <s v="Starter Kit"/>
    <n v="14268"/>
    <n v="341"/>
    <n v="13"/>
    <n v="602.48"/>
    <n v="1650.39"/>
    <n v="2.39"/>
    <n v="3.81"/>
    <n v="46.34"/>
    <n v="2.74"/>
    <n v="1047.9100000000001"/>
  </r>
  <r>
    <x v="432"/>
    <s v="Twitter Ads"/>
    <s v="Lead Generation"/>
    <s v="Starter Kit"/>
    <n v="9237"/>
    <n v="275"/>
    <n v="13"/>
    <n v="297.61"/>
    <n v="1443.23"/>
    <n v="2.98"/>
    <n v="4.7300000000000004"/>
    <n v="22.89"/>
    <n v="4.8499999999999996"/>
    <n v="1145.6199999999999"/>
  </r>
  <r>
    <x v="432"/>
    <s v="TikTok Ads"/>
    <s v="Brand Awareness"/>
    <s v="Add-on Service"/>
    <n v="13587"/>
    <n v="441"/>
    <n v="21"/>
    <n v="654.07000000000005"/>
    <n v="1596.53"/>
    <n v="3.25"/>
    <n v="4.76"/>
    <n v="31.15"/>
    <n v="2.44"/>
    <n v="942.46"/>
  </r>
  <r>
    <x v="432"/>
    <s v="Affiliate Marketing"/>
    <s v="Retargeting"/>
    <s v="Basic Plan"/>
    <n v="4802"/>
    <n v="315"/>
    <n v="34"/>
    <n v="320.17"/>
    <n v="4656"/>
    <n v="6.56"/>
    <n v="10.79"/>
    <n v="9.42"/>
    <n v="14.54"/>
    <n v="4335.83"/>
  </r>
  <r>
    <x v="432"/>
    <s v="Referral"/>
    <s v="Retargeting"/>
    <s v="Premium Plan"/>
    <n v="3861"/>
    <n v="324"/>
    <n v="43"/>
    <n v="114.57"/>
    <n v="5802.58"/>
    <n v="8.39"/>
    <n v="13.27"/>
    <n v="2.66"/>
    <n v="50.65"/>
    <n v="5688.01"/>
  </r>
  <r>
    <x v="433"/>
    <s v="Google Ads"/>
    <s v="Product Launch"/>
    <s v="Add-on Service"/>
    <n v="6951"/>
    <n v="320"/>
    <n v="29"/>
    <n v="845.04"/>
    <n v="3538.34"/>
    <n v="4.5999999999999996"/>
    <n v="9.06"/>
    <n v="29.14"/>
    <n v="4.1900000000000004"/>
    <n v="2693.3"/>
  </r>
  <r>
    <x v="433"/>
    <s v="Facebook Ads"/>
    <s v="Retargeting"/>
    <s v="Enterprise Plan"/>
    <n v="10892"/>
    <n v="331"/>
    <n v="20"/>
    <n v="640.79"/>
    <n v="2073.46"/>
    <n v="3.04"/>
    <n v="6.04"/>
    <n v="32.04"/>
    <n v="3.24"/>
    <n v="1432.67"/>
  </r>
  <r>
    <x v="433"/>
    <s v="Instagram Ads"/>
    <s v="Brand Awareness"/>
    <s v="Basic Plan"/>
    <n v="9437"/>
    <n v="276"/>
    <n v="21"/>
    <n v="582.87"/>
    <n v="2251.11"/>
    <n v="2.92"/>
    <n v="7.61"/>
    <n v="27.76"/>
    <n v="3.86"/>
    <n v="1668.24"/>
  </r>
  <r>
    <x v="433"/>
    <s v="LinkedIn Ads"/>
    <s v="Brand Awareness"/>
    <s v="Add-on Service"/>
    <n v="3650"/>
    <n v="102"/>
    <n v="14"/>
    <n v="1186.1400000000001"/>
    <n v="3462.04"/>
    <n v="2.79"/>
    <n v="13.73"/>
    <n v="84.72"/>
    <n v="2.92"/>
    <n v="2275.9"/>
  </r>
  <r>
    <x v="433"/>
    <s v="Email Marketing"/>
    <s v="Lead Generation"/>
    <s v="Premium Plan"/>
    <n v="17383"/>
    <n v="2793"/>
    <n v="273"/>
    <n v="125.86"/>
    <n v="29579.01"/>
    <n v="16.07"/>
    <n v="9.77"/>
    <n v="0.46"/>
    <n v="235.02"/>
    <n v="29453.15"/>
  </r>
  <r>
    <x v="433"/>
    <s v="Organic Search"/>
    <s v="Flash Sale"/>
    <s v="Add-on Service"/>
    <n v="22787"/>
    <n v="1215"/>
    <n v="178"/>
    <n v="0"/>
    <n v="23295.84"/>
    <n v="5.33"/>
    <n v="14.65"/>
    <n v="0"/>
    <n v="0"/>
    <n v="23295.84"/>
  </r>
  <r>
    <x v="433"/>
    <s v="Display Ads"/>
    <s v="Retargeting"/>
    <s v="Premium Plan"/>
    <n v="26561"/>
    <n v="285"/>
    <n v="8"/>
    <n v="639.36"/>
    <n v="839.37"/>
    <n v="1.07"/>
    <n v="2.81"/>
    <n v="79.92"/>
    <n v="1.31"/>
    <n v="200.01"/>
  </r>
  <r>
    <x v="433"/>
    <s v="YouTube Ads"/>
    <s v="Lead Generation"/>
    <s v="Basic Plan"/>
    <n v="12394"/>
    <n v="270"/>
    <n v="19"/>
    <n v="724.77"/>
    <n v="2714.77"/>
    <n v="2.1800000000000002"/>
    <n v="7.04"/>
    <n v="38.15"/>
    <n v="3.75"/>
    <n v="1990"/>
  </r>
  <r>
    <x v="433"/>
    <s v="Twitter Ads"/>
    <s v="Brand Awareness"/>
    <s v="Starter Kit"/>
    <n v="8370"/>
    <n v="239"/>
    <n v="11"/>
    <n v="378.42"/>
    <n v="1160.8"/>
    <n v="2.86"/>
    <n v="4.5999999999999996"/>
    <n v="34.4"/>
    <n v="3.07"/>
    <n v="782.38"/>
  </r>
  <r>
    <x v="433"/>
    <s v="TikTok Ads"/>
    <s v="Product Launch"/>
    <s v="Basic Plan"/>
    <n v="15283"/>
    <n v="465"/>
    <n v="18"/>
    <n v="548.70000000000005"/>
    <n v="1547.9"/>
    <n v="3.04"/>
    <n v="3.87"/>
    <n v="30.48"/>
    <n v="2.82"/>
    <n v="999.2"/>
  </r>
  <r>
    <x v="433"/>
    <s v="Affiliate Marketing"/>
    <s v="Lead Generation"/>
    <s v="Enterprise Plan"/>
    <n v="5217"/>
    <n v="350"/>
    <n v="33"/>
    <n v="265.3"/>
    <n v="4782.16"/>
    <n v="6.71"/>
    <n v="9.43"/>
    <n v="8.0399999999999991"/>
    <n v="18.03"/>
    <n v="4516.8599999999997"/>
  </r>
  <r>
    <x v="433"/>
    <s v="Referral"/>
    <s v="Flash Sale"/>
    <s v="Add-on Service"/>
    <n v="3530"/>
    <n v="191"/>
    <n v="31"/>
    <n v="52.78"/>
    <n v="4780.01"/>
    <n v="5.41"/>
    <n v="16.23"/>
    <n v="1.7"/>
    <n v="90.56"/>
    <n v="4727.2299999999996"/>
  </r>
  <r>
    <x v="434"/>
    <s v="Google Ads"/>
    <s v="Brand Awareness"/>
    <s v="Starter Kit"/>
    <n v="12754"/>
    <n v="383"/>
    <n v="38"/>
    <n v="882.54"/>
    <n v="5512.63"/>
    <n v="3"/>
    <n v="9.92"/>
    <n v="23.22"/>
    <n v="6.25"/>
    <n v="4630.09"/>
  </r>
  <r>
    <x v="434"/>
    <s v="Facebook Ads"/>
    <s v="Brand Awareness"/>
    <s v="Enterprise Plan"/>
    <n v="14042"/>
    <n v="499"/>
    <n v="32"/>
    <n v="884.05"/>
    <n v="3427.3"/>
    <n v="3.55"/>
    <n v="6.41"/>
    <n v="27.63"/>
    <n v="3.88"/>
    <n v="2543.25"/>
  </r>
  <r>
    <x v="434"/>
    <s v="Instagram Ads"/>
    <s v="Seasonal Promotion"/>
    <s v="Premium Plan"/>
    <n v="14027"/>
    <n v="414"/>
    <n v="25"/>
    <n v="689.65"/>
    <n v="2806.71"/>
    <n v="2.95"/>
    <n v="6.04"/>
    <n v="27.59"/>
    <n v="4.07"/>
    <n v="2117.06"/>
  </r>
  <r>
    <x v="434"/>
    <s v="LinkedIn Ads"/>
    <s v="Lead Generation"/>
    <s v="Enterprise Plan"/>
    <n v="3694"/>
    <n v="99"/>
    <n v="14"/>
    <n v="1344.9"/>
    <n v="3661.78"/>
    <n v="2.68"/>
    <n v="14.14"/>
    <n v="96.06"/>
    <n v="2.72"/>
    <n v="2316.88"/>
  </r>
  <r>
    <x v="434"/>
    <s v="Email Marketing"/>
    <s v="Retargeting"/>
    <s v="Starter Kit"/>
    <n v="22445"/>
    <n v="4767"/>
    <n v="398"/>
    <n v="272.12"/>
    <n v="55947.51"/>
    <n v="21.24"/>
    <n v="8.35"/>
    <n v="0.68"/>
    <n v="205.6"/>
    <n v="55675.39"/>
  </r>
  <r>
    <x v="434"/>
    <s v="Organic Search"/>
    <s v="Lead Generation"/>
    <s v="Premium Plan"/>
    <n v="25469"/>
    <n v="1234"/>
    <n v="126"/>
    <n v="0"/>
    <n v="18440.580000000002"/>
    <n v="4.8499999999999996"/>
    <n v="10.210000000000001"/>
    <n v="0"/>
    <n v="0"/>
    <n v="18440.580000000002"/>
  </r>
  <r>
    <x v="434"/>
    <s v="Display Ads"/>
    <s v="Lead Generation"/>
    <s v="Add-on Service"/>
    <n v="35865"/>
    <n v="654"/>
    <n v="13"/>
    <n v="1090.6400000000001"/>
    <n v="1285.1099999999999"/>
    <n v="1.82"/>
    <n v="1.99"/>
    <n v="83.9"/>
    <n v="1.18"/>
    <n v="194.47"/>
  </r>
  <r>
    <x v="434"/>
    <s v="YouTube Ads"/>
    <s v="Retargeting"/>
    <s v="Starter Kit"/>
    <n v="18624"/>
    <n v="292"/>
    <n v="17"/>
    <n v="1340.16"/>
    <n v="1497.61"/>
    <n v="1.57"/>
    <n v="5.82"/>
    <n v="78.83"/>
    <n v="1.1200000000000001"/>
    <n v="157.44999999999999"/>
  </r>
  <r>
    <x v="434"/>
    <s v="Twitter Ads"/>
    <s v="Flash Sale"/>
    <s v="Premium Plan"/>
    <n v="9554"/>
    <n v="306"/>
    <n v="15"/>
    <n v="657.46"/>
    <n v="1131.83"/>
    <n v="3.2"/>
    <n v="4.9000000000000004"/>
    <n v="43.83"/>
    <n v="1.72"/>
    <n v="474.37"/>
  </r>
  <r>
    <x v="434"/>
    <s v="TikTok Ads"/>
    <s v="Retargeting"/>
    <s v="Basic Plan"/>
    <n v="29774"/>
    <n v="1265"/>
    <n v="70"/>
    <n v="968.34"/>
    <n v="5402.67"/>
    <n v="4.25"/>
    <n v="5.53"/>
    <n v="13.83"/>
    <n v="5.58"/>
    <n v="4434.33"/>
  </r>
  <r>
    <x v="434"/>
    <s v="Affiliate Marketing"/>
    <s v="Lead Generation"/>
    <s v="Basic Plan"/>
    <n v="6767"/>
    <n v="388"/>
    <n v="36"/>
    <n v="554.35"/>
    <n v="3760.72"/>
    <n v="5.73"/>
    <n v="9.2799999999999994"/>
    <n v="15.4"/>
    <n v="6.78"/>
    <n v="3206.37"/>
  </r>
  <r>
    <x v="434"/>
    <s v="Referral"/>
    <s v="Product Launch"/>
    <s v="Starter Kit"/>
    <n v="6128"/>
    <n v="480"/>
    <n v="72"/>
    <n v="87.83"/>
    <n v="10423.68"/>
    <n v="7.83"/>
    <n v="15"/>
    <n v="1.22"/>
    <n v="118.68"/>
    <n v="10335.85"/>
  </r>
  <r>
    <x v="435"/>
    <s v="Google Ads"/>
    <s v="Flash Sale"/>
    <s v="Starter Kit"/>
    <n v="9660"/>
    <n v="359"/>
    <n v="42"/>
    <n v="1076.48"/>
    <n v="6579.74"/>
    <n v="3.72"/>
    <n v="11.7"/>
    <n v="25.63"/>
    <n v="6.11"/>
    <n v="5503.26"/>
  </r>
  <r>
    <x v="435"/>
    <s v="Facebook Ads"/>
    <s v="Lead Generation"/>
    <s v="Add-on Service"/>
    <n v="18328"/>
    <n v="546"/>
    <n v="37"/>
    <n v="1047.56"/>
    <n v="4606.07"/>
    <n v="2.98"/>
    <n v="6.78"/>
    <n v="28.31"/>
    <n v="4.4000000000000004"/>
    <n v="3558.51"/>
  </r>
  <r>
    <x v="435"/>
    <s v="Instagram Ads"/>
    <s v="Seasonal Promotion"/>
    <s v="Enterprise Plan"/>
    <n v="10495"/>
    <n v="359"/>
    <n v="23"/>
    <n v="800.31"/>
    <n v="2260.29"/>
    <n v="3.42"/>
    <n v="6.41"/>
    <n v="34.799999999999997"/>
    <n v="2.82"/>
    <n v="1459.98"/>
  </r>
  <r>
    <x v="435"/>
    <s v="LinkedIn Ads"/>
    <s v="Seasonal Promotion"/>
    <s v="Basic Plan"/>
    <n v="5680"/>
    <n v="122"/>
    <n v="14"/>
    <n v="1555.66"/>
    <n v="3927.01"/>
    <n v="2.15"/>
    <n v="11.48"/>
    <n v="111.12"/>
    <n v="2.52"/>
    <n v="2371.35"/>
  </r>
  <r>
    <x v="435"/>
    <s v="Email Marketing"/>
    <s v="Seasonal Promotion"/>
    <s v="Starter Kit"/>
    <n v="22888"/>
    <n v="5024"/>
    <n v="650"/>
    <n v="202.28"/>
    <n v="69642.289999999994"/>
    <n v="21.95"/>
    <n v="12.94"/>
    <n v="0.31"/>
    <n v="344.29"/>
    <n v="69440.009999999995"/>
  </r>
  <r>
    <x v="435"/>
    <s v="Organic Search"/>
    <s v="Product Launch"/>
    <s v="Basic Plan"/>
    <n v="24144"/>
    <n v="1885"/>
    <n v="213"/>
    <n v="0"/>
    <n v="27815.01"/>
    <n v="7.81"/>
    <n v="11.3"/>
    <n v="0"/>
    <n v="0"/>
    <n v="27815.01"/>
  </r>
  <r>
    <x v="435"/>
    <s v="Display Ads"/>
    <s v="Brand Awareness"/>
    <s v="Basic Plan"/>
    <n v="31511"/>
    <n v="335"/>
    <n v="15"/>
    <n v="849.72"/>
    <n v="1826.1"/>
    <n v="1.06"/>
    <n v="4.4800000000000004"/>
    <n v="56.65"/>
    <n v="2.15"/>
    <n v="976.38"/>
  </r>
  <r>
    <x v="435"/>
    <s v="YouTube Ads"/>
    <s v="Retargeting"/>
    <s v="Premium Plan"/>
    <n v="19085"/>
    <n v="303"/>
    <n v="19"/>
    <n v="1227.93"/>
    <n v="2855.49"/>
    <n v="1.59"/>
    <n v="6.27"/>
    <n v="64.63"/>
    <n v="2.33"/>
    <n v="1627.56"/>
  </r>
  <r>
    <x v="435"/>
    <s v="Twitter Ads"/>
    <s v="Retargeting"/>
    <s v="Add-on Service"/>
    <n v="13667"/>
    <n v="444"/>
    <n v="18"/>
    <n v="559.05999999999995"/>
    <n v="1787.34"/>
    <n v="3.25"/>
    <n v="4.05"/>
    <n v="31.06"/>
    <n v="3.2"/>
    <n v="1228.28"/>
  </r>
  <r>
    <x v="435"/>
    <s v="TikTok Ads"/>
    <s v="Lead Generation"/>
    <s v="Add-on Service"/>
    <n v="18728"/>
    <n v="661"/>
    <n v="23"/>
    <n v="691.24"/>
    <n v="2231.23"/>
    <n v="3.53"/>
    <n v="3.48"/>
    <n v="30.05"/>
    <n v="3.23"/>
    <n v="1539.99"/>
  </r>
  <r>
    <x v="435"/>
    <s v="Affiliate Marketing"/>
    <s v="Product Launch"/>
    <s v="Add-on Service"/>
    <n v="9521"/>
    <n v="532"/>
    <n v="68"/>
    <n v="342.25"/>
    <n v="6628.38"/>
    <n v="5.59"/>
    <n v="12.78"/>
    <n v="5.03"/>
    <n v="19.37"/>
    <n v="6286.13"/>
  </r>
  <r>
    <x v="435"/>
    <s v="Referral"/>
    <s v="Retargeting"/>
    <s v="Starter Kit"/>
    <n v="4375"/>
    <n v="354"/>
    <n v="62"/>
    <n v="159.81"/>
    <n v="7324.35"/>
    <n v="8.09"/>
    <n v="17.510000000000002"/>
    <n v="2.58"/>
    <n v="45.83"/>
    <n v="7164.54"/>
  </r>
  <r>
    <x v="436"/>
    <s v="Google Ads"/>
    <s v="Retargeting"/>
    <s v="Add-on Service"/>
    <n v="11223"/>
    <n v="440"/>
    <n v="52"/>
    <n v="1397.36"/>
    <n v="6546.85"/>
    <n v="3.92"/>
    <n v="11.82"/>
    <n v="26.87"/>
    <n v="4.6900000000000004"/>
    <n v="5149.49"/>
  </r>
  <r>
    <x v="436"/>
    <s v="Facebook Ads"/>
    <s v="Brand Awareness"/>
    <s v="Premium Plan"/>
    <n v="15614"/>
    <n v="439"/>
    <n v="22"/>
    <n v="1188.33"/>
    <n v="2578.25"/>
    <n v="2.81"/>
    <n v="5.01"/>
    <n v="54.01"/>
    <n v="2.17"/>
    <n v="1389.92"/>
  </r>
  <r>
    <x v="436"/>
    <s v="Instagram Ads"/>
    <s v="Product Launch"/>
    <s v="Starter Kit"/>
    <n v="13199"/>
    <n v="512"/>
    <n v="27"/>
    <n v="611.16999999999996"/>
    <n v="2130.09"/>
    <n v="3.88"/>
    <n v="5.27"/>
    <n v="22.64"/>
    <n v="3.49"/>
    <n v="1518.92"/>
  </r>
  <r>
    <x v="436"/>
    <s v="LinkedIn Ads"/>
    <s v="Product Launch"/>
    <s v="Enterprise Plan"/>
    <n v="5775"/>
    <n v="159"/>
    <n v="18"/>
    <n v="1085.9100000000001"/>
    <n v="4423.8999999999996"/>
    <n v="2.75"/>
    <n v="11.32"/>
    <n v="60.33"/>
    <n v="4.07"/>
    <n v="3337.99"/>
  </r>
  <r>
    <x v="436"/>
    <s v="Email Marketing"/>
    <s v="Retargeting"/>
    <s v="Add-on Service"/>
    <n v="18869"/>
    <n v="3873"/>
    <n v="319"/>
    <n v="115.6"/>
    <n v="33968.49"/>
    <n v="20.53"/>
    <n v="8.24"/>
    <n v="0.36"/>
    <n v="293.85000000000002"/>
    <n v="33852.89"/>
  </r>
  <r>
    <x v="436"/>
    <s v="Organic Search"/>
    <s v="Lead Generation"/>
    <s v="Starter Kit"/>
    <n v="25561"/>
    <n v="1354"/>
    <n v="160"/>
    <n v="0"/>
    <n v="19344.689999999999"/>
    <n v="5.3"/>
    <n v="11.82"/>
    <n v="0"/>
    <n v="0"/>
    <n v="19344.689999999999"/>
  </r>
  <r>
    <x v="436"/>
    <s v="Display Ads"/>
    <s v="Lead Generation"/>
    <s v="Basic Plan"/>
    <n v="25468"/>
    <n v="288"/>
    <n v="11"/>
    <n v="891.4"/>
    <n v="1255.3"/>
    <n v="1.1299999999999999"/>
    <n v="3.82"/>
    <n v="81.040000000000006"/>
    <n v="1.41"/>
    <n v="363.9"/>
  </r>
  <r>
    <x v="436"/>
    <s v="YouTube Ads"/>
    <s v="Seasonal Promotion"/>
    <s v="Starter Kit"/>
    <n v="15308"/>
    <n v="265"/>
    <n v="15"/>
    <n v="885.74"/>
    <n v="1322.16"/>
    <n v="1.73"/>
    <n v="5.66"/>
    <n v="59.05"/>
    <n v="1.49"/>
    <n v="436.42"/>
  </r>
  <r>
    <x v="436"/>
    <s v="Twitter Ads"/>
    <s v="Retargeting"/>
    <s v="Starter Kit"/>
    <n v="9280"/>
    <n v="310"/>
    <n v="18"/>
    <n v="764.85"/>
    <n v="1586.91"/>
    <n v="3.34"/>
    <n v="5.81"/>
    <n v="42.49"/>
    <n v="2.0699999999999998"/>
    <n v="822.06"/>
  </r>
  <r>
    <x v="436"/>
    <s v="TikTok Ads"/>
    <s v="Flash Sale"/>
    <s v="Basic Plan"/>
    <n v="20343"/>
    <n v="519"/>
    <n v="15"/>
    <n v="1099.3399999999999"/>
    <n v="1114.28"/>
    <n v="2.5499999999999998"/>
    <n v="2.89"/>
    <n v="73.290000000000006"/>
    <n v="1.01"/>
    <n v="14.94"/>
  </r>
  <r>
    <x v="436"/>
    <s v="Affiliate Marketing"/>
    <s v="Flash Sale"/>
    <s v="Add-on Service"/>
    <n v="5703"/>
    <n v="280"/>
    <n v="22"/>
    <n v="460.94"/>
    <n v="3466.2"/>
    <n v="4.91"/>
    <n v="7.86"/>
    <n v="20.95"/>
    <n v="7.52"/>
    <n v="3005.26"/>
  </r>
  <r>
    <x v="436"/>
    <s v="Referral"/>
    <s v="Brand Awareness"/>
    <s v="Starter Kit"/>
    <n v="4619"/>
    <n v="262"/>
    <n v="37"/>
    <n v="173.97"/>
    <n v="5764.68"/>
    <n v="5.67"/>
    <n v="14.12"/>
    <n v="4.7"/>
    <n v="33.14"/>
    <n v="5590.71"/>
  </r>
  <r>
    <x v="437"/>
    <s v="Google Ads"/>
    <s v="Flash Sale"/>
    <s v="Premium Plan"/>
    <n v="11227"/>
    <n v="495"/>
    <n v="45"/>
    <n v="847.63"/>
    <n v="6666.91"/>
    <n v="4.41"/>
    <n v="9.09"/>
    <n v="18.84"/>
    <n v="7.87"/>
    <n v="5819.28"/>
  </r>
  <r>
    <x v="437"/>
    <s v="Facebook Ads"/>
    <s v="Lead Generation"/>
    <s v="Basic Plan"/>
    <n v="15539"/>
    <n v="498"/>
    <n v="25"/>
    <n v="947.73"/>
    <n v="2637.82"/>
    <n v="3.2"/>
    <n v="5.0199999999999996"/>
    <n v="37.909999999999997"/>
    <n v="2.78"/>
    <n v="1690.09"/>
  </r>
  <r>
    <x v="437"/>
    <s v="Instagram Ads"/>
    <s v="Product Launch"/>
    <s v="Add-on Service"/>
    <n v="17796"/>
    <n v="538"/>
    <n v="36"/>
    <n v="865.17"/>
    <n v="3168.89"/>
    <n v="3.02"/>
    <n v="6.69"/>
    <n v="24.03"/>
    <n v="3.66"/>
    <n v="2303.7199999999998"/>
  </r>
  <r>
    <x v="437"/>
    <s v="LinkedIn Ads"/>
    <s v="Product Launch"/>
    <s v="Premium Plan"/>
    <n v="3581"/>
    <n v="69"/>
    <n v="8"/>
    <n v="1474.61"/>
    <n v="1976.83"/>
    <n v="1.93"/>
    <n v="11.59"/>
    <n v="184.33"/>
    <n v="1.34"/>
    <n v="502.22"/>
  </r>
  <r>
    <x v="437"/>
    <s v="Email Marketing"/>
    <s v="Flash Sale"/>
    <s v="Basic Plan"/>
    <n v="22151"/>
    <n v="3476"/>
    <n v="446"/>
    <n v="296.02999999999997"/>
    <n v="54191.95"/>
    <n v="15.69"/>
    <n v="12.83"/>
    <n v="0.66"/>
    <n v="183.06"/>
    <n v="53895.92"/>
  </r>
  <r>
    <x v="437"/>
    <s v="Organic Search"/>
    <s v="Retargeting"/>
    <s v="Starter Kit"/>
    <n v="21551"/>
    <n v="888"/>
    <n v="106"/>
    <n v="0"/>
    <n v="14281.37"/>
    <n v="4.12"/>
    <n v="11.94"/>
    <n v="0"/>
    <n v="0"/>
    <n v="14281.37"/>
  </r>
  <r>
    <x v="437"/>
    <s v="Display Ads"/>
    <s v="Seasonal Promotion"/>
    <s v="Premium Plan"/>
    <n v="32545"/>
    <n v="440"/>
    <n v="10"/>
    <n v="1083.18"/>
    <n v="906.62"/>
    <n v="1.35"/>
    <n v="2.27"/>
    <n v="108.32"/>
    <n v="0.84"/>
    <n v="-176.56"/>
  </r>
  <r>
    <x v="437"/>
    <s v="YouTube Ads"/>
    <s v="Product Launch"/>
    <s v="Premium Plan"/>
    <n v="18558"/>
    <n v="367"/>
    <n v="26"/>
    <n v="1326.64"/>
    <n v="2770.53"/>
    <n v="1.98"/>
    <n v="7.08"/>
    <n v="51.02"/>
    <n v="2.09"/>
    <n v="1443.89"/>
  </r>
  <r>
    <x v="437"/>
    <s v="Twitter Ads"/>
    <s v="Brand Awareness"/>
    <s v="Add-on Service"/>
    <n v="8515"/>
    <n v="196"/>
    <n v="5"/>
    <n v="405.16"/>
    <n v="562.54999999999995"/>
    <n v="2.2999999999999998"/>
    <n v="2.5499999999999998"/>
    <n v="81.03"/>
    <n v="1.39"/>
    <n v="157.38999999999999"/>
  </r>
  <r>
    <x v="437"/>
    <s v="TikTok Ads"/>
    <s v="Product Launch"/>
    <s v="Starter Kit"/>
    <n v="26222"/>
    <n v="666"/>
    <n v="26"/>
    <n v="1061.28"/>
    <n v="2783.78"/>
    <n v="2.54"/>
    <n v="3.9"/>
    <n v="40.82"/>
    <n v="2.62"/>
    <n v="1722.5"/>
  </r>
  <r>
    <x v="437"/>
    <s v="Affiliate Marketing"/>
    <s v="Retargeting"/>
    <s v="Basic Plan"/>
    <n v="9307"/>
    <n v="556"/>
    <n v="59"/>
    <n v="600.92999999999995"/>
    <n v="6460.66"/>
    <n v="5.97"/>
    <n v="10.61"/>
    <n v="10.19"/>
    <n v="10.75"/>
    <n v="5859.73"/>
  </r>
  <r>
    <x v="437"/>
    <s v="Referral"/>
    <s v="Product Launch"/>
    <s v="Basic Plan"/>
    <n v="5129"/>
    <n v="479"/>
    <n v="74"/>
    <n v="182.73"/>
    <n v="11116.74"/>
    <n v="9.34"/>
    <n v="15.45"/>
    <n v="2.4700000000000002"/>
    <n v="60.84"/>
    <n v="10934.01"/>
  </r>
  <r>
    <x v="438"/>
    <s v="Google Ads"/>
    <s v="Seasonal Promotion"/>
    <s v="Premium Plan"/>
    <n v="13353"/>
    <n v="652"/>
    <n v="73"/>
    <n v="836"/>
    <n v="11778.93"/>
    <n v="4.88"/>
    <n v="11.2"/>
    <n v="11.45"/>
    <n v="14.09"/>
    <n v="10942.93"/>
  </r>
  <r>
    <x v="438"/>
    <s v="Facebook Ads"/>
    <s v="Retargeting"/>
    <s v="Premium Plan"/>
    <n v="16813"/>
    <n v="443"/>
    <n v="24"/>
    <n v="887.57"/>
    <n v="2561.8200000000002"/>
    <n v="2.63"/>
    <n v="5.42"/>
    <n v="36.979999999999997"/>
    <n v="2.89"/>
    <n v="1674.25"/>
  </r>
  <r>
    <x v="438"/>
    <s v="Instagram Ads"/>
    <s v="Brand Awareness"/>
    <s v="Starter Kit"/>
    <n v="15083"/>
    <n v="537"/>
    <n v="41"/>
    <n v="523.44000000000005"/>
    <n v="4525.0600000000004"/>
    <n v="3.56"/>
    <n v="7.64"/>
    <n v="12.77"/>
    <n v="8.64"/>
    <n v="4001.62"/>
  </r>
  <r>
    <x v="438"/>
    <s v="LinkedIn Ads"/>
    <s v="Retargeting"/>
    <s v="Enterprise Plan"/>
    <n v="3748"/>
    <n v="79"/>
    <n v="8"/>
    <n v="1128.4100000000001"/>
    <n v="2427.79"/>
    <n v="2.11"/>
    <n v="10.130000000000001"/>
    <n v="141.05000000000001"/>
    <n v="2.15"/>
    <n v="1299.3800000000001"/>
  </r>
  <r>
    <x v="438"/>
    <s v="Email Marketing"/>
    <s v="Flash Sale"/>
    <s v="Starter Kit"/>
    <n v="18127"/>
    <n v="3858"/>
    <n v="367"/>
    <n v="250.44"/>
    <n v="59668.84"/>
    <n v="21.28"/>
    <n v="9.51"/>
    <n v="0.68"/>
    <n v="238.26"/>
    <n v="59418.400000000001"/>
  </r>
  <r>
    <x v="438"/>
    <s v="Organic Search"/>
    <s v="Lead Generation"/>
    <s v="Starter Kit"/>
    <n v="29623"/>
    <n v="1717"/>
    <n v="252"/>
    <n v="0"/>
    <n v="33201.31"/>
    <n v="5.8"/>
    <n v="14.68"/>
    <n v="0"/>
    <n v="0"/>
    <n v="33201.31"/>
  </r>
  <r>
    <x v="438"/>
    <s v="Display Ads"/>
    <s v="Brand Awareness"/>
    <s v="Premium Plan"/>
    <n v="31424"/>
    <n v="426"/>
    <n v="9"/>
    <n v="1227.6400000000001"/>
    <n v="952.77"/>
    <n v="1.36"/>
    <n v="2.11"/>
    <n v="136.4"/>
    <n v="0.78"/>
    <n v="-274.87"/>
  </r>
  <r>
    <x v="438"/>
    <s v="YouTube Ads"/>
    <s v="Product Launch"/>
    <s v="Premium Plan"/>
    <n v="15375"/>
    <n v="397"/>
    <n v="17"/>
    <n v="991.4"/>
    <n v="2500.63"/>
    <n v="2.58"/>
    <n v="4.28"/>
    <n v="58.32"/>
    <n v="2.52"/>
    <n v="1509.23"/>
  </r>
  <r>
    <x v="438"/>
    <s v="Twitter Ads"/>
    <s v="Flash Sale"/>
    <s v="Basic Plan"/>
    <n v="8328"/>
    <n v="244"/>
    <n v="11"/>
    <n v="516.04"/>
    <n v="1004.66"/>
    <n v="2.93"/>
    <n v="4.51"/>
    <n v="46.91"/>
    <n v="1.95"/>
    <n v="488.62"/>
  </r>
  <r>
    <x v="438"/>
    <s v="TikTok Ads"/>
    <s v="Product Launch"/>
    <s v="Starter Kit"/>
    <n v="29925"/>
    <n v="1318"/>
    <n v="88"/>
    <n v="627.09"/>
    <n v="5844.09"/>
    <n v="4.4000000000000004"/>
    <n v="6.68"/>
    <n v="7.13"/>
    <n v="9.32"/>
    <n v="5217"/>
  </r>
  <r>
    <x v="438"/>
    <s v="Affiliate Marketing"/>
    <s v="Retargeting"/>
    <s v="Starter Kit"/>
    <n v="6473"/>
    <n v="399"/>
    <n v="38"/>
    <n v="567.77"/>
    <n v="5374.21"/>
    <n v="6.16"/>
    <n v="9.52"/>
    <n v="14.94"/>
    <n v="9.4700000000000006"/>
    <n v="4806.4399999999996"/>
  </r>
  <r>
    <x v="438"/>
    <s v="Referral"/>
    <s v="Brand Awareness"/>
    <s v="Premium Plan"/>
    <n v="5880"/>
    <n v="494"/>
    <n v="75"/>
    <n v="80.150000000000006"/>
    <n v="12831.47"/>
    <n v="8.4"/>
    <n v="15.18"/>
    <n v="1.07"/>
    <n v="160.09"/>
    <n v="12751.32"/>
  </r>
  <r>
    <x v="439"/>
    <s v="Google Ads"/>
    <s v="Seasonal Promotion"/>
    <s v="Basic Plan"/>
    <n v="6622"/>
    <n v="213"/>
    <n v="23"/>
    <n v="944.91"/>
    <n v="3252.93"/>
    <n v="3.22"/>
    <n v="10.8"/>
    <n v="41.08"/>
    <n v="3.44"/>
    <n v="2308.02"/>
  </r>
  <r>
    <x v="439"/>
    <s v="Facebook Ads"/>
    <s v="Flash Sale"/>
    <s v="Starter Kit"/>
    <n v="9469"/>
    <n v="317"/>
    <n v="21"/>
    <n v="525.52"/>
    <n v="2619.13"/>
    <n v="3.35"/>
    <n v="6.62"/>
    <n v="25.02"/>
    <n v="4.9800000000000004"/>
    <n v="2093.61"/>
  </r>
  <r>
    <x v="439"/>
    <s v="Instagram Ads"/>
    <s v="Lead Generation"/>
    <s v="Starter Kit"/>
    <n v="7408"/>
    <n v="224"/>
    <n v="9"/>
    <n v="377.65"/>
    <n v="772.83"/>
    <n v="3.02"/>
    <n v="4.0199999999999996"/>
    <n v="41.96"/>
    <n v="2.0499999999999998"/>
    <n v="395.18"/>
  </r>
  <r>
    <x v="439"/>
    <s v="LinkedIn Ads"/>
    <s v="Product Launch"/>
    <s v="Basic Plan"/>
    <n v="3566"/>
    <n v="101"/>
    <n v="10"/>
    <n v="659.59"/>
    <n v="2368.0100000000002"/>
    <n v="2.83"/>
    <n v="9.9"/>
    <n v="65.959999999999994"/>
    <n v="3.59"/>
    <n v="1708.42"/>
  </r>
  <r>
    <x v="439"/>
    <s v="Email Marketing"/>
    <s v="Lead Generation"/>
    <s v="Premium Plan"/>
    <n v="11379"/>
    <n v="2306"/>
    <n v="311"/>
    <n v="176.83"/>
    <n v="50631.34"/>
    <n v="20.27"/>
    <n v="13.49"/>
    <n v="0.56999999999999995"/>
    <n v="286.33"/>
    <n v="50454.51"/>
  </r>
  <r>
    <x v="439"/>
    <s v="Organic Search"/>
    <s v="Seasonal Promotion"/>
    <s v="Premium Plan"/>
    <n v="21646"/>
    <n v="1680"/>
    <n v="188"/>
    <n v="0"/>
    <n v="23065.040000000001"/>
    <n v="7.76"/>
    <n v="11.19"/>
    <n v="0"/>
    <n v="0"/>
    <n v="23065.040000000001"/>
  </r>
  <r>
    <x v="439"/>
    <s v="Display Ads"/>
    <s v="Lead Generation"/>
    <s v="Enterprise Plan"/>
    <n v="18951"/>
    <n v="347"/>
    <n v="14"/>
    <n v="720.4"/>
    <n v="1243.49"/>
    <n v="1.83"/>
    <n v="4.03"/>
    <n v="51.46"/>
    <n v="1.73"/>
    <n v="523.09"/>
  </r>
  <r>
    <x v="439"/>
    <s v="YouTube Ads"/>
    <s v="Brand Awareness"/>
    <s v="Add-on Service"/>
    <n v="11129"/>
    <n v="204"/>
    <n v="15"/>
    <n v="720.4"/>
    <n v="1694.58"/>
    <n v="1.83"/>
    <n v="7.35"/>
    <n v="48.03"/>
    <n v="2.35"/>
    <n v="974.18"/>
  </r>
  <r>
    <x v="439"/>
    <s v="Twitter Ads"/>
    <s v="Flash Sale"/>
    <s v="Starter Kit"/>
    <n v="5749"/>
    <n v="189"/>
    <n v="7"/>
    <n v="449.86"/>
    <n v="635.29999999999995"/>
    <n v="3.29"/>
    <n v="3.7"/>
    <n v="64.27"/>
    <n v="1.41"/>
    <n v="185.44"/>
  </r>
  <r>
    <x v="439"/>
    <s v="TikTok Ads"/>
    <s v="Lead Generation"/>
    <s v="Premium Plan"/>
    <n v="12928"/>
    <n v="473"/>
    <n v="27"/>
    <n v="652.99"/>
    <n v="2867.95"/>
    <n v="3.66"/>
    <n v="5.71"/>
    <n v="24.18"/>
    <n v="4.3899999999999997"/>
    <n v="2214.96"/>
  </r>
  <r>
    <x v="439"/>
    <s v="Affiliate Marketing"/>
    <s v="Flash Sale"/>
    <s v="Premium Plan"/>
    <n v="6785"/>
    <n v="326"/>
    <n v="32"/>
    <n v="393.02"/>
    <n v="4945.05"/>
    <n v="4.8"/>
    <n v="9.82"/>
    <n v="12.28"/>
    <n v="12.58"/>
    <n v="4552.03"/>
  </r>
  <r>
    <x v="439"/>
    <s v="Referral"/>
    <s v="Flash Sale"/>
    <s v="Enterprise Plan"/>
    <n v="2767"/>
    <n v="189"/>
    <n v="28"/>
    <n v="64.819999999999993"/>
    <n v="4565.37"/>
    <n v="6.83"/>
    <n v="14.81"/>
    <n v="2.3199999999999998"/>
    <n v="70.430000000000007"/>
    <n v="4500.55"/>
  </r>
  <r>
    <x v="440"/>
    <s v="Google Ads"/>
    <s v="Lead Generation"/>
    <s v="Starter Kit"/>
    <n v="8623"/>
    <n v="423"/>
    <n v="46"/>
    <n v="808.96"/>
    <n v="5372.2"/>
    <n v="4.91"/>
    <n v="10.87"/>
    <n v="17.59"/>
    <n v="6.64"/>
    <n v="4563.24"/>
  </r>
  <r>
    <x v="440"/>
    <s v="Facebook Ads"/>
    <s v="Product Launch"/>
    <s v="Basic Plan"/>
    <n v="10822"/>
    <n v="303"/>
    <n v="25"/>
    <n v="555.85"/>
    <n v="2810.26"/>
    <n v="2.8"/>
    <n v="8.25"/>
    <n v="22.23"/>
    <n v="5.0599999999999996"/>
    <n v="2254.41"/>
  </r>
  <r>
    <x v="440"/>
    <s v="Instagram Ads"/>
    <s v="Lead Generation"/>
    <s v="Premium Plan"/>
    <n v="11261"/>
    <n v="468"/>
    <n v="25"/>
    <n v="691.32"/>
    <n v="2132.6799999999998"/>
    <n v="4.16"/>
    <n v="5.34"/>
    <n v="27.65"/>
    <n v="3.08"/>
    <n v="1441.36"/>
  </r>
  <r>
    <x v="440"/>
    <s v="LinkedIn Ads"/>
    <s v="Flash Sale"/>
    <s v="Add-on Service"/>
    <n v="3263"/>
    <n v="77"/>
    <n v="10"/>
    <n v="1085.77"/>
    <n v="2348.6799999999998"/>
    <n v="2.36"/>
    <n v="12.99"/>
    <n v="108.58"/>
    <n v="2.16"/>
    <n v="1262.9100000000001"/>
  </r>
  <r>
    <x v="440"/>
    <s v="Email Marketing"/>
    <s v="Lead Generation"/>
    <s v="Starter Kit"/>
    <n v="16477"/>
    <n v="3431"/>
    <n v="450"/>
    <n v="176.52"/>
    <n v="70068.78"/>
    <n v="20.82"/>
    <n v="13.12"/>
    <n v="0.39"/>
    <n v="396.95"/>
    <n v="69892.259999999995"/>
  </r>
  <r>
    <x v="440"/>
    <s v="Organic Search"/>
    <s v="Flash Sale"/>
    <s v="Premium Plan"/>
    <n v="24447"/>
    <n v="981"/>
    <n v="144"/>
    <n v="0"/>
    <n v="18651"/>
    <n v="4.01"/>
    <n v="14.68"/>
    <n v="0"/>
    <n v="0"/>
    <n v="18651"/>
  </r>
  <r>
    <x v="440"/>
    <s v="Display Ads"/>
    <s v="Flash Sale"/>
    <s v="Add-on Service"/>
    <n v="21235"/>
    <n v="237"/>
    <n v="5"/>
    <n v="549.54"/>
    <n v="399.83"/>
    <n v="1.1200000000000001"/>
    <n v="2.11"/>
    <n v="109.91"/>
    <n v="0.73"/>
    <n v="-149.71"/>
  </r>
  <r>
    <x v="440"/>
    <s v="YouTube Ads"/>
    <s v="Flash Sale"/>
    <s v="Premium Plan"/>
    <n v="10809"/>
    <n v="303"/>
    <n v="18"/>
    <n v="919.24"/>
    <n v="1920.85"/>
    <n v="2.8"/>
    <n v="5.94"/>
    <n v="51.07"/>
    <n v="2.09"/>
    <n v="1001.61"/>
  </r>
  <r>
    <x v="440"/>
    <s v="Twitter Ads"/>
    <s v="Retargeting"/>
    <s v="Enterprise Plan"/>
    <n v="7643"/>
    <n v="226"/>
    <n v="10"/>
    <n v="391.9"/>
    <n v="974.94"/>
    <n v="2.96"/>
    <n v="4.42"/>
    <n v="39.19"/>
    <n v="2.4900000000000002"/>
    <n v="583.04"/>
  </r>
  <r>
    <x v="440"/>
    <s v="TikTok Ads"/>
    <s v="Retargeting"/>
    <s v="Premium Plan"/>
    <n v="14392"/>
    <n v="501"/>
    <n v="20"/>
    <n v="585.98"/>
    <n v="2081.56"/>
    <n v="3.48"/>
    <n v="3.99"/>
    <n v="29.3"/>
    <n v="3.55"/>
    <n v="1495.58"/>
  </r>
  <r>
    <x v="440"/>
    <s v="Affiliate Marketing"/>
    <s v="Seasonal Promotion"/>
    <s v="Premium Plan"/>
    <n v="5136"/>
    <n v="292"/>
    <n v="26"/>
    <n v="350.17"/>
    <n v="2906.86"/>
    <n v="5.69"/>
    <n v="8.9"/>
    <n v="13.47"/>
    <n v="8.3000000000000007"/>
    <n v="2556.69"/>
  </r>
  <r>
    <x v="440"/>
    <s v="Referral"/>
    <s v="Brand Awareness"/>
    <s v="Starter Kit"/>
    <n v="4677"/>
    <n v="265"/>
    <n v="39"/>
    <n v="38.630000000000003"/>
    <n v="5525.26"/>
    <n v="5.67"/>
    <n v="14.72"/>
    <n v="0.99"/>
    <n v="143.03"/>
    <n v="5486.63"/>
  </r>
  <r>
    <x v="441"/>
    <s v="Google Ads"/>
    <s v="Lead Generation"/>
    <s v="Basic Plan"/>
    <n v="13986"/>
    <n v="641"/>
    <n v="70"/>
    <n v="1102.7"/>
    <n v="9211.36"/>
    <n v="4.58"/>
    <n v="10.92"/>
    <n v="15.75"/>
    <n v="8.35"/>
    <n v="8108.66"/>
  </r>
  <r>
    <x v="441"/>
    <s v="Facebook Ads"/>
    <s v="Product Launch"/>
    <s v="Basic Plan"/>
    <n v="19402"/>
    <n v="723"/>
    <n v="42"/>
    <n v="817.83"/>
    <n v="3632.48"/>
    <n v="3.73"/>
    <n v="5.81"/>
    <n v="19.47"/>
    <n v="4.4400000000000004"/>
    <n v="2814.65"/>
  </r>
  <r>
    <x v="441"/>
    <s v="Instagram Ads"/>
    <s v="Lead Generation"/>
    <s v="Premium Plan"/>
    <n v="17062"/>
    <n v="678"/>
    <n v="39"/>
    <n v="580.84"/>
    <n v="3469.57"/>
    <n v="3.97"/>
    <n v="5.75"/>
    <n v="14.89"/>
    <n v="5.97"/>
    <n v="2888.73"/>
  </r>
  <r>
    <x v="441"/>
    <s v="LinkedIn Ads"/>
    <s v="Brand Awareness"/>
    <s v="Starter Kit"/>
    <n v="5007"/>
    <n v="117"/>
    <n v="13"/>
    <n v="1626.7"/>
    <n v="2927.45"/>
    <n v="2.34"/>
    <n v="11.11"/>
    <n v="125.13"/>
    <n v="1.8"/>
    <n v="1300.75"/>
  </r>
  <r>
    <x v="441"/>
    <s v="Email Marketing"/>
    <s v="Brand Awareness"/>
    <s v="Premium Plan"/>
    <n v="20990"/>
    <n v="4463"/>
    <n v="598"/>
    <n v="129.38999999999999"/>
    <n v="67807.38"/>
    <n v="21.26"/>
    <n v="13.4"/>
    <n v="0.22"/>
    <n v="524.04999999999995"/>
    <n v="67677.990000000005"/>
  </r>
  <r>
    <x v="441"/>
    <s v="Organic Search"/>
    <s v="Product Launch"/>
    <s v="Basic Plan"/>
    <n v="21920"/>
    <n v="1051"/>
    <n v="112"/>
    <n v="0"/>
    <n v="14125.26"/>
    <n v="4.79"/>
    <n v="10.66"/>
    <n v="0"/>
    <n v="0"/>
    <n v="14125.26"/>
  </r>
  <r>
    <x v="441"/>
    <s v="Display Ads"/>
    <s v="Flash Sale"/>
    <s v="Premium Plan"/>
    <n v="32897"/>
    <n v="635"/>
    <n v="30"/>
    <n v="973.33"/>
    <n v="3563.35"/>
    <n v="1.93"/>
    <n v="4.72"/>
    <n v="32.44"/>
    <n v="3.66"/>
    <n v="2590.02"/>
  </r>
  <r>
    <x v="441"/>
    <s v="YouTube Ads"/>
    <s v="Lead Generation"/>
    <s v="Premium Plan"/>
    <n v="18913"/>
    <n v="526"/>
    <n v="37"/>
    <n v="915.83"/>
    <n v="3846.72"/>
    <n v="2.78"/>
    <n v="7.03"/>
    <n v="24.75"/>
    <n v="4.2"/>
    <n v="2930.89"/>
  </r>
  <r>
    <x v="441"/>
    <s v="Twitter Ads"/>
    <s v="Flash Sale"/>
    <s v="Basic Plan"/>
    <n v="8278"/>
    <n v="224"/>
    <n v="8"/>
    <n v="465.54"/>
    <n v="853.75"/>
    <n v="2.71"/>
    <n v="3.57"/>
    <n v="58.19"/>
    <n v="1.83"/>
    <n v="388.21"/>
  </r>
  <r>
    <x v="441"/>
    <s v="TikTok Ads"/>
    <s v="Flash Sale"/>
    <s v="Basic Plan"/>
    <n v="21042"/>
    <n v="576"/>
    <n v="33"/>
    <n v="737.98"/>
    <n v="2571.98"/>
    <n v="2.74"/>
    <n v="5.73"/>
    <n v="22.36"/>
    <n v="3.49"/>
    <n v="1834"/>
  </r>
  <r>
    <x v="441"/>
    <s v="Affiliate Marketing"/>
    <s v="Brand Awareness"/>
    <s v="Starter Kit"/>
    <n v="8151"/>
    <n v="469"/>
    <n v="51"/>
    <n v="305.08"/>
    <n v="5738.96"/>
    <n v="5.75"/>
    <n v="10.87"/>
    <n v="5.98"/>
    <n v="18.809999999999999"/>
    <n v="5433.88"/>
  </r>
  <r>
    <x v="441"/>
    <s v="Referral"/>
    <s v="Seasonal Promotion"/>
    <s v="Premium Plan"/>
    <n v="6214"/>
    <n v="400"/>
    <n v="55"/>
    <n v="186.77"/>
    <n v="8234.7900000000009"/>
    <n v="6.44"/>
    <n v="13.75"/>
    <n v="3.4"/>
    <n v="44.09"/>
    <n v="8048.02"/>
  </r>
  <r>
    <x v="442"/>
    <s v="Google Ads"/>
    <s v="Product Launch"/>
    <s v="Enterprise Plan"/>
    <n v="11987"/>
    <n v="379"/>
    <n v="34"/>
    <n v="968.1"/>
    <n v="4503.62"/>
    <n v="3.16"/>
    <n v="8.9700000000000006"/>
    <n v="28.47"/>
    <n v="4.6500000000000004"/>
    <n v="3535.52"/>
  </r>
  <r>
    <x v="442"/>
    <s v="Facebook Ads"/>
    <s v="Seasonal Promotion"/>
    <s v="Basic Plan"/>
    <n v="19999"/>
    <n v="492"/>
    <n v="42"/>
    <n v="785.94"/>
    <n v="3965.53"/>
    <n v="2.46"/>
    <n v="8.5399999999999991"/>
    <n v="18.71"/>
    <n v="5.05"/>
    <n v="3179.59"/>
  </r>
  <r>
    <x v="442"/>
    <s v="Instagram Ads"/>
    <s v="Seasonal Promotion"/>
    <s v="Basic Plan"/>
    <n v="17462"/>
    <n v="574"/>
    <n v="45"/>
    <n v="701"/>
    <n v="4726.83"/>
    <n v="3.29"/>
    <n v="7.84"/>
    <n v="15.58"/>
    <n v="6.74"/>
    <n v="4025.83"/>
  </r>
  <r>
    <x v="442"/>
    <s v="LinkedIn Ads"/>
    <s v="Seasonal Promotion"/>
    <s v="Starter Kit"/>
    <n v="3818"/>
    <n v="94"/>
    <n v="9"/>
    <n v="1765.95"/>
    <n v="2076.7399999999998"/>
    <n v="2.46"/>
    <n v="9.57"/>
    <n v="196.22"/>
    <n v="1.18"/>
    <n v="310.79000000000002"/>
  </r>
  <r>
    <x v="442"/>
    <s v="Email Marketing"/>
    <s v="Retargeting"/>
    <s v="Premium Plan"/>
    <n v="17326"/>
    <n v="3270"/>
    <n v="456"/>
    <n v="265.08999999999997"/>
    <n v="68011.14"/>
    <n v="18.87"/>
    <n v="13.94"/>
    <n v="0.57999999999999996"/>
    <n v="256.56"/>
    <n v="67746.05"/>
  </r>
  <r>
    <x v="442"/>
    <s v="Organic Search"/>
    <s v="Lead Generation"/>
    <s v="Basic Plan"/>
    <n v="25044"/>
    <n v="1778"/>
    <n v="279"/>
    <n v="0"/>
    <n v="33900.230000000003"/>
    <n v="7.1"/>
    <n v="15.69"/>
    <n v="0"/>
    <n v="0"/>
    <n v="33900.230000000003"/>
  </r>
  <r>
    <x v="442"/>
    <s v="Display Ads"/>
    <s v="Brand Awareness"/>
    <s v="Enterprise Plan"/>
    <n v="30916"/>
    <n v="437"/>
    <n v="19"/>
    <n v="1261.44"/>
    <n v="1818.47"/>
    <n v="1.41"/>
    <n v="4.3499999999999996"/>
    <n v="66.39"/>
    <n v="1.44"/>
    <n v="557.03"/>
  </r>
  <r>
    <x v="442"/>
    <s v="YouTube Ads"/>
    <s v="Product Launch"/>
    <s v="Basic Plan"/>
    <n v="23595"/>
    <n v="535"/>
    <n v="36"/>
    <n v="1314.1"/>
    <n v="4975.17"/>
    <n v="2.27"/>
    <n v="6.73"/>
    <n v="36.5"/>
    <n v="3.79"/>
    <n v="3661.07"/>
  </r>
  <r>
    <x v="442"/>
    <s v="Twitter Ads"/>
    <s v="Brand Awareness"/>
    <s v="Starter Kit"/>
    <n v="10782"/>
    <n v="266"/>
    <n v="14"/>
    <n v="668.38"/>
    <n v="1347.06"/>
    <n v="2.4700000000000002"/>
    <n v="5.26"/>
    <n v="47.74"/>
    <n v="2.02"/>
    <n v="678.68"/>
  </r>
  <r>
    <x v="442"/>
    <s v="TikTok Ads"/>
    <s v="Flash Sale"/>
    <s v="Enterprise Plan"/>
    <n v="27516"/>
    <n v="1163"/>
    <n v="38"/>
    <n v="728.79"/>
    <n v="3320.45"/>
    <n v="4.2300000000000004"/>
    <n v="3.27"/>
    <n v="19.18"/>
    <n v="4.5599999999999996"/>
    <n v="2591.66"/>
  </r>
  <r>
    <x v="442"/>
    <s v="Affiliate Marketing"/>
    <s v="Brand Awareness"/>
    <s v="Starter Kit"/>
    <n v="6153"/>
    <n v="263"/>
    <n v="30"/>
    <n v="572.33000000000004"/>
    <n v="3547.02"/>
    <n v="4.2699999999999996"/>
    <n v="11.41"/>
    <n v="19.079999999999998"/>
    <n v="6.2"/>
    <n v="2974.69"/>
  </r>
  <r>
    <x v="442"/>
    <s v="Referral"/>
    <s v="Lead Generation"/>
    <s v="Starter Kit"/>
    <n v="5486"/>
    <n v="459"/>
    <n v="58"/>
    <n v="150.28"/>
    <n v="9962.18"/>
    <n v="8.3699999999999992"/>
    <n v="12.64"/>
    <n v="2.59"/>
    <n v="66.290000000000006"/>
    <n v="9811.9"/>
  </r>
  <r>
    <x v="443"/>
    <s v="Google Ads"/>
    <s v="Lead Generation"/>
    <s v="Premium Plan"/>
    <n v="9776"/>
    <n v="310"/>
    <n v="30"/>
    <n v="829.79"/>
    <n v="3667.92"/>
    <n v="3.17"/>
    <n v="9.68"/>
    <n v="27.66"/>
    <n v="4.42"/>
    <n v="2838.13"/>
  </r>
  <r>
    <x v="443"/>
    <s v="Facebook Ads"/>
    <s v="Flash Sale"/>
    <s v="Enterprise Plan"/>
    <n v="17704"/>
    <n v="692"/>
    <n v="40"/>
    <n v="602.64"/>
    <n v="4757.1000000000004"/>
    <n v="3.91"/>
    <n v="5.78"/>
    <n v="15.07"/>
    <n v="7.89"/>
    <n v="4154.46"/>
  </r>
  <r>
    <x v="443"/>
    <s v="Instagram Ads"/>
    <s v="Flash Sale"/>
    <s v="Add-on Service"/>
    <n v="13738"/>
    <n v="606"/>
    <n v="25"/>
    <n v="930.16"/>
    <n v="2612.41"/>
    <n v="4.41"/>
    <n v="4.13"/>
    <n v="37.21"/>
    <n v="2.81"/>
    <n v="1682.25"/>
  </r>
  <r>
    <x v="443"/>
    <s v="LinkedIn Ads"/>
    <s v="Product Launch"/>
    <s v="Premium Plan"/>
    <n v="5172"/>
    <n v="123"/>
    <n v="16"/>
    <n v="1369.4"/>
    <n v="3680.55"/>
    <n v="2.38"/>
    <n v="13.01"/>
    <n v="85.59"/>
    <n v="2.69"/>
    <n v="2311.15"/>
  </r>
  <r>
    <x v="443"/>
    <s v="Email Marketing"/>
    <s v="Brand Awareness"/>
    <s v="Basic Plan"/>
    <n v="22818"/>
    <n v="4370"/>
    <n v="555"/>
    <n v="176.19"/>
    <n v="80984.899999999994"/>
    <n v="19.149999999999999"/>
    <n v="12.7"/>
    <n v="0.32"/>
    <n v="459.65"/>
    <n v="80808.710000000006"/>
  </r>
  <r>
    <x v="443"/>
    <s v="Organic Search"/>
    <s v="Retargeting"/>
    <s v="Enterprise Plan"/>
    <n v="28822"/>
    <n v="1257"/>
    <n v="146"/>
    <n v="0"/>
    <n v="16385.23"/>
    <n v="4.3600000000000003"/>
    <n v="11.61"/>
    <n v="0"/>
    <n v="0"/>
    <n v="16385.23"/>
  </r>
  <r>
    <x v="443"/>
    <s v="Display Ads"/>
    <s v="Seasonal Promotion"/>
    <s v="Starter Kit"/>
    <n v="28065"/>
    <n v="497"/>
    <n v="22"/>
    <n v="859.64"/>
    <n v="2351.4899999999998"/>
    <n v="1.77"/>
    <n v="4.43"/>
    <n v="39.07"/>
    <n v="2.74"/>
    <n v="1491.85"/>
  </r>
  <r>
    <x v="443"/>
    <s v="YouTube Ads"/>
    <s v="Brand Awareness"/>
    <s v="Add-on Service"/>
    <n v="18703"/>
    <n v="400"/>
    <n v="20"/>
    <n v="878.47"/>
    <n v="2404.0700000000002"/>
    <n v="2.14"/>
    <n v="5"/>
    <n v="43.92"/>
    <n v="2.74"/>
    <n v="1525.6"/>
  </r>
  <r>
    <x v="443"/>
    <s v="Twitter Ads"/>
    <s v="Seasonal Promotion"/>
    <s v="Basic Plan"/>
    <n v="11359"/>
    <n v="290"/>
    <n v="9"/>
    <n v="716.12"/>
    <n v="786.12"/>
    <n v="2.5499999999999998"/>
    <n v="3.1"/>
    <n v="79.569999999999993"/>
    <n v="1.1000000000000001"/>
    <n v="70"/>
  </r>
  <r>
    <x v="443"/>
    <s v="TikTok Ads"/>
    <s v="Product Launch"/>
    <s v="Premium Plan"/>
    <n v="25540"/>
    <n v="678"/>
    <n v="44"/>
    <n v="626.71"/>
    <n v="4400.57"/>
    <n v="2.65"/>
    <n v="6.49"/>
    <n v="14.24"/>
    <n v="7.02"/>
    <n v="3773.86"/>
  </r>
  <r>
    <x v="443"/>
    <s v="Affiliate Marketing"/>
    <s v="Seasonal Promotion"/>
    <s v="Enterprise Plan"/>
    <n v="8008"/>
    <n v="348"/>
    <n v="38"/>
    <n v="370.56"/>
    <n v="4872.4399999999996"/>
    <n v="4.3499999999999996"/>
    <n v="10.92"/>
    <n v="9.75"/>
    <n v="13.15"/>
    <n v="4501.88"/>
  </r>
  <r>
    <x v="443"/>
    <s v="Referral"/>
    <s v="Flash Sale"/>
    <s v="Starter Kit"/>
    <n v="6035"/>
    <n v="455"/>
    <n v="69"/>
    <n v="100.56"/>
    <n v="9634.35"/>
    <n v="7.54"/>
    <n v="15.16"/>
    <n v="1.46"/>
    <n v="95.81"/>
    <n v="9533.7900000000009"/>
  </r>
  <r>
    <x v="444"/>
    <s v="Google Ads"/>
    <s v="Flash Sale"/>
    <s v="Basic Plan"/>
    <n v="14964"/>
    <n v="538"/>
    <n v="61"/>
    <n v="842.15"/>
    <n v="8343.56"/>
    <n v="3.6"/>
    <n v="11.34"/>
    <n v="13.81"/>
    <n v="9.91"/>
    <n v="7501.41"/>
  </r>
  <r>
    <x v="444"/>
    <s v="Facebook Ads"/>
    <s v="Product Launch"/>
    <s v="Basic Plan"/>
    <n v="12826"/>
    <n v="440"/>
    <n v="39"/>
    <n v="766.17"/>
    <n v="4180.22"/>
    <n v="3.43"/>
    <n v="8.86"/>
    <n v="19.649999999999999"/>
    <n v="5.46"/>
    <n v="3414.05"/>
  </r>
  <r>
    <x v="444"/>
    <s v="Instagram Ads"/>
    <s v="Flash Sale"/>
    <s v="Enterprise Plan"/>
    <n v="11443"/>
    <n v="409"/>
    <n v="30"/>
    <n v="918.2"/>
    <n v="2490.2399999999998"/>
    <n v="3.57"/>
    <n v="7.33"/>
    <n v="30.61"/>
    <n v="2.71"/>
    <n v="1572.04"/>
  </r>
  <r>
    <x v="444"/>
    <s v="LinkedIn Ads"/>
    <s v="Flash Sale"/>
    <s v="Starter Kit"/>
    <n v="3579"/>
    <n v="53"/>
    <n v="6"/>
    <n v="1259.76"/>
    <n v="1373.04"/>
    <n v="1.48"/>
    <n v="11.32"/>
    <n v="209.96"/>
    <n v="1.0900000000000001"/>
    <n v="113.28"/>
  </r>
  <r>
    <x v="444"/>
    <s v="Email Marketing"/>
    <s v="Brand Awareness"/>
    <s v="Enterprise Plan"/>
    <n v="21291"/>
    <n v="5027"/>
    <n v="404"/>
    <n v="152.91999999999999"/>
    <n v="49481.43"/>
    <n v="23.61"/>
    <n v="8.0399999999999991"/>
    <n v="0.38"/>
    <n v="323.58"/>
    <n v="49328.51"/>
  </r>
  <r>
    <x v="444"/>
    <s v="Organic Search"/>
    <s v="Brand Awareness"/>
    <s v="Add-on Service"/>
    <n v="27150"/>
    <n v="1621"/>
    <n v="219"/>
    <n v="0"/>
    <n v="30494.37"/>
    <n v="5.97"/>
    <n v="13.51"/>
    <n v="0"/>
    <n v="0"/>
    <n v="30494.37"/>
  </r>
  <r>
    <x v="444"/>
    <s v="Display Ads"/>
    <s v="Seasonal Promotion"/>
    <s v="Starter Kit"/>
    <n v="32018"/>
    <n v="631"/>
    <n v="14"/>
    <n v="1276.31"/>
    <n v="1592.65"/>
    <n v="1.97"/>
    <n v="2.2200000000000002"/>
    <n v="91.16"/>
    <n v="1.25"/>
    <n v="316.33999999999997"/>
  </r>
  <r>
    <x v="444"/>
    <s v="YouTube Ads"/>
    <s v="Retargeting"/>
    <s v="Add-on Service"/>
    <n v="18396"/>
    <n v="549"/>
    <n v="23"/>
    <n v="1022.62"/>
    <n v="2405.4699999999998"/>
    <n v="2.98"/>
    <n v="4.1900000000000004"/>
    <n v="44.46"/>
    <n v="2.35"/>
    <n v="1382.85"/>
  </r>
  <r>
    <x v="444"/>
    <s v="Twitter Ads"/>
    <s v="Flash Sale"/>
    <s v="Basic Plan"/>
    <n v="12869"/>
    <n v="292"/>
    <n v="10"/>
    <n v="477.32"/>
    <n v="848.76"/>
    <n v="2.27"/>
    <n v="3.42"/>
    <n v="47.73"/>
    <n v="1.78"/>
    <n v="371.44"/>
  </r>
  <r>
    <x v="444"/>
    <s v="TikTok Ads"/>
    <s v="Seasonal Promotion"/>
    <s v="Add-on Service"/>
    <n v="18160"/>
    <n v="762"/>
    <n v="39"/>
    <n v="863.4"/>
    <n v="3982.52"/>
    <n v="4.2"/>
    <n v="5.12"/>
    <n v="22.14"/>
    <n v="4.6100000000000003"/>
    <n v="3119.12"/>
  </r>
  <r>
    <x v="444"/>
    <s v="Affiliate Marketing"/>
    <s v="Flash Sale"/>
    <s v="Premium Plan"/>
    <n v="5624"/>
    <n v="365"/>
    <n v="40"/>
    <n v="510.44"/>
    <n v="5116.5200000000004"/>
    <n v="6.49"/>
    <n v="10.96"/>
    <n v="12.76"/>
    <n v="10.02"/>
    <n v="4606.08"/>
  </r>
  <r>
    <x v="444"/>
    <s v="Referral"/>
    <s v="Lead Generation"/>
    <s v="Premium Plan"/>
    <n v="6792"/>
    <n v="669"/>
    <n v="117"/>
    <n v="159.4"/>
    <n v="16078.13"/>
    <n v="9.85"/>
    <n v="17.489999999999998"/>
    <n v="1.36"/>
    <n v="100.87"/>
    <n v="15918.73"/>
  </r>
  <r>
    <x v="445"/>
    <s v="Google Ads"/>
    <s v="Seasonal Promotion"/>
    <s v="Premium Plan"/>
    <n v="13125"/>
    <n v="422"/>
    <n v="43"/>
    <n v="985.33"/>
    <n v="6868.23"/>
    <n v="3.22"/>
    <n v="10.19"/>
    <n v="22.91"/>
    <n v="6.97"/>
    <n v="5882.9"/>
  </r>
  <r>
    <x v="445"/>
    <s v="Facebook Ads"/>
    <s v="Product Launch"/>
    <s v="Basic Plan"/>
    <n v="14741"/>
    <n v="466"/>
    <n v="40"/>
    <n v="1011.38"/>
    <n v="4945.18"/>
    <n v="3.16"/>
    <n v="8.58"/>
    <n v="25.28"/>
    <n v="4.8899999999999997"/>
    <n v="3933.8"/>
  </r>
  <r>
    <x v="445"/>
    <s v="Instagram Ads"/>
    <s v="Flash Sale"/>
    <s v="Starter Kit"/>
    <n v="11920"/>
    <n v="358"/>
    <n v="24"/>
    <n v="635.30999999999995"/>
    <n v="2971.48"/>
    <n v="3"/>
    <n v="6.7"/>
    <n v="26.47"/>
    <n v="4.68"/>
    <n v="2336.17"/>
  </r>
  <r>
    <x v="445"/>
    <s v="LinkedIn Ads"/>
    <s v="Lead Generation"/>
    <s v="Add-on Service"/>
    <n v="5972"/>
    <n v="148"/>
    <n v="16"/>
    <n v="1535.09"/>
    <n v="4174.6899999999996"/>
    <n v="2.48"/>
    <n v="10.81"/>
    <n v="95.94"/>
    <n v="2.72"/>
    <n v="2639.6"/>
  </r>
  <r>
    <x v="445"/>
    <s v="Email Marketing"/>
    <s v="Brand Awareness"/>
    <s v="Premium Plan"/>
    <n v="21818"/>
    <n v="3564"/>
    <n v="313"/>
    <n v="261.7"/>
    <n v="50247.81"/>
    <n v="16.34"/>
    <n v="8.7799999999999994"/>
    <n v="0.84"/>
    <n v="192.01"/>
    <n v="49986.11"/>
  </r>
  <r>
    <x v="445"/>
    <s v="Organic Search"/>
    <s v="Lead Generation"/>
    <s v="Enterprise Plan"/>
    <n v="20779"/>
    <n v="1639"/>
    <n v="219"/>
    <n v="0"/>
    <n v="22122.400000000001"/>
    <n v="7.89"/>
    <n v="13.36"/>
    <n v="0"/>
    <n v="0"/>
    <n v="22122.400000000001"/>
  </r>
  <r>
    <x v="445"/>
    <s v="Display Ads"/>
    <s v="Retargeting"/>
    <s v="Enterprise Plan"/>
    <n v="25660"/>
    <n v="284"/>
    <n v="13"/>
    <n v="740.61"/>
    <n v="1403.11"/>
    <n v="1.1100000000000001"/>
    <n v="4.58"/>
    <n v="56.97"/>
    <n v="1.89"/>
    <n v="662.5"/>
  </r>
  <r>
    <x v="445"/>
    <s v="YouTube Ads"/>
    <s v="Lead Generation"/>
    <s v="Basic Plan"/>
    <n v="15316"/>
    <n v="253"/>
    <n v="13"/>
    <n v="914.91"/>
    <n v="1693.24"/>
    <n v="1.65"/>
    <n v="5.14"/>
    <n v="70.38"/>
    <n v="1.85"/>
    <n v="778.33"/>
  </r>
  <r>
    <x v="445"/>
    <s v="Twitter Ads"/>
    <s v="Retargeting"/>
    <s v="Basic Plan"/>
    <n v="9745"/>
    <n v="305"/>
    <n v="14"/>
    <n v="740.78"/>
    <n v="1587.71"/>
    <n v="3.13"/>
    <n v="4.59"/>
    <n v="52.91"/>
    <n v="2.14"/>
    <n v="846.93"/>
  </r>
  <r>
    <x v="445"/>
    <s v="TikTok Ads"/>
    <s v="Flash Sale"/>
    <s v="Premium Plan"/>
    <n v="24804"/>
    <n v="770"/>
    <n v="46"/>
    <n v="720.91"/>
    <n v="3951.08"/>
    <n v="3.1"/>
    <n v="5.97"/>
    <n v="15.67"/>
    <n v="5.48"/>
    <n v="3230.17"/>
  </r>
  <r>
    <x v="445"/>
    <s v="Affiliate Marketing"/>
    <s v="Lead Generation"/>
    <s v="Add-on Service"/>
    <n v="9758"/>
    <n v="401"/>
    <n v="34"/>
    <n v="349.91"/>
    <n v="4630.18"/>
    <n v="4.1100000000000003"/>
    <n v="8.48"/>
    <n v="10.29"/>
    <n v="13.23"/>
    <n v="4280.2700000000004"/>
  </r>
  <r>
    <x v="445"/>
    <s v="Referral"/>
    <s v="Retargeting"/>
    <s v="Enterprise Plan"/>
    <n v="4304"/>
    <n v="417"/>
    <n v="73"/>
    <n v="160.71"/>
    <n v="12939.3"/>
    <n v="9.69"/>
    <n v="17.510000000000002"/>
    <n v="2.2000000000000002"/>
    <n v="80.510000000000005"/>
    <n v="12778.59"/>
  </r>
  <r>
    <x v="446"/>
    <s v="Google Ads"/>
    <s v="Lead Generation"/>
    <s v="Enterprise Plan"/>
    <n v="7919"/>
    <n v="319"/>
    <n v="32"/>
    <n v="838.01"/>
    <n v="4976.6099999999997"/>
    <n v="4.03"/>
    <n v="10.029999999999999"/>
    <n v="26.19"/>
    <n v="5.94"/>
    <n v="4138.6000000000004"/>
  </r>
  <r>
    <x v="446"/>
    <s v="Facebook Ads"/>
    <s v="Product Launch"/>
    <s v="Premium Plan"/>
    <n v="12518"/>
    <n v="421"/>
    <n v="29"/>
    <n v="807.52"/>
    <n v="2875.22"/>
    <n v="3.36"/>
    <n v="6.89"/>
    <n v="27.85"/>
    <n v="3.56"/>
    <n v="2067.6999999999998"/>
  </r>
  <r>
    <x v="446"/>
    <s v="Instagram Ads"/>
    <s v="Seasonal Promotion"/>
    <s v="Starter Kit"/>
    <n v="12086"/>
    <n v="457"/>
    <n v="18"/>
    <n v="668.8"/>
    <n v="1601.38"/>
    <n v="3.78"/>
    <n v="3.94"/>
    <n v="37.159999999999997"/>
    <n v="2.39"/>
    <n v="932.58"/>
  </r>
  <r>
    <x v="446"/>
    <s v="LinkedIn Ads"/>
    <s v="Flash Sale"/>
    <s v="Enterprise Plan"/>
    <n v="3628"/>
    <n v="103"/>
    <n v="10"/>
    <n v="913.63"/>
    <n v="2220.89"/>
    <n v="2.84"/>
    <n v="9.7100000000000009"/>
    <n v="91.36"/>
    <n v="2.4300000000000002"/>
    <n v="1307.26"/>
  </r>
  <r>
    <x v="446"/>
    <s v="Email Marketing"/>
    <s v="Brand Awareness"/>
    <s v="Basic Plan"/>
    <n v="13869"/>
    <n v="2984"/>
    <n v="244"/>
    <n v="106.47"/>
    <n v="36275.18"/>
    <n v="21.52"/>
    <n v="8.18"/>
    <n v="0.44"/>
    <n v="340.71"/>
    <n v="36168.71"/>
  </r>
  <r>
    <x v="446"/>
    <s v="Organic Search"/>
    <s v="Flash Sale"/>
    <s v="Enterprise Plan"/>
    <n v="16217"/>
    <n v="651"/>
    <n v="81"/>
    <n v="0"/>
    <n v="12422.03"/>
    <n v="4.01"/>
    <n v="12.44"/>
    <n v="0"/>
    <n v="0"/>
    <n v="12422.03"/>
  </r>
  <r>
    <x v="446"/>
    <s v="Display Ads"/>
    <s v="Product Launch"/>
    <s v="Basic Plan"/>
    <n v="26100"/>
    <n v="388"/>
    <n v="18"/>
    <n v="794.45"/>
    <n v="2014.03"/>
    <n v="1.49"/>
    <n v="4.6399999999999997"/>
    <n v="44.14"/>
    <n v="2.54"/>
    <n v="1219.58"/>
  </r>
  <r>
    <x v="446"/>
    <s v="YouTube Ads"/>
    <s v="Lead Generation"/>
    <s v="Add-on Service"/>
    <n v="13262"/>
    <n v="251"/>
    <n v="18"/>
    <n v="964.55"/>
    <n v="2184.19"/>
    <n v="1.89"/>
    <n v="7.17"/>
    <n v="53.59"/>
    <n v="2.2599999999999998"/>
    <n v="1219.6400000000001"/>
  </r>
  <r>
    <x v="446"/>
    <s v="Twitter Ads"/>
    <s v="Brand Awareness"/>
    <s v="Basic Plan"/>
    <n v="6512"/>
    <n v="154"/>
    <n v="6"/>
    <n v="352.51"/>
    <n v="509.24"/>
    <n v="2.36"/>
    <n v="3.9"/>
    <n v="58.75"/>
    <n v="1.44"/>
    <n v="156.72999999999999"/>
  </r>
  <r>
    <x v="446"/>
    <s v="TikTok Ads"/>
    <s v="Flash Sale"/>
    <s v="Basic Plan"/>
    <n v="17869"/>
    <n v="792"/>
    <n v="30"/>
    <n v="609.28"/>
    <n v="2354.5700000000002"/>
    <n v="4.43"/>
    <n v="3.79"/>
    <n v="20.309999999999999"/>
    <n v="3.86"/>
    <n v="1745.29"/>
  </r>
  <r>
    <x v="446"/>
    <s v="Affiliate Marketing"/>
    <s v="Seasonal Promotion"/>
    <s v="Starter Kit"/>
    <n v="6064"/>
    <n v="307"/>
    <n v="25"/>
    <n v="453.92"/>
    <n v="3250.2"/>
    <n v="5.0599999999999996"/>
    <n v="8.14"/>
    <n v="18.16"/>
    <n v="7.16"/>
    <n v="2796.28"/>
  </r>
  <r>
    <x v="446"/>
    <s v="Referral"/>
    <s v="Seasonal Promotion"/>
    <s v="Enterprise Plan"/>
    <n v="2382"/>
    <n v="131"/>
    <n v="19"/>
    <n v="92.31"/>
    <n v="2653.4"/>
    <n v="5.5"/>
    <n v="14.5"/>
    <n v="4.8600000000000003"/>
    <n v="28.74"/>
    <n v="2561.09"/>
  </r>
  <r>
    <x v="447"/>
    <s v="Google Ads"/>
    <s v="Lead Generation"/>
    <s v="Starter Kit"/>
    <n v="7979"/>
    <n v="251"/>
    <n v="22"/>
    <n v="974.06"/>
    <n v="3054.04"/>
    <n v="3.15"/>
    <n v="8.76"/>
    <n v="44.28"/>
    <n v="3.14"/>
    <n v="2079.98"/>
  </r>
  <r>
    <x v="447"/>
    <s v="Facebook Ads"/>
    <s v="Flash Sale"/>
    <s v="Premium Plan"/>
    <n v="12161"/>
    <n v="322"/>
    <n v="27"/>
    <n v="557.02"/>
    <n v="2556.0100000000002"/>
    <n v="2.65"/>
    <n v="8.39"/>
    <n v="20.63"/>
    <n v="4.59"/>
    <n v="1998.99"/>
  </r>
  <r>
    <x v="447"/>
    <s v="Instagram Ads"/>
    <s v="Brand Awareness"/>
    <s v="Starter Kit"/>
    <n v="7847"/>
    <n v="233"/>
    <n v="11"/>
    <n v="499.81"/>
    <n v="948.48"/>
    <n v="2.97"/>
    <n v="4.72"/>
    <n v="45.44"/>
    <n v="1.9"/>
    <n v="448.67"/>
  </r>
  <r>
    <x v="447"/>
    <s v="LinkedIn Ads"/>
    <s v="Brand Awareness"/>
    <s v="Basic Plan"/>
    <n v="3819"/>
    <n v="78"/>
    <n v="9"/>
    <n v="1225.0899999999999"/>
    <n v="2265.6"/>
    <n v="2.04"/>
    <n v="11.54"/>
    <n v="136.12"/>
    <n v="1.85"/>
    <n v="1040.51"/>
  </r>
  <r>
    <x v="447"/>
    <s v="Email Marketing"/>
    <s v="Brand Awareness"/>
    <s v="Basic Plan"/>
    <n v="17378"/>
    <n v="3373"/>
    <n v="423"/>
    <n v="177.69"/>
    <n v="61717.58"/>
    <n v="19.41"/>
    <n v="12.54"/>
    <n v="0.42"/>
    <n v="347.33"/>
    <n v="61539.89"/>
  </r>
  <r>
    <x v="447"/>
    <s v="Organic Search"/>
    <s v="Lead Generation"/>
    <s v="Basic Plan"/>
    <n v="18695"/>
    <n v="902"/>
    <n v="94"/>
    <n v="0"/>
    <n v="12151.02"/>
    <n v="4.82"/>
    <n v="10.42"/>
    <n v="0"/>
    <n v="0"/>
    <n v="12151.02"/>
  </r>
  <r>
    <x v="447"/>
    <s v="Display Ads"/>
    <s v="Brand Awareness"/>
    <s v="Basic Plan"/>
    <n v="20358"/>
    <n v="370"/>
    <n v="8"/>
    <n v="659.37"/>
    <n v="774.8"/>
    <n v="1.82"/>
    <n v="2.16"/>
    <n v="82.42"/>
    <n v="1.18"/>
    <n v="115.43"/>
  </r>
  <r>
    <x v="447"/>
    <s v="YouTube Ads"/>
    <s v="Seasonal Promotion"/>
    <s v="Add-on Service"/>
    <n v="14909"/>
    <n v="374"/>
    <n v="20"/>
    <n v="708.98"/>
    <n v="2237.3200000000002"/>
    <n v="2.5099999999999998"/>
    <n v="5.35"/>
    <n v="35.450000000000003"/>
    <n v="3.16"/>
    <n v="1528.34"/>
  </r>
  <r>
    <x v="447"/>
    <s v="Twitter Ads"/>
    <s v="Lead Generation"/>
    <s v="Basic Plan"/>
    <n v="9284"/>
    <n v="306"/>
    <n v="11"/>
    <n v="358.84"/>
    <n v="977.95"/>
    <n v="3.3"/>
    <n v="3.59"/>
    <n v="32.619999999999997"/>
    <n v="2.73"/>
    <n v="619.11"/>
  </r>
  <r>
    <x v="447"/>
    <s v="TikTok Ads"/>
    <s v="Seasonal Promotion"/>
    <s v="Premium Plan"/>
    <n v="16150"/>
    <n v="643"/>
    <n v="32"/>
    <n v="654.27"/>
    <n v="3371.64"/>
    <n v="3.98"/>
    <n v="4.9800000000000004"/>
    <n v="20.45"/>
    <n v="5.15"/>
    <n v="2717.37"/>
  </r>
  <r>
    <x v="447"/>
    <s v="Affiliate Marketing"/>
    <s v="Retargeting"/>
    <s v="Starter Kit"/>
    <n v="6449"/>
    <n v="285"/>
    <n v="26"/>
    <n v="290.86"/>
    <n v="2640.85"/>
    <n v="4.42"/>
    <n v="9.1199999999999992"/>
    <n v="11.19"/>
    <n v="9.08"/>
    <n v="2349.9899999999998"/>
  </r>
  <r>
    <x v="447"/>
    <s v="Referral"/>
    <s v="Product Launch"/>
    <s v="Basic Plan"/>
    <n v="3470"/>
    <n v="208"/>
    <n v="30"/>
    <n v="68.58"/>
    <n v="4901.04"/>
    <n v="5.99"/>
    <n v="14.42"/>
    <n v="2.29"/>
    <n v="71.459999999999994"/>
    <n v="4832.46"/>
  </r>
  <r>
    <x v="448"/>
    <s v="Google Ads"/>
    <s v="Flash Sale"/>
    <s v="Basic Plan"/>
    <n v="9414"/>
    <n v="308"/>
    <n v="30"/>
    <n v="1102.46"/>
    <n v="4375.1099999999997"/>
    <n v="3.27"/>
    <n v="9.74"/>
    <n v="36.75"/>
    <n v="3.97"/>
    <n v="3272.65"/>
  </r>
  <r>
    <x v="448"/>
    <s v="Facebook Ads"/>
    <s v="Lead Generation"/>
    <s v="Starter Kit"/>
    <n v="16723"/>
    <n v="336"/>
    <n v="21"/>
    <n v="1134.0999999999999"/>
    <n v="2228.04"/>
    <n v="2.0099999999999998"/>
    <n v="6.25"/>
    <n v="54"/>
    <n v="1.96"/>
    <n v="1093.94"/>
  </r>
  <r>
    <x v="448"/>
    <s v="Instagram Ads"/>
    <s v="Lead Generation"/>
    <s v="Add-on Service"/>
    <n v="17546"/>
    <n v="675"/>
    <n v="43"/>
    <n v="803.8"/>
    <n v="4571.4799999999996"/>
    <n v="3.85"/>
    <n v="6.37"/>
    <n v="18.690000000000001"/>
    <n v="5.69"/>
    <n v="3767.68"/>
  </r>
  <r>
    <x v="448"/>
    <s v="LinkedIn Ads"/>
    <s v="Lead Generation"/>
    <s v="Enterprise Plan"/>
    <n v="5309"/>
    <n v="139"/>
    <n v="14"/>
    <n v="1345.13"/>
    <n v="4197.2"/>
    <n v="2.62"/>
    <n v="10.07"/>
    <n v="96.08"/>
    <n v="3.12"/>
    <n v="2852.07"/>
  </r>
  <r>
    <x v="448"/>
    <s v="Email Marketing"/>
    <s v="Product Launch"/>
    <s v="Add-on Service"/>
    <n v="22132"/>
    <n v="3392"/>
    <n v="339"/>
    <n v="125.18"/>
    <n v="43996.3"/>
    <n v="15.33"/>
    <n v="9.99"/>
    <n v="0.37"/>
    <n v="351.46"/>
    <n v="43871.12"/>
  </r>
  <r>
    <x v="448"/>
    <s v="Organic Search"/>
    <s v="Retargeting"/>
    <s v="Basic Plan"/>
    <n v="26843"/>
    <n v="2067"/>
    <n v="284"/>
    <n v="0"/>
    <n v="36136.050000000003"/>
    <n v="7.7"/>
    <n v="13.74"/>
    <n v="0"/>
    <n v="0"/>
    <n v="36136.050000000003"/>
  </r>
  <r>
    <x v="448"/>
    <s v="Display Ads"/>
    <s v="Product Launch"/>
    <s v="Starter Kit"/>
    <n v="30066"/>
    <n v="555"/>
    <n v="17"/>
    <n v="1118.94"/>
    <n v="1538.1"/>
    <n v="1.85"/>
    <n v="3.06"/>
    <n v="65.819999999999993"/>
    <n v="1.37"/>
    <n v="419.16"/>
  </r>
  <r>
    <x v="448"/>
    <s v="YouTube Ads"/>
    <s v="Brand Awareness"/>
    <s v="Enterprise Plan"/>
    <n v="20577"/>
    <n v="369"/>
    <n v="26"/>
    <n v="912.77"/>
    <n v="2830.37"/>
    <n v="1.79"/>
    <n v="7.05"/>
    <n v="35.11"/>
    <n v="3.1"/>
    <n v="1917.6"/>
  </r>
  <r>
    <x v="448"/>
    <s v="Twitter Ads"/>
    <s v="Retargeting"/>
    <s v="Starter Kit"/>
    <n v="11728"/>
    <n v="270"/>
    <n v="9"/>
    <n v="695.22"/>
    <n v="925.45"/>
    <n v="2.2999999999999998"/>
    <n v="3.33"/>
    <n v="77.25"/>
    <n v="1.33"/>
    <n v="230.23"/>
  </r>
  <r>
    <x v="448"/>
    <s v="TikTok Ads"/>
    <s v="Lead Generation"/>
    <s v="Starter Kit"/>
    <n v="21906"/>
    <n v="862"/>
    <n v="57"/>
    <n v="787.84"/>
    <n v="5997.7"/>
    <n v="3.93"/>
    <n v="6.61"/>
    <n v="13.82"/>
    <n v="7.61"/>
    <n v="5209.8599999999997"/>
  </r>
  <r>
    <x v="448"/>
    <s v="Affiliate Marketing"/>
    <s v="Retargeting"/>
    <s v="Starter Kit"/>
    <n v="5042"/>
    <n v="297"/>
    <n v="36"/>
    <n v="365.69"/>
    <n v="4584.6899999999996"/>
    <n v="5.89"/>
    <n v="12.12"/>
    <n v="10.16"/>
    <n v="12.54"/>
    <n v="4219"/>
  </r>
  <r>
    <x v="448"/>
    <s v="Referral"/>
    <s v="Seasonal Promotion"/>
    <s v="Add-on Service"/>
    <n v="3185"/>
    <n v="271"/>
    <n v="42"/>
    <n v="181.05"/>
    <n v="7286.99"/>
    <n v="8.51"/>
    <n v="15.5"/>
    <n v="4.3099999999999996"/>
    <n v="40.25"/>
    <n v="7105.94"/>
  </r>
  <r>
    <x v="449"/>
    <s v="Google Ads"/>
    <s v="Flash Sale"/>
    <s v="Starter Kit"/>
    <n v="11954"/>
    <n v="400"/>
    <n v="36"/>
    <n v="1012.46"/>
    <n v="4414.79"/>
    <n v="3.35"/>
    <n v="9"/>
    <n v="28.12"/>
    <n v="4.3600000000000003"/>
    <n v="3402.33"/>
  </r>
  <r>
    <x v="449"/>
    <s v="Facebook Ads"/>
    <s v="Lead Generation"/>
    <s v="Starter Kit"/>
    <n v="15194"/>
    <n v="503"/>
    <n v="33"/>
    <n v="1064.8399999999999"/>
    <n v="3956.33"/>
    <n v="3.31"/>
    <n v="6.56"/>
    <n v="32.270000000000003"/>
    <n v="3.72"/>
    <n v="2891.49"/>
  </r>
  <r>
    <x v="449"/>
    <s v="Instagram Ads"/>
    <s v="Brand Awareness"/>
    <s v="Starter Kit"/>
    <n v="12013"/>
    <n v="303"/>
    <n v="17"/>
    <n v="580.72"/>
    <n v="1499.15"/>
    <n v="2.52"/>
    <n v="5.61"/>
    <n v="34.159999999999997"/>
    <n v="2.58"/>
    <n v="918.43"/>
  </r>
  <r>
    <x v="449"/>
    <s v="LinkedIn Ads"/>
    <s v="Retargeting"/>
    <s v="Premium Plan"/>
    <n v="3699"/>
    <n v="100"/>
    <n v="12"/>
    <n v="1174.3"/>
    <n v="3550.08"/>
    <n v="2.7"/>
    <n v="12"/>
    <n v="97.86"/>
    <n v="3.02"/>
    <n v="2375.7800000000002"/>
  </r>
  <r>
    <x v="449"/>
    <s v="Email Marketing"/>
    <s v="Product Launch"/>
    <s v="Add-on Service"/>
    <n v="24428"/>
    <n v="3810"/>
    <n v="438"/>
    <n v="277.92"/>
    <n v="53796.94"/>
    <n v="15.6"/>
    <n v="11.5"/>
    <n v="0.63"/>
    <n v="193.57"/>
    <n v="53519.02"/>
  </r>
  <r>
    <x v="449"/>
    <s v="Organic Search"/>
    <s v="Seasonal Promotion"/>
    <s v="Basic Plan"/>
    <n v="30548"/>
    <n v="2046"/>
    <n v="287"/>
    <n v="0"/>
    <n v="42641.95"/>
    <n v="6.7"/>
    <n v="14.03"/>
    <n v="0"/>
    <n v="0"/>
    <n v="42641.95"/>
  </r>
  <r>
    <x v="449"/>
    <s v="Display Ads"/>
    <s v="Seasonal Promotion"/>
    <s v="Basic Plan"/>
    <n v="39053"/>
    <n v="668"/>
    <n v="19"/>
    <n v="799.26"/>
    <n v="1874.34"/>
    <n v="1.71"/>
    <n v="2.84"/>
    <n v="42.07"/>
    <n v="2.35"/>
    <n v="1075.08"/>
  </r>
  <r>
    <x v="449"/>
    <s v="YouTube Ads"/>
    <s v="Product Launch"/>
    <s v="Starter Kit"/>
    <n v="17504"/>
    <n v="333"/>
    <n v="14"/>
    <n v="930.41"/>
    <n v="1780.25"/>
    <n v="1.9"/>
    <n v="4.2"/>
    <n v="66.459999999999994"/>
    <n v="1.91"/>
    <n v="849.84"/>
  </r>
  <r>
    <x v="449"/>
    <s v="Twitter Ads"/>
    <s v="Retargeting"/>
    <s v="Enterprise Plan"/>
    <n v="11133"/>
    <n v="330"/>
    <n v="17"/>
    <n v="737.69"/>
    <n v="2059.0500000000002"/>
    <n v="2.96"/>
    <n v="5.15"/>
    <n v="43.39"/>
    <n v="2.79"/>
    <n v="1321.36"/>
  </r>
  <r>
    <x v="449"/>
    <s v="TikTok Ads"/>
    <s v="Retargeting"/>
    <s v="Enterprise Plan"/>
    <n v="27228"/>
    <n v="1191"/>
    <n v="49"/>
    <n v="702.13"/>
    <n v="4103.18"/>
    <n v="4.37"/>
    <n v="4.1100000000000003"/>
    <n v="14.33"/>
    <n v="5.84"/>
    <n v="3401.05"/>
  </r>
  <r>
    <x v="449"/>
    <s v="Affiliate Marketing"/>
    <s v="Retargeting"/>
    <s v="Add-on Service"/>
    <n v="7168"/>
    <n v="358"/>
    <n v="38"/>
    <n v="472.95"/>
    <n v="4701.5200000000004"/>
    <n v="4.99"/>
    <n v="10.61"/>
    <n v="12.45"/>
    <n v="9.94"/>
    <n v="4228.57"/>
  </r>
  <r>
    <x v="449"/>
    <s v="Referral"/>
    <s v="Seasonal Promotion"/>
    <s v="Starter Kit"/>
    <n v="3567"/>
    <n v="306"/>
    <n v="54"/>
    <n v="189.08"/>
    <n v="7571.06"/>
    <n v="8.58"/>
    <n v="17.649999999999999"/>
    <n v="3.5"/>
    <n v="40.04"/>
    <n v="7381.98"/>
  </r>
  <r>
    <x v="450"/>
    <s v="Google Ads"/>
    <s v="Brand Awareness"/>
    <s v="Enterprise Plan"/>
    <n v="10529"/>
    <n v="510"/>
    <n v="58"/>
    <n v="1475.82"/>
    <n v="7888.85"/>
    <n v="4.84"/>
    <n v="11.37"/>
    <n v="25.45"/>
    <n v="5.35"/>
    <n v="6413.03"/>
  </r>
  <r>
    <x v="450"/>
    <s v="Facebook Ads"/>
    <s v="Lead Generation"/>
    <s v="Starter Kit"/>
    <n v="14285"/>
    <n v="551"/>
    <n v="30"/>
    <n v="639.19000000000005"/>
    <n v="3094.36"/>
    <n v="3.86"/>
    <n v="5.44"/>
    <n v="21.31"/>
    <n v="4.84"/>
    <n v="2455.17"/>
  </r>
  <r>
    <x v="450"/>
    <s v="Instagram Ads"/>
    <s v="Lead Generation"/>
    <s v="Basic Plan"/>
    <n v="12874"/>
    <n v="554"/>
    <n v="38"/>
    <n v="505.46"/>
    <n v="3135"/>
    <n v="4.3"/>
    <n v="6.86"/>
    <n v="13.3"/>
    <n v="6.2"/>
    <n v="2629.54"/>
  </r>
  <r>
    <x v="450"/>
    <s v="LinkedIn Ads"/>
    <s v="Lead Generation"/>
    <s v="Premium Plan"/>
    <n v="5870"/>
    <n v="102"/>
    <n v="13"/>
    <n v="1449.59"/>
    <n v="3526.44"/>
    <n v="1.74"/>
    <n v="12.75"/>
    <n v="111.51"/>
    <n v="2.4300000000000002"/>
    <n v="2076.85"/>
  </r>
  <r>
    <x v="450"/>
    <s v="Email Marketing"/>
    <s v="Brand Awareness"/>
    <s v="Add-on Service"/>
    <n v="16784"/>
    <n v="2781"/>
    <n v="388"/>
    <n v="266.57"/>
    <n v="58248.5"/>
    <n v="16.57"/>
    <n v="13.95"/>
    <n v="0.69"/>
    <n v="218.51"/>
    <n v="57981.93"/>
  </r>
  <r>
    <x v="450"/>
    <s v="Organic Search"/>
    <s v="Flash Sale"/>
    <s v="Enterprise Plan"/>
    <n v="32402"/>
    <n v="1835"/>
    <n v="199"/>
    <n v="0"/>
    <n v="27589.74"/>
    <n v="5.66"/>
    <n v="10.84"/>
    <n v="0"/>
    <n v="0"/>
    <n v="27589.74"/>
  </r>
  <r>
    <x v="450"/>
    <s v="Display Ads"/>
    <s v="Retargeting"/>
    <s v="Starter Kit"/>
    <n v="39898"/>
    <n v="780"/>
    <n v="21"/>
    <n v="906.2"/>
    <n v="2168.08"/>
    <n v="1.95"/>
    <n v="2.69"/>
    <n v="43.15"/>
    <n v="2.39"/>
    <n v="1261.8800000000001"/>
  </r>
  <r>
    <x v="450"/>
    <s v="YouTube Ads"/>
    <s v="Retargeting"/>
    <s v="Starter Kit"/>
    <n v="24641"/>
    <n v="507"/>
    <n v="21"/>
    <n v="1238.9100000000001"/>
    <n v="1995.38"/>
    <n v="2.06"/>
    <n v="4.1399999999999997"/>
    <n v="59"/>
    <n v="1.61"/>
    <n v="756.47"/>
  </r>
  <r>
    <x v="450"/>
    <s v="Twitter Ads"/>
    <s v="Flash Sale"/>
    <s v="Enterprise Plan"/>
    <n v="8014"/>
    <n v="210"/>
    <n v="12"/>
    <n v="516.4"/>
    <n v="1382.91"/>
    <n v="2.62"/>
    <n v="5.71"/>
    <n v="43.03"/>
    <n v="2.68"/>
    <n v="866.51"/>
  </r>
  <r>
    <x v="450"/>
    <s v="TikTok Ads"/>
    <s v="Retargeting"/>
    <s v="Starter Kit"/>
    <n v="28527"/>
    <n v="905"/>
    <n v="51"/>
    <n v="1039.67"/>
    <n v="5199.71"/>
    <n v="3.17"/>
    <n v="5.64"/>
    <n v="20.39"/>
    <n v="5"/>
    <n v="4160.04"/>
  </r>
  <r>
    <x v="450"/>
    <s v="Affiliate Marketing"/>
    <s v="Product Launch"/>
    <s v="Add-on Service"/>
    <n v="7764"/>
    <n v="420"/>
    <n v="51"/>
    <n v="316.64999999999998"/>
    <n v="6746.87"/>
    <n v="5.41"/>
    <n v="12.14"/>
    <n v="6.21"/>
    <n v="21.31"/>
    <n v="6430.22"/>
  </r>
  <r>
    <x v="450"/>
    <s v="Referral"/>
    <s v="Brand Awareness"/>
    <s v="Starter Kit"/>
    <n v="5664"/>
    <n v="531"/>
    <n v="90"/>
    <n v="75.959999999999994"/>
    <n v="13420.93"/>
    <n v="9.3800000000000008"/>
    <n v="16.95"/>
    <n v="0.84"/>
    <n v="176.68"/>
    <n v="13344.97"/>
  </r>
  <r>
    <x v="451"/>
    <s v="Google Ads"/>
    <s v="Brand Awareness"/>
    <s v="Premium Plan"/>
    <n v="9474"/>
    <n v="349"/>
    <n v="35"/>
    <n v="906.37"/>
    <n v="5726.57"/>
    <n v="3.68"/>
    <n v="10.029999999999999"/>
    <n v="25.9"/>
    <n v="6.32"/>
    <n v="4820.2"/>
  </r>
  <r>
    <x v="451"/>
    <s v="Facebook Ads"/>
    <s v="Retargeting"/>
    <s v="Add-on Service"/>
    <n v="17914"/>
    <n v="532"/>
    <n v="32"/>
    <n v="657.97"/>
    <n v="3689.03"/>
    <n v="2.97"/>
    <n v="6.02"/>
    <n v="20.56"/>
    <n v="5.61"/>
    <n v="3031.06"/>
  </r>
  <r>
    <x v="451"/>
    <s v="Instagram Ads"/>
    <s v="Lead Generation"/>
    <s v="Basic Plan"/>
    <n v="10404"/>
    <n v="279"/>
    <n v="22"/>
    <n v="515.09"/>
    <n v="2441.6799999999998"/>
    <n v="2.68"/>
    <n v="7.89"/>
    <n v="23.41"/>
    <n v="4.74"/>
    <n v="1926.59"/>
  </r>
  <r>
    <x v="451"/>
    <s v="LinkedIn Ads"/>
    <s v="Retargeting"/>
    <s v="Enterprise Plan"/>
    <n v="5639"/>
    <n v="105"/>
    <n v="12"/>
    <n v="1122.5999999999999"/>
    <n v="4146.5"/>
    <n v="1.86"/>
    <n v="11.43"/>
    <n v="93.55"/>
    <n v="3.69"/>
    <n v="3023.9"/>
  </r>
  <r>
    <x v="451"/>
    <s v="Email Marketing"/>
    <s v="Flash Sale"/>
    <s v="Enterprise Plan"/>
    <n v="20391"/>
    <n v="3912"/>
    <n v="364"/>
    <n v="257.29000000000002"/>
    <n v="50661.79"/>
    <n v="19.18"/>
    <n v="9.3000000000000007"/>
    <n v="0.71"/>
    <n v="196.91"/>
    <n v="50404.5"/>
  </r>
  <r>
    <x v="451"/>
    <s v="Organic Search"/>
    <s v="Seasonal Promotion"/>
    <s v="Starter Kit"/>
    <n v="30701"/>
    <n v="2347"/>
    <n v="345"/>
    <n v="0"/>
    <n v="48690.720000000001"/>
    <n v="7.64"/>
    <n v="14.7"/>
    <n v="0"/>
    <n v="0"/>
    <n v="48690.720000000001"/>
  </r>
  <r>
    <x v="451"/>
    <s v="Display Ads"/>
    <s v="Flash Sale"/>
    <s v="Enterprise Plan"/>
    <n v="36519"/>
    <n v="572"/>
    <n v="22"/>
    <n v="711.44"/>
    <n v="2761.96"/>
    <n v="1.57"/>
    <n v="3.85"/>
    <n v="32.340000000000003"/>
    <n v="3.88"/>
    <n v="2050.52"/>
  </r>
  <r>
    <x v="451"/>
    <s v="YouTube Ads"/>
    <s v="Flash Sale"/>
    <s v="Premium Plan"/>
    <n v="16473"/>
    <n v="434"/>
    <n v="28"/>
    <n v="1082.92"/>
    <n v="4161.57"/>
    <n v="2.63"/>
    <n v="6.45"/>
    <n v="38.68"/>
    <n v="3.84"/>
    <n v="3078.65"/>
  </r>
  <r>
    <x v="451"/>
    <s v="Twitter Ads"/>
    <s v="Flash Sale"/>
    <s v="Starter Kit"/>
    <n v="8850"/>
    <n v="204"/>
    <n v="9"/>
    <n v="504.57"/>
    <n v="808.33"/>
    <n v="2.31"/>
    <n v="4.41"/>
    <n v="56.06"/>
    <n v="1.6"/>
    <n v="303.76"/>
  </r>
  <r>
    <x v="451"/>
    <s v="TikTok Ads"/>
    <s v="Retargeting"/>
    <s v="Basic Plan"/>
    <n v="28473"/>
    <n v="1205"/>
    <n v="78"/>
    <n v="1095.0999999999999"/>
    <n v="5524.86"/>
    <n v="4.2300000000000004"/>
    <n v="6.47"/>
    <n v="14.04"/>
    <n v="5.05"/>
    <n v="4429.76"/>
  </r>
  <r>
    <x v="451"/>
    <s v="Affiliate Marketing"/>
    <s v="Lead Generation"/>
    <s v="Starter Kit"/>
    <n v="9132"/>
    <n v="489"/>
    <n v="44"/>
    <n v="508.2"/>
    <n v="6683.24"/>
    <n v="5.35"/>
    <n v="9"/>
    <n v="11.55"/>
    <n v="13.15"/>
    <n v="6175.04"/>
  </r>
  <r>
    <x v="451"/>
    <s v="Referral"/>
    <s v="Brand Awareness"/>
    <s v="Enterprise Plan"/>
    <n v="6199"/>
    <n v="453"/>
    <n v="72"/>
    <n v="51.8"/>
    <n v="13960.42"/>
    <n v="7.31"/>
    <n v="15.89"/>
    <n v="0.72"/>
    <n v="269.51"/>
    <n v="13908.62"/>
  </r>
  <r>
    <x v="452"/>
    <s v="Google Ads"/>
    <s v="Flash Sale"/>
    <s v="Premium Plan"/>
    <n v="12811"/>
    <n v="571"/>
    <n v="62"/>
    <n v="998.82"/>
    <n v="10081.950000000001"/>
    <n v="4.46"/>
    <n v="10.86"/>
    <n v="16.11"/>
    <n v="10.09"/>
    <n v="9083.1299999999992"/>
  </r>
  <r>
    <x v="452"/>
    <s v="Facebook Ads"/>
    <s v="Flash Sale"/>
    <s v="Basic Plan"/>
    <n v="17396"/>
    <n v="622"/>
    <n v="53"/>
    <n v="903.97"/>
    <n v="6187.44"/>
    <n v="3.58"/>
    <n v="8.52"/>
    <n v="17.059999999999999"/>
    <n v="6.84"/>
    <n v="5283.47"/>
  </r>
  <r>
    <x v="452"/>
    <s v="Instagram Ads"/>
    <s v="Product Launch"/>
    <s v="Add-on Service"/>
    <n v="16064"/>
    <n v="549"/>
    <n v="41"/>
    <n v="612.82000000000005"/>
    <n v="4074.39"/>
    <n v="3.42"/>
    <n v="7.47"/>
    <n v="14.95"/>
    <n v="6.65"/>
    <n v="3461.57"/>
  </r>
  <r>
    <x v="452"/>
    <s v="LinkedIn Ads"/>
    <s v="Retargeting"/>
    <s v="Basic Plan"/>
    <n v="3935"/>
    <n v="82"/>
    <n v="11"/>
    <n v="1171.18"/>
    <n v="3260.43"/>
    <n v="2.08"/>
    <n v="13.41"/>
    <n v="106.47"/>
    <n v="2.78"/>
    <n v="2089.25"/>
  </r>
  <r>
    <x v="452"/>
    <s v="Email Marketing"/>
    <s v="Product Launch"/>
    <s v="Basic Plan"/>
    <n v="19874"/>
    <n v="3785"/>
    <n v="378"/>
    <n v="250.27"/>
    <n v="45227.37"/>
    <n v="19.04"/>
    <n v="9.99"/>
    <n v="0.66"/>
    <n v="180.71"/>
    <n v="44977.1"/>
  </r>
  <r>
    <x v="452"/>
    <s v="Organic Search"/>
    <s v="Seasonal Promotion"/>
    <s v="Add-on Service"/>
    <n v="23728"/>
    <n v="1214"/>
    <n v="136"/>
    <n v="0"/>
    <n v="17232.41"/>
    <n v="5.12"/>
    <n v="11.2"/>
    <n v="0"/>
    <n v="0"/>
    <n v="17232.41"/>
  </r>
  <r>
    <x v="452"/>
    <s v="Display Ads"/>
    <s v="Flash Sale"/>
    <s v="Basic Plan"/>
    <n v="33254"/>
    <n v="382"/>
    <n v="15"/>
    <n v="987.62"/>
    <n v="1884.61"/>
    <n v="1.1499999999999999"/>
    <n v="3.93"/>
    <n v="65.84"/>
    <n v="1.91"/>
    <n v="896.99"/>
  </r>
  <r>
    <x v="452"/>
    <s v="YouTube Ads"/>
    <s v="Brand Awareness"/>
    <s v="Premium Plan"/>
    <n v="24989"/>
    <n v="554"/>
    <n v="40"/>
    <n v="899.9"/>
    <n v="4837.1899999999996"/>
    <n v="2.2200000000000002"/>
    <n v="7.22"/>
    <n v="22.5"/>
    <n v="5.38"/>
    <n v="3937.29"/>
  </r>
  <r>
    <x v="452"/>
    <s v="Twitter Ads"/>
    <s v="Brand Awareness"/>
    <s v="Starter Kit"/>
    <n v="10891"/>
    <n v="224"/>
    <n v="8"/>
    <n v="675.47"/>
    <n v="894.67"/>
    <n v="2.06"/>
    <n v="3.57"/>
    <n v="84.43"/>
    <n v="1.32"/>
    <n v="219.2"/>
  </r>
  <r>
    <x v="452"/>
    <s v="TikTok Ads"/>
    <s v="Retargeting"/>
    <s v="Add-on Service"/>
    <n v="26534"/>
    <n v="1076"/>
    <n v="59"/>
    <n v="936.45"/>
    <n v="4977.3900000000003"/>
    <n v="4.0599999999999996"/>
    <n v="5.48"/>
    <n v="15.87"/>
    <n v="5.32"/>
    <n v="4040.94"/>
  </r>
  <r>
    <x v="452"/>
    <s v="Affiliate Marketing"/>
    <s v="Brand Awareness"/>
    <s v="Add-on Service"/>
    <n v="9111"/>
    <n v="427"/>
    <n v="42"/>
    <n v="623.29"/>
    <n v="4603.1000000000004"/>
    <n v="4.6900000000000004"/>
    <n v="9.84"/>
    <n v="14.84"/>
    <n v="7.39"/>
    <n v="3979.81"/>
  </r>
  <r>
    <x v="452"/>
    <s v="Referral"/>
    <s v="Lead Generation"/>
    <s v="Starter Kit"/>
    <n v="5616"/>
    <n v="412"/>
    <n v="71"/>
    <n v="150.84"/>
    <n v="11062.07"/>
    <n v="7.34"/>
    <n v="17.23"/>
    <n v="2.12"/>
    <n v="73.34"/>
    <n v="10911.23"/>
  </r>
  <r>
    <x v="453"/>
    <s v="Google Ads"/>
    <s v="Lead Generation"/>
    <s v="Starter Kit"/>
    <n v="6811"/>
    <n v="259"/>
    <n v="21"/>
    <n v="957.27"/>
    <n v="3407.32"/>
    <n v="3.8"/>
    <n v="8.11"/>
    <n v="45.58"/>
    <n v="3.56"/>
    <n v="2450.0500000000002"/>
  </r>
  <r>
    <x v="453"/>
    <s v="Facebook Ads"/>
    <s v="Product Launch"/>
    <s v="Enterprise Plan"/>
    <n v="10343"/>
    <n v="330"/>
    <n v="20"/>
    <n v="452.52"/>
    <n v="2201.4"/>
    <n v="3.19"/>
    <n v="6.06"/>
    <n v="22.63"/>
    <n v="4.8600000000000003"/>
    <n v="1748.88"/>
  </r>
  <r>
    <x v="453"/>
    <s v="Instagram Ads"/>
    <s v="Seasonal Promotion"/>
    <s v="Add-on Service"/>
    <n v="7909"/>
    <n v="345"/>
    <n v="26"/>
    <n v="650.82000000000005"/>
    <n v="2435.6799999999998"/>
    <n v="4.3600000000000003"/>
    <n v="7.54"/>
    <n v="25.03"/>
    <n v="3.74"/>
    <n v="1784.86"/>
  </r>
  <r>
    <x v="453"/>
    <s v="LinkedIn Ads"/>
    <s v="Flash Sale"/>
    <s v="Starter Kit"/>
    <n v="2597"/>
    <n v="53"/>
    <n v="6"/>
    <n v="1044.31"/>
    <n v="1609.35"/>
    <n v="2.04"/>
    <n v="11.32"/>
    <n v="174.05"/>
    <n v="1.54"/>
    <n v="565.04"/>
  </r>
  <r>
    <x v="453"/>
    <s v="Email Marketing"/>
    <s v="Seasonal Promotion"/>
    <s v="Enterprise Plan"/>
    <n v="12509"/>
    <n v="2787"/>
    <n v="256"/>
    <n v="159.31"/>
    <n v="35245.379999999997"/>
    <n v="22.28"/>
    <n v="9.19"/>
    <n v="0.62"/>
    <n v="221.24"/>
    <n v="35086.07"/>
  </r>
  <r>
    <x v="453"/>
    <s v="Organic Search"/>
    <s v="Flash Sale"/>
    <s v="Starter Kit"/>
    <n v="17487"/>
    <n v="816"/>
    <n v="105"/>
    <n v="0"/>
    <n v="13948.77"/>
    <n v="4.67"/>
    <n v="12.87"/>
    <n v="0"/>
    <n v="0"/>
    <n v="13948.77"/>
  </r>
  <r>
    <x v="453"/>
    <s v="Display Ads"/>
    <s v="Flash Sale"/>
    <s v="Premium Plan"/>
    <n v="21901"/>
    <n v="403"/>
    <n v="18"/>
    <n v="698.34"/>
    <n v="1593.03"/>
    <n v="1.84"/>
    <n v="4.47"/>
    <n v="38.799999999999997"/>
    <n v="2.2799999999999998"/>
    <n v="894.69"/>
  </r>
  <r>
    <x v="453"/>
    <s v="YouTube Ads"/>
    <s v="Brand Awareness"/>
    <s v="Add-on Service"/>
    <n v="17025"/>
    <n v="477"/>
    <n v="29"/>
    <n v="608.92999999999995"/>
    <n v="4093.79"/>
    <n v="2.8"/>
    <n v="6.08"/>
    <n v="21"/>
    <n v="6.72"/>
    <n v="3484.86"/>
  </r>
  <r>
    <x v="453"/>
    <s v="Twitter Ads"/>
    <s v="Product Launch"/>
    <s v="Basic Plan"/>
    <n v="6286"/>
    <n v="147"/>
    <n v="8"/>
    <n v="396.23"/>
    <n v="856.52"/>
    <n v="2.34"/>
    <n v="5.44"/>
    <n v="49.53"/>
    <n v="2.16"/>
    <n v="460.29"/>
  </r>
  <r>
    <x v="453"/>
    <s v="TikTok Ads"/>
    <s v="Product Launch"/>
    <s v="Basic Plan"/>
    <n v="15708"/>
    <n v="626"/>
    <n v="41"/>
    <n v="731.55"/>
    <n v="2715.41"/>
    <n v="3.99"/>
    <n v="6.55"/>
    <n v="17.84"/>
    <n v="3.71"/>
    <n v="1983.86"/>
  </r>
  <r>
    <x v="453"/>
    <s v="Affiliate Marketing"/>
    <s v="Flash Sale"/>
    <s v="Starter Kit"/>
    <n v="3950"/>
    <n v="198"/>
    <n v="16"/>
    <n v="377.85"/>
    <n v="2067.5700000000002"/>
    <n v="5.01"/>
    <n v="8.08"/>
    <n v="23.62"/>
    <n v="5.47"/>
    <n v="1689.72"/>
  </r>
  <r>
    <x v="453"/>
    <s v="Referral"/>
    <s v="Flash Sale"/>
    <s v="Enterprise Plan"/>
    <n v="2582"/>
    <n v="228"/>
    <n v="32"/>
    <n v="85.6"/>
    <n v="5044.04"/>
    <n v="8.83"/>
    <n v="14.04"/>
    <n v="2.68"/>
    <n v="58.93"/>
    <n v="4958.4399999999996"/>
  </r>
  <r>
    <x v="454"/>
    <s v="Google Ads"/>
    <s v="Brand Awareness"/>
    <s v="Basic Plan"/>
    <n v="5745"/>
    <n v="251"/>
    <n v="29"/>
    <n v="846.97"/>
    <n v="4806.76"/>
    <n v="4.37"/>
    <n v="11.55"/>
    <n v="29.21"/>
    <n v="5.68"/>
    <n v="3959.79"/>
  </r>
  <r>
    <x v="454"/>
    <s v="Facebook Ads"/>
    <s v="Retargeting"/>
    <s v="Premium Plan"/>
    <n v="12098"/>
    <n v="428"/>
    <n v="30"/>
    <n v="767.05"/>
    <n v="4090.81"/>
    <n v="3.54"/>
    <n v="7.01"/>
    <n v="25.57"/>
    <n v="5.33"/>
    <n v="3323.76"/>
  </r>
  <r>
    <x v="454"/>
    <s v="Instagram Ads"/>
    <s v="Brand Awareness"/>
    <s v="Premium Plan"/>
    <n v="9723"/>
    <n v="249"/>
    <n v="18"/>
    <n v="374.03"/>
    <n v="1639.09"/>
    <n v="2.56"/>
    <n v="7.23"/>
    <n v="20.78"/>
    <n v="4.38"/>
    <n v="1265.06"/>
  </r>
  <r>
    <x v="454"/>
    <s v="LinkedIn Ads"/>
    <s v="Flash Sale"/>
    <s v="Starter Kit"/>
    <n v="3978"/>
    <n v="85"/>
    <n v="11"/>
    <n v="928.58"/>
    <n v="2532.4299999999998"/>
    <n v="2.14"/>
    <n v="12.94"/>
    <n v="84.42"/>
    <n v="2.73"/>
    <n v="1603.85"/>
  </r>
  <r>
    <x v="454"/>
    <s v="Email Marketing"/>
    <s v="Seasonal Promotion"/>
    <s v="Starter Kit"/>
    <n v="16104"/>
    <n v="2482"/>
    <n v="262"/>
    <n v="190.96"/>
    <n v="39327.64"/>
    <n v="15.41"/>
    <n v="10.56"/>
    <n v="0.73"/>
    <n v="205.95"/>
    <n v="39136.68"/>
  </r>
  <r>
    <x v="454"/>
    <s v="Organic Search"/>
    <s v="Flash Sale"/>
    <s v="Enterprise Plan"/>
    <n v="20060"/>
    <n v="1435"/>
    <n v="167"/>
    <n v="0"/>
    <n v="18695.189999999999"/>
    <n v="7.15"/>
    <n v="11.64"/>
    <n v="0"/>
    <n v="0"/>
    <n v="18695.189999999999"/>
  </r>
  <r>
    <x v="454"/>
    <s v="Display Ads"/>
    <s v="Flash Sale"/>
    <s v="Starter Kit"/>
    <n v="19544"/>
    <n v="240"/>
    <n v="9"/>
    <n v="683.22"/>
    <n v="831.77"/>
    <n v="1.23"/>
    <n v="3.75"/>
    <n v="75.91"/>
    <n v="1.22"/>
    <n v="148.55000000000001"/>
  </r>
  <r>
    <x v="454"/>
    <s v="YouTube Ads"/>
    <s v="Lead Generation"/>
    <s v="Basic Plan"/>
    <n v="12345"/>
    <n v="337"/>
    <n v="15"/>
    <n v="772.79"/>
    <n v="1681.47"/>
    <n v="2.73"/>
    <n v="4.45"/>
    <n v="51.52"/>
    <n v="2.1800000000000002"/>
    <n v="908.68"/>
  </r>
  <r>
    <x v="454"/>
    <s v="Twitter Ads"/>
    <s v="Product Launch"/>
    <s v="Basic Plan"/>
    <n v="8118"/>
    <n v="256"/>
    <n v="13"/>
    <n v="288.87"/>
    <n v="1079.03"/>
    <n v="3.15"/>
    <n v="5.08"/>
    <n v="22.22"/>
    <n v="3.74"/>
    <n v="790.16"/>
  </r>
  <r>
    <x v="454"/>
    <s v="TikTok Ads"/>
    <s v="Flash Sale"/>
    <s v="Basic Plan"/>
    <n v="20903"/>
    <n v="723"/>
    <n v="24"/>
    <n v="556.29"/>
    <n v="2272.6"/>
    <n v="3.46"/>
    <n v="3.32"/>
    <n v="23.18"/>
    <n v="4.09"/>
    <n v="1716.31"/>
  </r>
  <r>
    <x v="454"/>
    <s v="Affiliate Marketing"/>
    <s v="Lead Generation"/>
    <s v="Starter Kit"/>
    <n v="4966"/>
    <n v="273"/>
    <n v="31"/>
    <n v="387.35"/>
    <n v="4568.8100000000004"/>
    <n v="5.5"/>
    <n v="11.36"/>
    <n v="12.5"/>
    <n v="11.8"/>
    <n v="4181.46"/>
  </r>
  <r>
    <x v="454"/>
    <s v="Referral"/>
    <s v="Lead Generation"/>
    <s v="Add-on Service"/>
    <n v="4289"/>
    <n v="348"/>
    <n v="42"/>
    <n v="69.040000000000006"/>
    <n v="6559.99"/>
    <n v="8.11"/>
    <n v="12.07"/>
    <n v="1.64"/>
    <n v="95.02"/>
    <n v="6490.95"/>
  </r>
  <r>
    <x v="455"/>
    <s v="Google Ads"/>
    <s v="Brand Awareness"/>
    <s v="Starter Kit"/>
    <n v="9230"/>
    <n v="345"/>
    <n v="35"/>
    <n v="1454.46"/>
    <n v="6145.69"/>
    <n v="3.74"/>
    <n v="10.14"/>
    <n v="41.56"/>
    <n v="4.2300000000000004"/>
    <n v="4691.2299999999996"/>
  </r>
  <r>
    <x v="455"/>
    <s v="Facebook Ads"/>
    <s v="Seasonal Promotion"/>
    <s v="Basic Plan"/>
    <n v="12612"/>
    <n v="473"/>
    <n v="41"/>
    <n v="698.21"/>
    <n v="4112.18"/>
    <n v="3.75"/>
    <n v="8.67"/>
    <n v="17.03"/>
    <n v="5.89"/>
    <n v="3413.97"/>
  </r>
  <r>
    <x v="455"/>
    <s v="Instagram Ads"/>
    <s v="Lead Generation"/>
    <s v="Basic Plan"/>
    <n v="11265"/>
    <n v="451"/>
    <n v="32"/>
    <n v="793.69"/>
    <n v="3162.36"/>
    <n v="4"/>
    <n v="7.1"/>
    <n v="24.8"/>
    <n v="3.98"/>
    <n v="2368.67"/>
  </r>
  <r>
    <x v="455"/>
    <s v="LinkedIn Ads"/>
    <s v="Brand Awareness"/>
    <s v="Basic Plan"/>
    <n v="3380"/>
    <n v="63"/>
    <n v="8"/>
    <n v="1109.72"/>
    <n v="2329.94"/>
    <n v="1.86"/>
    <n v="12.7"/>
    <n v="138.72"/>
    <n v="2.1"/>
    <n v="1220.22"/>
  </r>
  <r>
    <x v="455"/>
    <s v="Email Marketing"/>
    <s v="Lead Generation"/>
    <s v="Enterprise Plan"/>
    <n v="19225"/>
    <n v="3284"/>
    <n v="378"/>
    <n v="297.14999999999998"/>
    <n v="45835.94"/>
    <n v="17.079999999999998"/>
    <n v="11.51"/>
    <n v="0.79"/>
    <n v="154.25"/>
    <n v="45538.79"/>
  </r>
  <r>
    <x v="455"/>
    <s v="Organic Search"/>
    <s v="Retargeting"/>
    <s v="Starter Kit"/>
    <n v="20233"/>
    <n v="1600"/>
    <n v="238"/>
    <n v="0"/>
    <n v="38787.360000000001"/>
    <n v="7.91"/>
    <n v="14.88"/>
    <n v="0"/>
    <n v="0"/>
    <n v="38787.360000000001"/>
  </r>
  <r>
    <x v="455"/>
    <s v="Display Ads"/>
    <s v="Flash Sale"/>
    <s v="Add-on Service"/>
    <n v="38126"/>
    <n v="432"/>
    <n v="12"/>
    <n v="1290.72"/>
    <n v="1089.67"/>
    <n v="1.1299999999999999"/>
    <n v="2.78"/>
    <n v="107.56"/>
    <n v="0.84"/>
    <n v="-201.05"/>
  </r>
  <r>
    <x v="455"/>
    <s v="YouTube Ads"/>
    <s v="Brand Awareness"/>
    <s v="Basic Plan"/>
    <n v="22674"/>
    <n v="487"/>
    <n v="29"/>
    <n v="1323.68"/>
    <n v="2797.78"/>
    <n v="2.15"/>
    <n v="5.95"/>
    <n v="45.64"/>
    <n v="2.11"/>
    <n v="1474.1"/>
  </r>
  <r>
    <x v="455"/>
    <s v="Twitter Ads"/>
    <s v="Brand Awareness"/>
    <s v="Enterprise Plan"/>
    <n v="10834"/>
    <n v="346"/>
    <n v="14"/>
    <n v="440.88"/>
    <n v="1427.68"/>
    <n v="3.19"/>
    <n v="4.05"/>
    <n v="31.49"/>
    <n v="3.24"/>
    <n v="986.8"/>
  </r>
  <r>
    <x v="455"/>
    <s v="TikTok Ads"/>
    <s v="Brand Awareness"/>
    <s v="Starter Kit"/>
    <n v="21788"/>
    <n v="636"/>
    <n v="32"/>
    <n v="725.02"/>
    <n v="2476.34"/>
    <n v="2.92"/>
    <n v="5.03"/>
    <n v="22.66"/>
    <n v="3.42"/>
    <n v="1751.32"/>
  </r>
  <r>
    <x v="455"/>
    <s v="Affiliate Marketing"/>
    <s v="Brand Awareness"/>
    <s v="Enterprise Plan"/>
    <n v="8060"/>
    <n v="389"/>
    <n v="31"/>
    <n v="566.28"/>
    <n v="3238.97"/>
    <n v="4.83"/>
    <n v="7.97"/>
    <n v="18.27"/>
    <n v="5.72"/>
    <n v="2672.69"/>
  </r>
  <r>
    <x v="455"/>
    <s v="Referral"/>
    <s v="Brand Awareness"/>
    <s v="Enterprise Plan"/>
    <n v="3714"/>
    <n v="254"/>
    <n v="32"/>
    <n v="108.21"/>
    <n v="4423.5200000000004"/>
    <n v="6.84"/>
    <n v="12.6"/>
    <n v="3.38"/>
    <n v="40.880000000000003"/>
    <n v="4315.3100000000004"/>
  </r>
  <r>
    <x v="456"/>
    <s v="Google Ads"/>
    <s v="Brand Awareness"/>
    <s v="Add-on Service"/>
    <n v="8692"/>
    <n v="304"/>
    <n v="24"/>
    <n v="1461.96"/>
    <n v="4415"/>
    <n v="3.5"/>
    <n v="7.89"/>
    <n v="60.92"/>
    <n v="3.02"/>
    <n v="2953.04"/>
  </r>
  <r>
    <x v="456"/>
    <s v="Facebook Ads"/>
    <s v="Lead Generation"/>
    <s v="Starter Kit"/>
    <n v="17722"/>
    <n v="627"/>
    <n v="45"/>
    <n v="882.03"/>
    <n v="4641.9399999999996"/>
    <n v="3.54"/>
    <n v="7.18"/>
    <n v="19.600000000000001"/>
    <n v="5.26"/>
    <n v="3759.91"/>
  </r>
  <r>
    <x v="456"/>
    <s v="Instagram Ads"/>
    <s v="Retargeting"/>
    <s v="Premium Plan"/>
    <n v="14423"/>
    <n v="622"/>
    <n v="39"/>
    <n v="947.52"/>
    <n v="4281.3100000000004"/>
    <n v="4.3099999999999996"/>
    <n v="6.27"/>
    <n v="24.3"/>
    <n v="4.5199999999999996"/>
    <n v="3333.79"/>
  </r>
  <r>
    <x v="456"/>
    <s v="LinkedIn Ads"/>
    <s v="Brand Awareness"/>
    <s v="Premium Plan"/>
    <n v="3872"/>
    <n v="83"/>
    <n v="9"/>
    <n v="1410.8"/>
    <n v="1911.06"/>
    <n v="2.14"/>
    <n v="10.84"/>
    <n v="156.76"/>
    <n v="1.35"/>
    <n v="500.26"/>
  </r>
  <r>
    <x v="456"/>
    <s v="Email Marketing"/>
    <s v="Product Launch"/>
    <s v="Premium Plan"/>
    <n v="15406"/>
    <n v="2917"/>
    <n v="335"/>
    <n v="298.91000000000003"/>
    <n v="49780.56"/>
    <n v="18.93"/>
    <n v="11.48"/>
    <n v="0.89"/>
    <n v="166.54"/>
    <n v="49481.65"/>
  </r>
  <r>
    <x v="456"/>
    <s v="Organic Search"/>
    <s v="Flash Sale"/>
    <s v="Add-on Service"/>
    <n v="33624"/>
    <n v="1536"/>
    <n v="199"/>
    <n v="0"/>
    <n v="27168.31"/>
    <n v="4.57"/>
    <n v="12.96"/>
    <n v="0"/>
    <n v="0"/>
    <n v="27168.31"/>
  </r>
  <r>
    <x v="456"/>
    <s v="Display Ads"/>
    <s v="Brand Awareness"/>
    <s v="Premium Plan"/>
    <n v="37480"/>
    <n v="480"/>
    <n v="23"/>
    <n v="1157.95"/>
    <n v="2965.78"/>
    <n v="1.28"/>
    <n v="4.79"/>
    <n v="50.35"/>
    <n v="2.56"/>
    <n v="1807.83"/>
  </r>
  <r>
    <x v="456"/>
    <s v="YouTube Ads"/>
    <s v="Lead Generation"/>
    <s v="Add-on Service"/>
    <n v="20875"/>
    <n v="393"/>
    <n v="16"/>
    <n v="831.96"/>
    <n v="2157"/>
    <n v="1.88"/>
    <n v="4.07"/>
    <n v="52"/>
    <n v="2.59"/>
    <n v="1325.04"/>
  </r>
  <r>
    <x v="456"/>
    <s v="Twitter Ads"/>
    <s v="Brand Awareness"/>
    <s v="Starter Kit"/>
    <n v="13980"/>
    <n v="322"/>
    <n v="11"/>
    <n v="777.62"/>
    <n v="978.3"/>
    <n v="2.2999999999999998"/>
    <n v="3.42"/>
    <n v="70.69"/>
    <n v="1.26"/>
    <n v="200.68"/>
  </r>
  <r>
    <x v="456"/>
    <s v="TikTok Ads"/>
    <s v="Seasonal Promotion"/>
    <s v="Add-on Service"/>
    <n v="23220"/>
    <n v="854"/>
    <n v="44"/>
    <n v="874.95"/>
    <n v="3215.37"/>
    <n v="3.68"/>
    <n v="5.15"/>
    <n v="19.89"/>
    <n v="3.67"/>
    <n v="2340.42"/>
  </r>
  <r>
    <x v="456"/>
    <s v="Affiliate Marketing"/>
    <s v="Product Launch"/>
    <s v="Starter Kit"/>
    <n v="8574"/>
    <n v="423"/>
    <n v="36"/>
    <n v="590.07000000000005"/>
    <n v="5435.14"/>
    <n v="4.93"/>
    <n v="8.51"/>
    <n v="16.39"/>
    <n v="9.2100000000000009"/>
    <n v="4845.07"/>
  </r>
  <r>
    <x v="456"/>
    <s v="Referral"/>
    <s v="Retargeting"/>
    <s v="Enterprise Plan"/>
    <n v="6516"/>
    <n v="603"/>
    <n v="107"/>
    <n v="67.78"/>
    <n v="17140.47"/>
    <n v="9.25"/>
    <n v="17.739999999999998"/>
    <n v="0.63"/>
    <n v="252.88"/>
    <n v="17072.689999999999"/>
  </r>
  <r>
    <x v="457"/>
    <s v="Google Ads"/>
    <s v="Seasonal Promotion"/>
    <s v="Starter Kit"/>
    <n v="12768"/>
    <n v="556"/>
    <n v="56"/>
    <n v="1320.44"/>
    <n v="9439.59"/>
    <n v="4.3499999999999996"/>
    <n v="10.07"/>
    <n v="23.58"/>
    <n v="7.15"/>
    <n v="8119.15"/>
  </r>
  <r>
    <x v="457"/>
    <s v="Facebook Ads"/>
    <s v="Product Launch"/>
    <s v="Enterprise Plan"/>
    <n v="19962"/>
    <n v="506"/>
    <n v="32"/>
    <n v="897.93"/>
    <n v="3283.34"/>
    <n v="2.5299999999999998"/>
    <n v="6.32"/>
    <n v="28.06"/>
    <n v="3.66"/>
    <n v="2385.41"/>
  </r>
  <r>
    <x v="457"/>
    <s v="Instagram Ads"/>
    <s v="Flash Sale"/>
    <s v="Enterprise Plan"/>
    <n v="12688"/>
    <n v="420"/>
    <n v="27"/>
    <n v="577.67999999999995"/>
    <n v="2839.29"/>
    <n v="3.31"/>
    <n v="6.43"/>
    <n v="21.4"/>
    <n v="4.91"/>
    <n v="2261.61"/>
  </r>
  <r>
    <x v="457"/>
    <s v="LinkedIn Ads"/>
    <s v="Product Launch"/>
    <s v="Basic Plan"/>
    <n v="3452"/>
    <n v="52"/>
    <n v="7"/>
    <n v="1054.8699999999999"/>
    <n v="1339.72"/>
    <n v="1.51"/>
    <n v="13.46"/>
    <n v="150.69999999999999"/>
    <n v="1.27"/>
    <n v="284.85000000000002"/>
  </r>
  <r>
    <x v="457"/>
    <s v="Email Marketing"/>
    <s v="Product Launch"/>
    <s v="Starter Kit"/>
    <n v="19828"/>
    <n v="3000"/>
    <n v="273"/>
    <n v="176.12"/>
    <n v="42699.97"/>
    <n v="15.13"/>
    <n v="9.1"/>
    <n v="0.65"/>
    <n v="242.45"/>
    <n v="42523.85"/>
  </r>
  <r>
    <x v="457"/>
    <s v="Organic Search"/>
    <s v="Retargeting"/>
    <s v="Add-on Service"/>
    <n v="32571"/>
    <n v="2327"/>
    <n v="312"/>
    <n v="0"/>
    <n v="48821.64"/>
    <n v="7.14"/>
    <n v="13.41"/>
    <n v="0"/>
    <n v="0"/>
    <n v="48821.64"/>
  </r>
  <r>
    <x v="457"/>
    <s v="Display Ads"/>
    <s v="Brand Awareness"/>
    <s v="Enterprise Plan"/>
    <n v="25806"/>
    <n v="507"/>
    <n v="24"/>
    <n v="1287.51"/>
    <n v="2830.46"/>
    <n v="1.96"/>
    <n v="4.7300000000000004"/>
    <n v="53.65"/>
    <n v="2.2000000000000002"/>
    <n v="1542.95"/>
  </r>
  <r>
    <x v="457"/>
    <s v="YouTube Ads"/>
    <s v="Product Launch"/>
    <s v="Premium Plan"/>
    <n v="22449"/>
    <n v="623"/>
    <n v="25"/>
    <n v="914.31"/>
    <n v="2769.97"/>
    <n v="2.78"/>
    <n v="4.01"/>
    <n v="36.57"/>
    <n v="3.03"/>
    <n v="1855.66"/>
  </r>
  <r>
    <x v="457"/>
    <s v="Twitter Ads"/>
    <s v="Brand Awareness"/>
    <s v="Starter Kit"/>
    <n v="10130"/>
    <n v="326"/>
    <n v="11"/>
    <n v="732.96"/>
    <n v="1054.8699999999999"/>
    <n v="3.22"/>
    <n v="3.37"/>
    <n v="66.63"/>
    <n v="1.44"/>
    <n v="321.91000000000003"/>
  </r>
  <r>
    <x v="457"/>
    <s v="TikTok Ads"/>
    <s v="Flash Sale"/>
    <s v="Starter Kit"/>
    <n v="19511"/>
    <n v="820"/>
    <n v="32"/>
    <n v="1022.94"/>
    <n v="2940.62"/>
    <n v="4.2"/>
    <n v="3.9"/>
    <n v="31.97"/>
    <n v="2.87"/>
    <n v="1917.68"/>
  </r>
  <r>
    <x v="457"/>
    <s v="Affiliate Marketing"/>
    <s v="Flash Sale"/>
    <s v="Basic Plan"/>
    <n v="6186"/>
    <n v="276"/>
    <n v="33"/>
    <n v="389.82"/>
    <n v="4516.3500000000004"/>
    <n v="4.46"/>
    <n v="11.96"/>
    <n v="11.81"/>
    <n v="11.59"/>
    <n v="4126.53"/>
  </r>
  <r>
    <x v="457"/>
    <s v="Referral"/>
    <s v="Brand Awareness"/>
    <s v="Add-on Service"/>
    <n v="5126"/>
    <n v="501"/>
    <n v="66"/>
    <n v="104.45"/>
    <n v="10992.97"/>
    <n v="9.77"/>
    <n v="13.17"/>
    <n v="1.58"/>
    <n v="105.25"/>
    <n v="10888.52"/>
  </r>
  <r>
    <x v="458"/>
    <s v="Google Ads"/>
    <s v="Brand Awareness"/>
    <s v="Add-on Service"/>
    <n v="9620"/>
    <n v="449"/>
    <n v="49"/>
    <n v="1493.61"/>
    <n v="6395.34"/>
    <n v="4.67"/>
    <n v="10.91"/>
    <n v="30.48"/>
    <n v="4.28"/>
    <n v="4901.7299999999996"/>
  </r>
  <r>
    <x v="458"/>
    <s v="Facebook Ads"/>
    <s v="Product Launch"/>
    <s v="Basic Plan"/>
    <n v="13483"/>
    <n v="528"/>
    <n v="43"/>
    <n v="753.53"/>
    <n v="4421.68"/>
    <n v="3.92"/>
    <n v="8.14"/>
    <n v="17.52"/>
    <n v="5.87"/>
    <n v="3668.15"/>
  </r>
  <r>
    <x v="458"/>
    <s v="Instagram Ads"/>
    <s v="Product Launch"/>
    <s v="Starter Kit"/>
    <n v="17872"/>
    <n v="453"/>
    <n v="33"/>
    <n v="701.83"/>
    <n v="4147.04"/>
    <n v="2.5299999999999998"/>
    <n v="7.28"/>
    <n v="21.27"/>
    <n v="5.91"/>
    <n v="3445.21"/>
  </r>
  <r>
    <x v="458"/>
    <s v="LinkedIn Ads"/>
    <s v="Seasonal Promotion"/>
    <s v="Starter Kit"/>
    <n v="3055"/>
    <n v="48"/>
    <n v="6"/>
    <n v="1465.92"/>
    <n v="1474.77"/>
    <n v="1.57"/>
    <n v="12.5"/>
    <n v="244.32"/>
    <n v="1.01"/>
    <n v="8.85"/>
  </r>
  <r>
    <x v="458"/>
    <s v="Email Marketing"/>
    <s v="Seasonal Promotion"/>
    <s v="Starter Kit"/>
    <n v="15254"/>
    <n v="3480"/>
    <n v="465"/>
    <n v="112.11"/>
    <n v="63490.28"/>
    <n v="22.81"/>
    <n v="13.36"/>
    <n v="0.24"/>
    <n v="566.32000000000005"/>
    <n v="63378.17"/>
  </r>
  <r>
    <x v="458"/>
    <s v="Organic Search"/>
    <s v="Flash Sale"/>
    <s v="Basic Plan"/>
    <n v="33823"/>
    <n v="1422"/>
    <n v="182"/>
    <n v="0"/>
    <n v="22705.8"/>
    <n v="4.2"/>
    <n v="12.8"/>
    <n v="0"/>
    <n v="0"/>
    <n v="22705.8"/>
  </r>
  <r>
    <x v="458"/>
    <s v="Display Ads"/>
    <s v="Brand Awareness"/>
    <s v="Enterprise Plan"/>
    <n v="29669"/>
    <n v="360"/>
    <n v="12"/>
    <n v="725.07"/>
    <n v="1518.54"/>
    <n v="1.21"/>
    <n v="3.33"/>
    <n v="60.42"/>
    <n v="2.09"/>
    <n v="793.47"/>
  </r>
  <r>
    <x v="458"/>
    <s v="YouTube Ads"/>
    <s v="Brand Awareness"/>
    <s v="Enterprise Plan"/>
    <n v="16363"/>
    <n v="420"/>
    <n v="22"/>
    <n v="1052.02"/>
    <n v="2007.92"/>
    <n v="2.57"/>
    <n v="5.24"/>
    <n v="47.82"/>
    <n v="1.91"/>
    <n v="955.9"/>
  </r>
  <r>
    <x v="458"/>
    <s v="Twitter Ads"/>
    <s v="Brand Awareness"/>
    <s v="Enterprise Plan"/>
    <n v="12489"/>
    <n v="397"/>
    <n v="14"/>
    <n v="699.59"/>
    <n v="1420.99"/>
    <n v="3.18"/>
    <n v="3.53"/>
    <n v="49.97"/>
    <n v="2.0299999999999998"/>
    <n v="721.4"/>
  </r>
  <r>
    <x v="458"/>
    <s v="TikTok Ads"/>
    <s v="Flash Sale"/>
    <s v="Starter Kit"/>
    <n v="20329"/>
    <n v="666"/>
    <n v="36"/>
    <n v="1054.6500000000001"/>
    <n v="3994.79"/>
    <n v="3.28"/>
    <n v="5.41"/>
    <n v="29.3"/>
    <n v="3.79"/>
    <n v="2940.14"/>
  </r>
  <r>
    <x v="458"/>
    <s v="Affiliate Marketing"/>
    <s v="Lead Generation"/>
    <s v="Add-on Service"/>
    <n v="9032"/>
    <n v="450"/>
    <n v="43"/>
    <n v="463.7"/>
    <n v="4308.96"/>
    <n v="4.9800000000000004"/>
    <n v="9.56"/>
    <n v="10.78"/>
    <n v="9.2899999999999991"/>
    <n v="3845.26"/>
  </r>
  <r>
    <x v="458"/>
    <s v="Referral"/>
    <s v="Retargeting"/>
    <s v="Starter Kit"/>
    <n v="4936"/>
    <n v="364"/>
    <n v="54"/>
    <n v="160.94999999999999"/>
    <n v="9704.7199999999993"/>
    <n v="7.37"/>
    <n v="14.84"/>
    <n v="2.98"/>
    <n v="60.3"/>
    <n v="9543.77"/>
  </r>
  <r>
    <x v="459"/>
    <s v="Google Ads"/>
    <s v="Flash Sale"/>
    <s v="Add-on Service"/>
    <n v="8577"/>
    <n v="274"/>
    <n v="23"/>
    <n v="1012.37"/>
    <n v="3224.5"/>
    <n v="3.19"/>
    <n v="8.39"/>
    <n v="44.02"/>
    <n v="3.19"/>
    <n v="2212.13"/>
  </r>
  <r>
    <x v="459"/>
    <s v="Facebook Ads"/>
    <s v="Brand Awareness"/>
    <s v="Enterprise Plan"/>
    <n v="12766"/>
    <n v="259"/>
    <n v="21"/>
    <n v="1192.0899999999999"/>
    <n v="2735.46"/>
    <n v="2.0299999999999998"/>
    <n v="8.11"/>
    <n v="56.77"/>
    <n v="2.29"/>
    <n v="1543.37"/>
  </r>
  <r>
    <x v="459"/>
    <s v="Instagram Ads"/>
    <s v="Retargeting"/>
    <s v="Starter Kit"/>
    <n v="12772"/>
    <n v="355"/>
    <n v="17"/>
    <n v="519.12"/>
    <n v="1631.95"/>
    <n v="2.78"/>
    <n v="4.79"/>
    <n v="30.54"/>
    <n v="3.14"/>
    <n v="1112.83"/>
  </r>
  <r>
    <x v="459"/>
    <s v="LinkedIn Ads"/>
    <s v="Flash Sale"/>
    <s v="Premium Plan"/>
    <n v="4989"/>
    <n v="101"/>
    <n v="13"/>
    <n v="1333.86"/>
    <n v="3604.47"/>
    <n v="2.02"/>
    <n v="12.87"/>
    <n v="102.6"/>
    <n v="2.7"/>
    <n v="2270.61"/>
  </r>
  <r>
    <x v="459"/>
    <s v="Email Marketing"/>
    <s v="Flash Sale"/>
    <s v="Starter Kit"/>
    <n v="18683"/>
    <n v="4514"/>
    <n v="510"/>
    <n v="126.84"/>
    <n v="70994.320000000007"/>
    <n v="24.16"/>
    <n v="11.3"/>
    <n v="0.25"/>
    <n v="559.72"/>
    <n v="70867.48"/>
  </r>
  <r>
    <x v="459"/>
    <s v="Organic Search"/>
    <s v="Product Launch"/>
    <s v="Add-on Service"/>
    <n v="27686"/>
    <n v="1269"/>
    <n v="162"/>
    <n v="0"/>
    <n v="17949.48"/>
    <n v="4.58"/>
    <n v="12.77"/>
    <n v="0"/>
    <n v="0"/>
    <n v="17949.48"/>
  </r>
  <r>
    <x v="459"/>
    <s v="Display Ads"/>
    <s v="Lead Generation"/>
    <s v="Basic Plan"/>
    <n v="32056"/>
    <n v="527"/>
    <n v="16"/>
    <n v="1148.32"/>
    <n v="1318.31"/>
    <n v="1.64"/>
    <n v="3.04"/>
    <n v="71.77"/>
    <n v="1.1499999999999999"/>
    <n v="169.99"/>
  </r>
  <r>
    <x v="459"/>
    <s v="YouTube Ads"/>
    <s v="Seasonal Promotion"/>
    <s v="Add-on Service"/>
    <n v="22944"/>
    <n v="495"/>
    <n v="21"/>
    <n v="1379.12"/>
    <n v="2816.87"/>
    <n v="2.16"/>
    <n v="4.24"/>
    <n v="65.67"/>
    <n v="2.04"/>
    <n v="1437.75"/>
  </r>
  <r>
    <x v="459"/>
    <s v="Twitter Ads"/>
    <s v="Flash Sale"/>
    <s v="Add-on Service"/>
    <n v="9725"/>
    <n v="319"/>
    <n v="18"/>
    <n v="441.01"/>
    <n v="1954.94"/>
    <n v="3.28"/>
    <n v="5.64"/>
    <n v="24.5"/>
    <n v="4.43"/>
    <n v="1513.93"/>
  </r>
  <r>
    <x v="459"/>
    <s v="TikTok Ads"/>
    <s v="Brand Awareness"/>
    <s v="Basic Plan"/>
    <n v="26474"/>
    <n v="849"/>
    <n v="29"/>
    <n v="839.07"/>
    <n v="2443.6999999999998"/>
    <n v="3.21"/>
    <n v="3.42"/>
    <n v="28.93"/>
    <n v="2.91"/>
    <n v="1604.63"/>
  </r>
  <r>
    <x v="459"/>
    <s v="Affiliate Marketing"/>
    <s v="Retargeting"/>
    <s v="Premium Plan"/>
    <n v="6340"/>
    <n v="375"/>
    <n v="31"/>
    <n v="519.55999999999995"/>
    <n v="3048.95"/>
    <n v="5.91"/>
    <n v="8.27"/>
    <n v="16.760000000000002"/>
    <n v="5.87"/>
    <n v="2529.39"/>
  </r>
  <r>
    <x v="459"/>
    <s v="Referral"/>
    <s v="Product Launch"/>
    <s v="Add-on Service"/>
    <n v="6658"/>
    <n v="665"/>
    <n v="108"/>
    <n v="75.37"/>
    <n v="19247.38"/>
    <n v="9.99"/>
    <n v="16.239999999999998"/>
    <n v="0.7"/>
    <n v="255.37"/>
    <n v="19172.009999999998"/>
  </r>
  <r>
    <x v="460"/>
    <s v="Google Ads"/>
    <s v="Retargeting"/>
    <s v="Basic Plan"/>
    <n v="5842"/>
    <n v="284"/>
    <n v="25"/>
    <n v="715.78"/>
    <n v="3556.4"/>
    <n v="4.8600000000000003"/>
    <n v="8.8000000000000007"/>
    <n v="28.63"/>
    <n v="4.97"/>
    <n v="2840.62"/>
  </r>
  <r>
    <x v="460"/>
    <s v="Facebook Ads"/>
    <s v="Retargeting"/>
    <s v="Premium Plan"/>
    <n v="13262"/>
    <n v="382"/>
    <n v="31"/>
    <n v="587.13"/>
    <n v="3076.91"/>
    <n v="2.88"/>
    <n v="8.1199999999999992"/>
    <n v="18.940000000000001"/>
    <n v="5.24"/>
    <n v="2489.7800000000002"/>
  </r>
  <r>
    <x v="460"/>
    <s v="Instagram Ads"/>
    <s v="Retargeting"/>
    <s v="Add-on Service"/>
    <n v="7618"/>
    <n v="203"/>
    <n v="13"/>
    <n v="512.23"/>
    <n v="1322.96"/>
    <n v="2.66"/>
    <n v="6.4"/>
    <n v="39.4"/>
    <n v="2.58"/>
    <n v="810.73"/>
  </r>
  <r>
    <x v="460"/>
    <s v="LinkedIn Ads"/>
    <s v="Lead Generation"/>
    <s v="Basic Plan"/>
    <n v="2422"/>
    <n v="60"/>
    <n v="8"/>
    <n v="721.63"/>
    <n v="1787.63"/>
    <n v="2.48"/>
    <n v="13.33"/>
    <n v="90.2"/>
    <n v="2.48"/>
    <n v="1066"/>
  </r>
  <r>
    <x v="460"/>
    <s v="Email Marketing"/>
    <s v="Lead Generation"/>
    <s v="Basic Plan"/>
    <n v="16590"/>
    <n v="3338"/>
    <n v="427"/>
    <n v="124.98"/>
    <n v="64419.25"/>
    <n v="20.12"/>
    <n v="12.79"/>
    <n v="0.28999999999999998"/>
    <n v="515.44000000000005"/>
    <n v="64294.27"/>
  </r>
  <r>
    <x v="460"/>
    <s v="Organic Search"/>
    <s v="Flash Sale"/>
    <s v="Premium Plan"/>
    <n v="17788"/>
    <n v="1173"/>
    <n v="142"/>
    <n v="0"/>
    <n v="17897.21"/>
    <n v="6.59"/>
    <n v="12.11"/>
    <n v="0"/>
    <n v="0"/>
    <n v="17897.21"/>
  </r>
  <r>
    <x v="460"/>
    <s v="Display Ads"/>
    <s v="Brand Awareness"/>
    <s v="Starter Kit"/>
    <n v="23147"/>
    <n v="408"/>
    <n v="11"/>
    <n v="727.11"/>
    <n v="1213.6099999999999"/>
    <n v="1.76"/>
    <n v="2.7"/>
    <n v="66.099999999999994"/>
    <n v="1.67"/>
    <n v="486.5"/>
  </r>
  <r>
    <x v="460"/>
    <s v="YouTube Ads"/>
    <s v="Flash Sale"/>
    <s v="Premium Plan"/>
    <n v="16786"/>
    <n v="261"/>
    <n v="13"/>
    <n v="940.73"/>
    <n v="1641.66"/>
    <n v="1.55"/>
    <n v="4.9800000000000004"/>
    <n v="72.36"/>
    <n v="1.75"/>
    <n v="700.93"/>
  </r>
  <r>
    <x v="460"/>
    <s v="Twitter Ads"/>
    <s v="Lead Generation"/>
    <s v="Enterprise Plan"/>
    <n v="5902"/>
    <n v="165"/>
    <n v="7"/>
    <n v="485.67"/>
    <n v="609.15"/>
    <n v="2.8"/>
    <n v="4.24"/>
    <n v="69.38"/>
    <n v="1.25"/>
    <n v="123.48"/>
  </r>
  <r>
    <x v="460"/>
    <s v="TikTok Ads"/>
    <s v="Retargeting"/>
    <s v="Enterprise Plan"/>
    <n v="19944"/>
    <n v="701"/>
    <n v="33"/>
    <n v="432.93"/>
    <n v="3062.16"/>
    <n v="3.51"/>
    <n v="4.71"/>
    <n v="13.12"/>
    <n v="7.07"/>
    <n v="2629.23"/>
  </r>
  <r>
    <x v="460"/>
    <s v="Affiliate Marketing"/>
    <s v="Lead Generation"/>
    <s v="Enterprise Plan"/>
    <n v="5392"/>
    <n v="236"/>
    <n v="28"/>
    <n v="298.11"/>
    <n v="3553.79"/>
    <n v="4.38"/>
    <n v="11.86"/>
    <n v="10.65"/>
    <n v="11.92"/>
    <n v="3255.68"/>
  </r>
  <r>
    <x v="460"/>
    <s v="Referral"/>
    <s v="Flash Sale"/>
    <s v="Starter Kit"/>
    <n v="3259"/>
    <n v="291"/>
    <n v="47"/>
    <n v="68.150000000000006"/>
    <n v="6624.58"/>
    <n v="8.93"/>
    <n v="16.149999999999999"/>
    <n v="1.45"/>
    <n v="97.21"/>
    <n v="6556.43"/>
  </r>
  <r>
    <x v="461"/>
    <s v="Google Ads"/>
    <s v="Flash Sale"/>
    <s v="Premium Plan"/>
    <n v="5890"/>
    <n v="256"/>
    <n v="27"/>
    <n v="820.41"/>
    <n v="3612.78"/>
    <n v="4.3499999999999996"/>
    <n v="10.55"/>
    <n v="30.39"/>
    <n v="4.4000000000000004"/>
    <n v="2792.37"/>
  </r>
  <r>
    <x v="461"/>
    <s v="Facebook Ads"/>
    <s v="Flash Sale"/>
    <s v="Basic Plan"/>
    <n v="8733"/>
    <n v="314"/>
    <n v="21"/>
    <n v="481.93"/>
    <n v="2883.12"/>
    <n v="3.6"/>
    <n v="6.69"/>
    <n v="22.95"/>
    <n v="5.98"/>
    <n v="2401.19"/>
  </r>
  <r>
    <x v="461"/>
    <s v="Instagram Ads"/>
    <s v="Seasonal Promotion"/>
    <s v="Starter Kit"/>
    <n v="11762"/>
    <n v="436"/>
    <n v="28"/>
    <n v="682.74"/>
    <n v="3171.78"/>
    <n v="3.71"/>
    <n v="6.42"/>
    <n v="24.38"/>
    <n v="4.6500000000000004"/>
    <n v="2489.04"/>
  </r>
  <r>
    <x v="461"/>
    <s v="LinkedIn Ads"/>
    <s v="Brand Awareness"/>
    <s v="Enterprise Plan"/>
    <n v="2526"/>
    <n v="53"/>
    <n v="7"/>
    <n v="1198.76"/>
    <n v="1976.54"/>
    <n v="2.1"/>
    <n v="13.21"/>
    <n v="171.25"/>
    <n v="1.65"/>
    <n v="777.78"/>
  </r>
  <r>
    <x v="461"/>
    <s v="Email Marketing"/>
    <s v="Lead Generation"/>
    <s v="Add-on Service"/>
    <n v="14019"/>
    <n v="3308"/>
    <n v="289"/>
    <n v="107.66"/>
    <n v="39812"/>
    <n v="23.6"/>
    <n v="8.74"/>
    <n v="0.37"/>
    <n v="369.79"/>
    <n v="39704.339999999997"/>
  </r>
  <r>
    <x v="461"/>
    <s v="Organic Search"/>
    <s v="Seasonal Promotion"/>
    <s v="Premium Plan"/>
    <n v="17552"/>
    <n v="993"/>
    <n v="107"/>
    <n v="0"/>
    <n v="12636.3"/>
    <n v="5.66"/>
    <n v="10.78"/>
    <n v="0"/>
    <n v="0"/>
    <n v="12636.3"/>
  </r>
  <r>
    <x v="461"/>
    <s v="Display Ads"/>
    <s v="Flash Sale"/>
    <s v="Enterprise Plan"/>
    <n v="24523"/>
    <n v="414"/>
    <n v="13"/>
    <n v="620.29999999999995"/>
    <n v="1506.34"/>
    <n v="1.69"/>
    <n v="3.14"/>
    <n v="47.72"/>
    <n v="2.4300000000000002"/>
    <n v="886.04"/>
  </r>
  <r>
    <x v="461"/>
    <s v="YouTube Ads"/>
    <s v="Retargeting"/>
    <s v="Starter Kit"/>
    <n v="11865"/>
    <n v="194"/>
    <n v="8"/>
    <n v="601.71"/>
    <n v="1148.42"/>
    <n v="1.64"/>
    <n v="4.12"/>
    <n v="75.209999999999994"/>
    <n v="1.91"/>
    <n v="546.71"/>
  </r>
  <r>
    <x v="461"/>
    <s v="Twitter Ads"/>
    <s v="Flash Sale"/>
    <s v="Add-on Service"/>
    <n v="7100"/>
    <n v="212"/>
    <n v="7"/>
    <n v="401.68"/>
    <n v="633.47"/>
    <n v="2.99"/>
    <n v="3.3"/>
    <n v="57.38"/>
    <n v="1.58"/>
    <n v="231.79"/>
  </r>
  <r>
    <x v="461"/>
    <s v="TikTok Ads"/>
    <s v="Retargeting"/>
    <s v="Basic Plan"/>
    <n v="15310"/>
    <n v="687"/>
    <n v="25"/>
    <n v="744.74"/>
    <n v="1984.53"/>
    <n v="4.49"/>
    <n v="3.64"/>
    <n v="29.79"/>
    <n v="2.66"/>
    <n v="1239.79"/>
  </r>
  <r>
    <x v="461"/>
    <s v="Affiliate Marketing"/>
    <s v="Lead Generation"/>
    <s v="Enterprise Plan"/>
    <n v="4894"/>
    <n v="271"/>
    <n v="29"/>
    <n v="391.4"/>
    <n v="3842.06"/>
    <n v="5.54"/>
    <n v="10.7"/>
    <n v="13.5"/>
    <n v="9.82"/>
    <n v="3450.66"/>
  </r>
  <r>
    <x v="461"/>
    <s v="Referral"/>
    <s v="Brand Awareness"/>
    <s v="Enterprise Plan"/>
    <n v="4402"/>
    <n v="269"/>
    <n v="45"/>
    <n v="106.14"/>
    <n v="5610.57"/>
    <n v="6.11"/>
    <n v="16.73"/>
    <n v="2.36"/>
    <n v="52.86"/>
    <n v="5504.43"/>
  </r>
  <r>
    <x v="462"/>
    <s v="Google Ads"/>
    <s v="Brand Awareness"/>
    <s v="Premium Plan"/>
    <n v="10687"/>
    <n v="367"/>
    <n v="33"/>
    <n v="951.4"/>
    <n v="4679.78"/>
    <n v="3.43"/>
    <n v="8.99"/>
    <n v="28.83"/>
    <n v="4.92"/>
    <n v="3728.38"/>
  </r>
  <r>
    <x v="462"/>
    <s v="Facebook Ads"/>
    <s v="Brand Awareness"/>
    <s v="Enterprise Plan"/>
    <n v="14196"/>
    <n v="495"/>
    <n v="38"/>
    <n v="904.08"/>
    <n v="4613.66"/>
    <n v="3.49"/>
    <n v="7.68"/>
    <n v="23.79"/>
    <n v="5.0999999999999996"/>
    <n v="3709.58"/>
  </r>
  <r>
    <x v="462"/>
    <s v="Instagram Ads"/>
    <s v="Flash Sale"/>
    <s v="Add-on Service"/>
    <n v="10712"/>
    <n v="402"/>
    <n v="24"/>
    <n v="816.59"/>
    <n v="2925.28"/>
    <n v="3.75"/>
    <n v="5.97"/>
    <n v="34.020000000000003"/>
    <n v="3.58"/>
    <n v="2108.69"/>
  </r>
  <r>
    <x v="462"/>
    <s v="LinkedIn Ads"/>
    <s v="Lead Generation"/>
    <s v="Premium Plan"/>
    <n v="3854"/>
    <n v="63"/>
    <n v="8"/>
    <n v="1097.55"/>
    <n v="2647.65"/>
    <n v="1.63"/>
    <n v="12.7"/>
    <n v="137.19"/>
    <n v="2.41"/>
    <n v="1550.1"/>
  </r>
  <r>
    <x v="462"/>
    <s v="Email Marketing"/>
    <s v="Seasonal Promotion"/>
    <s v="Enterprise Plan"/>
    <n v="17054"/>
    <n v="3454"/>
    <n v="387"/>
    <n v="288.36"/>
    <n v="45725.21"/>
    <n v="20.25"/>
    <n v="11.2"/>
    <n v="0.75"/>
    <n v="158.57"/>
    <n v="45436.85"/>
  </r>
  <r>
    <x v="462"/>
    <s v="Organic Search"/>
    <s v="Lead Generation"/>
    <s v="Enterprise Plan"/>
    <n v="28889"/>
    <n v="1342"/>
    <n v="152"/>
    <n v="0"/>
    <n v="18577.560000000001"/>
    <n v="4.6500000000000004"/>
    <n v="11.33"/>
    <n v="0"/>
    <n v="0"/>
    <n v="18577.560000000001"/>
  </r>
  <r>
    <x v="462"/>
    <s v="Display Ads"/>
    <s v="Retargeting"/>
    <s v="Add-on Service"/>
    <n v="39920"/>
    <n v="441"/>
    <n v="10"/>
    <n v="1104.2"/>
    <n v="1229.18"/>
    <n v="1.1000000000000001"/>
    <n v="2.27"/>
    <n v="110.42"/>
    <n v="1.1100000000000001"/>
    <n v="124.98"/>
  </r>
  <r>
    <x v="462"/>
    <s v="YouTube Ads"/>
    <s v="Flash Sale"/>
    <s v="Premium Plan"/>
    <n v="15957"/>
    <n v="368"/>
    <n v="20"/>
    <n v="997.82"/>
    <n v="2856.7"/>
    <n v="2.31"/>
    <n v="5.43"/>
    <n v="49.89"/>
    <n v="2.86"/>
    <n v="1858.88"/>
  </r>
  <r>
    <x v="462"/>
    <s v="Twitter Ads"/>
    <s v="Product Launch"/>
    <s v="Premium Plan"/>
    <n v="10312"/>
    <n v="271"/>
    <n v="12"/>
    <n v="737.19"/>
    <n v="1332.62"/>
    <n v="2.63"/>
    <n v="4.43"/>
    <n v="61.43"/>
    <n v="1.81"/>
    <n v="595.42999999999995"/>
  </r>
  <r>
    <x v="462"/>
    <s v="TikTok Ads"/>
    <s v="Seasonal Promotion"/>
    <s v="Add-on Service"/>
    <n v="28594"/>
    <n v="1006"/>
    <n v="34"/>
    <n v="608.76"/>
    <n v="2634.08"/>
    <n v="3.52"/>
    <n v="3.38"/>
    <n v="17.899999999999999"/>
    <n v="4.33"/>
    <n v="2025.32"/>
  </r>
  <r>
    <x v="462"/>
    <s v="Affiliate Marketing"/>
    <s v="Lead Generation"/>
    <s v="Starter Kit"/>
    <n v="5438"/>
    <n v="361"/>
    <n v="29"/>
    <n v="684.64"/>
    <n v="3356.02"/>
    <n v="6.64"/>
    <n v="8.0299999999999994"/>
    <n v="23.61"/>
    <n v="4.9000000000000004"/>
    <n v="2671.38"/>
  </r>
  <r>
    <x v="462"/>
    <s v="Referral"/>
    <s v="Retargeting"/>
    <s v="Enterprise Plan"/>
    <n v="3160"/>
    <n v="280"/>
    <n v="42"/>
    <n v="114.45"/>
    <n v="6806.45"/>
    <n v="8.86"/>
    <n v="15"/>
    <n v="2.72"/>
    <n v="59.47"/>
    <n v="6692"/>
  </r>
  <r>
    <x v="463"/>
    <s v="Google Ads"/>
    <s v="Product Launch"/>
    <s v="Basic Plan"/>
    <n v="11078"/>
    <n v="382"/>
    <n v="37"/>
    <n v="1454.46"/>
    <n v="5922.22"/>
    <n v="3.45"/>
    <n v="9.69"/>
    <n v="39.31"/>
    <n v="4.07"/>
    <n v="4467.76"/>
  </r>
  <r>
    <x v="463"/>
    <s v="Facebook Ads"/>
    <s v="Seasonal Promotion"/>
    <s v="Add-on Service"/>
    <n v="15402"/>
    <n v="321"/>
    <n v="18"/>
    <n v="951.39"/>
    <n v="1944.9"/>
    <n v="2.08"/>
    <n v="5.61"/>
    <n v="52.86"/>
    <n v="2.04"/>
    <n v="993.51"/>
  </r>
  <r>
    <x v="463"/>
    <s v="Instagram Ads"/>
    <s v="Seasonal Promotion"/>
    <s v="Basic Plan"/>
    <n v="13154"/>
    <n v="486"/>
    <n v="30"/>
    <n v="876.61"/>
    <n v="3598.39"/>
    <n v="3.69"/>
    <n v="6.17"/>
    <n v="29.22"/>
    <n v="4.0999999999999996"/>
    <n v="2721.78"/>
  </r>
  <r>
    <x v="463"/>
    <s v="LinkedIn Ads"/>
    <s v="Brand Awareness"/>
    <s v="Starter Kit"/>
    <n v="3241"/>
    <n v="72"/>
    <n v="7"/>
    <n v="1196.3800000000001"/>
    <n v="1900.01"/>
    <n v="2.2200000000000002"/>
    <n v="9.7200000000000006"/>
    <n v="170.91"/>
    <n v="1.59"/>
    <n v="703.63"/>
  </r>
  <r>
    <x v="463"/>
    <s v="Email Marketing"/>
    <s v="Brand Awareness"/>
    <s v="Add-on Service"/>
    <n v="20878"/>
    <n v="3144"/>
    <n v="413"/>
    <n v="122.38"/>
    <n v="48349.01"/>
    <n v="15.06"/>
    <n v="13.14"/>
    <n v="0.3"/>
    <n v="395.07"/>
    <n v="48226.63"/>
  </r>
  <r>
    <x v="463"/>
    <s v="Organic Search"/>
    <s v="Retargeting"/>
    <s v="Enterprise Plan"/>
    <n v="27372"/>
    <n v="1517"/>
    <n v="158"/>
    <n v="0"/>
    <n v="17986.740000000002"/>
    <n v="5.54"/>
    <n v="10.42"/>
    <n v="0"/>
    <n v="0"/>
    <n v="17986.740000000002"/>
  </r>
  <r>
    <x v="463"/>
    <s v="Display Ads"/>
    <s v="Lead Generation"/>
    <s v="Enterprise Plan"/>
    <n v="36487"/>
    <n v="497"/>
    <n v="13"/>
    <n v="1015.48"/>
    <n v="1319.41"/>
    <n v="1.36"/>
    <n v="2.62"/>
    <n v="78.11"/>
    <n v="1.3"/>
    <n v="303.93"/>
  </r>
  <r>
    <x v="463"/>
    <s v="YouTube Ads"/>
    <s v="Lead Generation"/>
    <s v="Starter Kit"/>
    <n v="21416"/>
    <n v="527"/>
    <n v="24"/>
    <n v="976.87"/>
    <n v="3631.46"/>
    <n v="2.46"/>
    <n v="4.55"/>
    <n v="40.700000000000003"/>
    <n v="3.72"/>
    <n v="2654.59"/>
  </r>
  <r>
    <x v="463"/>
    <s v="Twitter Ads"/>
    <s v="Flash Sale"/>
    <s v="Starter Kit"/>
    <n v="12667"/>
    <n v="337"/>
    <n v="19"/>
    <n v="441.16"/>
    <n v="2135.77"/>
    <n v="2.66"/>
    <n v="5.64"/>
    <n v="23.22"/>
    <n v="4.84"/>
    <n v="1694.61"/>
  </r>
  <r>
    <x v="463"/>
    <s v="TikTok Ads"/>
    <s v="Lead Generation"/>
    <s v="Add-on Service"/>
    <n v="25903"/>
    <n v="1088"/>
    <n v="38"/>
    <n v="1087"/>
    <n v="3958.88"/>
    <n v="4.2"/>
    <n v="3.49"/>
    <n v="28.61"/>
    <n v="3.64"/>
    <n v="2871.88"/>
  </r>
  <r>
    <x v="463"/>
    <s v="Affiliate Marketing"/>
    <s v="Product Launch"/>
    <s v="Basic Plan"/>
    <n v="6736"/>
    <n v="460"/>
    <n v="45"/>
    <n v="640.80999999999995"/>
    <n v="6970.6"/>
    <n v="6.83"/>
    <n v="9.7799999999999994"/>
    <n v="14.24"/>
    <n v="10.88"/>
    <n v="6329.79"/>
  </r>
  <r>
    <x v="463"/>
    <s v="Referral"/>
    <s v="Flash Sale"/>
    <s v="Premium Plan"/>
    <n v="5004"/>
    <n v="293"/>
    <n v="39"/>
    <n v="177.39"/>
    <n v="6099.86"/>
    <n v="5.86"/>
    <n v="13.31"/>
    <n v="4.55"/>
    <n v="34.39"/>
    <n v="5922.47"/>
  </r>
  <r>
    <x v="464"/>
    <s v="Google Ads"/>
    <s v="Seasonal Promotion"/>
    <s v="Enterprise Plan"/>
    <n v="13392"/>
    <n v="418"/>
    <n v="44"/>
    <n v="1060.48"/>
    <n v="7926.27"/>
    <n v="3.12"/>
    <n v="10.53"/>
    <n v="24.1"/>
    <n v="7.47"/>
    <n v="6865.79"/>
  </r>
  <r>
    <x v="464"/>
    <s v="Facebook Ads"/>
    <s v="Product Launch"/>
    <s v="Add-on Service"/>
    <n v="16799"/>
    <n v="515"/>
    <n v="36"/>
    <n v="1065.3599999999999"/>
    <n v="4718.01"/>
    <n v="3.07"/>
    <n v="6.99"/>
    <n v="29.59"/>
    <n v="4.43"/>
    <n v="3652.65"/>
  </r>
  <r>
    <x v="464"/>
    <s v="Instagram Ads"/>
    <s v="Flash Sale"/>
    <s v="Premium Plan"/>
    <n v="11441"/>
    <n v="384"/>
    <n v="20"/>
    <n v="900.57"/>
    <n v="2104.04"/>
    <n v="3.36"/>
    <n v="5.21"/>
    <n v="45.03"/>
    <n v="2.34"/>
    <n v="1203.47"/>
  </r>
  <r>
    <x v="464"/>
    <s v="LinkedIn Ads"/>
    <s v="Product Launch"/>
    <s v="Add-on Service"/>
    <n v="4631"/>
    <n v="75"/>
    <n v="9"/>
    <n v="1177.28"/>
    <n v="1797.93"/>
    <n v="1.62"/>
    <n v="12"/>
    <n v="130.81"/>
    <n v="1.53"/>
    <n v="620.65"/>
  </r>
  <r>
    <x v="464"/>
    <s v="Email Marketing"/>
    <s v="Retargeting"/>
    <s v="Basic Plan"/>
    <n v="20519"/>
    <n v="4227"/>
    <n v="561"/>
    <n v="240.53"/>
    <n v="79364.570000000007"/>
    <n v="20.6"/>
    <n v="13.27"/>
    <n v="0.43"/>
    <n v="329.96"/>
    <n v="79124.039999999994"/>
  </r>
  <r>
    <x v="464"/>
    <s v="Organic Search"/>
    <s v="Retargeting"/>
    <s v="Enterprise Plan"/>
    <n v="21333"/>
    <n v="1685"/>
    <n v="229"/>
    <n v="0"/>
    <n v="28918.48"/>
    <n v="7.9"/>
    <n v="13.59"/>
    <n v="0"/>
    <n v="0"/>
    <n v="28918.48"/>
  </r>
  <r>
    <x v="464"/>
    <s v="Display Ads"/>
    <s v="Flash Sale"/>
    <s v="Starter Kit"/>
    <n v="35898"/>
    <n v="645"/>
    <n v="16"/>
    <n v="769.15"/>
    <n v="1644.36"/>
    <n v="1.8"/>
    <n v="2.48"/>
    <n v="48.07"/>
    <n v="2.14"/>
    <n v="875.21"/>
  </r>
  <r>
    <x v="464"/>
    <s v="YouTube Ads"/>
    <s v="Brand Awareness"/>
    <s v="Enterprise Plan"/>
    <n v="16974"/>
    <n v="385"/>
    <n v="16"/>
    <n v="841.57"/>
    <n v="1442.21"/>
    <n v="2.27"/>
    <n v="4.16"/>
    <n v="52.6"/>
    <n v="1.71"/>
    <n v="600.64"/>
  </r>
  <r>
    <x v="464"/>
    <s v="Twitter Ads"/>
    <s v="Lead Generation"/>
    <s v="Basic Plan"/>
    <n v="12974"/>
    <n v="398"/>
    <n v="16"/>
    <n v="719.99"/>
    <n v="1646.76"/>
    <n v="3.07"/>
    <n v="4.0199999999999996"/>
    <n v="45"/>
    <n v="2.29"/>
    <n v="926.77"/>
  </r>
  <r>
    <x v="464"/>
    <s v="TikTok Ads"/>
    <s v="Flash Sale"/>
    <s v="Basic Plan"/>
    <n v="24100"/>
    <n v="757"/>
    <n v="40"/>
    <n v="692.66"/>
    <n v="4492.76"/>
    <n v="3.14"/>
    <n v="5.28"/>
    <n v="17.32"/>
    <n v="6.49"/>
    <n v="3800.1"/>
  </r>
  <r>
    <x v="464"/>
    <s v="Affiliate Marketing"/>
    <s v="Flash Sale"/>
    <s v="Premium Plan"/>
    <n v="6560"/>
    <n v="263"/>
    <n v="33"/>
    <n v="446.65"/>
    <n v="4553.33"/>
    <n v="4.01"/>
    <n v="12.55"/>
    <n v="13.53"/>
    <n v="10.19"/>
    <n v="4106.68"/>
  </r>
  <r>
    <x v="464"/>
    <s v="Referral"/>
    <s v="Lead Generation"/>
    <s v="Starter Kit"/>
    <n v="5123"/>
    <n v="271"/>
    <n v="42"/>
    <n v="83.21"/>
    <n v="5769.11"/>
    <n v="5.29"/>
    <n v="15.5"/>
    <n v="1.98"/>
    <n v="69.33"/>
    <n v="5685.9"/>
  </r>
  <r>
    <x v="465"/>
    <s v="Google Ads"/>
    <s v="Flash Sale"/>
    <s v="Starter Kit"/>
    <n v="9930"/>
    <n v="299"/>
    <n v="32"/>
    <n v="1452.24"/>
    <n v="4377.68"/>
    <n v="3.01"/>
    <n v="10.7"/>
    <n v="45.38"/>
    <n v="3.01"/>
    <n v="2925.44"/>
  </r>
  <r>
    <x v="465"/>
    <s v="Facebook Ads"/>
    <s v="Product Launch"/>
    <s v="Basic Plan"/>
    <n v="13879"/>
    <n v="401"/>
    <n v="31"/>
    <n v="946.23"/>
    <n v="3412.1"/>
    <n v="2.89"/>
    <n v="7.73"/>
    <n v="30.52"/>
    <n v="3.61"/>
    <n v="2465.87"/>
  </r>
  <r>
    <x v="465"/>
    <s v="Instagram Ads"/>
    <s v="Brand Awareness"/>
    <s v="Add-on Service"/>
    <n v="17837"/>
    <n v="798"/>
    <n v="38"/>
    <n v="774.71"/>
    <n v="3449.07"/>
    <n v="4.47"/>
    <n v="4.76"/>
    <n v="20.39"/>
    <n v="4.45"/>
    <n v="2674.36"/>
  </r>
  <r>
    <x v="465"/>
    <s v="LinkedIn Ads"/>
    <s v="Retargeting"/>
    <s v="Enterprise Plan"/>
    <n v="5969"/>
    <n v="106"/>
    <n v="12"/>
    <n v="929.53"/>
    <n v="3486.42"/>
    <n v="1.78"/>
    <n v="11.32"/>
    <n v="77.459999999999994"/>
    <n v="3.75"/>
    <n v="2556.89"/>
  </r>
  <r>
    <x v="465"/>
    <s v="Email Marketing"/>
    <s v="Retargeting"/>
    <s v="Starter Kit"/>
    <n v="16339"/>
    <n v="3922"/>
    <n v="395"/>
    <n v="108.76"/>
    <n v="42406.69"/>
    <n v="24"/>
    <n v="10.07"/>
    <n v="0.28000000000000003"/>
    <n v="389.91"/>
    <n v="42297.93"/>
  </r>
  <r>
    <x v="465"/>
    <s v="Organic Search"/>
    <s v="Product Launch"/>
    <s v="Starter Kit"/>
    <n v="26292"/>
    <n v="1307"/>
    <n v="171"/>
    <n v="0"/>
    <n v="23070.12"/>
    <n v="4.97"/>
    <n v="13.08"/>
    <n v="0"/>
    <n v="0"/>
    <n v="23070.12"/>
  </r>
  <r>
    <x v="465"/>
    <s v="Display Ads"/>
    <s v="Retargeting"/>
    <s v="Premium Plan"/>
    <n v="36196"/>
    <n v="694"/>
    <n v="14"/>
    <n v="1113.0999999999999"/>
    <n v="1381.33"/>
    <n v="1.92"/>
    <n v="2.02"/>
    <n v="79.510000000000005"/>
    <n v="1.24"/>
    <n v="268.23"/>
  </r>
  <r>
    <x v="465"/>
    <s v="YouTube Ads"/>
    <s v="Seasonal Promotion"/>
    <s v="Enterprise Plan"/>
    <n v="17448"/>
    <n v="401"/>
    <n v="27"/>
    <n v="1142.31"/>
    <n v="3249.24"/>
    <n v="2.2999999999999998"/>
    <n v="6.73"/>
    <n v="42.31"/>
    <n v="2.84"/>
    <n v="2106.9299999999998"/>
  </r>
  <r>
    <x v="465"/>
    <s v="Twitter Ads"/>
    <s v="Product Launch"/>
    <s v="Basic Plan"/>
    <n v="13169"/>
    <n v="280"/>
    <n v="12"/>
    <n v="593.39"/>
    <n v="947.21"/>
    <n v="2.13"/>
    <n v="4.29"/>
    <n v="49.45"/>
    <n v="1.6"/>
    <n v="353.82"/>
  </r>
  <r>
    <x v="465"/>
    <s v="TikTok Ads"/>
    <s v="Flash Sale"/>
    <s v="Add-on Service"/>
    <n v="19583"/>
    <n v="638"/>
    <n v="24"/>
    <n v="776.3"/>
    <n v="2299.6799999999998"/>
    <n v="3.26"/>
    <n v="3.76"/>
    <n v="32.35"/>
    <n v="2.96"/>
    <n v="1523.38"/>
  </r>
  <r>
    <x v="465"/>
    <s v="Affiliate Marketing"/>
    <s v="Retargeting"/>
    <s v="Premium Plan"/>
    <n v="6074"/>
    <n v="264"/>
    <n v="25"/>
    <n v="635.24"/>
    <n v="2608.79"/>
    <n v="4.3499999999999996"/>
    <n v="9.4700000000000006"/>
    <n v="25.41"/>
    <n v="4.1100000000000003"/>
    <n v="1973.55"/>
  </r>
  <r>
    <x v="465"/>
    <s v="Referral"/>
    <s v="Lead Generation"/>
    <s v="Enterprise Plan"/>
    <n v="3910"/>
    <n v="276"/>
    <n v="48"/>
    <n v="164.77"/>
    <n v="6709.67"/>
    <n v="7.06"/>
    <n v="17.39"/>
    <n v="3.43"/>
    <n v="40.72"/>
    <n v="6544.9"/>
  </r>
  <r>
    <x v="466"/>
    <s v="Google Ads"/>
    <s v="Seasonal Promotion"/>
    <s v="Premium Plan"/>
    <n v="14456"/>
    <n v="464"/>
    <n v="54"/>
    <n v="881.83"/>
    <n v="8906.6"/>
    <n v="3.21"/>
    <n v="11.64"/>
    <n v="16.329999999999998"/>
    <n v="10.1"/>
    <n v="8024.77"/>
  </r>
  <r>
    <x v="466"/>
    <s v="Facebook Ads"/>
    <s v="Flash Sale"/>
    <s v="Enterprise Plan"/>
    <n v="13669"/>
    <n v="393"/>
    <n v="35"/>
    <n v="633.23"/>
    <n v="4697.45"/>
    <n v="2.88"/>
    <n v="8.91"/>
    <n v="18.09"/>
    <n v="7.42"/>
    <n v="4064.22"/>
  </r>
  <r>
    <x v="466"/>
    <s v="Instagram Ads"/>
    <s v="Retargeting"/>
    <s v="Basic Plan"/>
    <n v="15867"/>
    <n v="432"/>
    <n v="18"/>
    <n v="785.5"/>
    <n v="1742.67"/>
    <n v="2.72"/>
    <n v="4.17"/>
    <n v="43.64"/>
    <n v="2.2200000000000002"/>
    <n v="957.17"/>
  </r>
  <r>
    <x v="466"/>
    <s v="LinkedIn Ads"/>
    <s v="Seasonal Promotion"/>
    <s v="Basic Plan"/>
    <n v="3274"/>
    <n v="73"/>
    <n v="7"/>
    <n v="1541.48"/>
    <n v="2241.09"/>
    <n v="2.23"/>
    <n v="9.59"/>
    <n v="220.21"/>
    <n v="1.45"/>
    <n v="699.61"/>
  </r>
  <r>
    <x v="466"/>
    <s v="Email Marketing"/>
    <s v="Retargeting"/>
    <s v="Starter Kit"/>
    <n v="22928"/>
    <n v="4305"/>
    <n v="463"/>
    <n v="158.21"/>
    <n v="59384.17"/>
    <n v="18.78"/>
    <n v="10.75"/>
    <n v="0.34"/>
    <n v="375.35"/>
    <n v="59225.96"/>
  </r>
  <r>
    <x v="466"/>
    <s v="Organic Search"/>
    <s v="Product Launch"/>
    <s v="Basic Plan"/>
    <n v="32320"/>
    <n v="1746"/>
    <n v="241"/>
    <n v="0"/>
    <n v="32384.84"/>
    <n v="5.4"/>
    <n v="13.8"/>
    <n v="0"/>
    <n v="0"/>
    <n v="32384.84"/>
  </r>
  <r>
    <x v="466"/>
    <s v="Display Ads"/>
    <s v="Lead Generation"/>
    <s v="Basic Plan"/>
    <n v="27828"/>
    <n v="308"/>
    <n v="8"/>
    <n v="1154.1199999999999"/>
    <n v="808.93"/>
    <n v="1.1100000000000001"/>
    <n v="2.6"/>
    <n v="144.26"/>
    <n v="0.7"/>
    <n v="-345.19"/>
  </r>
  <r>
    <x v="466"/>
    <s v="YouTube Ads"/>
    <s v="Flash Sale"/>
    <s v="Basic Plan"/>
    <n v="19530"/>
    <n v="521"/>
    <n v="38"/>
    <n v="1270.48"/>
    <n v="4788.93"/>
    <n v="2.67"/>
    <n v="7.29"/>
    <n v="33.43"/>
    <n v="3.77"/>
    <n v="3518.45"/>
  </r>
  <r>
    <x v="466"/>
    <s v="Twitter Ads"/>
    <s v="Flash Sale"/>
    <s v="Premium Plan"/>
    <n v="10421"/>
    <n v="307"/>
    <n v="16"/>
    <n v="578.54999999999995"/>
    <n v="1246.8699999999999"/>
    <n v="2.95"/>
    <n v="5.21"/>
    <n v="36.159999999999997"/>
    <n v="2.16"/>
    <n v="668.32"/>
  </r>
  <r>
    <x v="466"/>
    <s v="TikTok Ads"/>
    <s v="Product Launch"/>
    <s v="Add-on Service"/>
    <n v="27392"/>
    <n v="1104"/>
    <n v="59"/>
    <n v="605.74"/>
    <n v="5515.71"/>
    <n v="4.03"/>
    <n v="5.34"/>
    <n v="10.27"/>
    <n v="9.11"/>
    <n v="4909.97"/>
  </r>
  <r>
    <x v="466"/>
    <s v="Affiliate Marketing"/>
    <s v="Brand Awareness"/>
    <s v="Basic Plan"/>
    <n v="5309"/>
    <n v="329"/>
    <n v="34"/>
    <n v="498.53"/>
    <n v="4351.95"/>
    <n v="6.2"/>
    <n v="10.33"/>
    <n v="14.66"/>
    <n v="8.73"/>
    <n v="3853.42"/>
  </r>
  <r>
    <x v="466"/>
    <s v="Referral"/>
    <s v="Retargeting"/>
    <s v="Starter Kit"/>
    <n v="4583"/>
    <n v="437"/>
    <n v="67"/>
    <n v="198.93"/>
    <n v="9154.25"/>
    <n v="9.5399999999999991"/>
    <n v="15.33"/>
    <n v="2.97"/>
    <n v="46.02"/>
    <n v="8955.32"/>
  </r>
  <r>
    <x v="467"/>
    <s v="Google Ads"/>
    <s v="Flash Sale"/>
    <s v="Basic Plan"/>
    <n v="5987"/>
    <n v="182"/>
    <n v="16"/>
    <n v="944.84"/>
    <n v="2342.6"/>
    <n v="3.04"/>
    <n v="8.7899999999999991"/>
    <n v="59.05"/>
    <n v="2.48"/>
    <n v="1397.76"/>
  </r>
  <r>
    <x v="467"/>
    <s v="Facebook Ads"/>
    <s v="Brand Awareness"/>
    <s v="Premium Plan"/>
    <n v="9398"/>
    <n v="198"/>
    <n v="16"/>
    <n v="680.22"/>
    <n v="1758.62"/>
    <n v="2.11"/>
    <n v="8.08"/>
    <n v="42.51"/>
    <n v="2.59"/>
    <n v="1078.4000000000001"/>
  </r>
  <r>
    <x v="467"/>
    <s v="Instagram Ads"/>
    <s v="Product Launch"/>
    <s v="Starter Kit"/>
    <n v="7507"/>
    <n v="191"/>
    <n v="12"/>
    <n v="645.02"/>
    <n v="1082.05"/>
    <n v="2.54"/>
    <n v="6.28"/>
    <n v="53.75"/>
    <n v="1.68"/>
    <n v="437.03"/>
  </r>
  <r>
    <x v="467"/>
    <s v="LinkedIn Ads"/>
    <s v="Lead Generation"/>
    <s v="Premium Plan"/>
    <n v="2352"/>
    <n v="53"/>
    <n v="6"/>
    <n v="856.67"/>
    <n v="1742.14"/>
    <n v="2.25"/>
    <n v="11.32"/>
    <n v="142.78"/>
    <n v="2.0299999999999998"/>
    <n v="885.47"/>
  </r>
  <r>
    <x v="467"/>
    <s v="Email Marketing"/>
    <s v="Brand Awareness"/>
    <s v="Add-on Service"/>
    <n v="15602"/>
    <n v="2664"/>
    <n v="350"/>
    <n v="208.68"/>
    <n v="51087.92"/>
    <n v="17.07"/>
    <n v="13.14"/>
    <n v="0.6"/>
    <n v="244.81"/>
    <n v="50879.24"/>
  </r>
  <r>
    <x v="467"/>
    <s v="Organic Search"/>
    <s v="Flash Sale"/>
    <s v="Enterprise Plan"/>
    <n v="15706"/>
    <n v="802"/>
    <n v="83"/>
    <n v="0"/>
    <n v="9411.98"/>
    <n v="5.1100000000000003"/>
    <n v="10.35"/>
    <n v="0"/>
    <n v="0"/>
    <n v="9411.98"/>
  </r>
  <r>
    <x v="467"/>
    <s v="Display Ads"/>
    <s v="Seasonal Promotion"/>
    <s v="Starter Kit"/>
    <n v="22905"/>
    <n v="380"/>
    <n v="11"/>
    <n v="523.79999999999995"/>
    <n v="1466.73"/>
    <n v="1.66"/>
    <n v="2.89"/>
    <n v="47.62"/>
    <n v="2.8"/>
    <n v="942.93"/>
  </r>
  <r>
    <x v="467"/>
    <s v="YouTube Ads"/>
    <s v="Lead Generation"/>
    <s v="Starter Kit"/>
    <n v="11426"/>
    <n v="233"/>
    <n v="17"/>
    <n v="887.77"/>
    <n v="2135.59"/>
    <n v="2.04"/>
    <n v="7.3"/>
    <n v="52.22"/>
    <n v="2.41"/>
    <n v="1247.82"/>
  </r>
  <r>
    <x v="467"/>
    <s v="Twitter Ads"/>
    <s v="Lead Generation"/>
    <s v="Premium Plan"/>
    <n v="5763"/>
    <n v="118"/>
    <n v="4"/>
    <n v="381.72"/>
    <n v="332.35"/>
    <n v="2.0499999999999998"/>
    <n v="3.39"/>
    <n v="95.43"/>
    <n v="0.87"/>
    <n v="-49.37"/>
  </r>
  <r>
    <x v="467"/>
    <s v="TikTok Ads"/>
    <s v="Brand Awareness"/>
    <s v="Basic Plan"/>
    <n v="20825"/>
    <n v="897"/>
    <n v="33"/>
    <n v="694.88"/>
    <n v="2550.08"/>
    <n v="4.3099999999999996"/>
    <n v="3.68"/>
    <n v="21.06"/>
    <n v="3.67"/>
    <n v="1855.2"/>
  </r>
  <r>
    <x v="467"/>
    <s v="Affiliate Marketing"/>
    <s v="Retargeting"/>
    <s v="Starter Kit"/>
    <n v="3735"/>
    <n v="232"/>
    <n v="29"/>
    <n v="330.26"/>
    <n v="4185.7700000000004"/>
    <n v="6.21"/>
    <n v="12.5"/>
    <n v="11.39"/>
    <n v="12.67"/>
    <n v="3855.51"/>
  </r>
  <r>
    <x v="467"/>
    <s v="Referral"/>
    <s v="Product Launch"/>
    <s v="Add-on Service"/>
    <n v="2615"/>
    <n v="140"/>
    <n v="17"/>
    <n v="97.55"/>
    <n v="2491.33"/>
    <n v="5.35"/>
    <n v="12.14"/>
    <n v="5.74"/>
    <n v="25.54"/>
    <n v="2393.7800000000002"/>
  </r>
  <r>
    <x v="468"/>
    <s v="Google Ads"/>
    <s v="Lead Generation"/>
    <s v="Starter Kit"/>
    <n v="9734"/>
    <n v="313"/>
    <n v="28"/>
    <n v="922.77"/>
    <n v="3497.32"/>
    <n v="3.22"/>
    <n v="8.9499999999999993"/>
    <n v="32.96"/>
    <n v="3.79"/>
    <n v="2574.5500000000002"/>
  </r>
  <r>
    <x v="468"/>
    <s v="Facebook Ads"/>
    <s v="Flash Sale"/>
    <s v="Premium Plan"/>
    <n v="11613"/>
    <n v="245"/>
    <n v="18"/>
    <n v="517.41999999999996"/>
    <n v="1664.8"/>
    <n v="2.11"/>
    <n v="7.35"/>
    <n v="28.75"/>
    <n v="3.22"/>
    <n v="1147.3800000000001"/>
  </r>
  <r>
    <x v="468"/>
    <s v="Instagram Ads"/>
    <s v="Retargeting"/>
    <s v="Starter Kit"/>
    <n v="10269"/>
    <n v="395"/>
    <n v="24"/>
    <n v="689.5"/>
    <n v="2516.9499999999998"/>
    <n v="3.85"/>
    <n v="6.08"/>
    <n v="28.73"/>
    <n v="3.65"/>
    <n v="1827.45"/>
  </r>
  <r>
    <x v="468"/>
    <s v="LinkedIn Ads"/>
    <s v="Product Launch"/>
    <s v="Starter Kit"/>
    <n v="3740"/>
    <n v="67"/>
    <n v="6"/>
    <n v="971.93"/>
    <n v="1180.5"/>
    <n v="1.79"/>
    <n v="8.9600000000000009"/>
    <n v="161.99"/>
    <n v="1.21"/>
    <n v="208.57"/>
  </r>
  <r>
    <x v="468"/>
    <s v="Email Marketing"/>
    <s v="Product Launch"/>
    <s v="Premium Plan"/>
    <n v="11330"/>
    <n v="2763"/>
    <n v="377"/>
    <n v="130.85"/>
    <n v="52023.66"/>
    <n v="24.39"/>
    <n v="13.64"/>
    <n v="0.35"/>
    <n v="397.58"/>
    <n v="51892.81"/>
  </r>
  <r>
    <x v="468"/>
    <s v="Organic Search"/>
    <s v="Brand Awareness"/>
    <s v="Premium Plan"/>
    <n v="14063"/>
    <n v="847"/>
    <n v="128"/>
    <n v="0"/>
    <n v="15867.2"/>
    <n v="6.02"/>
    <n v="15.11"/>
    <n v="0"/>
    <n v="0"/>
    <n v="15867.2"/>
  </r>
  <r>
    <x v="468"/>
    <s v="Display Ads"/>
    <s v="Brand Awareness"/>
    <s v="Premium Plan"/>
    <n v="22873"/>
    <n v="241"/>
    <n v="11"/>
    <n v="511.86"/>
    <n v="1344.05"/>
    <n v="1.05"/>
    <n v="4.5599999999999996"/>
    <n v="46.53"/>
    <n v="2.63"/>
    <n v="832.19"/>
  </r>
  <r>
    <x v="468"/>
    <s v="YouTube Ads"/>
    <s v="Retargeting"/>
    <s v="Add-on Service"/>
    <n v="12998"/>
    <n v="340"/>
    <n v="24"/>
    <n v="687.51"/>
    <n v="3034.64"/>
    <n v="2.62"/>
    <n v="7.06"/>
    <n v="28.65"/>
    <n v="4.41"/>
    <n v="2347.13"/>
  </r>
  <r>
    <x v="468"/>
    <s v="Twitter Ads"/>
    <s v="Lead Generation"/>
    <s v="Premium Plan"/>
    <n v="9471"/>
    <n v="236"/>
    <n v="11"/>
    <n v="437.86"/>
    <n v="1281.32"/>
    <n v="2.4900000000000002"/>
    <n v="4.66"/>
    <n v="39.81"/>
    <n v="2.93"/>
    <n v="843.46"/>
  </r>
  <r>
    <x v="468"/>
    <s v="TikTok Ads"/>
    <s v="Seasonal Promotion"/>
    <s v="Add-on Service"/>
    <n v="19495"/>
    <n v="737"/>
    <n v="23"/>
    <n v="484.07"/>
    <n v="1886.33"/>
    <n v="3.78"/>
    <n v="3.12"/>
    <n v="21.05"/>
    <n v="3.9"/>
    <n v="1402.26"/>
  </r>
  <r>
    <x v="468"/>
    <s v="Affiliate Marketing"/>
    <s v="Seasonal Promotion"/>
    <s v="Starter Kit"/>
    <n v="4389"/>
    <n v="179"/>
    <n v="14"/>
    <n v="411.16"/>
    <n v="1575.34"/>
    <n v="4.08"/>
    <n v="7.82"/>
    <n v="29.37"/>
    <n v="3.83"/>
    <n v="1164.18"/>
  </r>
  <r>
    <x v="468"/>
    <s v="Referral"/>
    <s v="Product Launch"/>
    <s v="Premium Plan"/>
    <n v="3251"/>
    <n v="220"/>
    <n v="30"/>
    <n v="127.09"/>
    <n v="3664.19"/>
    <n v="6.77"/>
    <n v="13.64"/>
    <n v="4.24"/>
    <n v="28.83"/>
    <n v="3537.1"/>
  </r>
  <r>
    <x v="469"/>
    <s v="Google Ads"/>
    <s v="Seasonal Promotion"/>
    <s v="Basic Plan"/>
    <n v="13539"/>
    <n v="648"/>
    <n v="69"/>
    <n v="1309.3499999999999"/>
    <n v="8740.14"/>
    <n v="4.79"/>
    <n v="10.65"/>
    <n v="18.98"/>
    <n v="6.68"/>
    <n v="7430.79"/>
  </r>
  <r>
    <x v="469"/>
    <s v="Facebook Ads"/>
    <s v="Retargeting"/>
    <s v="Starter Kit"/>
    <n v="17561"/>
    <n v="695"/>
    <n v="57"/>
    <n v="1003.86"/>
    <n v="7153.42"/>
    <n v="3.96"/>
    <n v="8.1999999999999993"/>
    <n v="17.61"/>
    <n v="7.13"/>
    <n v="6149.56"/>
  </r>
  <r>
    <x v="469"/>
    <s v="Instagram Ads"/>
    <s v="Flash Sale"/>
    <s v="Starter Kit"/>
    <n v="17547"/>
    <n v="493"/>
    <n v="27"/>
    <n v="587.47"/>
    <n v="2356.67"/>
    <n v="2.81"/>
    <n v="5.48"/>
    <n v="21.76"/>
    <n v="4.01"/>
    <n v="1769.2"/>
  </r>
  <r>
    <x v="469"/>
    <s v="LinkedIn Ads"/>
    <s v="Product Launch"/>
    <s v="Add-on Service"/>
    <n v="4754"/>
    <n v="139"/>
    <n v="17"/>
    <n v="1197.3499999999999"/>
    <n v="3621.33"/>
    <n v="2.92"/>
    <n v="12.23"/>
    <n v="70.430000000000007"/>
    <n v="3.02"/>
    <n v="2423.98"/>
  </r>
  <r>
    <x v="469"/>
    <s v="Email Marketing"/>
    <s v="Lead Generation"/>
    <s v="Premium Plan"/>
    <n v="16237"/>
    <n v="2752"/>
    <n v="273"/>
    <n v="109.9"/>
    <n v="38223.53"/>
    <n v="16.95"/>
    <n v="9.92"/>
    <n v="0.4"/>
    <n v="347.8"/>
    <n v="38113.629999999997"/>
  </r>
  <r>
    <x v="469"/>
    <s v="Organic Search"/>
    <s v="Product Launch"/>
    <s v="Premium Plan"/>
    <n v="23589"/>
    <n v="977"/>
    <n v="116"/>
    <n v="0"/>
    <n v="11897.24"/>
    <n v="4.1399999999999997"/>
    <n v="11.87"/>
    <n v="0"/>
    <n v="0"/>
    <n v="11897.24"/>
  </r>
  <r>
    <x v="469"/>
    <s v="Display Ads"/>
    <s v="Flash Sale"/>
    <s v="Add-on Service"/>
    <n v="27730"/>
    <n v="398"/>
    <n v="12"/>
    <n v="771.34"/>
    <n v="1307.21"/>
    <n v="1.44"/>
    <n v="3.02"/>
    <n v="64.28"/>
    <n v="1.69"/>
    <n v="535.87"/>
  </r>
  <r>
    <x v="469"/>
    <s v="YouTube Ads"/>
    <s v="Lead Generation"/>
    <s v="Starter Kit"/>
    <n v="21128"/>
    <n v="464"/>
    <n v="29"/>
    <n v="1390.06"/>
    <n v="3144.5"/>
    <n v="2.2000000000000002"/>
    <n v="6.25"/>
    <n v="47.93"/>
    <n v="2.2599999999999998"/>
    <n v="1754.44"/>
  </r>
  <r>
    <x v="469"/>
    <s v="Twitter Ads"/>
    <s v="Flash Sale"/>
    <s v="Premium Plan"/>
    <n v="11596"/>
    <n v="352"/>
    <n v="17"/>
    <n v="459.53"/>
    <n v="1495.65"/>
    <n v="3.04"/>
    <n v="4.83"/>
    <n v="27.03"/>
    <n v="3.25"/>
    <n v="1036.1199999999999"/>
  </r>
  <r>
    <x v="469"/>
    <s v="TikTok Ads"/>
    <s v="Retargeting"/>
    <s v="Add-on Service"/>
    <n v="25344"/>
    <n v="979"/>
    <n v="62"/>
    <n v="753.23"/>
    <n v="5358.22"/>
    <n v="3.86"/>
    <n v="6.33"/>
    <n v="12.15"/>
    <n v="7.11"/>
    <n v="4604.99"/>
  </r>
  <r>
    <x v="469"/>
    <s v="Affiliate Marketing"/>
    <s v="Seasonal Promotion"/>
    <s v="Add-on Service"/>
    <n v="8506"/>
    <n v="457"/>
    <n v="41"/>
    <n v="384.67"/>
    <n v="5572.23"/>
    <n v="5.37"/>
    <n v="8.9700000000000006"/>
    <n v="9.3800000000000008"/>
    <n v="14.49"/>
    <n v="5187.5600000000004"/>
  </r>
  <r>
    <x v="469"/>
    <s v="Referral"/>
    <s v="Retargeting"/>
    <s v="Premium Plan"/>
    <n v="3827"/>
    <n v="197"/>
    <n v="33"/>
    <n v="164.97"/>
    <n v="4577.63"/>
    <n v="5.15"/>
    <n v="16.75"/>
    <n v="5"/>
    <n v="27.75"/>
    <n v="4412.66"/>
  </r>
  <r>
    <x v="470"/>
    <s v="Google Ads"/>
    <s v="Seasonal Promotion"/>
    <s v="Add-on Service"/>
    <n v="9825"/>
    <n v="460"/>
    <n v="46"/>
    <n v="1069.07"/>
    <n v="8381.41"/>
    <n v="4.68"/>
    <n v="10"/>
    <n v="23.24"/>
    <n v="7.84"/>
    <n v="7312.34"/>
  </r>
  <r>
    <x v="470"/>
    <s v="Facebook Ads"/>
    <s v="Seasonal Promotion"/>
    <s v="Premium Plan"/>
    <n v="15494"/>
    <n v="560"/>
    <n v="42"/>
    <n v="660.68"/>
    <n v="4435.0600000000004"/>
    <n v="3.61"/>
    <n v="7.5"/>
    <n v="15.73"/>
    <n v="6.71"/>
    <n v="3774.38"/>
  </r>
  <r>
    <x v="470"/>
    <s v="Instagram Ads"/>
    <s v="Lead Generation"/>
    <s v="Premium Plan"/>
    <n v="15372"/>
    <n v="485"/>
    <n v="33"/>
    <n v="736"/>
    <n v="3459.81"/>
    <n v="3.16"/>
    <n v="6.8"/>
    <n v="22.3"/>
    <n v="4.7"/>
    <n v="2723.81"/>
  </r>
  <r>
    <x v="470"/>
    <s v="LinkedIn Ads"/>
    <s v="Lead Generation"/>
    <s v="Add-on Service"/>
    <n v="3598"/>
    <n v="80"/>
    <n v="8"/>
    <n v="1756.19"/>
    <n v="2290.6"/>
    <n v="2.2200000000000002"/>
    <n v="10"/>
    <n v="219.52"/>
    <n v="1.3"/>
    <n v="534.41"/>
  </r>
  <r>
    <x v="470"/>
    <s v="Email Marketing"/>
    <s v="Flash Sale"/>
    <s v="Basic Plan"/>
    <n v="24314"/>
    <n v="4551"/>
    <n v="577"/>
    <n v="162.16"/>
    <n v="95304.9"/>
    <n v="18.72"/>
    <n v="12.68"/>
    <n v="0.28000000000000003"/>
    <n v="587.72"/>
    <n v="95142.74"/>
  </r>
  <r>
    <x v="470"/>
    <s v="Organic Search"/>
    <s v="Brand Awareness"/>
    <s v="Add-on Service"/>
    <n v="23003"/>
    <n v="1598"/>
    <n v="209"/>
    <n v="0"/>
    <n v="26864.68"/>
    <n v="6.95"/>
    <n v="13.08"/>
    <n v="0"/>
    <n v="0"/>
    <n v="26864.68"/>
  </r>
  <r>
    <x v="470"/>
    <s v="Display Ads"/>
    <s v="Retargeting"/>
    <s v="Enterprise Plan"/>
    <n v="37774"/>
    <n v="665"/>
    <n v="16"/>
    <n v="1085.0999999999999"/>
    <n v="2070.7399999999998"/>
    <n v="1.76"/>
    <n v="2.41"/>
    <n v="67.819999999999993"/>
    <n v="1.91"/>
    <n v="985.64"/>
  </r>
  <r>
    <x v="470"/>
    <s v="YouTube Ads"/>
    <s v="Brand Awareness"/>
    <s v="Premium Plan"/>
    <n v="24743"/>
    <n v="389"/>
    <n v="27"/>
    <n v="1000.89"/>
    <n v="3561.41"/>
    <n v="1.57"/>
    <n v="6.94"/>
    <n v="37.07"/>
    <n v="3.56"/>
    <n v="2560.52"/>
  </r>
  <r>
    <x v="470"/>
    <s v="Twitter Ads"/>
    <s v="Lead Generation"/>
    <s v="Add-on Service"/>
    <n v="13697"/>
    <n v="477"/>
    <n v="26"/>
    <n v="583.16"/>
    <n v="2382.5"/>
    <n v="3.48"/>
    <n v="5.45"/>
    <n v="22.43"/>
    <n v="4.09"/>
    <n v="1799.34"/>
  </r>
  <r>
    <x v="470"/>
    <s v="TikTok Ads"/>
    <s v="Lead Generation"/>
    <s v="Basic Plan"/>
    <n v="29255"/>
    <n v="1206"/>
    <n v="75"/>
    <n v="961.37"/>
    <n v="7223.96"/>
    <n v="4.12"/>
    <n v="6.22"/>
    <n v="12.82"/>
    <n v="7.51"/>
    <n v="6262.59"/>
  </r>
  <r>
    <x v="470"/>
    <s v="Affiliate Marketing"/>
    <s v="Brand Awareness"/>
    <s v="Add-on Service"/>
    <n v="9248"/>
    <n v="402"/>
    <n v="46"/>
    <n v="630.47"/>
    <n v="5537.58"/>
    <n v="4.3499999999999996"/>
    <n v="11.44"/>
    <n v="13.71"/>
    <n v="8.7799999999999994"/>
    <n v="4907.1099999999997"/>
  </r>
  <r>
    <x v="470"/>
    <s v="Referral"/>
    <s v="Product Launch"/>
    <s v="Premium Plan"/>
    <n v="4680"/>
    <n v="382"/>
    <n v="56"/>
    <n v="151.27000000000001"/>
    <n v="7869.65"/>
    <n v="8.16"/>
    <n v="14.66"/>
    <n v="2.7"/>
    <n v="52.02"/>
    <n v="7718.38"/>
  </r>
  <r>
    <x v="471"/>
    <s v="Google Ads"/>
    <s v="Brand Awareness"/>
    <s v="Premium Plan"/>
    <n v="11128"/>
    <n v="384"/>
    <n v="33"/>
    <n v="1486.41"/>
    <n v="3895.34"/>
    <n v="3.45"/>
    <n v="8.59"/>
    <n v="45.04"/>
    <n v="2.62"/>
    <n v="2408.9299999999998"/>
  </r>
  <r>
    <x v="471"/>
    <s v="Facebook Ads"/>
    <s v="Seasonal Promotion"/>
    <s v="Enterprise Plan"/>
    <n v="17971"/>
    <n v="514"/>
    <n v="27"/>
    <n v="737.74"/>
    <n v="3163.11"/>
    <n v="2.86"/>
    <n v="5.25"/>
    <n v="27.32"/>
    <n v="4.29"/>
    <n v="2425.37"/>
  </r>
  <r>
    <x v="471"/>
    <s v="Instagram Ads"/>
    <s v="Product Launch"/>
    <s v="Add-on Service"/>
    <n v="10527"/>
    <n v="457"/>
    <n v="31"/>
    <n v="891.19"/>
    <n v="3535.41"/>
    <n v="4.34"/>
    <n v="6.78"/>
    <n v="28.75"/>
    <n v="3.97"/>
    <n v="2644.22"/>
  </r>
  <r>
    <x v="471"/>
    <s v="LinkedIn Ads"/>
    <s v="Lead Generation"/>
    <s v="Starter Kit"/>
    <n v="4895"/>
    <n v="97"/>
    <n v="10"/>
    <n v="1297.54"/>
    <n v="2826.68"/>
    <n v="1.98"/>
    <n v="10.31"/>
    <n v="129.75"/>
    <n v="2.1800000000000002"/>
    <n v="1529.14"/>
  </r>
  <r>
    <x v="471"/>
    <s v="Email Marketing"/>
    <s v="Flash Sale"/>
    <s v="Premium Plan"/>
    <n v="22250"/>
    <n v="5378"/>
    <n v="605"/>
    <n v="195.87"/>
    <n v="81760.850000000006"/>
    <n v="24.17"/>
    <n v="11.25"/>
    <n v="0.32"/>
    <n v="417.42"/>
    <n v="81564.98"/>
  </r>
  <r>
    <x v="471"/>
    <s v="Organic Search"/>
    <s v="Lead Generation"/>
    <s v="Enterprise Plan"/>
    <n v="30489"/>
    <n v="1320"/>
    <n v="164"/>
    <n v="0"/>
    <n v="15878.27"/>
    <n v="4.33"/>
    <n v="12.42"/>
    <n v="0"/>
    <n v="0"/>
    <n v="15878.27"/>
  </r>
  <r>
    <x v="471"/>
    <s v="Display Ads"/>
    <s v="Brand Awareness"/>
    <s v="Add-on Service"/>
    <n v="39241"/>
    <n v="707"/>
    <n v="34"/>
    <n v="1104.3699999999999"/>
    <n v="4590.1499999999996"/>
    <n v="1.8"/>
    <n v="4.8099999999999996"/>
    <n v="32.479999999999997"/>
    <n v="4.16"/>
    <n v="3485.78"/>
  </r>
  <r>
    <x v="471"/>
    <s v="YouTube Ads"/>
    <s v="Product Launch"/>
    <s v="Add-on Service"/>
    <n v="24879"/>
    <n v="551"/>
    <n v="41"/>
    <n v="1177.3599999999999"/>
    <n v="5959.12"/>
    <n v="2.21"/>
    <n v="7.44"/>
    <n v="28.72"/>
    <n v="5.0599999999999996"/>
    <n v="4781.76"/>
  </r>
  <r>
    <x v="471"/>
    <s v="Twitter Ads"/>
    <s v="Retargeting"/>
    <s v="Basic Plan"/>
    <n v="13183"/>
    <n v="355"/>
    <n v="13"/>
    <n v="784.16"/>
    <n v="1269.48"/>
    <n v="2.69"/>
    <n v="3.66"/>
    <n v="60.32"/>
    <n v="1.62"/>
    <n v="485.32"/>
  </r>
  <r>
    <x v="471"/>
    <s v="TikTok Ads"/>
    <s v="Seasonal Promotion"/>
    <s v="Starter Kit"/>
    <n v="24489"/>
    <n v="669"/>
    <n v="39"/>
    <n v="854.38"/>
    <n v="3504.77"/>
    <n v="2.73"/>
    <n v="5.83"/>
    <n v="21.91"/>
    <n v="4.0999999999999996"/>
    <n v="2650.39"/>
  </r>
  <r>
    <x v="471"/>
    <s v="Affiliate Marketing"/>
    <s v="Flash Sale"/>
    <s v="Enterprise Plan"/>
    <n v="6832"/>
    <n v="392"/>
    <n v="32"/>
    <n v="375.03"/>
    <n v="4521.3100000000004"/>
    <n v="5.74"/>
    <n v="8.16"/>
    <n v="11.72"/>
    <n v="12.06"/>
    <n v="4146.28"/>
  </r>
  <r>
    <x v="471"/>
    <s v="Referral"/>
    <s v="Seasonal Promotion"/>
    <s v="Enterprise Plan"/>
    <n v="3342"/>
    <n v="212"/>
    <n v="31"/>
    <n v="175.02"/>
    <n v="4619.57"/>
    <n v="6.34"/>
    <n v="14.62"/>
    <n v="5.65"/>
    <n v="26.39"/>
    <n v="4444.55"/>
  </r>
  <r>
    <x v="472"/>
    <s v="Google Ads"/>
    <s v="Seasonal Promotion"/>
    <s v="Add-on Service"/>
    <n v="12120"/>
    <n v="445"/>
    <n v="42"/>
    <n v="1348.7"/>
    <n v="4907.8500000000004"/>
    <n v="3.67"/>
    <n v="9.44"/>
    <n v="32.11"/>
    <n v="3.64"/>
    <n v="3559.15"/>
  </r>
  <r>
    <x v="472"/>
    <s v="Facebook Ads"/>
    <s v="Seasonal Promotion"/>
    <s v="Basic Plan"/>
    <n v="13688"/>
    <n v="457"/>
    <n v="39"/>
    <n v="625.26"/>
    <n v="3925.66"/>
    <n v="3.34"/>
    <n v="8.5299999999999994"/>
    <n v="16.03"/>
    <n v="6.28"/>
    <n v="3300.4"/>
  </r>
  <r>
    <x v="472"/>
    <s v="Instagram Ads"/>
    <s v="Flash Sale"/>
    <s v="Premium Plan"/>
    <n v="14260"/>
    <n v="500"/>
    <n v="34"/>
    <n v="847.93"/>
    <n v="3492.96"/>
    <n v="3.51"/>
    <n v="6.8"/>
    <n v="24.94"/>
    <n v="4.12"/>
    <n v="2645.03"/>
  </r>
  <r>
    <x v="472"/>
    <s v="LinkedIn Ads"/>
    <s v="Flash Sale"/>
    <s v="Premium Plan"/>
    <n v="5262"/>
    <n v="141"/>
    <n v="19"/>
    <n v="1631.09"/>
    <n v="4292.57"/>
    <n v="2.68"/>
    <n v="13.48"/>
    <n v="85.85"/>
    <n v="2.63"/>
    <n v="2661.48"/>
  </r>
  <r>
    <x v="472"/>
    <s v="Email Marketing"/>
    <s v="Lead Generation"/>
    <s v="Premium Plan"/>
    <n v="20907"/>
    <n v="4633"/>
    <n v="543"/>
    <n v="206.76"/>
    <n v="69032.320000000007"/>
    <n v="22.16"/>
    <n v="11.72"/>
    <n v="0.38"/>
    <n v="333.88"/>
    <n v="68825.56"/>
  </r>
  <r>
    <x v="472"/>
    <s v="Organic Search"/>
    <s v="Lead Generation"/>
    <s v="Basic Plan"/>
    <n v="20275"/>
    <n v="1046"/>
    <n v="134"/>
    <n v="0"/>
    <n v="18371.16"/>
    <n v="5.16"/>
    <n v="12.81"/>
    <n v="0"/>
    <n v="0"/>
    <n v="18371.16"/>
  </r>
  <r>
    <x v="472"/>
    <s v="Display Ads"/>
    <s v="Product Launch"/>
    <s v="Basic Plan"/>
    <n v="36376"/>
    <n v="436"/>
    <n v="16"/>
    <n v="1214.6600000000001"/>
    <n v="1409.46"/>
    <n v="1.2"/>
    <n v="3.67"/>
    <n v="75.92"/>
    <n v="1.1599999999999999"/>
    <n v="194.8"/>
  </r>
  <r>
    <x v="472"/>
    <s v="YouTube Ads"/>
    <s v="Lead Generation"/>
    <s v="Add-on Service"/>
    <n v="17591"/>
    <n v="388"/>
    <n v="16"/>
    <n v="1213.9000000000001"/>
    <n v="1523.9"/>
    <n v="2.21"/>
    <n v="4.12"/>
    <n v="75.87"/>
    <n v="1.26"/>
    <n v="310"/>
  </r>
  <r>
    <x v="472"/>
    <s v="Twitter Ads"/>
    <s v="Seasonal Promotion"/>
    <s v="Basic Plan"/>
    <n v="12248"/>
    <n v="358"/>
    <n v="19"/>
    <n v="544.59"/>
    <n v="1797.86"/>
    <n v="2.92"/>
    <n v="5.31"/>
    <n v="28.66"/>
    <n v="3.3"/>
    <n v="1253.27"/>
  </r>
  <r>
    <x v="472"/>
    <s v="TikTok Ads"/>
    <s v="Seasonal Promotion"/>
    <s v="Enterprise Plan"/>
    <n v="21348"/>
    <n v="708"/>
    <n v="35"/>
    <n v="649.09"/>
    <n v="2623.79"/>
    <n v="3.32"/>
    <n v="4.9400000000000004"/>
    <n v="18.55"/>
    <n v="4.04"/>
    <n v="1974.7"/>
  </r>
  <r>
    <x v="472"/>
    <s v="Affiliate Marketing"/>
    <s v="Product Launch"/>
    <s v="Basic Plan"/>
    <n v="8464"/>
    <n v="542"/>
    <n v="57"/>
    <n v="649.98"/>
    <n v="8076.12"/>
    <n v="6.4"/>
    <n v="10.52"/>
    <n v="11.4"/>
    <n v="12.43"/>
    <n v="7426.14"/>
  </r>
  <r>
    <x v="472"/>
    <s v="Referral"/>
    <s v="Flash Sale"/>
    <s v="Add-on Service"/>
    <n v="3110"/>
    <n v="226"/>
    <n v="38"/>
    <n v="61.38"/>
    <n v="6288.03"/>
    <n v="7.27"/>
    <n v="16.809999999999999"/>
    <n v="1.62"/>
    <n v="102.44"/>
    <n v="6226.65"/>
  </r>
  <r>
    <x v="473"/>
    <s v="Google Ads"/>
    <s v="Retargeting"/>
    <s v="Premium Plan"/>
    <n v="12768"/>
    <n v="599"/>
    <n v="63"/>
    <n v="894.52"/>
    <n v="8624.75"/>
    <n v="4.6900000000000004"/>
    <n v="10.52"/>
    <n v="14.2"/>
    <n v="9.64"/>
    <n v="7730.23"/>
  </r>
  <r>
    <x v="473"/>
    <s v="Facebook Ads"/>
    <s v="Seasonal Promotion"/>
    <s v="Enterprise Plan"/>
    <n v="14186"/>
    <n v="505"/>
    <n v="41"/>
    <n v="676.43"/>
    <n v="5815.05"/>
    <n v="3.56"/>
    <n v="8.1199999999999992"/>
    <n v="16.5"/>
    <n v="8.6"/>
    <n v="5138.62"/>
  </r>
  <r>
    <x v="473"/>
    <s v="Instagram Ads"/>
    <s v="Product Launch"/>
    <s v="Starter Kit"/>
    <n v="13133"/>
    <n v="442"/>
    <n v="18"/>
    <n v="625.84"/>
    <n v="1906.55"/>
    <n v="3.37"/>
    <n v="4.07"/>
    <n v="34.770000000000003"/>
    <n v="3.05"/>
    <n v="1280.71"/>
  </r>
  <r>
    <x v="473"/>
    <s v="LinkedIn Ads"/>
    <s v="Flash Sale"/>
    <s v="Basic Plan"/>
    <n v="3650"/>
    <n v="56"/>
    <n v="7"/>
    <n v="1496.84"/>
    <n v="2189.4499999999998"/>
    <n v="1.53"/>
    <n v="12.5"/>
    <n v="213.83"/>
    <n v="1.46"/>
    <n v="692.61"/>
  </r>
  <r>
    <x v="473"/>
    <s v="Email Marketing"/>
    <s v="Retargeting"/>
    <s v="Starter Kit"/>
    <n v="19952"/>
    <n v="4299"/>
    <n v="428"/>
    <n v="198.3"/>
    <n v="52478.94"/>
    <n v="21.55"/>
    <n v="9.9600000000000009"/>
    <n v="0.46"/>
    <n v="264.64"/>
    <n v="52280.639999999999"/>
  </r>
  <r>
    <x v="473"/>
    <s v="Organic Search"/>
    <s v="Brand Awareness"/>
    <s v="Enterprise Plan"/>
    <n v="21144"/>
    <n v="943"/>
    <n v="115"/>
    <n v="0"/>
    <n v="13675.95"/>
    <n v="4.46"/>
    <n v="12.2"/>
    <n v="0"/>
    <n v="0"/>
    <n v="13675.95"/>
  </r>
  <r>
    <x v="473"/>
    <s v="Display Ads"/>
    <s v="Flash Sale"/>
    <s v="Starter Kit"/>
    <n v="29583"/>
    <n v="297"/>
    <n v="8"/>
    <n v="1025.8800000000001"/>
    <n v="764.09"/>
    <n v="1"/>
    <n v="2.69"/>
    <n v="128.24"/>
    <n v="0.74"/>
    <n v="-261.79000000000002"/>
  </r>
  <r>
    <x v="473"/>
    <s v="YouTube Ads"/>
    <s v="Flash Sale"/>
    <s v="Basic Plan"/>
    <n v="19616"/>
    <n v="517"/>
    <n v="39"/>
    <n v="1169.5899999999999"/>
    <n v="4732.9399999999996"/>
    <n v="2.64"/>
    <n v="7.54"/>
    <n v="29.99"/>
    <n v="4.05"/>
    <n v="3563.35"/>
  </r>
  <r>
    <x v="473"/>
    <s v="Twitter Ads"/>
    <s v="Seasonal Promotion"/>
    <s v="Basic Plan"/>
    <n v="9807"/>
    <n v="330"/>
    <n v="12"/>
    <n v="510.17"/>
    <n v="1428.6"/>
    <n v="3.36"/>
    <n v="3.64"/>
    <n v="42.51"/>
    <n v="2.8"/>
    <n v="918.43"/>
  </r>
  <r>
    <x v="473"/>
    <s v="TikTok Ads"/>
    <s v="Brand Awareness"/>
    <s v="Enterprise Plan"/>
    <n v="20496"/>
    <n v="753"/>
    <n v="43"/>
    <n v="845.68"/>
    <n v="3540.4"/>
    <n v="3.67"/>
    <n v="5.71"/>
    <n v="19.670000000000002"/>
    <n v="4.1900000000000004"/>
    <n v="2694.72"/>
  </r>
  <r>
    <x v="473"/>
    <s v="Affiliate Marketing"/>
    <s v="Flash Sale"/>
    <s v="Basic Plan"/>
    <n v="7059"/>
    <n v="480"/>
    <n v="46"/>
    <n v="357.72"/>
    <n v="6481.53"/>
    <n v="6.8"/>
    <n v="9.58"/>
    <n v="7.78"/>
    <n v="18.12"/>
    <n v="6123.81"/>
  </r>
  <r>
    <x v="473"/>
    <s v="Referral"/>
    <s v="Flash Sale"/>
    <s v="Enterprise Plan"/>
    <n v="6301"/>
    <n v="415"/>
    <n v="67"/>
    <n v="195.06"/>
    <n v="9220.2800000000007"/>
    <n v="6.59"/>
    <n v="16.14"/>
    <n v="2.91"/>
    <n v="47.27"/>
    <n v="9025.2199999999993"/>
  </r>
  <r>
    <x v="474"/>
    <s v="Google Ads"/>
    <s v="Seasonal Promotion"/>
    <s v="Add-on Service"/>
    <n v="10027"/>
    <n v="391"/>
    <n v="32"/>
    <n v="663.85"/>
    <n v="4212.3100000000004"/>
    <n v="3.9"/>
    <n v="8.18"/>
    <n v="20.75"/>
    <n v="6.35"/>
    <n v="3548.46"/>
  </r>
  <r>
    <x v="474"/>
    <s v="Facebook Ads"/>
    <s v="Seasonal Promotion"/>
    <s v="Basic Plan"/>
    <n v="8738"/>
    <n v="340"/>
    <n v="24"/>
    <n v="804.6"/>
    <n v="2508.36"/>
    <n v="3.89"/>
    <n v="7.06"/>
    <n v="33.520000000000003"/>
    <n v="3.12"/>
    <n v="1703.76"/>
  </r>
  <r>
    <x v="474"/>
    <s v="Instagram Ads"/>
    <s v="Retargeting"/>
    <s v="Basic Plan"/>
    <n v="11469"/>
    <n v="353"/>
    <n v="23"/>
    <n v="376.82"/>
    <n v="2838.44"/>
    <n v="3.08"/>
    <n v="6.52"/>
    <n v="16.38"/>
    <n v="7.53"/>
    <n v="2461.62"/>
  </r>
  <r>
    <x v="474"/>
    <s v="LinkedIn Ads"/>
    <s v="Product Launch"/>
    <s v="Starter Kit"/>
    <n v="2408"/>
    <n v="53"/>
    <n v="6"/>
    <n v="704.67"/>
    <n v="1336.45"/>
    <n v="2.2000000000000002"/>
    <n v="11.32"/>
    <n v="117.44"/>
    <n v="1.9"/>
    <n v="631.78"/>
  </r>
  <r>
    <x v="474"/>
    <s v="Email Marketing"/>
    <s v="Retargeting"/>
    <s v="Premium Plan"/>
    <n v="10948"/>
    <n v="1787"/>
    <n v="225"/>
    <n v="152.83000000000001"/>
    <n v="35366.129999999997"/>
    <n v="16.32"/>
    <n v="12.59"/>
    <n v="0.68"/>
    <n v="231.41"/>
    <n v="35213.300000000003"/>
  </r>
  <r>
    <x v="474"/>
    <s v="Organic Search"/>
    <s v="Seasonal Promotion"/>
    <s v="Basic Plan"/>
    <n v="19655"/>
    <n v="1440"/>
    <n v="196"/>
    <n v="0"/>
    <n v="28735.13"/>
    <n v="7.33"/>
    <n v="13.61"/>
    <n v="0"/>
    <n v="0"/>
    <n v="28735.13"/>
  </r>
  <r>
    <x v="474"/>
    <s v="Display Ads"/>
    <s v="Brand Awareness"/>
    <s v="Enterprise Plan"/>
    <n v="18468"/>
    <n v="215"/>
    <n v="7"/>
    <n v="748.12"/>
    <n v="784.75"/>
    <n v="1.1599999999999999"/>
    <n v="3.26"/>
    <n v="106.87"/>
    <n v="1.05"/>
    <n v="36.630000000000003"/>
  </r>
  <r>
    <x v="474"/>
    <s v="YouTube Ads"/>
    <s v="Brand Awareness"/>
    <s v="Add-on Service"/>
    <n v="16513"/>
    <n v="373"/>
    <n v="21"/>
    <n v="795.63"/>
    <n v="2320.77"/>
    <n v="2.2599999999999998"/>
    <n v="5.63"/>
    <n v="37.89"/>
    <n v="2.92"/>
    <n v="1525.14"/>
  </r>
  <r>
    <x v="474"/>
    <s v="Twitter Ads"/>
    <s v="Brand Awareness"/>
    <s v="Add-on Service"/>
    <n v="5903"/>
    <n v="150"/>
    <n v="6"/>
    <n v="477.23"/>
    <n v="573.82000000000005"/>
    <n v="2.54"/>
    <n v="4"/>
    <n v="79.540000000000006"/>
    <n v="1.2"/>
    <n v="96.59"/>
  </r>
  <r>
    <x v="474"/>
    <s v="TikTok Ads"/>
    <s v="Retargeting"/>
    <s v="Premium Plan"/>
    <n v="12905"/>
    <n v="473"/>
    <n v="19"/>
    <n v="527.64"/>
    <n v="1612.55"/>
    <n v="3.67"/>
    <n v="4.0199999999999996"/>
    <n v="27.77"/>
    <n v="3.06"/>
    <n v="1084.9100000000001"/>
  </r>
  <r>
    <x v="474"/>
    <s v="Affiliate Marketing"/>
    <s v="Product Launch"/>
    <s v="Premium Plan"/>
    <n v="5135"/>
    <n v="216"/>
    <n v="21"/>
    <n v="339.93"/>
    <n v="2922.68"/>
    <n v="4.21"/>
    <n v="9.7200000000000006"/>
    <n v="16.190000000000001"/>
    <n v="8.6"/>
    <n v="2582.75"/>
  </r>
  <r>
    <x v="474"/>
    <s v="Referral"/>
    <s v="Product Launch"/>
    <s v="Enterprise Plan"/>
    <n v="3469"/>
    <n v="266"/>
    <n v="31"/>
    <n v="69.599999999999994"/>
    <n v="4964.3599999999997"/>
    <n v="7.67"/>
    <n v="11.65"/>
    <n v="2.25"/>
    <n v="71.33"/>
    <n v="4894.76"/>
  </r>
  <r>
    <x v="475"/>
    <s v="Google Ads"/>
    <s v="Product Launch"/>
    <s v="Basic Plan"/>
    <n v="6507"/>
    <n v="306"/>
    <n v="30"/>
    <n v="1040.22"/>
    <n v="4240.37"/>
    <n v="4.7"/>
    <n v="9.8000000000000007"/>
    <n v="34.67"/>
    <n v="4.08"/>
    <n v="3200.15"/>
  </r>
  <r>
    <x v="475"/>
    <s v="Facebook Ads"/>
    <s v="Lead Generation"/>
    <s v="Enterprise Plan"/>
    <n v="12248"/>
    <n v="272"/>
    <n v="18"/>
    <n v="782.22"/>
    <n v="1682.32"/>
    <n v="2.2200000000000002"/>
    <n v="6.62"/>
    <n v="43.46"/>
    <n v="2.15"/>
    <n v="900.1"/>
  </r>
  <r>
    <x v="475"/>
    <s v="Instagram Ads"/>
    <s v="Brand Awareness"/>
    <s v="Premium Plan"/>
    <n v="12330"/>
    <n v="360"/>
    <n v="18"/>
    <n v="458.5"/>
    <n v="1708.23"/>
    <n v="2.92"/>
    <n v="5"/>
    <n v="25.47"/>
    <n v="3.73"/>
    <n v="1249.73"/>
  </r>
  <r>
    <x v="475"/>
    <s v="LinkedIn Ads"/>
    <s v="Retargeting"/>
    <s v="Basic Plan"/>
    <n v="3087"/>
    <n v="53"/>
    <n v="7"/>
    <n v="904.68"/>
    <n v="2587.85"/>
    <n v="1.72"/>
    <n v="13.21"/>
    <n v="129.24"/>
    <n v="2.86"/>
    <n v="1683.17"/>
  </r>
  <r>
    <x v="475"/>
    <s v="Email Marketing"/>
    <s v="Retargeting"/>
    <s v="Premium Plan"/>
    <n v="12118"/>
    <n v="2336"/>
    <n v="190"/>
    <n v="183.51"/>
    <n v="24412.53"/>
    <n v="19.28"/>
    <n v="8.1300000000000008"/>
    <n v="0.97"/>
    <n v="133.03"/>
    <n v="24229.02"/>
  </r>
  <r>
    <x v="475"/>
    <s v="Organic Search"/>
    <s v="Brand Awareness"/>
    <s v="Basic Plan"/>
    <n v="15837"/>
    <n v="1189"/>
    <n v="119"/>
    <n v="0"/>
    <n v="12180.44"/>
    <n v="7.51"/>
    <n v="10.01"/>
    <n v="0"/>
    <n v="0"/>
    <n v="12180.44"/>
  </r>
  <r>
    <x v="475"/>
    <s v="Display Ads"/>
    <s v="Seasonal Promotion"/>
    <s v="Enterprise Plan"/>
    <n v="19925"/>
    <n v="284"/>
    <n v="12"/>
    <n v="829.3"/>
    <n v="1325.91"/>
    <n v="1.43"/>
    <n v="4.2300000000000004"/>
    <n v="69.11"/>
    <n v="1.6"/>
    <n v="496.61"/>
  </r>
  <r>
    <x v="475"/>
    <s v="YouTube Ads"/>
    <s v="Seasonal Promotion"/>
    <s v="Starter Kit"/>
    <n v="16459"/>
    <n v="384"/>
    <n v="28"/>
    <n v="706.46"/>
    <n v="3946.87"/>
    <n v="2.33"/>
    <n v="7.29"/>
    <n v="25.23"/>
    <n v="5.59"/>
    <n v="3240.41"/>
  </r>
  <r>
    <x v="475"/>
    <s v="Twitter Ads"/>
    <s v="Brand Awareness"/>
    <s v="Add-on Service"/>
    <n v="7478"/>
    <n v="247"/>
    <n v="10"/>
    <n v="304.92"/>
    <n v="893.41"/>
    <n v="3.3"/>
    <n v="4.05"/>
    <n v="30.49"/>
    <n v="2.93"/>
    <n v="588.49"/>
  </r>
  <r>
    <x v="475"/>
    <s v="TikTok Ads"/>
    <s v="Product Launch"/>
    <s v="Add-on Service"/>
    <n v="18671"/>
    <n v="604"/>
    <n v="25"/>
    <n v="666.42"/>
    <n v="2433.33"/>
    <n v="3.23"/>
    <n v="4.1399999999999997"/>
    <n v="26.66"/>
    <n v="3.65"/>
    <n v="1766.91"/>
  </r>
  <r>
    <x v="475"/>
    <s v="Affiliate Marketing"/>
    <s v="Product Launch"/>
    <s v="Add-on Service"/>
    <n v="6806"/>
    <n v="287"/>
    <n v="25"/>
    <n v="478.24"/>
    <n v="3278.64"/>
    <n v="4.22"/>
    <n v="8.7100000000000009"/>
    <n v="19.13"/>
    <n v="6.86"/>
    <n v="2800.4"/>
  </r>
  <r>
    <x v="475"/>
    <s v="Referral"/>
    <s v="Product Launch"/>
    <s v="Add-on Service"/>
    <n v="4642"/>
    <n v="429"/>
    <n v="58"/>
    <n v="105.96"/>
    <n v="6679.2"/>
    <n v="9.24"/>
    <n v="13.52"/>
    <n v="1.83"/>
    <n v="63.04"/>
    <n v="6573.24"/>
  </r>
  <r>
    <x v="476"/>
    <s v="Google Ads"/>
    <s v="Brand Awareness"/>
    <s v="Premium Plan"/>
    <n v="14240"/>
    <n v="657"/>
    <n v="77"/>
    <n v="811.43"/>
    <n v="10371.1"/>
    <n v="4.6100000000000003"/>
    <n v="11.72"/>
    <n v="10.54"/>
    <n v="12.78"/>
    <n v="9559.67"/>
  </r>
  <r>
    <x v="476"/>
    <s v="Facebook Ads"/>
    <s v="Lead Generation"/>
    <s v="Enterprise Plan"/>
    <n v="14686"/>
    <n v="325"/>
    <n v="17"/>
    <n v="946.35"/>
    <n v="2265.9"/>
    <n v="2.21"/>
    <n v="5.23"/>
    <n v="55.67"/>
    <n v="2.39"/>
    <n v="1319.55"/>
  </r>
  <r>
    <x v="476"/>
    <s v="Instagram Ads"/>
    <s v="Retargeting"/>
    <s v="Basic Plan"/>
    <n v="17731"/>
    <n v="631"/>
    <n v="35"/>
    <n v="646.72"/>
    <n v="2701.2"/>
    <n v="3.56"/>
    <n v="5.55"/>
    <n v="18.48"/>
    <n v="4.18"/>
    <n v="2054.48"/>
  </r>
  <r>
    <x v="476"/>
    <s v="LinkedIn Ads"/>
    <s v="Product Launch"/>
    <s v="Add-on Service"/>
    <n v="5781"/>
    <n v="98"/>
    <n v="11"/>
    <n v="1072.01"/>
    <n v="2722.15"/>
    <n v="1.7"/>
    <n v="11.22"/>
    <n v="97.46"/>
    <n v="2.54"/>
    <n v="1650.14"/>
  </r>
  <r>
    <x v="476"/>
    <s v="Email Marketing"/>
    <s v="Seasonal Promotion"/>
    <s v="Add-on Service"/>
    <n v="18310"/>
    <n v="3325"/>
    <n v="382"/>
    <n v="146.46"/>
    <n v="48207.93"/>
    <n v="18.16"/>
    <n v="11.49"/>
    <n v="0.38"/>
    <n v="329.15"/>
    <n v="48061.47"/>
  </r>
  <r>
    <x v="476"/>
    <s v="Organic Search"/>
    <s v="Retargeting"/>
    <s v="Starter Kit"/>
    <n v="24556"/>
    <n v="1133"/>
    <n v="120"/>
    <n v="0"/>
    <n v="17795.98"/>
    <n v="4.6100000000000003"/>
    <n v="10.59"/>
    <n v="0"/>
    <n v="0"/>
    <n v="17795.98"/>
  </r>
  <r>
    <x v="476"/>
    <s v="Display Ads"/>
    <s v="Seasonal Promotion"/>
    <s v="Basic Plan"/>
    <n v="25237"/>
    <n v="440"/>
    <n v="20"/>
    <n v="822.5"/>
    <n v="2208.0300000000002"/>
    <n v="1.74"/>
    <n v="4.55"/>
    <n v="41.12"/>
    <n v="2.68"/>
    <n v="1385.53"/>
  </r>
  <r>
    <x v="476"/>
    <s v="YouTube Ads"/>
    <s v="Product Launch"/>
    <s v="Premium Plan"/>
    <n v="17760"/>
    <n v="467"/>
    <n v="25"/>
    <n v="1350.27"/>
    <n v="2417.73"/>
    <n v="2.63"/>
    <n v="5.35"/>
    <n v="54.01"/>
    <n v="1.79"/>
    <n v="1067.46"/>
  </r>
  <r>
    <x v="476"/>
    <s v="Twitter Ads"/>
    <s v="Flash Sale"/>
    <s v="Add-on Service"/>
    <n v="13929"/>
    <n v="389"/>
    <n v="19"/>
    <n v="642.89"/>
    <n v="1913.67"/>
    <n v="2.79"/>
    <n v="4.88"/>
    <n v="33.840000000000003"/>
    <n v="2.98"/>
    <n v="1270.78"/>
  </r>
  <r>
    <x v="476"/>
    <s v="TikTok Ads"/>
    <s v="Flash Sale"/>
    <s v="Basic Plan"/>
    <n v="20445"/>
    <n v="696"/>
    <n v="26"/>
    <n v="848.32"/>
    <n v="2623.24"/>
    <n v="3.4"/>
    <n v="3.74"/>
    <n v="32.630000000000003"/>
    <n v="3.09"/>
    <n v="1774.92"/>
  </r>
  <r>
    <x v="476"/>
    <s v="Affiliate Marketing"/>
    <s v="Flash Sale"/>
    <s v="Basic Plan"/>
    <n v="7642"/>
    <n v="509"/>
    <n v="57"/>
    <n v="625.65"/>
    <n v="6625.87"/>
    <n v="6.66"/>
    <n v="11.2"/>
    <n v="10.98"/>
    <n v="10.59"/>
    <n v="6000.22"/>
  </r>
  <r>
    <x v="476"/>
    <s v="Referral"/>
    <s v="Lead Generation"/>
    <s v="Starter Kit"/>
    <n v="4233"/>
    <n v="214"/>
    <n v="27"/>
    <n v="53.3"/>
    <n v="4029.83"/>
    <n v="5.0599999999999996"/>
    <n v="12.62"/>
    <n v="1.97"/>
    <n v="75.61"/>
    <n v="3976.53"/>
  </r>
  <r>
    <x v="477"/>
    <s v="Google Ads"/>
    <s v="Seasonal Promotion"/>
    <s v="Enterprise Plan"/>
    <n v="10049"/>
    <n v="301"/>
    <n v="34"/>
    <n v="1121.48"/>
    <n v="4942.92"/>
    <n v="3"/>
    <n v="11.3"/>
    <n v="32.979999999999997"/>
    <n v="4.41"/>
    <n v="3821.44"/>
  </r>
  <r>
    <x v="477"/>
    <s v="Facebook Ads"/>
    <s v="Brand Awareness"/>
    <s v="Enterprise Plan"/>
    <n v="16672"/>
    <n v="607"/>
    <n v="52"/>
    <n v="1099.4100000000001"/>
    <n v="6050.78"/>
    <n v="3.64"/>
    <n v="8.57"/>
    <n v="21.14"/>
    <n v="5.5"/>
    <n v="4951.37"/>
  </r>
  <r>
    <x v="477"/>
    <s v="Instagram Ads"/>
    <s v="Flash Sale"/>
    <s v="Basic Plan"/>
    <n v="17093"/>
    <n v="729"/>
    <n v="56"/>
    <n v="586.53"/>
    <n v="6137.84"/>
    <n v="4.26"/>
    <n v="7.68"/>
    <n v="10.47"/>
    <n v="10.46"/>
    <n v="5551.31"/>
  </r>
  <r>
    <x v="477"/>
    <s v="LinkedIn Ads"/>
    <s v="Flash Sale"/>
    <s v="Add-on Service"/>
    <n v="4056"/>
    <n v="77"/>
    <n v="8"/>
    <n v="1610.79"/>
    <n v="2486.1799999999998"/>
    <n v="1.9"/>
    <n v="10.39"/>
    <n v="201.35"/>
    <n v="1.54"/>
    <n v="875.39"/>
  </r>
  <r>
    <x v="477"/>
    <s v="Email Marketing"/>
    <s v="Retargeting"/>
    <s v="Starter Kit"/>
    <n v="16931"/>
    <n v="2998"/>
    <n v="290"/>
    <n v="217.89"/>
    <n v="36677.75"/>
    <n v="17.71"/>
    <n v="9.67"/>
    <n v="0.75"/>
    <n v="168.33"/>
    <n v="36459.86"/>
  </r>
  <r>
    <x v="477"/>
    <s v="Organic Search"/>
    <s v="Lead Generation"/>
    <s v="Starter Kit"/>
    <n v="24740"/>
    <n v="1776"/>
    <n v="179"/>
    <n v="0"/>
    <n v="21554.58"/>
    <n v="7.18"/>
    <n v="10.08"/>
    <n v="0"/>
    <n v="0"/>
    <n v="21554.58"/>
  </r>
  <r>
    <x v="477"/>
    <s v="Display Ads"/>
    <s v="Product Launch"/>
    <s v="Starter Kit"/>
    <n v="37937"/>
    <n v="641"/>
    <n v="18"/>
    <n v="776.49"/>
    <n v="1951.58"/>
    <n v="1.69"/>
    <n v="2.81"/>
    <n v="43.14"/>
    <n v="2.5099999999999998"/>
    <n v="1175.0899999999999"/>
  </r>
  <r>
    <x v="477"/>
    <s v="YouTube Ads"/>
    <s v="Seasonal Promotion"/>
    <s v="Enterprise Plan"/>
    <n v="18890"/>
    <n v="304"/>
    <n v="12"/>
    <n v="1161.6600000000001"/>
    <n v="1613.26"/>
    <n v="1.61"/>
    <n v="3.95"/>
    <n v="96.8"/>
    <n v="1.39"/>
    <n v="451.6"/>
  </r>
  <r>
    <x v="477"/>
    <s v="Twitter Ads"/>
    <s v="Product Launch"/>
    <s v="Starter Kit"/>
    <n v="9802"/>
    <n v="240"/>
    <n v="13"/>
    <n v="746.54"/>
    <n v="1510.84"/>
    <n v="2.4500000000000002"/>
    <n v="5.42"/>
    <n v="57.43"/>
    <n v="2.02"/>
    <n v="764.3"/>
  </r>
  <r>
    <x v="477"/>
    <s v="TikTok Ads"/>
    <s v="Seasonal Promotion"/>
    <s v="Basic Plan"/>
    <n v="27918"/>
    <n v="1192"/>
    <n v="80"/>
    <n v="937.6"/>
    <n v="6765.28"/>
    <n v="4.2699999999999996"/>
    <n v="6.71"/>
    <n v="11.72"/>
    <n v="7.22"/>
    <n v="5827.68"/>
  </r>
  <r>
    <x v="477"/>
    <s v="Affiliate Marketing"/>
    <s v="Product Launch"/>
    <s v="Premium Plan"/>
    <n v="8257"/>
    <n v="491"/>
    <n v="59"/>
    <n v="655.97"/>
    <n v="6327.56"/>
    <n v="5.95"/>
    <n v="12.02"/>
    <n v="11.12"/>
    <n v="9.65"/>
    <n v="5671.59"/>
  </r>
  <r>
    <x v="477"/>
    <s v="Referral"/>
    <s v="Product Launch"/>
    <s v="Starter Kit"/>
    <n v="4762"/>
    <n v="460"/>
    <n v="68"/>
    <n v="147.71"/>
    <n v="11730.2"/>
    <n v="9.66"/>
    <n v="14.78"/>
    <n v="2.17"/>
    <n v="79.41"/>
    <n v="11582.49"/>
  </r>
  <r>
    <x v="478"/>
    <s v="Google Ads"/>
    <s v="Product Launch"/>
    <s v="Premium Plan"/>
    <n v="8556"/>
    <n v="420"/>
    <n v="43"/>
    <n v="994.96"/>
    <n v="6574.1"/>
    <n v="4.91"/>
    <n v="10.24"/>
    <n v="23.14"/>
    <n v="6.61"/>
    <n v="5579.14"/>
  </r>
  <r>
    <x v="478"/>
    <s v="Facebook Ads"/>
    <s v="Flash Sale"/>
    <s v="Premium Plan"/>
    <n v="18105"/>
    <n v="538"/>
    <n v="36"/>
    <n v="671.25"/>
    <n v="4931.6400000000003"/>
    <n v="2.97"/>
    <n v="6.69"/>
    <n v="18.649999999999999"/>
    <n v="7.35"/>
    <n v="4260.3900000000003"/>
  </r>
  <r>
    <x v="478"/>
    <s v="Instagram Ads"/>
    <s v="Brand Awareness"/>
    <s v="Basic Plan"/>
    <n v="15395"/>
    <n v="673"/>
    <n v="37"/>
    <n v="789.37"/>
    <n v="3759.33"/>
    <n v="4.37"/>
    <n v="5.5"/>
    <n v="21.33"/>
    <n v="4.76"/>
    <n v="2969.96"/>
  </r>
  <r>
    <x v="478"/>
    <s v="LinkedIn Ads"/>
    <s v="Brand Awareness"/>
    <s v="Basic Plan"/>
    <n v="4676"/>
    <n v="71"/>
    <n v="7"/>
    <n v="945.87"/>
    <n v="1852.26"/>
    <n v="1.52"/>
    <n v="9.86"/>
    <n v="135.12"/>
    <n v="1.96"/>
    <n v="906.39"/>
  </r>
  <r>
    <x v="478"/>
    <s v="Email Marketing"/>
    <s v="Seasonal Promotion"/>
    <s v="Premium Plan"/>
    <n v="17942"/>
    <n v="3806"/>
    <n v="336"/>
    <n v="295.38"/>
    <n v="48830.879999999997"/>
    <n v="21.21"/>
    <n v="8.83"/>
    <n v="0.88"/>
    <n v="165.32"/>
    <n v="48535.5"/>
  </r>
  <r>
    <x v="478"/>
    <s v="Organic Search"/>
    <s v="Brand Awareness"/>
    <s v="Enterprise Plan"/>
    <n v="27667"/>
    <n v="1531"/>
    <n v="160"/>
    <n v="0"/>
    <n v="18236.34"/>
    <n v="5.53"/>
    <n v="10.45"/>
    <n v="0"/>
    <n v="0"/>
    <n v="18236.34"/>
  </r>
  <r>
    <x v="478"/>
    <s v="Display Ads"/>
    <s v="Seasonal Promotion"/>
    <s v="Starter Kit"/>
    <n v="33893"/>
    <n v="396"/>
    <n v="14"/>
    <n v="1153.3499999999999"/>
    <n v="1251.72"/>
    <n v="1.17"/>
    <n v="3.54"/>
    <n v="82.38"/>
    <n v="1.0900000000000001"/>
    <n v="98.37"/>
  </r>
  <r>
    <x v="478"/>
    <s v="YouTube Ads"/>
    <s v="Brand Awareness"/>
    <s v="Starter Kit"/>
    <n v="16408"/>
    <n v="255"/>
    <n v="11"/>
    <n v="1268.52"/>
    <n v="1394.74"/>
    <n v="1.55"/>
    <n v="4.3099999999999996"/>
    <n v="115.32"/>
    <n v="1.1000000000000001"/>
    <n v="126.22"/>
  </r>
  <r>
    <x v="478"/>
    <s v="Twitter Ads"/>
    <s v="Flash Sale"/>
    <s v="Add-on Service"/>
    <n v="10996"/>
    <n v="274"/>
    <n v="12"/>
    <n v="732.57"/>
    <n v="1244.82"/>
    <n v="2.4900000000000002"/>
    <n v="4.38"/>
    <n v="61.05"/>
    <n v="1.7"/>
    <n v="512.25"/>
  </r>
  <r>
    <x v="478"/>
    <s v="TikTok Ads"/>
    <s v="Flash Sale"/>
    <s v="Basic Plan"/>
    <n v="19500"/>
    <n v="612"/>
    <n v="29"/>
    <n v="745.2"/>
    <n v="2647.79"/>
    <n v="3.14"/>
    <n v="4.74"/>
    <n v="25.7"/>
    <n v="3.55"/>
    <n v="1902.59"/>
  </r>
  <r>
    <x v="478"/>
    <s v="Affiliate Marketing"/>
    <s v="Retargeting"/>
    <s v="Starter Kit"/>
    <n v="9822"/>
    <n v="635"/>
    <n v="61"/>
    <n v="543.21"/>
    <n v="8701.14"/>
    <n v="6.47"/>
    <n v="9.61"/>
    <n v="8.91"/>
    <n v="16.02"/>
    <n v="8157.93"/>
  </r>
  <r>
    <x v="478"/>
    <s v="Referral"/>
    <s v="Seasonal Promotion"/>
    <s v="Add-on Service"/>
    <n v="3786"/>
    <n v="256"/>
    <n v="45"/>
    <n v="101.01"/>
    <n v="5865.12"/>
    <n v="6.76"/>
    <n v="17.579999999999998"/>
    <n v="2.2400000000000002"/>
    <n v="58.06"/>
    <n v="5764.11"/>
  </r>
  <r>
    <x v="479"/>
    <s v="Google Ads"/>
    <s v="Flash Sale"/>
    <s v="Premium Plan"/>
    <n v="13814"/>
    <n v="557"/>
    <n v="58"/>
    <n v="910.23"/>
    <n v="9357.7199999999993"/>
    <n v="4.03"/>
    <n v="10.41"/>
    <n v="15.69"/>
    <n v="10.28"/>
    <n v="8447.49"/>
  </r>
  <r>
    <x v="479"/>
    <s v="Facebook Ads"/>
    <s v="Retargeting"/>
    <s v="Premium Plan"/>
    <n v="16183"/>
    <n v="559"/>
    <n v="33"/>
    <n v="624.86"/>
    <n v="3122.36"/>
    <n v="3.45"/>
    <n v="5.9"/>
    <n v="18.940000000000001"/>
    <n v="5"/>
    <n v="2497.5"/>
  </r>
  <r>
    <x v="479"/>
    <s v="Instagram Ads"/>
    <s v="Seasonal Promotion"/>
    <s v="Basic Plan"/>
    <n v="13105"/>
    <n v="584"/>
    <n v="34"/>
    <n v="515.69000000000005"/>
    <n v="3048.17"/>
    <n v="4.46"/>
    <n v="5.82"/>
    <n v="15.17"/>
    <n v="5.91"/>
    <n v="2532.48"/>
  </r>
  <r>
    <x v="479"/>
    <s v="LinkedIn Ads"/>
    <s v="Flash Sale"/>
    <s v="Premium Plan"/>
    <n v="5632"/>
    <n v="130"/>
    <n v="15"/>
    <n v="1388.59"/>
    <n v="3180.66"/>
    <n v="2.31"/>
    <n v="11.54"/>
    <n v="92.57"/>
    <n v="2.29"/>
    <n v="1792.07"/>
  </r>
  <r>
    <x v="479"/>
    <s v="Email Marketing"/>
    <s v="Flash Sale"/>
    <s v="Starter Kit"/>
    <n v="20411"/>
    <n v="4597"/>
    <n v="432"/>
    <n v="120.78"/>
    <n v="52123.97"/>
    <n v="22.52"/>
    <n v="9.4"/>
    <n v="0.28000000000000003"/>
    <n v="431.56"/>
    <n v="52003.19"/>
  </r>
  <r>
    <x v="479"/>
    <s v="Organic Search"/>
    <s v="Flash Sale"/>
    <s v="Add-on Service"/>
    <n v="31817"/>
    <n v="2353"/>
    <n v="306"/>
    <n v="0"/>
    <n v="40913.15"/>
    <n v="7.4"/>
    <n v="13"/>
    <n v="0"/>
    <n v="0"/>
    <n v="40913.15"/>
  </r>
  <r>
    <x v="479"/>
    <s v="Display Ads"/>
    <s v="Flash Sale"/>
    <s v="Enterprise Plan"/>
    <n v="29479"/>
    <n v="429"/>
    <n v="18"/>
    <n v="1041.02"/>
    <n v="2073.66"/>
    <n v="1.46"/>
    <n v="4.2"/>
    <n v="57.83"/>
    <n v="1.99"/>
    <n v="1032.6400000000001"/>
  </r>
  <r>
    <x v="479"/>
    <s v="YouTube Ads"/>
    <s v="Lead Generation"/>
    <s v="Add-on Service"/>
    <n v="21037"/>
    <n v="599"/>
    <n v="44"/>
    <n v="818.82"/>
    <n v="5512.9"/>
    <n v="2.85"/>
    <n v="7.35"/>
    <n v="18.61"/>
    <n v="6.73"/>
    <n v="4694.08"/>
  </r>
  <r>
    <x v="479"/>
    <s v="Twitter Ads"/>
    <s v="Flash Sale"/>
    <s v="Add-on Service"/>
    <n v="9316"/>
    <n v="211"/>
    <n v="12"/>
    <n v="672.97"/>
    <n v="1240.22"/>
    <n v="2.2599999999999998"/>
    <n v="5.69"/>
    <n v="56.08"/>
    <n v="1.84"/>
    <n v="567.25"/>
  </r>
  <r>
    <x v="479"/>
    <s v="TikTok Ads"/>
    <s v="Brand Awareness"/>
    <s v="Add-on Service"/>
    <n v="26982"/>
    <n v="682"/>
    <n v="42"/>
    <n v="1085.27"/>
    <n v="4263.63"/>
    <n v="2.5299999999999998"/>
    <n v="6.16"/>
    <n v="25.84"/>
    <n v="3.93"/>
    <n v="3178.36"/>
  </r>
  <r>
    <x v="479"/>
    <s v="Affiliate Marketing"/>
    <s v="Retargeting"/>
    <s v="Basic Plan"/>
    <n v="8579"/>
    <n v="579"/>
    <n v="72"/>
    <n v="484.52"/>
    <n v="9710.5300000000007"/>
    <n v="6.75"/>
    <n v="12.44"/>
    <n v="6.73"/>
    <n v="20.04"/>
    <n v="9226.01"/>
  </r>
  <r>
    <x v="479"/>
    <s v="Referral"/>
    <s v="Flash Sale"/>
    <s v="Add-on Service"/>
    <n v="6050"/>
    <n v="313"/>
    <n v="46"/>
    <n v="131.47"/>
    <n v="6362.64"/>
    <n v="5.17"/>
    <n v="14.7"/>
    <n v="2.86"/>
    <n v="48.4"/>
    <n v="6231.17"/>
  </r>
  <r>
    <x v="480"/>
    <s v="Google Ads"/>
    <s v="Lead Generation"/>
    <s v="Basic Plan"/>
    <n v="9820"/>
    <n v="325"/>
    <n v="37"/>
    <n v="1007.9"/>
    <n v="4928.55"/>
    <n v="3.31"/>
    <n v="11.38"/>
    <n v="27.24"/>
    <n v="4.8899999999999997"/>
    <n v="3920.65"/>
  </r>
  <r>
    <x v="480"/>
    <s v="Facebook Ads"/>
    <s v="Brand Awareness"/>
    <s v="Enterprise Plan"/>
    <n v="12052"/>
    <n v="446"/>
    <n v="38"/>
    <n v="973.91"/>
    <n v="4837.2700000000004"/>
    <n v="3.7"/>
    <n v="8.52"/>
    <n v="25.63"/>
    <n v="4.97"/>
    <n v="3863.36"/>
  </r>
  <r>
    <x v="480"/>
    <s v="Instagram Ads"/>
    <s v="Lead Generation"/>
    <s v="Add-on Service"/>
    <n v="14681"/>
    <n v="486"/>
    <n v="38"/>
    <n v="760.45"/>
    <n v="3022.2"/>
    <n v="3.31"/>
    <n v="7.82"/>
    <n v="20.010000000000002"/>
    <n v="3.97"/>
    <n v="2261.75"/>
  </r>
  <r>
    <x v="480"/>
    <s v="LinkedIn Ads"/>
    <s v="Product Launch"/>
    <s v="Premium Plan"/>
    <n v="5749"/>
    <n v="107"/>
    <n v="11"/>
    <n v="1552.55"/>
    <n v="2654.55"/>
    <n v="1.86"/>
    <n v="10.28"/>
    <n v="141.13999999999999"/>
    <n v="1.71"/>
    <n v="1102"/>
  </r>
  <r>
    <x v="480"/>
    <s v="Email Marketing"/>
    <s v="Retargeting"/>
    <s v="Starter Kit"/>
    <n v="21497"/>
    <n v="5230"/>
    <n v="641"/>
    <n v="203"/>
    <n v="82896.34"/>
    <n v="24.33"/>
    <n v="12.26"/>
    <n v="0.32"/>
    <n v="408.36"/>
    <n v="82693.34"/>
  </r>
  <r>
    <x v="480"/>
    <s v="Organic Search"/>
    <s v="Retargeting"/>
    <s v="Basic Plan"/>
    <n v="33315"/>
    <n v="1385"/>
    <n v="216"/>
    <n v="0"/>
    <n v="29085.439999999999"/>
    <n v="4.16"/>
    <n v="15.6"/>
    <n v="0"/>
    <n v="0"/>
    <n v="29085.439999999999"/>
  </r>
  <r>
    <x v="480"/>
    <s v="Display Ads"/>
    <s v="Product Launch"/>
    <s v="Premium Plan"/>
    <n v="32205"/>
    <n v="359"/>
    <n v="8"/>
    <n v="1148.95"/>
    <n v="969.97"/>
    <n v="1.1100000000000001"/>
    <n v="2.23"/>
    <n v="143.62"/>
    <n v="0.84"/>
    <n v="-178.98"/>
  </r>
  <r>
    <x v="480"/>
    <s v="YouTube Ads"/>
    <s v="Product Launch"/>
    <s v="Basic Plan"/>
    <n v="23430"/>
    <n v="406"/>
    <n v="27"/>
    <n v="1052.3399999999999"/>
    <n v="2483.14"/>
    <n v="1.73"/>
    <n v="6.65"/>
    <n v="38.979999999999997"/>
    <n v="2.36"/>
    <n v="1430.8"/>
  </r>
  <r>
    <x v="480"/>
    <s v="Twitter Ads"/>
    <s v="Seasonal Promotion"/>
    <s v="Premium Plan"/>
    <n v="11021"/>
    <n v="318"/>
    <n v="15"/>
    <n v="611.03"/>
    <n v="1394.5"/>
    <n v="2.89"/>
    <n v="4.72"/>
    <n v="40.74"/>
    <n v="2.2799999999999998"/>
    <n v="783.47"/>
  </r>
  <r>
    <x v="480"/>
    <s v="TikTok Ads"/>
    <s v="Product Launch"/>
    <s v="Enterprise Plan"/>
    <n v="28393"/>
    <n v="977"/>
    <n v="42"/>
    <n v="628.4"/>
    <n v="3925.71"/>
    <n v="3.44"/>
    <n v="4.3"/>
    <n v="14.96"/>
    <n v="6.25"/>
    <n v="3297.31"/>
  </r>
  <r>
    <x v="480"/>
    <s v="Affiliate Marketing"/>
    <s v="Retargeting"/>
    <s v="Enterprise Plan"/>
    <n v="9500"/>
    <n v="579"/>
    <n v="59"/>
    <n v="685.34"/>
    <n v="6406.99"/>
    <n v="6.09"/>
    <n v="10.19"/>
    <n v="11.62"/>
    <n v="9.35"/>
    <n v="5721.65"/>
  </r>
  <r>
    <x v="480"/>
    <s v="Referral"/>
    <s v="Product Launch"/>
    <s v="Basic Plan"/>
    <n v="4646"/>
    <n v="269"/>
    <n v="47"/>
    <n v="50.27"/>
    <n v="7147.3"/>
    <n v="5.79"/>
    <n v="17.47"/>
    <n v="1.07"/>
    <n v="142.18"/>
    <n v="7097.03"/>
  </r>
  <r>
    <x v="481"/>
    <s v="Google Ads"/>
    <s v="Brand Awareness"/>
    <s v="Add-on Service"/>
    <n v="5702"/>
    <n v="201"/>
    <n v="19"/>
    <n v="753.77"/>
    <n v="3051.25"/>
    <n v="3.53"/>
    <n v="9.4499999999999993"/>
    <n v="39.67"/>
    <n v="4.05"/>
    <n v="2297.48"/>
  </r>
  <r>
    <x v="481"/>
    <s v="Facebook Ads"/>
    <s v="Retargeting"/>
    <s v="Basic Plan"/>
    <n v="12005"/>
    <n v="302"/>
    <n v="18"/>
    <n v="702.25"/>
    <n v="1876.16"/>
    <n v="2.52"/>
    <n v="5.96"/>
    <n v="39.01"/>
    <n v="2.67"/>
    <n v="1173.9100000000001"/>
  </r>
  <r>
    <x v="481"/>
    <s v="Instagram Ads"/>
    <s v="Product Launch"/>
    <s v="Add-on Service"/>
    <n v="9936"/>
    <n v="352"/>
    <n v="23"/>
    <n v="457.26"/>
    <n v="2399.0100000000002"/>
    <n v="3.54"/>
    <n v="6.53"/>
    <n v="19.88"/>
    <n v="5.25"/>
    <n v="1941.75"/>
  </r>
  <r>
    <x v="481"/>
    <s v="LinkedIn Ads"/>
    <s v="Brand Awareness"/>
    <s v="Starter Kit"/>
    <n v="3164"/>
    <n v="74"/>
    <n v="8"/>
    <n v="668.29"/>
    <n v="1784.92"/>
    <n v="2.34"/>
    <n v="10.81"/>
    <n v="83.54"/>
    <n v="2.67"/>
    <n v="1116.6300000000001"/>
  </r>
  <r>
    <x v="481"/>
    <s v="Email Marketing"/>
    <s v="Seasonal Promotion"/>
    <s v="Starter Kit"/>
    <n v="12039"/>
    <n v="1917"/>
    <n v="261"/>
    <n v="114.16"/>
    <n v="38398.720000000001"/>
    <n v="15.92"/>
    <n v="13.62"/>
    <n v="0.44"/>
    <n v="336.36"/>
    <n v="38284.559999999998"/>
  </r>
  <r>
    <x v="481"/>
    <s v="Organic Search"/>
    <s v="Brand Awareness"/>
    <s v="Enterprise Plan"/>
    <n v="18802"/>
    <n v="780"/>
    <n v="120"/>
    <n v="0"/>
    <n v="15688.64"/>
    <n v="4.1500000000000004"/>
    <n v="15.38"/>
    <n v="0"/>
    <n v="0"/>
    <n v="15688.64"/>
  </r>
  <r>
    <x v="481"/>
    <s v="Display Ads"/>
    <s v="Brand Awareness"/>
    <s v="Add-on Service"/>
    <n v="20741"/>
    <n v="385"/>
    <n v="9"/>
    <n v="800.02"/>
    <n v="902.67"/>
    <n v="1.86"/>
    <n v="2.34"/>
    <n v="88.89"/>
    <n v="1.1299999999999999"/>
    <n v="102.65"/>
  </r>
  <r>
    <x v="481"/>
    <s v="YouTube Ads"/>
    <s v="Retargeting"/>
    <s v="Enterprise Plan"/>
    <n v="15543"/>
    <n v="271"/>
    <n v="10"/>
    <n v="906.01"/>
    <n v="1371.49"/>
    <n v="1.74"/>
    <n v="3.69"/>
    <n v="90.6"/>
    <n v="1.51"/>
    <n v="465.48"/>
  </r>
  <r>
    <x v="481"/>
    <s v="Twitter Ads"/>
    <s v="Product Launch"/>
    <s v="Enterprise Plan"/>
    <n v="8993"/>
    <n v="199"/>
    <n v="6"/>
    <n v="350.88"/>
    <n v="475.39"/>
    <n v="2.21"/>
    <n v="3.02"/>
    <n v="58.48"/>
    <n v="1.35"/>
    <n v="124.51"/>
  </r>
  <r>
    <x v="481"/>
    <s v="TikTok Ads"/>
    <s v="Brand Awareness"/>
    <s v="Premium Plan"/>
    <n v="14111"/>
    <n v="541"/>
    <n v="35"/>
    <n v="464.78"/>
    <n v="2463.67"/>
    <n v="3.83"/>
    <n v="6.47"/>
    <n v="13.28"/>
    <n v="5.3"/>
    <n v="1998.89"/>
  </r>
  <r>
    <x v="481"/>
    <s v="Affiliate Marketing"/>
    <s v="Product Launch"/>
    <s v="Basic Plan"/>
    <n v="6946"/>
    <n v="378"/>
    <n v="35"/>
    <n v="433.41"/>
    <n v="3462.41"/>
    <n v="5.44"/>
    <n v="9.26"/>
    <n v="12.38"/>
    <n v="7.99"/>
    <n v="3029"/>
  </r>
  <r>
    <x v="481"/>
    <s v="Referral"/>
    <s v="Retargeting"/>
    <s v="Enterprise Plan"/>
    <n v="2413"/>
    <n v="239"/>
    <n v="40"/>
    <n v="136.19"/>
    <n v="5263.19"/>
    <n v="9.9"/>
    <n v="16.739999999999998"/>
    <n v="3.4"/>
    <n v="38.65"/>
    <n v="5127"/>
  </r>
  <r>
    <x v="482"/>
    <s v="Google Ads"/>
    <s v="Brand Awareness"/>
    <s v="Premium Plan"/>
    <n v="7518"/>
    <n v="301"/>
    <n v="30"/>
    <n v="704.02"/>
    <n v="5004.2"/>
    <n v="4"/>
    <n v="9.9700000000000006"/>
    <n v="23.47"/>
    <n v="7.11"/>
    <n v="4300.18"/>
  </r>
  <r>
    <x v="482"/>
    <s v="Facebook Ads"/>
    <s v="Retargeting"/>
    <s v="Starter Kit"/>
    <n v="11832"/>
    <n v="275"/>
    <n v="23"/>
    <n v="561.66999999999996"/>
    <n v="3328.42"/>
    <n v="2.3199999999999998"/>
    <n v="8.36"/>
    <n v="24.42"/>
    <n v="5.93"/>
    <n v="2766.75"/>
  </r>
  <r>
    <x v="482"/>
    <s v="Instagram Ads"/>
    <s v="Lead Generation"/>
    <s v="Premium Plan"/>
    <n v="9561"/>
    <n v="406"/>
    <n v="18"/>
    <n v="478.96"/>
    <n v="1336.3"/>
    <n v="4.25"/>
    <n v="4.43"/>
    <n v="26.61"/>
    <n v="2.79"/>
    <n v="857.34"/>
  </r>
  <r>
    <x v="482"/>
    <s v="LinkedIn Ads"/>
    <s v="Seasonal Promotion"/>
    <s v="Add-on Service"/>
    <n v="2163"/>
    <n v="58"/>
    <n v="7"/>
    <n v="913.96"/>
    <n v="1616.64"/>
    <n v="2.68"/>
    <n v="12.07"/>
    <n v="130.57"/>
    <n v="1.77"/>
    <n v="702.68"/>
  </r>
  <r>
    <x v="482"/>
    <s v="Email Marketing"/>
    <s v="Lead Generation"/>
    <s v="Starter Kit"/>
    <n v="10656"/>
    <n v="1777"/>
    <n v="247"/>
    <n v="192.9"/>
    <n v="37241.269999999997"/>
    <n v="16.68"/>
    <n v="13.9"/>
    <n v="0.78"/>
    <n v="193.06"/>
    <n v="37048.370000000003"/>
  </r>
  <r>
    <x v="482"/>
    <s v="Organic Search"/>
    <s v="Brand Awareness"/>
    <s v="Starter Kit"/>
    <n v="20326"/>
    <n v="956"/>
    <n v="123"/>
    <n v="0"/>
    <n v="15973.26"/>
    <n v="4.7"/>
    <n v="12.87"/>
    <n v="0"/>
    <n v="0"/>
    <n v="15973.26"/>
  </r>
  <r>
    <x v="482"/>
    <s v="Display Ads"/>
    <s v="Brand Awareness"/>
    <s v="Basic Plan"/>
    <n v="22182"/>
    <n v="400"/>
    <n v="11"/>
    <n v="593.46"/>
    <n v="1148.9000000000001"/>
    <n v="1.8"/>
    <n v="2.75"/>
    <n v="53.95"/>
    <n v="1.94"/>
    <n v="555.44000000000005"/>
  </r>
  <r>
    <x v="482"/>
    <s v="YouTube Ads"/>
    <s v="Flash Sale"/>
    <s v="Enterprise Plan"/>
    <n v="16043"/>
    <n v="244"/>
    <n v="15"/>
    <n v="893.51"/>
    <n v="2074.1799999999998"/>
    <n v="1.52"/>
    <n v="6.15"/>
    <n v="59.57"/>
    <n v="2.3199999999999998"/>
    <n v="1180.67"/>
  </r>
  <r>
    <x v="482"/>
    <s v="Twitter Ads"/>
    <s v="Lead Generation"/>
    <s v="Starter Kit"/>
    <n v="8245"/>
    <n v="259"/>
    <n v="7"/>
    <n v="291.83"/>
    <n v="688.22"/>
    <n v="3.14"/>
    <n v="2.7"/>
    <n v="41.69"/>
    <n v="2.36"/>
    <n v="396.39"/>
  </r>
  <r>
    <x v="482"/>
    <s v="TikTok Ads"/>
    <s v="Retargeting"/>
    <s v="Enterprise Plan"/>
    <n v="14548"/>
    <n v="617"/>
    <n v="25"/>
    <n v="602.49"/>
    <n v="2275.34"/>
    <n v="4.24"/>
    <n v="4.05"/>
    <n v="24.1"/>
    <n v="3.78"/>
    <n v="1672.85"/>
  </r>
  <r>
    <x v="482"/>
    <s v="Affiliate Marketing"/>
    <s v="Product Launch"/>
    <s v="Enterprise Plan"/>
    <n v="6252"/>
    <n v="343"/>
    <n v="31"/>
    <n v="333.28"/>
    <n v="3289.21"/>
    <n v="5.49"/>
    <n v="9.0399999999999991"/>
    <n v="10.75"/>
    <n v="9.8699999999999992"/>
    <n v="2955.93"/>
  </r>
  <r>
    <x v="482"/>
    <s v="Referral"/>
    <s v="Retargeting"/>
    <s v="Basic Plan"/>
    <n v="3397"/>
    <n v="333"/>
    <n v="51"/>
    <n v="99.49"/>
    <n v="8052.16"/>
    <n v="9.8000000000000007"/>
    <n v="15.32"/>
    <n v="1.95"/>
    <n v="80.930000000000007"/>
    <n v="7952.67"/>
  </r>
  <r>
    <x v="483"/>
    <s v="Google Ads"/>
    <s v="Seasonal Promotion"/>
    <s v="Enterprise Plan"/>
    <n v="14453"/>
    <n v="497"/>
    <n v="47"/>
    <n v="1190.56"/>
    <n v="6057.59"/>
    <n v="3.44"/>
    <n v="9.4600000000000009"/>
    <n v="25.33"/>
    <n v="5.09"/>
    <n v="4867.03"/>
  </r>
  <r>
    <x v="483"/>
    <s v="Facebook Ads"/>
    <s v="Brand Awareness"/>
    <s v="Starter Kit"/>
    <n v="19003"/>
    <n v="591"/>
    <n v="52"/>
    <n v="1034.3"/>
    <n v="5954.19"/>
    <n v="3.11"/>
    <n v="8.8000000000000007"/>
    <n v="19.89"/>
    <n v="5.76"/>
    <n v="4919.8900000000003"/>
  </r>
  <r>
    <x v="483"/>
    <s v="Instagram Ads"/>
    <s v="Flash Sale"/>
    <s v="Starter Kit"/>
    <n v="12128"/>
    <n v="481"/>
    <n v="19"/>
    <n v="572.98"/>
    <n v="1892.64"/>
    <n v="3.97"/>
    <n v="3.95"/>
    <n v="30.16"/>
    <n v="3.3"/>
    <n v="1319.66"/>
  </r>
  <r>
    <x v="483"/>
    <s v="LinkedIn Ads"/>
    <s v="Lead Generation"/>
    <s v="Basic Plan"/>
    <n v="4665"/>
    <n v="86"/>
    <n v="10"/>
    <n v="1584.96"/>
    <n v="2880.86"/>
    <n v="1.84"/>
    <n v="11.63"/>
    <n v="158.5"/>
    <n v="1.82"/>
    <n v="1295.9000000000001"/>
  </r>
  <r>
    <x v="483"/>
    <s v="Email Marketing"/>
    <s v="Product Launch"/>
    <s v="Starter Kit"/>
    <n v="22123"/>
    <n v="3478"/>
    <n v="326"/>
    <n v="189.82"/>
    <n v="48682.2"/>
    <n v="15.72"/>
    <n v="9.3699999999999992"/>
    <n v="0.57999999999999996"/>
    <n v="256.47000000000003"/>
    <n v="48492.38"/>
  </r>
  <r>
    <x v="483"/>
    <s v="Organic Search"/>
    <s v="Brand Awareness"/>
    <s v="Enterprise Plan"/>
    <n v="24370"/>
    <n v="1513"/>
    <n v="201"/>
    <n v="0"/>
    <n v="31772.19"/>
    <n v="6.21"/>
    <n v="13.28"/>
    <n v="0"/>
    <n v="0"/>
    <n v="31772.19"/>
  </r>
  <r>
    <x v="483"/>
    <s v="Display Ads"/>
    <s v="Flash Sale"/>
    <s v="Basic Plan"/>
    <n v="38217"/>
    <n v="563"/>
    <n v="27"/>
    <n v="976.17"/>
    <n v="2907.64"/>
    <n v="1.47"/>
    <n v="4.8"/>
    <n v="36.15"/>
    <n v="2.98"/>
    <n v="1931.47"/>
  </r>
  <r>
    <x v="483"/>
    <s v="YouTube Ads"/>
    <s v="Brand Awareness"/>
    <s v="Basic Plan"/>
    <n v="24164"/>
    <n v="466"/>
    <n v="35"/>
    <n v="1201.43"/>
    <n v="4603.92"/>
    <n v="1.93"/>
    <n v="7.51"/>
    <n v="34.33"/>
    <n v="3.83"/>
    <n v="3402.49"/>
  </r>
  <r>
    <x v="483"/>
    <s v="Twitter Ads"/>
    <s v="Product Launch"/>
    <s v="Premium Plan"/>
    <n v="13210"/>
    <n v="408"/>
    <n v="23"/>
    <n v="465.37"/>
    <n v="2566.85"/>
    <n v="3.09"/>
    <n v="5.64"/>
    <n v="20.23"/>
    <n v="5.52"/>
    <n v="2101.48"/>
  </r>
  <r>
    <x v="483"/>
    <s v="TikTok Ads"/>
    <s v="Lead Generation"/>
    <s v="Starter Kit"/>
    <n v="20857"/>
    <n v="917"/>
    <n v="59"/>
    <n v="949.5"/>
    <n v="5568.97"/>
    <n v="4.4000000000000004"/>
    <n v="6.43"/>
    <n v="16.09"/>
    <n v="5.87"/>
    <n v="4619.47"/>
  </r>
  <r>
    <x v="483"/>
    <s v="Affiliate Marketing"/>
    <s v="Retargeting"/>
    <s v="Enterprise Plan"/>
    <n v="5739"/>
    <n v="375"/>
    <n v="44"/>
    <n v="437.21"/>
    <n v="5240.78"/>
    <n v="6.53"/>
    <n v="11.73"/>
    <n v="9.94"/>
    <n v="11.99"/>
    <n v="4803.57"/>
  </r>
  <r>
    <x v="483"/>
    <s v="Referral"/>
    <s v="Brand Awareness"/>
    <s v="Basic Plan"/>
    <n v="3430"/>
    <n v="205"/>
    <n v="25"/>
    <n v="138.38"/>
    <n v="4268.0200000000004"/>
    <n v="5.98"/>
    <n v="12.2"/>
    <n v="5.54"/>
    <n v="30.84"/>
    <n v="4129.6400000000003"/>
  </r>
  <r>
    <x v="484"/>
    <s v="Google Ads"/>
    <s v="Flash Sale"/>
    <s v="Basic Plan"/>
    <n v="13956"/>
    <n v="636"/>
    <n v="62"/>
    <n v="1083.52"/>
    <n v="10970.52"/>
    <n v="4.5599999999999996"/>
    <n v="9.75"/>
    <n v="17.48"/>
    <n v="10.119999999999999"/>
    <n v="9887"/>
  </r>
  <r>
    <x v="484"/>
    <s v="Facebook Ads"/>
    <s v="Retargeting"/>
    <s v="Enterprise Plan"/>
    <n v="12740"/>
    <n v="407"/>
    <n v="35"/>
    <n v="602.12"/>
    <n v="3960.55"/>
    <n v="3.19"/>
    <n v="8.6"/>
    <n v="17.2"/>
    <n v="6.58"/>
    <n v="3358.43"/>
  </r>
  <r>
    <x v="484"/>
    <s v="Instagram Ads"/>
    <s v="Brand Awareness"/>
    <s v="Starter Kit"/>
    <n v="16816"/>
    <n v="567"/>
    <n v="39"/>
    <n v="575.97"/>
    <n v="4398.47"/>
    <n v="3.37"/>
    <n v="6.88"/>
    <n v="14.77"/>
    <n v="7.64"/>
    <n v="3822.5"/>
  </r>
  <r>
    <x v="484"/>
    <s v="LinkedIn Ads"/>
    <s v="Retargeting"/>
    <s v="Add-on Service"/>
    <n v="3049"/>
    <n v="55"/>
    <n v="6"/>
    <n v="1415.92"/>
    <n v="1636.18"/>
    <n v="1.8"/>
    <n v="10.91"/>
    <n v="235.99"/>
    <n v="1.1599999999999999"/>
    <n v="220.26"/>
  </r>
  <r>
    <x v="484"/>
    <s v="Email Marketing"/>
    <s v="Retargeting"/>
    <s v="Basic Plan"/>
    <n v="17976"/>
    <n v="2845"/>
    <n v="255"/>
    <n v="285.95"/>
    <n v="38109.58"/>
    <n v="15.83"/>
    <n v="8.9600000000000009"/>
    <n v="1.1200000000000001"/>
    <n v="133.27000000000001"/>
    <n v="37823.629999999997"/>
  </r>
  <r>
    <x v="484"/>
    <s v="Organic Search"/>
    <s v="Product Launch"/>
    <s v="Starter Kit"/>
    <n v="22436"/>
    <n v="1159"/>
    <n v="147"/>
    <n v="0"/>
    <n v="23200.55"/>
    <n v="5.17"/>
    <n v="12.68"/>
    <n v="0"/>
    <n v="0"/>
    <n v="23200.55"/>
  </r>
  <r>
    <x v="484"/>
    <s v="Display Ads"/>
    <s v="Seasonal Promotion"/>
    <s v="Starter Kit"/>
    <n v="37531"/>
    <n v="456"/>
    <n v="13"/>
    <n v="1126.9000000000001"/>
    <n v="1434.12"/>
    <n v="1.21"/>
    <n v="2.85"/>
    <n v="86.68"/>
    <n v="1.27"/>
    <n v="307.22000000000003"/>
  </r>
  <r>
    <x v="484"/>
    <s v="YouTube Ads"/>
    <s v="Lead Generation"/>
    <s v="Premium Plan"/>
    <n v="20973"/>
    <n v="554"/>
    <n v="24"/>
    <n v="850.81"/>
    <n v="2531.2800000000002"/>
    <n v="2.64"/>
    <n v="4.33"/>
    <n v="35.450000000000003"/>
    <n v="2.98"/>
    <n v="1680.47"/>
  </r>
  <r>
    <x v="484"/>
    <s v="Twitter Ads"/>
    <s v="Brand Awareness"/>
    <s v="Premium Plan"/>
    <n v="8347"/>
    <n v="257"/>
    <n v="9"/>
    <n v="429.53"/>
    <n v="911.08"/>
    <n v="3.08"/>
    <n v="3.5"/>
    <n v="47.73"/>
    <n v="2.12"/>
    <n v="481.55"/>
  </r>
  <r>
    <x v="484"/>
    <s v="TikTok Ads"/>
    <s v="Lead Generation"/>
    <s v="Basic Plan"/>
    <n v="21531"/>
    <n v="884"/>
    <n v="61"/>
    <n v="772.02"/>
    <n v="6055.48"/>
    <n v="4.1100000000000003"/>
    <n v="6.9"/>
    <n v="12.66"/>
    <n v="7.84"/>
    <n v="5283.46"/>
  </r>
  <r>
    <x v="484"/>
    <s v="Affiliate Marketing"/>
    <s v="Product Launch"/>
    <s v="Add-on Service"/>
    <n v="9274"/>
    <n v="600"/>
    <n v="53"/>
    <n v="331.87"/>
    <n v="7130.03"/>
    <n v="6.47"/>
    <n v="8.83"/>
    <n v="6.26"/>
    <n v="21.48"/>
    <n v="6798.16"/>
  </r>
  <r>
    <x v="484"/>
    <s v="Referral"/>
    <s v="Brand Awareness"/>
    <s v="Basic Plan"/>
    <n v="3439"/>
    <n v="172"/>
    <n v="23"/>
    <n v="127.42"/>
    <n v="3140.8"/>
    <n v="5"/>
    <n v="13.37"/>
    <n v="5.54"/>
    <n v="24.65"/>
    <n v="3013.38"/>
  </r>
  <r>
    <x v="485"/>
    <s v="Google Ads"/>
    <s v="Brand Awareness"/>
    <s v="Enterprise Plan"/>
    <n v="9480"/>
    <n v="418"/>
    <n v="49"/>
    <n v="1407.55"/>
    <n v="7072.74"/>
    <n v="4.41"/>
    <n v="11.72"/>
    <n v="28.73"/>
    <n v="5.0199999999999996"/>
    <n v="5665.19"/>
  </r>
  <r>
    <x v="485"/>
    <s v="Facebook Ads"/>
    <s v="Retargeting"/>
    <s v="Add-on Service"/>
    <n v="16528"/>
    <n v="515"/>
    <n v="44"/>
    <n v="1099.32"/>
    <n v="4058.41"/>
    <n v="3.12"/>
    <n v="8.5399999999999991"/>
    <n v="24.98"/>
    <n v="3.69"/>
    <n v="2959.09"/>
  </r>
  <r>
    <x v="485"/>
    <s v="Instagram Ads"/>
    <s v="Flash Sale"/>
    <s v="Premium Plan"/>
    <n v="16056"/>
    <n v="626"/>
    <n v="25"/>
    <n v="919.89"/>
    <n v="2475.4899999999998"/>
    <n v="3.9"/>
    <n v="3.99"/>
    <n v="36.799999999999997"/>
    <n v="2.69"/>
    <n v="1555.6"/>
  </r>
  <r>
    <x v="485"/>
    <s v="LinkedIn Ads"/>
    <s v="Retargeting"/>
    <s v="Starter Kit"/>
    <n v="3150"/>
    <n v="84"/>
    <n v="10"/>
    <n v="1242.8499999999999"/>
    <n v="1994.15"/>
    <n v="2.67"/>
    <n v="11.9"/>
    <n v="124.28"/>
    <n v="1.6"/>
    <n v="751.3"/>
  </r>
  <r>
    <x v="485"/>
    <s v="Email Marketing"/>
    <s v="Product Launch"/>
    <s v="Enterprise Plan"/>
    <n v="22889"/>
    <n v="4917"/>
    <n v="433"/>
    <n v="257.42"/>
    <n v="66271.37"/>
    <n v="21.48"/>
    <n v="8.81"/>
    <n v="0.59"/>
    <n v="257.44"/>
    <n v="66013.95"/>
  </r>
  <r>
    <x v="485"/>
    <s v="Organic Search"/>
    <s v="Retargeting"/>
    <s v="Premium Plan"/>
    <n v="23430"/>
    <n v="1857"/>
    <n v="265"/>
    <n v="0"/>
    <n v="36251.019999999997"/>
    <n v="7.93"/>
    <n v="14.27"/>
    <n v="0"/>
    <n v="0"/>
    <n v="36251.019999999997"/>
  </r>
  <r>
    <x v="485"/>
    <s v="Display Ads"/>
    <s v="Retargeting"/>
    <s v="Basic Plan"/>
    <n v="29013"/>
    <n v="436"/>
    <n v="13"/>
    <n v="973.45"/>
    <n v="1527.87"/>
    <n v="1.5"/>
    <n v="2.98"/>
    <n v="74.88"/>
    <n v="1.57"/>
    <n v="554.41999999999996"/>
  </r>
  <r>
    <x v="485"/>
    <s v="YouTube Ads"/>
    <s v="Seasonal Promotion"/>
    <s v="Basic Plan"/>
    <n v="15161"/>
    <n v="429"/>
    <n v="29"/>
    <n v="1179.68"/>
    <n v="3899.6"/>
    <n v="2.83"/>
    <n v="6.76"/>
    <n v="40.68"/>
    <n v="3.31"/>
    <n v="2719.92"/>
  </r>
  <r>
    <x v="485"/>
    <s v="Twitter Ads"/>
    <s v="Flash Sale"/>
    <s v="Add-on Service"/>
    <n v="13726"/>
    <n v="310"/>
    <n v="12"/>
    <n v="615.85"/>
    <n v="1182.8599999999999"/>
    <n v="2.2599999999999998"/>
    <n v="3.87"/>
    <n v="51.32"/>
    <n v="1.92"/>
    <n v="567.01"/>
  </r>
  <r>
    <x v="485"/>
    <s v="TikTok Ads"/>
    <s v="Lead Generation"/>
    <s v="Basic Plan"/>
    <n v="24665"/>
    <n v="760"/>
    <n v="41"/>
    <n v="852.68"/>
    <n v="3274.29"/>
    <n v="3.08"/>
    <n v="5.39"/>
    <n v="20.8"/>
    <n v="3.84"/>
    <n v="2421.61"/>
  </r>
  <r>
    <x v="485"/>
    <s v="Affiliate Marketing"/>
    <s v="Product Launch"/>
    <s v="Premium Plan"/>
    <n v="5481"/>
    <n v="285"/>
    <n v="32"/>
    <n v="381.41"/>
    <n v="4375.01"/>
    <n v="5.2"/>
    <n v="11.23"/>
    <n v="11.92"/>
    <n v="11.47"/>
    <n v="3993.6"/>
  </r>
  <r>
    <x v="485"/>
    <s v="Referral"/>
    <s v="Product Launch"/>
    <s v="Basic Plan"/>
    <n v="6827"/>
    <n v="373"/>
    <n v="49"/>
    <n v="192.32"/>
    <n v="7460.24"/>
    <n v="5.46"/>
    <n v="13.14"/>
    <n v="3.92"/>
    <n v="38.79"/>
    <n v="7267.92"/>
  </r>
  <r>
    <x v="486"/>
    <s v="Google Ads"/>
    <s v="Flash Sale"/>
    <s v="Starter Kit"/>
    <n v="12901"/>
    <n v="604"/>
    <n v="52"/>
    <n v="1233"/>
    <n v="9505.08"/>
    <n v="4.68"/>
    <n v="8.61"/>
    <n v="23.71"/>
    <n v="7.71"/>
    <n v="8272.08"/>
  </r>
  <r>
    <x v="486"/>
    <s v="Facebook Ads"/>
    <s v="Lead Generation"/>
    <s v="Starter Kit"/>
    <n v="19180"/>
    <n v="665"/>
    <n v="53"/>
    <n v="831.39"/>
    <n v="6474.61"/>
    <n v="3.47"/>
    <n v="7.97"/>
    <n v="15.69"/>
    <n v="7.79"/>
    <n v="5643.22"/>
  </r>
  <r>
    <x v="486"/>
    <s v="Instagram Ads"/>
    <s v="Flash Sale"/>
    <s v="Premium Plan"/>
    <n v="15453"/>
    <n v="593"/>
    <n v="25"/>
    <n v="552.66"/>
    <n v="1917.21"/>
    <n v="3.84"/>
    <n v="4.22"/>
    <n v="22.11"/>
    <n v="3.47"/>
    <n v="1364.55"/>
  </r>
  <r>
    <x v="486"/>
    <s v="LinkedIn Ads"/>
    <s v="Flash Sale"/>
    <s v="Add-on Service"/>
    <n v="4845"/>
    <n v="134"/>
    <n v="19"/>
    <n v="1017.51"/>
    <n v="6219.48"/>
    <n v="2.77"/>
    <n v="14.18"/>
    <n v="53.55"/>
    <n v="6.11"/>
    <n v="5201.97"/>
  </r>
  <r>
    <x v="486"/>
    <s v="Email Marketing"/>
    <s v="Seasonal Promotion"/>
    <s v="Basic Plan"/>
    <n v="18645"/>
    <n v="3673"/>
    <n v="300"/>
    <n v="250.27"/>
    <n v="36585.43"/>
    <n v="19.7"/>
    <n v="8.17"/>
    <n v="0.83"/>
    <n v="146.18"/>
    <n v="36335.160000000003"/>
  </r>
  <r>
    <x v="486"/>
    <s v="Organic Search"/>
    <s v="Lead Generation"/>
    <s v="Add-on Service"/>
    <n v="23868"/>
    <n v="1496"/>
    <n v="182"/>
    <n v="0"/>
    <n v="23942.11"/>
    <n v="6.27"/>
    <n v="12.17"/>
    <n v="0"/>
    <n v="0"/>
    <n v="23942.11"/>
  </r>
  <r>
    <x v="486"/>
    <s v="Display Ads"/>
    <s v="Flash Sale"/>
    <s v="Basic Plan"/>
    <n v="28735"/>
    <n v="308"/>
    <n v="9"/>
    <n v="1084.1600000000001"/>
    <n v="1000.37"/>
    <n v="1.07"/>
    <n v="2.92"/>
    <n v="120.46"/>
    <n v="0.92"/>
    <n v="-83.79"/>
  </r>
  <r>
    <x v="486"/>
    <s v="YouTube Ads"/>
    <s v="Lead Generation"/>
    <s v="Premium Plan"/>
    <n v="18260"/>
    <n v="532"/>
    <n v="36"/>
    <n v="801.14"/>
    <n v="4281.59"/>
    <n v="2.91"/>
    <n v="6.77"/>
    <n v="22.25"/>
    <n v="5.34"/>
    <n v="3480.45"/>
  </r>
  <r>
    <x v="486"/>
    <s v="Twitter Ads"/>
    <s v="Lead Generation"/>
    <s v="Starter Kit"/>
    <n v="12220"/>
    <n v="272"/>
    <n v="13"/>
    <n v="429.96"/>
    <n v="1045.72"/>
    <n v="2.23"/>
    <n v="4.78"/>
    <n v="33.07"/>
    <n v="2.4300000000000002"/>
    <n v="615.76"/>
  </r>
  <r>
    <x v="486"/>
    <s v="TikTok Ads"/>
    <s v="Brand Awareness"/>
    <s v="Enterprise Plan"/>
    <n v="20014"/>
    <n v="658"/>
    <n v="43"/>
    <n v="636.66"/>
    <n v="3248.39"/>
    <n v="3.29"/>
    <n v="6.53"/>
    <n v="14.81"/>
    <n v="5.0999999999999996"/>
    <n v="2611.73"/>
  </r>
  <r>
    <x v="486"/>
    <s v="Affiliate Marketing"/>
    <s v="Lead Generation"/>
    <s v="Basic Plan"/>
    <n v="5684"/>
    <n v="249"/>
    <n v="27"/>
    <n v="638.88"/>
    <n v="3110.89"/>
    <n v="4.38"/>
    <n v="10.84"/>
    <n v="23.66"/>
    <n v="4.87"/>
    <n v="2472.0100000000002"/>
  </r>
  <r>
    <x v="486"/>
    <s v="Referral"/>
    <s v="Retargeting"/>
    <s v="Premium Plan"/>
    <n v="4149"/>
    <n v="381"/>
    <n v="61"/>
    <n v="62.67"/>
    <n v="7980.65"/>
    <n v="9.18"/>
    <n v="16.010000000000002"/>
    <n v="1.03"/>
    <n v="127.34"/>
    <n v="7917.98"/>
  </r>
  <r>
    <x v="487"/>
    <s v="Google Ads"/>
    <s v="Seasonal Promotion"/>
    <s v="Basic Plan"/>
    <n v="11406"/>
    <n v="535"/>
    <n v="56"/>
    <n v="1431.16"/>
    <n v="9870.59"/>
    <n v="4.6900000000000004"/>
    <n v="10.47"/>
    <n v="25.56"/>
    <n v="6.9"/>
    <n v="8439.43"/>
  </r>
  <r>
    <x v="487"/>
    <s v="Facebook Ads"/>
    <s v="Brand Awareness"/>
    <s v="Premium Plan"/>
    <n v="18536"/>
    <n v="588"/>
    <n v="45"/>
    <n v="728.46"/>
    <n v="5920.02"/>
    <n v="3.17"/>
    <n v="7.65"/>
    <n v="16.190000000000001"/>
    <n v="8.1300000000000008"/>
    <n v="5191.5600000000004"/>
  </r>
  <r>
    <x v="487"/>
    <s v="Instagram Ads"/>
    <s v="Retargeting"/>
    <s v="Starter Kit"/>
    <n v="16057"/>
    <n v="586"/>
    <n v="34"/>
    <n v="618.91"/>
    <n v="3016.92"/>
    <n v="3.65"/>
    <n v="5.8"/>
    <n v="18.2"/>
    <n v="4.87"/>
    <n v="2398.0100000000002"/>
  </r>
  <r>
    <x v="487"/>
    <s v="LinkedIn Ads"/>
    <s v="Seasonal Promotion"/>
    <s v="Enterprise Plan"/>
    <n v="3107"/>
    <n v="67"/>
    <n v="8"/>
    <n v="1722.93"/>
    <n v="1936.55"/>
    <n v="2.16"/>
    <n v="11.94"/>
    <n v="215.37"/>
    <n v="1.1200000000000001"/>
    <n v="213.62"/>
  </r>
  <r>
    <x v="487"/>
    <s v="Email Marketing"/>
    <s v="Flash Sale"/>
    <s v="Basic Plan"/>
    <n v="21758"/>
    <n v="4156"/>
    <n v="570"/>
    <n v="145.4"/>
    <n v="63921.04"/>
    <n v="19.100000000000001"/>
    <n v="13.72"/>
    <n v="0.26"/>
    <n v="439.62"/>
    <n v="63775.64"/>
  </r>
  <r>
    <x v="487"/>
    <s v="Organic Search"/>
    <s v="Lead Generation"/>
    <s v="Enterprise Plan"/>
    <n v="28946"/>
    <n v="2227"/>
    <n v="290"/>
    <n v="0"/>
    <n v="30446.17"/>
    <n v="7.69"/>
    <n v="13.02"/>
    <n v="0"/>
    <n v="0"/>
    <n v="30446.17"/>
  </r>
  <r>
    <x v="487"/>
    <s v="Display Ads"/>
    <s v="Retargeting"/>
    <s v="Starter Kit"/>
    <n v="26304"/>
    <n v="391"/>
    <n v="12"/>
    <n v="708.16"/>
    <n v="1410.53"/>
    <n v="1.49"/>
    <n v="3.07"/>
    <n v="59.01"/>
    <n v="1.99"/>
    <n v="702.37"/>
  </r>
  <r>
    <x v="487"/>
    <s v="YouTube Ads"/>
    <s v="Brand Awareness"/>
    <s v="Add-on Service"/>
    <n v="18549"/>
    <n v="315"/>
    <n v="16"/>
    <n v="936.93"/>
    <n v="1610.14"/>
    <n v="1.7"/>
    <n v="5.08"/>
    <n v="58.56"/>
    <n v="1.72"/>
    <n v="673.21"/>
  </r>
  <r>
    <x v="487"/>
    <s v="Twitter Ads"/>
    <s v="Retargeting"/>
    <s v="Premium Plan"/>
    <n v="9532"/>
    <n v="299"/>
    <n v="13"/>
    <n v="457.96"/>
    <n v="1094.8900000000001"/>
    <n v="3.14"/>
    <n v="4.3499999999999996"/>
    <n v="35.229999999999997"/>
    <n v="2.39"/>
    <n v="636.92999999999995"/>
  </r>
  <r>
    <x v="487"/>
    <s v="TikTok Ads"/>
    <s v="Product Launch"/>
    <s v="Premium Plan"/>
    <n v="19532"/>
    <n v="657"/>
    <n v="33"/>
    <n v="848.96"/>
    <n v="2883.34"/>
    <n v="3.36"/>
    <n v="5.0199999999999996"/>
    <n v="25.73"/>
    <n v="3.4"/>
    <n v="2034.38"/>
  </r>
  <r>
    <x v="487"/>
    <s v="Affiliate Marketing"/>
    <s v="Product Launch"/>
    <s v="Enterprise Plan"/>
    <n v="7082"/>
    <n v="338"/>
    <n v="38"/>
    <n v="681.41"/>
    <n v="5108.01"/>
    <n v="4.7699999999999996"/>
    <n v="11.24"/>
    <n v="17.93"/>
    <n v="7.5"/>
    <n v="4426.6000000000004"/>
  </r>
  <r>
    <x v="487"/>
    <s v="Referral"/>
    <s v="Product Launch"/>
    <s v="Enterprise Plan"/>
    <n v="5541"/>
    <n v="318"/>
    <n v="50"/>
    <n v="52.8"/>
    <n v="6925.5"/>
    <n v="5.74"/>
    <n v="15.72"/>
    <n v="1.06"/>
    <n v="131.16"/>
    <n v="6872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B9D83-5ADF-584F-9719-6784B050955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:E24" firstHeaderRow="0" firstDataRow="1" firstDataCol="1"/>
  <pivotFields count="17">
    <pivotField numFmtId="14" showAll="0">
      <items count="4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</pivotFields>
  <rowFields count="2">
    <field x="15"/>
    <field x="14"/>
  </rowFields>
  <rowItems count="19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pend " fld="7" baseField="0" baseItem="0" numFmtId="171"/>
    <dataField name="Total revenue " fld="8" baseField="0" baseItem="0" numFmtId="171"/>
    <dataField name="Total conversions" fld="6" baseField="0" baseItem="0" numFmtId="4"/>
    <dataField name="_ROAS" fld="16" baseField="0" baseItem="0" numFmtId="17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7C3515-2F47-194C-A05E-8BE2B779BBD0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channel" tableColumnId="2"/>
      <queryTableField id="3" name="campaign_type" tableColumnId="3"/>
      <queryTableField id="4" name="product" tableColumnId="4"/>
      <queryTableField id="5" name="impressions" tableColumnId="5"/>
      <queryTableField id="6" name="clicks" tableColumnId="6"/>
      <queryTableField id="7" name="conversions" tableColumnId="7"/>
      <queryTableField id="8" name="spend" tableColumnId="8"/>
      <queryTableField id="9" name="revenue" tableColumnId="9"/>
      <queryTableField id="10" name="ctr" tableColumnId="10"/>
      <queryTableField id="11" name="conversion_rate" tableColumnId="11"/>
      <queryTableField id="12" name="cac" tableColumnId="12"/>
      <queryTableField id="13" name="roas" tableColumnId="13"/>
      <queryTableField id="14" name="profi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6F2DE-E791-254A-84B4-69B2C4C50382}" name="marketing_campaigns" displayName="marketing_campaigns" ref="A1:N5857" tableType="queryTable" totalsRowShown="0">
  <autoFilter ref="A1:N5857" xr:uid="{A616F2DE-E791-254A-84B4-69B2C4C50382}"/>
  <tableColumns count="14">
    <tableColumn id="1" xr3:uid="{D864ED82-299A-DF4E-949A-8013A5E461CC}" uniqueName="1" name="date" queryTableFieldId="1" dataDxfId="3"/>
    <tableColumn id="2" xr3:uid="{B11D605C-0A6A-A948-8763-10FB30A157CD}" uniqueName="2" name="channel" queryTableFieldId="2" dataDxfId="2"/>
    <tableColumn id="3" xr3:uid="{243B3DFF-5508-814A-93BA-6BD9A00F76A9}" uniqueName="3" name="campaign_type" queryTableFieldId="3" dataDxfId="1"/>
    <tableColumn id="4" xr3:uid="{0E988972-7AB7-684A-83A2-632444013746}" uniqueName="4" name="product" queryTableFieldId="4" dataDxfId="0"/>
    <tableColumn id="5" xr3:uid="{CF43C59A-05ED-7249-A2A4-0D85168E0F4C}" uniqueName="5" name="impressions" queryTableFieldId="5"/>
    <tableColumn id="6" xr3:uid="{38495404-537B-5649-ACEB-E3BD6F62F71F}" uniqueName="6" name="clicks" queryTableFieldId="6"/>
    <tableColumn id="7" xr3:uid="{23B78737-05E8-FA4E-A909-C36C2E8739DF}" uniqueName="7" name="conversions" queryTableFieldId="7"/>
    <tableColumn id="8" xr3:uid="{938B5CF9-C4F9-794C-AAA3-235CF97DC729}" uniqueName="8" name="spend" queryTableFieldId="8"/>
    <tableColumn id="9" xr3:uid="{1AE4DDA9-C4A6-7E41-B6A7-9EE0B3340E4E}" uniqueName="9" name="revenue" queryTableFieldId="9"/>
    <tableColumn id="10" xr3:uid="{564E1772-A012-DF40-99CC-E7451FC72972}" uniqueName="10" name="ctr" queryTableFieldId="10"/>
    <tableColumn id="11" xr3:uid="{EDEFC6DF-EA71-B84D-9640-91B51D5DE11A}" uniqueName="11" name="conversion_rate" queryTableFieldId="11"/>
    <tableColumn id="12" xr3:uid="{F14D400C-BF2A-FC47-A9F2-A02CA0B1EF1B}" uniqueName="12" name="cac" queryTableFieldId="12"/>
    <tableColumn id="13" xr3:uid="{352CF680-2737-8F45-A056-54A4FCBA031A}" uniqueName="13" name="roas" queryTableFieldId="13"/>
    <tableColumn id="14" xr3:uid="{D6D759D9-4676-AF4C-AAA1-F17653B7C920}" uniqueName="14" name="profit" queryTableFieldId="1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59D2-E97D-A042-AD89-1C3E2323427D}">
  <dimension ref="A1:N5857"/>
  <sheetViews>
    <sheetView tabSelected="1" workbookViewId="0">
      <pane ySplit="1" topLeftCell="A5822" activePane="bottomLeft" state="frozen"/>
      <selection pane="bottomLeft" activeCell="S5838" sqref="S5838"/>
    </sheetView>
  </sheetViews>
  <sheetFormatPr baseColWidth="10" defaultRowHeight="16" x14ac:dyDescent="0.2"/>
  <cols>
    <col min="1" max="1" width="12.6640625" customWidth="1"/>
    <col min="2" max="2" width="19.83203125" customWidth="1"/>
    <col min="3" max="3" width="17.33203125" bestFit="1" customWidth="1"/>
    <col min="4" max="4" width="13.33203125" bestFit="1" customWidth="1"/>
    <col min="5" max="5" width="14" bestFit="1" customWidth="1"/>
    <col min="6" max="6" width="8.6640625" bestFit="1" customWidth="1"/>
    <col min="7" max="7" width="13.6640625" bestFit="1" customWidth="1"/>
    <col min="8" max="8" width="8.6640625" bestFit="1" customWidth="1"/>
    <col min="9" max="9" width="11.33203125" customWidth="1"/>
    <col min="10" max="10" width="12.6640625" customWidth="1"/>
    <col min="11" max="11" width="16.83203125" bestFit="1" customWidth="1"/>
    <col min="12" max="12" width="7.1640625" bestFit="1" customWidth="1"/>
    <col min="13" max="13" width="7.33203125" bestFit="1" customWidth="1"/>
    <col min="14" max="14" width="10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45474</v>
      </c>
      <c r="B2" s="2" t="s">
        <v>14</v>
      </c>
      <c r="C2" s="2" t="s">
        <v>15</v>
      </c>
      <c r="D2" s="2" t="s">
        <v>16</v>
      </c>
      <c r="E2">
        <v>7531</v>
      </c>
      <c r="F2">
        <v>253</v>
      </c>
      <c r="G2">
        <v>28</v>
      </c>
      <c r="H2">
        <v>1035.1300000000001</v>
      </c>
      <c r="I2">
        <v>4455.7</v>
      </c>
      <c r="J2">
        <v>3.36</v>
      </c>
      <c r="K2">
        <v>11.07</v>
      </c>
      <c r="L2">
        <v>36.97</v>
      </c>
      <c r="M2">
        <v>4.3</v>
      </c>
      <c r="N2">
        <v>3420.57</v>
      </c>
    </row>
    <row r="3" spans="1:14" x14ac:dyDescent="0.2">
      <c r="A3" s="1">
        <v>45474</v>
      </c>
      <c r="B3" s="2" t="s">
        <v>17</v>
      </c>
      <c r="C3" s="2" t="s">
        <v>18</v>
      </c>
      <c r="D3" s="2" t="s">
        <v>19</v>
      </c>
      <c r="E3">
        <v>16928</v>
      </c>
      <c r="F3">
        <v>430</v>
      </c>
      <c r="G3">
        <v>35</v>
      </c>
      <c r="H3">
        <v>691.94</v>
      </c>
      <c r="I3">
        <v>3394.89</v>
      </c>
      <c r="J3">
        <v>2.54</v>
      </c>
      <c r="K3">
        <v>8.14</v>
      </c>
      <c r="L3">
        <v>19.77</v>
      </c>
      <c r="M3">
        <v>4.91</v>
      </c>
      <c r="N3">
        <v>2702.95</v>
      </c>
    </row>
    <row r="4" spans="1:14" x14ac:dyDescent="0.2">
      <c r="A4" s="1">
        <v>45474</v>
      </c>
      <c r="B4" s="2" t="s">
        <v>20</v>
      </c>
      <c r="C4" s="2" t="s">
        <v>21</v>
      </c>
      <c r="D4" s="2" t="s">
        <v>22</v>
      </c>
      <c r="E4">
        <v>14887</v>
      </c>
      <c r="F4">
        <v>477</v>
      </c>
      <c r="G4">
        <v>35</v>
      </c>
      <c r="H4">
        <v>540.66</v>
      </c>
      <c r="I4">
        <v>3573.9</v>
      </c>
      <c r="J4">
        <v>3.2</v>
      </c>
      <c r="K4">
        <v>7.34</v>
      </c>
      <c r="L4">
        <v>15.45</v>
      </c>
      <c r="M4">
        <v>6.61</v>
      </c>
      <c r="N4">
        <v>3033.24</v>
      </c>
    </row>
    <row r="5" spans="1:14" x14ac:dyDescent="0.2">
      <c r="A5" s="1">
        <v>45474</v>
      </c>
      <c r="B5" s="2" t="s">
        <v>23</v>
      </c>
      <c r="C5" s="2" t="s">
        <v>21</v>
      </c>
      <c r="D5" s="2" t="s">
        <v>16</v>
      </c>
      <c r="E5">
        <v>4692</v>
      </c>
      <c r="F5">
        <v>85</v>
      </c>
      <c r="G5">
        <v>10</v>
      </c>
      <c r="H5">
        <v>1297.28</v>
      </c>
      <c r="I5">
        <v>2252.89</v>
      </c>
      <c r="J5">
        <v>1.81</v>
      </c>
      <c r="K5">
        <v>11.76</v>
      </c>
      <c r="L5">
        <v>129.72999999999999</v>
      </c>
      <c r="M5">
        <v>1.74</v>
      </c>
      <c r="N5">
        <v>955.61</v>
      </c>
    </row>
    <row r="6" spans="1:14" x14ac:dyDescent="0.2">
      <c r="A6" s="1">
        <v>45474</v>
      </c>
      <c r="B6" s="2" t="s">
        <v>24</v>
      </c>
      <c r="C6" s="2" t="s">
        <v>15</v>
      </c>
      <c r="D6" s="2" t="s">
        <v>25</v>
      </c>
      <c r="E6">
        <v>20769</v>
      </c>
      <c r="F6">
        <v>4091</v>
      </c>
      <c r="G6">
        <v>395</v>
      </c>
      <c r="H6">
        <v>235.19</v>
      </c>
      <c r="I6">
        <v>54657.73</v>
      </c>
      <c r="J6">
        <v>19.7</v>
      </c>
      <c r="K6">
        <v>9.66</v>
      </c>
      <c r="L6">
        <v>0.6</v>
      </c>
      <c r="M6">
        <v>232.4</v>
      </c>
      <c r="N6">
        <v>54422.54</v>
      </c>
    </row>
    <row r="7" spans="1:14" x14ac:dyDescent="0.2">
      <c r="A7" s="1">
        <v>45474</v>
      </c>
      <c r="B7" s="2" t="s">
        <v>26</v>
      </c>
      <c r="C7" s="2" t="s">
        <v>18</v>
      </c>
      <c r="D7" s="2" t="s">
        <v>25</v>
      </c>
      <c r="E7">
        <v>24805</v>
      </c>
      <c r="F7">
        <v>1518</v>
      </c>
      <c r="G7">
        <v>200</v>
      </c>
      <c r="H7">
        <v>0</v>
      </c>
      <c r="I7">
        <v>25540.240000000002</v>
      </c>
      <c r="J7">
        <v>6.12</v>
      </c>
      <c r="K7">
        <v>13.18</v>
      </c>
      <c r="L7">
        <v>0</v>
      </c>
      <c r="M7">
        <v>0</v>
      </c>
      <c r="N7">
        <v>25540.240000000002</v>
      </c>
    </row>
    <row r="8" spans="1:14" x14ac:dyDescent="0.2">
      <c r="A8" s="1">
        <v>45474</v>
      </c>
      <c r="B8" s="2" t="s">
        <v>27</v>
      </c>
      <c r="C8" s="2" t="s">
        <v>28</v>
      </c>
      <c r="D8" s="2" t="s">
        <v>16</v>
      </c>
      <c r="E8">
        <v>29854</v>
      </c>
      <c r="F8">
        <v>413</v>
      </c>
      <c r="G8">
        <v>16</v>
      </c>
      <c r="H8">
        <v>828.71</v>
      </c>
      <c r="I8">
        <v>1769.66</v>
      </c>
      <c r="J8">
        <v>1.38</v>
      </c>
      <c r="K8">
        <v>3.87</v>
      </c>
      <c r="L8">
        <v>51.79</v>
      </c>
      <c r="M8">
        <v>2.14</v>
      </c>
      <c r="N8">
        <v>940.95</v>
      </c>
    </row>
    <row r="9" spans="1:14" x14ac:dyDescent="0.2">
      <c r="A9" s="1">
        <v>45474</v>
      </c>
      <c r="B9" s="2" t="s">
        <v>29</v>
      </c>
      <c r="C9" s="2" t="s">
        <v>18</v>
      </c>
      <c r="D9" s="2" t="s">
        <v>16</v>
      </c>
      <c r="E9">
        <v>17499</v>
      </c>
      <c r="F9">
        <v>459</v>
      </c>
      <c r="G9">
        <v>32</v>
      </c>
      <c r="H9">
        <v>1082.71</v>
      </c>
      <c r="I9">
        <v>3496.01</v>
      </c>
      <c r="J9">
        <v>2.62</v>
      </c>
      <c r="K9">
        <v>6.97</v>
      </c>
      <c r="L9">
        <v>33.83</v>
      </c>
      <c r="M9">
        <v>3.23</v>
      </c>
      <c r="N9">
        <v>2413.3000000000002</v>
      </c>
    </row>
    <row r="10" spans="1:14" x14ac:dyDescent="0.2">
      <c r="A10" s="1">
        <v>45474</v>
      </c>
      <c r="B10" s="2" t="s">
        <v>30</v>
      </c>
      <c r="C10" s="2" t="s">
        <v>21</v>
      </c>
      <c r="D10" s="2" t="s">
        <v>22</v>
      </c>
      <c r="E10">
        <v>11603</v>
      </c>
      <c r="F10">
        <v>244</v>
      </c>
      <c r="G10">
        <v>8</v>
      </c>
      <c r="H10">
        <v>413.72</v>
      </c>
      <c r="I10">
        <v>661.74</v>
      </c>
      <c r="J10">
        <v>2.1</v>
      </c>
      <c r="K10">
        <v>3.28</v>
      </c>
      <c r="L10">
        <v>51.72</v>
      </c>
      <c r="M10">
        <v>1.6</v>
      </c>
      <c r="N10">
        <v>248.02</v>
      </c>
    </row>
    <row r="11" spans="1:14" x14ac:dyDescent="0.2">
      <c r="A11" s="1">
        <v>45474</v>
      </c>
      <c r="B11" s="2" t="s">
        <v>31</v>
      </c>
      <c r="C11" s="2" t="s">
        <v>32</v>
      </c>
      <c r="D11" s="2" t="s">
        <v>25</v>
      </c>
      <c r="E11">
        <v>21458</v>
      </c>
      <c r="F11">
        <v>623</v>
      </c>
      <c r="G11">
        <v>24</v>
      </c>
      <c r="H11">
        <v>626.76</v>
      </c>
      <c r="I11">
        <v>1997.83</v>
      </c>
      <c r="J11">
        <v>2.9</v>
      </c>
      <c r="K11">
        <v>3.85</v>
      </c>
      <c r="L11">
        <v>26.12</v>
      </c>
      <c r="M11">
        <v>3.19</v>
      </c>
      <c r="N11">
        <v>1371.07</v>
      </c>
    </row>
    <row r="12" spans="1:14" x14ac:dyDescent="0.2">
      <c r="A12" s="1">
        <v>45474</v>
      </c>
      <c r="B12" s="2" t="s">
        <v>33</v>
      </c>
      <c r="C12" s="2" t="s">
        <v>18</v>
      </c>
      <c r="D12" s="2" t="s">
        <v>25</v>
      </c>
      <c r="E12">
        <v>8244</v>
      </c>
      <c r="F12">
        <v>415</v>
      </c>
      <c r="G12">
        <v>33</v>
      </c>
      <c r="H12">
        <v>441.56</v>
      </c>
      <c r="I12">
        <v>3796.5</v>
      </c>
      <c r="J12">
        <v>5.03</v>
      </c>
      <c r="K12">
        <v>7.95</v>
      </c>
      <c r="L12">
        <v>13.38</v>
      </c>
      <c r="M12">
        <v>8.6</v>
      </c>
      <c r="N12">
        <v>3354.94</v>
      </c>
    </row>
    <row r="13" spans="1:14" x14ac:dyDescent="0.2">
      <c r="A13" s="1">
        <v>45474</v>
      </c>
      <c r="B13" s="2" t="s">
        <v>34</v>
      </c>
      <c r="C13" s="2" t="s">
        <v>21</v>
      </c>
      <c r="D13" s="2" t="s">
        <v>25</v>
      </c>
      <c r="E13">
        <v>4557</v>
      </c>
      <c r="F13">
        <v>452</v>
      </c>
      <c r="G13">
        <v>70</v>
      </c>
      <c r="H13">
        <v>72.75</v>
      </c>
      <c r="I13">
        <v>8214.61</v>
      </c>
      <c r="J13">
        <v>9.92</v>
      </c>
      <c r="K13">
        <v>15.49</v>
      </c>
      <c r="L13">
        <v>1.04</v>
      </c>
      <c r="M13">
        <v>112.92</v>
      </c>
      <c r="N13">
        <v>8141.86</v>
      </c>
    </row>
    <row r="14" spans="1:14" x14ac:dyDescent="0.2">
      <c r="A14" s="1">
        <v>45475</v>
      </c>
      <c r="B14" s="2" t="s">
        <v>14</v>
      </c>
      <c r="C14" s="2" t="s">
        <v>28</v>
      </c>
      <c r="D14" s="2" t="s">
        <v>22</v>
      </c>
      <c r="E14">
        <v>11578</v>
      </c>
      <c r="F14">
        <v>459</v>
      </c>
      <c r="G14">
        <v>51</v>
      </c>
      <c r="H14">
        <v>732.29</v>
      </c>
      <c r="I14">
        <v>8982.39</v>
      </c>
      <c r="J14">
        <v>3.96</v>
      </c>
      <c r="K14">
        <v>11.11</v>
      </c>
      <c r="L14">
        <v>14.36</v>
      </c>
      <c r="M14">
        <v>12.27</v>
      </c>
      <c r="N14">
        <v>8250.1</v>
      </c>
    </row>
    <row r="15" spans="1:14" x14ac:dyDescent="0.2">
      <c r="A15" s="1">
        <v>45475</v>
      </c>
      <c r="B15" s="2" t="s">
        <v>17</v>
      </c>
      <c r="C15" s="2" t="s">
        <v>28</v>
      </c>
      <c r="D15" s="2" t="s">
        <v>25</v>
      </c>
      <c r="E15">
        <v>13296</v>
      </c>
      <c r="F15">
        <v>489</v>
      </c>
      <c r="G15">
        <v>27</v>
      </c>
      <c r="H15">
        <v>915.59</v>
      </c>
      <c r="I15">
        <v>2703.43</v>
      </c>
      <c r="J15">
        <v>3.68</v>
      </c>
      <c r="K15">
        <v>5.52</v>
      </c>
      <c r="L15">
        <v>33.909999999999997</v>
      </c>
      <c r="M15">
        <v>2.95</v>
      </c>
      <c r="N15">
        <v>1787.84</v>
      </c>
    </row>
    <row r="16" spans="1:14" x14ac:dyDescent="0.2">
      <c r="A16" s="1">
        <v>45475</v>
      </c>
      <c r="B16" s="2" t="s">
        <v>20</v>
      </c>
      <c r="C16" s="2" t="s">
        <v>35</v>
      </c>
      <c r="D16" s="2" t="s">
        <v>16</v>
      </c>
      <c r="E16">
        <v>13412</v>
      </c>
      <c r="F16">
        <v>383</v>
      </c>
      <c r="G16">
        <v>28</v>
      </c>
      <c r="H16">
        <v>672.94</v>
      </c>
      <c r="I16">
        <v>2663.26</v>
      </c>
      <c r="J16">
        <v>2.86</v>
      </c>
      <c r="K16">
        <v>7.31</v>
      </c>
      <c r="L16">
        <v>24.03</v>
      </c>
      <c r="M16">
        <v>3.96</v>
      </c>
      <c r="N16">
        <v>1990.32</v>
      </c>
    </row>
    <row r="17" spans="1:14" x14ac:dyDescent="0.2">
      <c r="A17" s="1">
        <v>45475</v>
      </c>
      <c r="B17" s="2" t="s">
        <v>23</v>
      </c>
      <c r="C17" s="2" t="s">
        <v>21</v>
      </c>
      <c r="D17" s="2" t="s">
        <v>36</v>
      </c>
      <c r="E17">
        <v>3134</v>
      </c>
      <c r="F17">
        <v>73</v>
      </c>
      <c r="G17">
        <v>10</v>
      </c>
      <c r="H17">
        <v>1174.33</v>
      </c>
      <c r="I17">
        <v>2453.12</v>
      </c>
      <c r="J17">
        <v>2.33</v>
      </c>
      <c r="K17">
        <v>13.7</v>
      </c>
      <c r="L17">
        <v>117.43</v>
      </c>
      <c r="M17">
        <v>2.09</v>
      </c>
      <c r="N17">
        <v>1278.79</v>
      </c>
    </row>
    <row r="18" spans="1:14" x14ac:dyDescent="0.2">
      <c r="A18" s="1">
        <v>45475</v>
      </c>
      <c r="B18" s="2" t="s">
        <v>24</v>
      </c>
      <c r="C18" s="2" t="s">
        <v>35</v>
      </c>
      <c r="D18" s="2" t="s">
        <v>19</v>
      </c>
      <c r="E18">
        <v>16300</v>
      </c>
      <c r="F18">
        <v>3899</v>
      </c>
      <c r="G18">
        <v>503</v>
      </c>
      <c r="H18">
        <v>143.11000000000001</v>
      </c>
      <c r="I18">
        <v>61830.879999999997</v>
      </c>
      <c r="J18">
        <v>23.92</v>
      </c>
      <c r="K18">
        <v>12.9</v>
      </c>
      <c r="L18">
        <v>0.28000000000000003</v>
      </c>
      <c r="M18">
        <v>432.05</v>
      </c>
      <c r="N18">
        <v>61687.77</v>
      </c>
    </row>
    <row r="19" spans="1:14" x14ac:dyDescent="0.2">
      <c r="A19" s="1">
        <v>45475</v>
      </c>
      <c r="B19" s="2" t="s">
        <v>26</v>
      </c>
      <c r="C19" s="2" t="s">
        <v>21</v>
      </c>
      <c r="D19" s="2" t="s">
        <v>22</v>
      </c>
      <c r="E19">
        <v>25712</v>
      </c>
      <c r="F19">
        <v>1394</v>
      </c>
      <c r="G19">
        <v>198</v>
      </c>
      <c r="H19">
        <v>0</v>
      </c>
      <c r="I19">
        <v>24139.79</v>
      </c>
      <c r="J19">
        <v>5.42</v>
      </c>
      <c r="K19">
        <v>14.2</v>
      </c>
      <c r="L19">
        <v>0</v>
      </c>
      <c r="M19">
        <v>0</v>
      </c>
      <c r="N19">
        <v>24139.79</v>
      </c>
    </row>
    <row r="20" spans="1:14" x14ac:dyDescent="0.2">
      <c r="A20" s="1">
        <v>45475</v>
      </c>
      <c r="B20" s="2" t="s">
        <v>27</v>
      </c>
      <c r="C20" s="2" t="s">
        <v>35</v>
      </c>
      <c r="D20" s="2" t="s">
        <v>16</v>
      </c>
      <c r="E20">
        <v>22525</v>
      </c>
      <c r="F20">
        <v>331</v>
      </c>
      <c r="G20">
        <v>14</v>
      </c>
      <c r="H20">
        <v>1025.72</v>
      </c>
      <c r="I20">
        <v>1513.18</v>
      </c>
      <c r="J20">
        <v>1.47</v>
      </c>
      <c r="K20">
        <v>4.2300000000000004</v>
      </c>
      <c r="L20">
        <v>73.27</v>
      </c>
      <c r="M20">
        <v>1.48</v>
      </c>
      <c r="N20">
        <v>487.46</v>
      </c>
    </row>
    <row r="21" spans="1:14" x14ac:dyDescent="0.2">
      <c r="A21" s="1">
        <v>45475</v>
      </c>
      <c r="B21" s="2" t="s">
        <v>29</v>
      </c>
      <c r="C21" s="2" t="s">
        <v>18</v>
      </c>
      <c r="D21" s="2" t="s">
        <v>36</v>
      </c>
      <c r="E21">
        <v>19721</v>
      </c>
      <c r="F21">
        <v>562</v>
      </c>
      <c r="G21">
        <v>44</v>
      </c>
      <c r="H21">
        <v>1059.1099999999999</v>
      </c>
      <c r="I21">
        <v>4492.45</v>
      </c>
      <c r="J21">
        <v>2.85</v>
      </c>
      <c r="K21">
        <v>7.83</v>
      </c>
      <c r="L21">
        <v>24.07</v>
      </c>
      <c r="M21">
        <v>4.24</v>
      </c>
      <c r="N21">
        <v>3433.34</v>
      </c>
    </row>
    <row r="22" spans="1:14" x14ac:dyDescent="0.2">
      <c r="A22" s="1">
        <v>45475</v>
      </c>
      <c r="B22" s="2" t="s">
        <v>30</v>
      </c>
      <c r="C22" s="2" t="s">
        <v>18</v>
      </c>
      <c r="D22" s="2" t="s">
        <v>19</v>
      </c>
      <c r="E22">
        <v>11787</v>
      </c>
      <c r="F22">
        <v>365</v>
      </c>
      <c r="G22">
        <v>16</v>
      </c>
      <c r="H22">
        <v>635.16999999999996</v>
      </c>
      <c r="I22">
        <v>1264.9100000000001</v>
      </c>
      <c r="J22">
        <v>3.1</v>
      </c>
      <c r="K22">
        <v>4.38</v>
      </c>
      <c r="L22">
        <v>39.700000000000003</v>
      </c>
      <c r="M22">
        <v>1.99</v>
      </c>
      <c r="N22">
        <v>629.74</v>
      </c>
    </row>
    <row r="23" spans="1:14" x14ac:dyDescent="0.2">
      <c r="A23" s="1">
        <v>45475</v>
      </c>
      <c r="B23" s="2" t="s">
        <v>31</v>
      </c>
      <c r="C23" s="2" t="s">
        <v>35</v>
      </c>
      <c r="D23" s="2" t="s">
        <v>25</v>
      </c>
      <c r="E23">
        <v>24393</v>
      </c>
      <c r="F23">
        <v>942</v>
      </c>
      <c r="G23">
        <v>45</v>
      </c>
      <c r="H23">
        <v>626.29</v>
      </c>
      <c r="I23">
        <v>4599.7299999999996</v>
      </c>
      <c r="J23">
        <v>3.86</v>
      </c>
      <c r="K23">
        <v>4.78</v>
      </c>
      <c r="L23">
        <v>13.92</v>
      </c>
      <c r="M23">
        <v>7.34</v>
      </c>
      <c r="N23">
        <v>3973.44</v>
      </c>
    </row>
    <row r="24" spans="1:14" x14ac:dyDescent="0.2">
      <c r="A24" s="1">
        <v>45475</v>
      </c>
      <c r="B24" s="2" t="s">
        <v>33</v>
      </c>
      <c r="C24" s="2" t="s">
        <v>35</v>
      </c>
      <c r="D24" s="2" t="s">
        <v>16</v>
      </c>
      <c r="E24">
        <v>8246</v>
      </c>
      <c r="F24">
        <v>508</v>
      </c>
      <c r="G24">
        <v>56</v>
      </c>
      <c r="H24">
        <v>512.4</v>
      </c>
      <c r="I24">
        <v>9072.1</v>
      </c>
      <c r="J24">
        <v>6.16</v>
      </c>
      <c r="K24">
        <v>11.02</v>
      </c>
      <c r="L24">
        <v>9.15</v>
      </c>
      <c r="M24">
        <v>17.71</v>
      </c>
      <c r="N24">
        <v>8559.7000000000007</v>
      </c>
    </row>
    <row r="25" spans="1:14" x14ac:dyDescent="0.2">
      <c r="A25" s="1">
        <v>45475</v>
      </c>
      <c r="B25" s="2" t="s">
        <v>34</v>
      </c>
      <c r="C25" s="2" t="s">
        <v>15</v>
      </c>
      <c r="D25" s="2" t="s">
        <v>36</v>
      </c>
      <c r="E25">
        <v>4534</v>
      </c>
      <c r="F25">
        <v>339</v>
      </c>
      <c r="G25">
        <v>51</v>
      </c>
      <c r="H25">
        <v>134.19999999999999</v>
      </c>
      <c r="I25">
        <v>7495.98</v>
      </c>
      <c r="J25">
        <v>7.48</v>
      </c>
      <c r="K25">
        <v>15.04</v>
      </c>
      <c r="L25">
        <v>2.63</v>
      </c>
      <c r="M25">
        <v>55.86</v>
      </c>
      <c r="N25">
        <v>7361.78</v>
      </c>
    </row>
    <row r="26" spans="1:14" x14ac:dyDescent="0.2">
      <c r="A26" s="1">
        <v>45476</v>
      </c>
      <c r="B26" s="2" t="s">
        <v>14</v>
      </c>
      <c r="C26" s="2" t="s">
        <v>32</v>
      </c>
      <c r="D26" s="2" t="s">
        <v>16</v>
      </c>
      <c r="E26">
        <v>9282</v>
      </c>
      <c r="F26">
        <v>369</v>
      </c>
      <c r="G26">
        <v>30</v>
      </c>
      <c r="H26">
        <v>919.94</v>
      </c>
      <c r="I26">
        <v>3784.91</v>
      </c>
      <c r="J26">
        <v>3.98</v>
      </c>
      <c r="K26">
        <v>8.1300000000000008</v>
      </c>
      <c r="L26">
        <v>30.66</v>
      </c>
      <c r="M26">
        <v>4.1100000000000003</v>
      </c>
      <c r="N26">
        <v>2864.97</v>
      </c>
    </row>
    <row r="27" spans="1:14" x14ac:dyDescent="0.2">
      <c r="A27" s="1">
        <v>45476</v>
      </c>
      <c r="B27" s="2" t="s">
        <v>17</v>
      </c>
      <c r="C27" s="2" t="s">
        <v>28</v>
      </c>
      <c r="D27" s="2" t="s">
        <v>16</v>
      </c>
      <c r="E27">
        <v>14413</v>
      </c>
      <c r="F27">
        <v>329</v>
      </c>
      <c r="G27">
        <v>22</v>
      </c>
      <c r="H27">
        <v>809.82</v>
      </c>
      <c r="I27">
        <v>2875.48</v>
      </c>
      <c r="J27">
        <v>2.2799999999999998</v>
      </c>
      <c r="K27">
        <v>6.69</v>
      </c>
      <c r="L27">
        <v>36.81</v>
      </c>
      <c r="M27">
        <v>3.55</v>
      </c>
      <c r="N27">
        <v>2065.66</v>
      </c>
    </row>
    <row r="28" spans="1:14" x14ac:dyDescent="0.2">
      <c r="A28" s="1">
        <v>45476</v>
      </c>
      <c r="B28" s="2" t="s">
        <v>20</v>
      </c>
      <c r="C28" s="2" t="s">
        <v>32</v>
      </c>
      <c r="D28" s="2" t="s">
        <v>19</v>
      </c>
      <c r="E28">
        <v>12672</v>
      </c>
      <c r="F28">
        <v>549</v>
      </c>
      <c r="G28">
        <v>34</v>
      </c>
      <c r="H28">
        <v>824.87</v>
      </c>
      <c r="I28">
        <v>4085.76</v>
      </c>
      <c r="J28">
        <v>4.33</v>
      </c>
      <c r="K28">
        <v>6.19</v>
      </c>
      <c r="L28">
        <v>24.26</v>
      </c>
      <c r="M28">
        <v>4.95</v>
      </c>
      <c r="N28">
        <v>3260.89</v>
      </c>
    </row>
    <row r="29" spans="1:14" x14ac:dyDescent="0.2">
      <c r="A29" s="1">
        <v>45476</v>
      </c>
      <c r="B29" s="2" t="s">
        <v>23</v>
      </c>
      <c r="C29" s="2" t="s">
        <v>15</v>
      </c>
      <c r="D29" s="2" t="s">
        <v>25</v>
      </c>
      <c r="E29">
        <v>3524</v>
      </c>
      <c r="F29">
        <v>102</v>
      </c>
      <c r="G29">
        <v>13</v>
      </c>
      <c r="H29">
        <v>1055.76</v>
      </c>
      <c r="I29">
        <v>2901.35</v>
      </c>
      <c r="J29">
        <v>2.89</v>
      </c>
      <c r="K29">
        <v>12.75</v>
      </c>
      <c r="L29">
        <v>81.209999999999994</v>
      </c>
      <c r="M29">
        <v>2.75</v>
      </c>
      <c r="N29">
        <v>1845.59</v>
      </c>
    </row>
    <row r="30" spans="1:14" x14ac:dyDescent="0.2">
      <c r="A30" s="1">
        <v>45476</v>
      </c>
      <c r="B30" s="2" t="s">
        <v>24</v>
      </c>
      <c r="C30" s="2" t="s">
        <v>35</v>
      </c>
      <c r="D30" s="2" t="s">
        <v>25</v>
      </c>
      <c r="E30">
        <v>15174</v>
      </c>
      <c r="F30">
        <v>3249</v>
      </c>
      <c r="G30">
        <v>378</v>
      </c>
      <c r="H30">
        <v>177.94</v>
      </c>
      <c r="I30">
        <v>44348.94</v>
      </c>
      <c r="J30">
        <v>21.41</v>
      </c>
      <c r="K30">
        <v>11.63</v>
      </c>
      <c r="L30">
        <v>0.47</v>
      </c>
      <c r="M30">
        <v>249.24</v>
      </c>
      <c r="N30">
        <v>44171</v>
      </c>
    </row>
    <row r="31" spans="1:14" x14ac:dyDescent="0.2">
      <c r="A31" s="1">
        <v>45476</v>
      </c>
      <c r="B31" s="2" t="s">
        <v>26</v>
      </c>
      <c r="C31" s="2" t="s">
        <v>21</v>
      </c>
      <c r="D31" s="2" t="s">
        <v>16</v>
      </c>
      <c r="E31">
        <v>27979</v>
      </c>
      <c r="F31">
        <v>2229</v>
      </c>
      <c r="G31">
        <v>346</v>
      </c>
      <c r="H31">
        <v>0</v>
      </c>
      <c r="I31">
        <v>42892.15</v>
      </c>
      <c r="J31">
        <v>7.97</v>
      </c>
      <c r="K31">
        <v>15.52</v>
      </c>
      <c r="L31">
        <v>0</v>
      </c>
      <c r="M31">
        <v>0</v>
      </c>
      <c r="N31">
        <v>42892.15</v>
      </c>
    </row>
    <row r="32" spans="1:14" x14ac:dyDescent="0.2">
      <c r="A32" s="1">
        <v>45476</v>
      </c>
      <c r="B32" s="2" t="s">
        <v>27</v>
      </c>
      <c r="C32" s="2" t="s">
        <v>18</v>
      </c>
      <c r="D32" s="2" t="s">
        <v>22</v>
      </c>
      <c r="E32">
        <v>21705</v>
      </c>
      <c r="F32">
        <v>266</v>
      </c>
      <c r="G32">
        <v>5</v>
      </c>
      <c r="H32">
        <v>991.13</v>
      </c>
      <c r="I32">
        <v>497.4</v>
      </c>
      <c r="J32">
        <v>1.23</v>
      </c>
      <c r="K32">
        <v>1.88</v>
      </c>
      <c r="L32">
        <v>198.23</v>
      </c>
      <c r="M32">
        <v>0.5</v>
      </c>
      <c r="N32">
        <v>-493.73</v>
      </c>
    </row>
    <row r="33" spans="1:14" x14ac:dyDescent="0.2">
      <c r="A33" s="1">
        <v>45476</v>
      </c>
      <c r="B33" s="2" t="s">
        <v>29</v>
      </c>
      <c r="C33" s="2" t="s">
        <v>35</v>
      </c>
      <c r="D33" s="2" t="s">
        <v>16</v>
      </c>
      <c r="E33">
        <v>16653</v>
      </c>
      <c r="F33">
        <v>385</v>
      </c>
      <c r="G33">
        <v>22</v>
      </c>
      <c r="H33">
        <v>1110.6199999999999</v>
      </c>
      <c r="I33">
        <v>2180.96</v>
      </c>
      <c r="J33">
        <v>2.31</v>
      </c>
      <c r="K33">
        <v>5.71</v>
      </c>
      <c r="L33">
        <v>50.48</v>
      </c>
      <c r="M33">
        <v>1.96</v>
      </c>
      <c r="N33">
        <v>1070.3399999999999</v>
      </c>
    </row>
    <row r="34" spans="1:14" x14ac:dyDescent="0.2">
      <c r="A34" s="1">
        <v>45476</v>
      </c>
      <c r="B34" s="2" t="s">
        <v>30</v>
      </c>
      <c r="C34" s="2" t="s">
        <v>21</v>
      </c>
      <c r="D34" s="2" t="s">
        <v>16</v>
      </c>
      <c r="E34">
        <v>9344</v>
      </c>
      <c r="F34">
        <v>187</v>
      </c>
      <c r="G34">
        <v>6</v>
      </c>
      <c r="H34">
        <v>428.64</v>
      </c>
      <c r="I34">
        <v>428.83</v>
      </c>
      <c r="J34">
        <v>2</v>
      </c>
      <c r="K34">
        <v>3.21</v>
      </c>
      <c r="L34">
        <v>71.44</v>
      </c>
      <c r="M34">
        <v>1</v>
      </c>
      <c r="N34">
        <v>0.19</v>
      </c>
    </row>
    <row r="35" spans="1:14" x14ac:dyDescent="0.2">
      <c r="A35" s="1">
        <v>45476</v>
      </c>
      <c r="B35" s="2" t="s">
        <v>31</v>
      </c>
      <c r="C35" s="2" t="s">
        <v>28</v>
      </c>
      <c r="D35" s="2" t="s">
        <v>19</v>
      </c>
      <c r="E35">
        <v>20337</v>
      </c>
      <c r="F35">
        <v>742</v>
      </c>
      <c r="G35">
        <v>47</v>
      </c>
      <c r="H35">
        <v>694.37</v>
      </c>
      <c r="I35">
        <v>3759.85</v>
      </c>
      <c r="J35">
        <v>3.65</v>
      </c>
      <c r="K35">
        <v>6.33</v>
      </c>
      <c r="L35">
        <v>14.77</v>
      </c>
      <c r="M35">
        <v>5.41</v>
      </c>
      <c r="N35">
        <v>3065.48</v>
      </c>
    </row>
    <row r="36" spans="1:14" x14ac:dyDescent="0.2">
      <c r="A36" s="1">
        <v>45476</v>
      </c>
      <c r="B36" s="2" t="s">
        <v>33</v>
      </c>
      <c r="C36" s="2" t="s">
        <v>28</v>
      </c>
      <c r="D36" s="2" t="s">
        <v>19</v>
      </c>
      <c r="E36">
        <v>5212</v>
      </c>
      <c r="F36">
        <v>324</v>
      </c>
      <c r="G36">
        <v>41</v>
      </c>
      <c r="H36">
        <v>326.35000000000002</v>
      </c>
      <c r="I36">
        <v>5314.99</v>
      </c>
      <c r="J36">
        <v>6.22</v>
      </c>
      <c r="K36">
        <v>12.65</v>
      </c>
      <c r="L36">
        <v>7.96</v>
      </c>
      <c r="M36">
        <v>16.29</v>
      </c>
      <c r="N36">
        <v>4988.6400000000003</v>
      </c>
    </row>
    <row r="37" spans="1:14" x14ac:dyDescent="0.2">
      <c r="A37" s="1">
        <v>45476</v>
      </c>
      <c r="B37" s="2" t="s">
        <v>34</v>
      </c>
      <c r="C37" s="2" t="s">
        <v>21</v>
      </c>
      <c r="D37" s="2" t="s">
        <v>19</v>
      </c>
      <c r="E37">
        <v>3316</v>
      </c>
      <c r="F37">
        <v>206</v>
      </c>
      <c r="G37">
        <v>35</v>
      </c>
      <c r="H37">
        <v>74.319999999999993</v>
      </c>
      <c r="I37">
        <v>5018.62</v>
      </c>
      <c r="J37">
        <v>6.21</v>
      </c>
      <c r="K37">
        <v>16.989999999999998</v>
      </c>
      <c r="L37">
        <v>2.12</v>
      </c>
      <c r="M37">
        <v>67.53</v>
      </c>
      <c r="N37">
        <v>4944.3</v>
      </c>
    </row>
    <row r="38" spans="1:14" x14ac:dyDescent="0.2">
      <c r="A38" s="1">
        <v>45477</v>
      </c>
      <c r="B38" s="2" t="s">
        <v>14</v>
      </c>
      <c r="C38" s="2" t="s">
        <v>35</v>
      </c>
      <c r="D38" s="2" t="s">
        <v>22</v>
      </c>
      <c r="E38">
        <v>8194</v>
      </c>
      <c r="F38">
        <v>384</v>
      </c>
      <c r="G38">
        <v>34</v>
      </c>
      <c r="H38">
        <v>773.05</v>
      </c>
      <c r="I38">
        <v>5834.86</v>
      </c>
      <c r="J38">
        <v>4.6900000000000004</v>
      </c>
      <c r="K38">
        <v>8.85</v>
      </c>
      <c r="L38">
        <v>22.74</v>
      </c>
      <c r="M38">
        <v>7.55</v>
      </c>
      <c r="N38">
        <v>5061.8100000000004</v>
      </c>
    </row>
    <row r="39" spans="1:14" x14ac:dyDescent="0.2">
      <c r="A39" s="1">
        <v>45477</v>
      </c>
      <c r="B39" s="2" t="s">
        <v>17</v>
      </c>
      <c r="C39" s="2" t="s">
        <v>15</v>
      </c>
      <c r="D39" s="2" t="s">
        <v>19</v>
      </c>
      <c r="E39">
        <v>11967</v>
      </c>
      <c r="F39">
        <v>300</v>
      </c>
      <c r="G39">
        <v>17</v>
      </c>
      <c r="H39">
        <v>678.41</v>
      </c>
      <c r="I39">
        <v>2376.5500000000002</v>
      </c>
      <c r="J39">
        <v>2.5099999999999998</v>
      </c>
      <c r="K39">
        <v>5.67</v>
      </c>
      <c r="L39">
        <v>39.909999999999997</v>
      </c>
      <c r="M39">
        <v>3.5</v>
      </c>
      <c r="N39">
        <v>1698.14</v>
      </c>
    </row>
    <row r="40" spans="1:14" x14ac:dyDescent="0.2">
      <c r="A40" s="1">
        <v>45477</v>
      </c>
      <c r="B40" s="2" t="s">
        <v>20</v>
      </c>
      <c r="C40" s="2" t="s">
        <v>15</v>
      </c>
      <c r="D40" s="2" t="s">
        <v>16</v>
      </c>
      <c r="E40">
        <v>9284</v>
      </c>
      <c r="F40">
        <v>395</v>
      </c>
      <c r="G40">
        <v>22</v>
      </c>
      <c r="H40">
        <v>493.95</v>
      </c>
      <c r="I40">
        <v>1897.1</v>
      </c>
      <c r="J40">
        <v>4.25</v>
      </c>
      <c r="K40">
        <v>5.57</v>
      </c>
      <c r="L40">
        <v>22.45</v>
      </c>
      <c r="M40">
        <v>3.84</v>
      </c>
      <c r="N40">
        <v>1403.15</v>
      </c>
    </row>
    <row r="41" spans="1:14" x14ac:dyDescent="0.2">
      <c r="A41" s="1">
        <v>45477</v>
      </c>
      <c r="B41" s="2" t="s">
        <v>23</v>
      </c>
      <c r="C41" s="2" t="s">
        <v>32</v>
      </c>
      <c r="D41" s="2" t="s">
        <v>22</v>
      </c>
      <c r="E41">
        <v>2883</v>
      </c>
      <c r="F41">
        <v>76</v>
      </c>
      <c r="G41">
        <v>9</v>
      </c>
      <c r="H41">
        <v>964.12</v>
      </c>
      <c r="I41">
        <v>2902.05</v>
      </c>
      <c r="J41">
        <v>2.64</v>
      </c>
      <c r="K41">
        <v>11.84</v>
      </c>
      <c r="L41">
        <v>107.12</v>
      </c>
      <c r="M41">
        <v>3.01</v>
      </c>
      <c r="N41">
        <v>1937.93</v>
      </c>
    </row>
    <row r="42" spans="1:14" x14ac:dyDescent="0.2">
      <c r="A42" s="1">
        <v>45477</v>
      </c>
      <c r="B42" s="2" t="s">
        <v>24</v>
      </c>
      <c r="C42" s="2" t="s">
        <v>32</v>
      </c>
      <c r="D42" s="2" t="s">
        <v>22</v>
      </c>
      <c r="E42">
        <v>19423</v>
      </c>
      <c r="F42">
        <v>3136</v>
      </c>
      <c r="G42">
        <v>267</v>
      </c>
      <c r="H42">
        <v>239.64</v>
      </c>
      <c r="I42">
        <v>41916.120000000003</v>
      </c>
      <c r="J42">
        <v>16.149999999999999</v>
      </c>
      <c r="K42">
        <v>8.51</v>
      </c>
      <c r="L42">
        <v>0.9</v>
      </c>
      <c r="M42">
        <v>174.91</v>
      </c>
      <c r="N42">
        <v>41676.480000000003</v>
      </c>
    </row>
    <row r="43" spans="1:14" x14ac:dyDescent="0.2">
      <c r="A43" s="1">
        <v>45477</v>
      </c>
      <c r="B43" s="2" t="s">
        <v>26</v>
      </c>
      <c r="C43" s="2" t="s">
        <v>21</v>
      </c>
      <c r="D43" s="2" t="s">
        <v>36</v>
      </c>
      <c r="E43">
        <v>17154</v>
      </c>
      <c r="F43">
        <v>1286</v>
      </c>
      <c r="G43">
        <v>166</v>
      </c>
      <c r="H43">
        <v>0</v>
      </c>
      <c r="I43">
        <v>24410.22</v>
      </c>
      <c r="J43">
        <v>7.5</v>
      </c>
      <c r="K43">
        <v>12.91</v>
      </c>
      <c r="L43">
        <v>0</v>
      </c>
      <c r="M43">
        <v>0</v>
      </c>
      <c r="N43">
        <v>24410.22</v>
      </c>
    </row>
    <row r="44" spans="1:14" x14ac:dyDescent="0.2">
      <c r="A44" s="1">
        <v>45477</v>
      </c>
      <c r="B44" s="2" t="s">
        <v>27</v>
      </c>
      <c r="C44" s="2" t="s">
        <v>28</v>
      </c>
      <c r="D44" s="2" t="s">
        <v>19</v>
      </c>
      <c r="E44">
        <v>32936</v>
      </c>
      <c r="F44">
        <v>609</v>
      </c>
      <c r="G44">
        <v>19</v>
      </c>
      <c r="H44">
        <v>634.58000000000004</v>
      </c>
      <c r="I44">
        <v>1900.8</v>
      </c>
      <c r="J44">
        <v>1.85</v>
      </c>
      <c r="K44">
        <v>3.12</v>
      </c>
      <c r="L44">
        <v>33.4</v>
      </c>
      <c r="M44">
        <v>3</v>
      </c>
      <c r="N44">
        <v>1266.22</v>
      </c>
    </row>
    <row r="45" spans="1:14" x14ac:dyDescent="0.2">
      <c r="A45" s="1">
        <v>45477</v>
      </c>
      <c r="B45" s="2" t="s">
        <v>29</v>
      </c>
      <c r="C45" s="2" t="s">
        <v>15</v>
      </c>
      <c r="D45" s="2" t="s">
        <v>25</v>
      </c>
      <c r="E45">
        <v>20389</v>
      </c>
      <c r="F45">
        <v>393</v>
      </c>
      <c r="G45">
        <v>30</v>
      </c>
      <c r="H45">
        <v>878.64</v>
      </c>
      <c r="I45">
        <v>3188.65</v>
      </c>
      <c r="J45">
        <v>1.93</v>
      </c>
      <c r="K45">
        <v>7.63</v>
      </c>
      <c r="L45">
        <v>29.29</v>
      </c>
      <c r="M45">
        <v>3.63</v>
      </c>
      <c r="N45">
        <v>2310.0100000000002</v>
      </c>
    </row>
    <row r="46" spans="1:14" x14ac:dyDescent="0.2">
      <c r="A46" s="1">
        <v>45477</v>
      </c>
      <c r="B46" s="2" t="s">
        <v>30</v>
      </c>
      <c r="C46" s="2" t="s">
        <v>21</v>
      </c>
      <c r="D46" s="2" t="s">
        <v>19</v>
      </c>
      <c r="E46">
        <v>10879</v>
      </c>
      <c r="F46">
        <v>297</v>
      </c>
      <c r="G46">
        <v>13</v>
      </c>
      <c r="H46">
        <v>634.29999999999995</v>
      </c>
      <c r="I46">
        <v>1488.08</v>
      </c>
      <c r="J46">
        <v>2.73</v>
      </c>
      <c r="K46">
        <v>4.38</v>
      </c>
      <c r="L46">
        <v>48.79</v>
      </c>
      <c r="M46">
        <v>2.35</v>
      </c>
      <c r="N46">
        <v>853.78</v>
      </c>
    </row>
    <row r="47" spans="1:14" x14ac:dyDescent="0.2">
      <c r="A47" s="1">
        <v>45477</v>
      </c>
      <c r="B47" s="2" t="s">
        <v>31</v>
      </c>
      <c r="C47" s="2" t="s">
        <v>18</v>
      </c>
      <c r="D47" s="2" t="s">
        <v>22</v>
      </c>
      <c r="E47">
        <v>22566</v>
      </c>
      <c r="F47">
        <v>698</v>
      </c>
      <c r="G47">
        <v>22</v>
      </c>
      <c r="H47">
        <v>722.77</v>
      </c>
      <c r="I47">
        <v>2159.23</v>
      </c>
      <c r="J47">
        <v>3.09</v>
      </c>
      <c r="K47">
        <v>3.15</v>
      </c>
      <c r="L47">
        <v>32.85</v>
      </c>
      <c r="M47">
        <v>2.99</v>
      </c>
      <c r="N47">
        <v>1436.46</v>
      </c>
    </row>
    <row r="48" spans="1:14" x14ac:dyDescent="0.2">
      <c r="A48" s="1">
        <v>45477</v>
      </c>
      <c r="B48" s="2" t="s">
        <v>33</v>
      </c>
      <c r="C48" s="2" t="s">
        <v>18</v>
      </c>
      <c r="D48" s="2" t="s">
        <v>19</v>
      </c>
      <c r="E48">
        <v>8094</v>
      </c>
      <c r="F48">
        <v>462</v>
      </c>
      <c r="G48">
        <v>57</v>
      </c>
      <c r="H48">
        <v>575.61</v>
      </c>
      <c r="I48">
        <v>6895.25</v>
      </c>
      <c r="J48">
        <v>5.71</v>
      </c>
      <c r="K48">
        <v>12.34</v>
      </c>
      <c r="L48">
        <v>10.1</v>
      </c>
      <c r="M48">
        <v>11.98</v>
      </c>
      <c r="N48">
        <v>6319.64</v>
      </c>
    </row>
    <row r="49" spans="1:14" x14ac:dyDescent="0.2">
      <c r="A49" s="1">
        <v>45477</v>
      </c>
      <c r="B49" s="2" t="s">
        <v>34</v>
      </c>
      <c r="C49" s="2" t="s">
        <v>28</v>
      </c>
      <c r="D49" s="2" t="s">
        <v>19</v>
      </c>
      <c r="E49">
        <v>4331</v>
      </c>
      <c r="F49">
        <v>240</v>
      </c>
      <c r="G49">
        <v>35</v>
      </c>
      <c r="H49">
        <v>76.62</v>
      </c>
      <c r="I49">
        <v>5376.56</v>
      </c>
      <c r="J49">
        <v>5.54</v>
      </c>
      <c r="K49">
        <v>14.58</v>
      </c>
      <c r="L49">
        <v>2.19</v>
      </c>
      <c r="M49">
        <v>70.17</v>
      </c>
      <c r="N49">
        <v>5299.94</v>
      </c>
    </row>
    <row r="50" spans="1:14" x14ac:dyDescent="0.2">
      <c r="A50" s="1">
        <v>45478</v>
      </c>
      <c r="B50" s="2" t="s">
        <v>14</v>
      </c>
      <c r="C50" s="2" t="s">
        <v>18</v>
      </c>
      <c r="D50" s="2" t="s">
        <v>22</v>
      </c>
      <c r="E50">
        <v>9985</v>
      </c>
      <c r="F50">
        <v>481</v>
      </c>
      <c r="G50">
        <v>54</v>
      </c>
      <c r="H50">
        <v>1102.08</v>
      </c>
      <c r="I50">
        <v>9639.26</v>
      </c>
      <c r="J50">
        <v>4.82</v>
      </c>
      <c r="K50">
        <v>11.23</v>
      </c>
      <c r="L50">
        <v>20.41</v>
      </c>
      <c r="M50">
        <v>8.75</v>
      </c>
      <c r="N50">
        <v>8537.18</v>
      </c>
    </row>
    <row r="51" spans="1:14" x14ac:dyDescent="0.2">
      <c r="A51" s="1">
        <v>45478</v>
      </c>
      <c r="B51" s="2" t="s">
        <v>17</v>
      </c>
      <c r="C51" s="2" t="s">
        <v>32</v>
      </c>
      <c r="D51" s="2" t="s">
        <v>19</v>
      </c>
      <c r="E51">
        <v>12247</v>
      </c>
      <c r="F51">
        <v>464</v>
      </c>
      <c r="G51">
        <v>38</v>
      </c>
      <c r="H51">
        <v>670.72</v>
      </c>
      <c r="I51">
        <v>3755.14</v>
      </c>
      <c r="J51">
        <v>3.79</v>
      </c>
      <c r="K51">
        <v>8.19</v>
      </c>
      <c r="L51">
        <v>17.649999999999999</v>
      </c>
      <c r="M51">
        <v>5.6</v>
      </c>
      <c r="N51">
        <v>3084.42</v>
      </c>
    </row>
    <row r="52" spans="1:14" x14ac:dyDescent="0.2">
      <c r="A52" s="1">
        <v>45478</v>
      </c>
      <c r="B52" s="2" t="s">
        <v>20</v>
      </c>
      <c r="C52" s="2" t="s">
        <v>21</v>
      </c>
      <c r="D52" s="2" t="s">
        <v>36</v>
      </c>
      <c r="E52">
        <v>12506</v>
      </c>
      <c r="F52">
        <v>411</v>
      </c>
      <c r="G52">
        <v>31</v>
      </c>
      <c r="H52">
        <v>836</v>
      </c>
      <c r="I52">
        <v>2819.31</v>
      </c>
      <c r="J52">
        <v>3.29</v>
      </c>
      <c r="K52">
        <v>7.54</v>
      </c>
      <c r="L52">
        <v>26.97</v>
      </c>
      <c r="M52">
        <v>3.37</v>
      </c>
      <c r="N52">
        <v>1983.31</v>
      </c>
    </row>
    <row r="53" spans="1:14" x14ac:dyDescent="0.2">
      <c r="A53" s="1">
        <v>45478</v>
      </c>
      <c r="B53" s="2" t="s">
        <v>23</v>
      </c>
      <c r="C53" s="2" t="s">
        <v>28</v>
      </c>
      <c r="D53" s="2" t="s">
        <v>36</v>
      </c>
      <c r="E53">
        <v>4216</v>
      </c>
      <c r="F53">
        <v>123</v>
      </c>
      <c r="G53">
        <v>15</v>
      </c>
      <c r="H53">
        <v>1099.01</v>
      </c>
      <c r="I53">
        <v>3874.69</v>
      </c>
      <c r="J53">
        <v>2.92</v>
      </c>
      <c r="K53">
        <v>12.2</v>
      </c>
      <c r="L53">
        <v>73.27</v>
      </c>
      <c r="M53">
        <v>3.53</v>
      </c>
      <c r="N53">
        <v>2775.68</v>
      </c>
    </row>
    <row r="54" spans="1:14" x14ac:dyDescent="0.2">
      <c r="A54" s="1">
        <v>45478</v>
      </c>
      <c r="B54" s="2" t="s">
        <v>24</v>
      </c>
      <c r="C54" s="2" t="s">
        <v>21</v>
      </c>
      <c r="D54" s="2" t="s">
        <v>19</v>
      </c>
      <c r="E54">
        <v>20677</v>
      </c>
      <c r="F54">
        <v>4790</v>
      </c>
      <c r="G54">
        <v>435</v>
      </c>
      <c r="H54">
        <v>148.06</v>
      </c>
      <c r="I54">
        <v>72196.27</v>
      </c>
      <c r="J54">
        <v>23.17</v>
      </c>
      <c r="K54">
        <v>9.08</v>
      </c>
      <c r="L54">
        <v>0.34</v>
      </c>
      <c r="M54">
        <v>487.61</v>
      </c>
      <c r="N54">
        <v>72048.210000000006</v>
      </c>
    </row>
    <row r="55" spans="1:14" x14ac:dyDescent="0.2">
      <c r="A55" s="1">
        <v>45478</v>
      </c>
      <c r="B55" s="2" t="s">
        <v>26</v>
      </c>
      <c r="C55" s="2" t="s">
        <v>21</v>
      </c>
      <c r="D55" s="2" t="s">
        <v>22</v>
      </c>
      <c r="E55">
        <v>29079</v>
      </c>
      <c r="F55">
        <v>1813</v>
      </c>
      <c r="G55">
        <v>235</v>
      </c>
      <c r="H55">
        <v>0</v>
      </c>
      <c r="I55">
        <v>31102.560000000001</v>
      </c>
      <c r="J55">
        <v>6.23</v>
      </c>
      <c r="K55">
        <v>12.96</v>
      </c>
      <c r="L55">
        <v>0</v>
      </c>
      <c r="M55">
        <v>0</v>
      </c>
      <c r="N55">
        <v>31102.560000000001</v>
      </c>
    </row>
    <row r="56" spans="1:14" x14ac:dyDescent="0.2">
      <c r="A56" s="1">
        <v>45478</v>
      </c>
      <c r="B56" s="2" t="s">
        <v>27</v>
      </c>
      <c r="C56" s="2" t="s">
        <v>15</v>
      </c>
      <c r="D56" s="2" t="s">
        <v>25</v>
      </c>
      <c r="E56">
        <v>26089</v>
      </c>
      <c r="F56">
        <v>396</v>
      </c>
      <c r="G56">
        <v>9</v>
      </c>
      <c r="H56">
        <v>1090.05</v>
      </c>
      <c r="I56">
        <v>732.25</v>
      </c>
      <c r="J56">
        <v>1.52</v>
      </c>
      <c r="K56">
        <v>2.27</v>
      </c>
      <c r="L56">
        <v>121.12</v>
      </c>
      <c r="M56">
        <v>0.67</v>
      </c>
      <c r="N56">
        <v>-357.8</v>
      </c>
    </row>
    <row r="57" spans="1:14" x14ac:dyDescent="0.2">
      <c r="A57" s="1">
        <v>45478</v>
      </c>
      <c r="B57" s="2" t="s">
        <v>29</v>
      </c>
      <c r="C57" s="2" t="s">
        <v>32</v>
      </c>
      <c r="D57" s="2" t="s">
        <v>19</v>
      </c>
      <c r="E57">
        <v>13063</v>
      </c>
      <c r="F57">
        <v>340</v>
      </c>
      <c r="G57">
        <v>17</v>
      </c>
      <c r="H57">
        <v>1133.93</v>
      </c>
      <c r="I57">
        <v>1544.01</v>
      </c>
      <c r="J57">
        <v>2.6</v>
      </c>
      <c r="K57">
        <v>5</v>
      </c>
      <c r="L57">
        <v>66.7</v>
      </c>
      <c r="M57">
        <v>1.36</v>
      </c>
      <c r="N57">
        <v>410.08</v>
      </c>
    </row>
    <row r="58" spans="1:14" x14ac:dyDescent="0.2">
      <c r="A58" s="1">
        <v>45478</v>
      </c>
      <c r="B58" s="2" t="s">
        <v>30</v>
      </c>
      <c r="C58" s="2" t="s">
        <v>15</v>
      </c>
      <c r="D58" s="2" t="s">
        <v>25</v>
      </c>
      <c r="E58">
        <v>7954</v>
      </c>
      <c r="F58">
        <v>166</v>
      </c>
      <c r="G58">
        <v>8</v>
      </c>
      <c r="H58">
        <v>439.41</v>
      </c>
      <c r="I58">
        <v>784.58</v>
      </c>
      <c r="J58">
        <v>2.09</v>
      </c>
      <c r="K58">
        <v>4.82</v>
      </c>
      <c r="L58">
        <v>54.93</v>
      </c>
      <c r="M58">
        <v>1.79</v>
      </c>
      <c r="N58">
        <v>345.17</v>
      </c>
    </row>
    <row r="59" spans="1:14" x14ac:dyDescent="0.2">
      <c r="A59" s="1">
        <v>45478</v>
      </c>
      <c r="B59" s="2" t="s">
        <v>31</v>
      </c>
      <c r="C59" s="2" t="s">
        <v>28</v>
      </c>
      <c r="D59" s="2" t="s">
        <v>25</v>
      </c>
      <c r="E59">
        <v>19689</v>
      </c>
      <c r="F59">
        <v>556</v>
      </c>
      <c r="G59">
        <v>16</v>
      </c>
      <c r="H59">
        <v>815.46</v>
      </c>
      <c r="I59">
        <v>1500.52</v>
      </c>
      <c r="J59">
        <v>2.82</v>
      </c>
      <c r="K59">
        <v>2.88</v>
      </c>
      <c r="L59">
        <v>50.97</v>
      </c>
      <c r="M59">
        <v>1.84</v>
      </c>
      <c r="N59">
        <v>685.06</v>
      </c>
    </row>
    <row r="60" spans="1:14" x14ac:dyDescent="0.2">
      <c r="A60" s="1">
        <v>45478</v>
      </c>
      <c r="B60" s="2" t="s">
        <v>33</v>
      </c>
      <c r="C60" s="2" t="s">
        <v>28</v>
      </c>
      <c r="D60" s="2" t="s">
        <v>19</v>
      </c>
      <c r="E60">
        <v>4678</v>
      </c>
      <c r="F60">
        <v>309</v>
      </c>
      <c r="G60">
        <v>27</v>
      </c>
      <c r="H60">
        <v>298.31</v>
      </c>
      <c r="I60">
        <v>3064.65</v>
      </c>
      <c r="J60">
        <v>6.61</v>
      </c>
      <c r="K60">
        <v>8.74</v>
      </c>
      <c r="L60">
        <v>11.05</v>
      </c>
      <c r="M60">
        <v>10.27</v>
      </c>
      <c r="N60">
        <v>2766.34</v>
      </c>
    </row>
    <row r="61" spans="1:14" x14ac:dyDescent="0.2">
      <c r="A61" s="1">
        <v>45478</v>
      </c>
      <c r="B61" s="2" t="s">
        <v>34</v>
      </c>
      <c r="C61" s="2" t="s">
        <v>21</v>
      </c>
      <c r="D61" s="2" t="s">
        <v>22</v>
      </c>
      <c r="E61">
        <v>5536</v>
      </c>
      <c r="F61">
        <v>527</v>
      </c>
      <c r="G61">
        <v>86</v>
      </c>
      <c r="H61">
        <v>118.64</v>
      </c>
      <c r="I61">
        <v>14761.17</v>
      </c>
      <c r="J61">
        <v>9.52</v>
      </c>
      <c r="K61">
        <v>16.32</v>
      </c>
      <c r="L61">
        <v>1.38</v>
      </c>
      <c r="M61">
        <v>124.42</v>
      </c>
      <c r="N61">
        <v>14642.53</v>
      </c>
    </row>
    <row r="62" spans="1:14" x14ac:dyDescent="0.2">
      <c r="A62" s="1">
        <v>45479</v>
      </c>
      <c r="B62" s="2" t="s">
        <v>14</v>
      </c>
      <c r="C62" s="2" t="s">
        <v>32</v>
      </c>
      <c r="D62" s="2" t="s">
        <v>36</v>
      </c>
      <c r="E62">
        <v>6875</v>
      </c>
      <c r="F62">
        <v>280</v>
      </c>
      <c r="G62">
        <v>30</v>
      </c>
      <c r="H62">
        <v>603.83000000000004</v>
      </c>
      <c r="I62">
        <v>4629.8599999999997</v>
      </c>
      <c r="J62">
        <v>4.07</v>
      </c>
      <c r="K62">
        <v>10.71</v>
      </c>
      <c r="L62">
        <v>20.13</v>
      </c>
      <c r="M62">
        <v>7.67</v>
      </c>
      <c r="N62">
        <v>4026.03</v>
      </c>
    </row>
    <row r="63" spans="1:14" x14ac:dyDescent="0.2">
      <c r="A63" s="1">
        <v>45479</v>
      </c>
      <c r="B63" s="2" t="s">
        <v>17</v>
      </c>
      <c r="C63" s="2" t="s">
        <v>18</v>
      </c>
      <c r="D63" s="2" t="s">
        <v>16</v>
      </c>
      <c r="E63">
        <v>8136</v>
      </c>
      <c r="F63">
        <v>215</v>
      </c>
      <c r="G63">
        <v>16</v>
      </c>
      <c r="H63">
        <v>644.98</v>
      </c>
      <c r="I63">
        <v>2182.4</v>
      </c>
      <c r="J63">
        <v>2.64</v>
      </c>
      <c r="K63">
        <v>7.44</v>
      </c>
      <c r="L63">
        <v>40.31</v>
      </c>
      <c r="M63">
        <v>3.38</v>
      </c>
      <c r="N63">
        <v>1537.42</v>
      </c>
    </row>
    <row r="64" spans="1:14" x14ac:dyDescent="0.2">
      <c r="A64" s="1">
        <v>45479</v>
      </c>
      <c r="B64" s="2" t="s">
        <v>20</v>
      </c>
      <c r="C64" s="2" t="s">
        <v>18</v>
      </c>
      <c r="D64" s="2" t="s">
        <v>22</v>
      </c>
      <c r="E64">
        <v>8628</v>
      </c>
      <c r="F64">
        <v>293</v>
      </c>
      <c r="G64">
        <v>19</v>
      </c>
      <c r="H64">
        <v>546.62</v>
      </c>
      <c r="I64">
        <v>1627.69</v>
      </c>
      <c r="J64">
        <v>3.4</v>
      </c>
      <c r="K64">
        <v>6.48</v>
      </c>
      <c r="L64">
        <v>28.77</v>
      </c>
      <c r="M64">
        <v>2.98</v>
      </c>
      <c r="N64">
        <v>1081.07</v>
      </c>
    </row>
    <row r="65" spans="1:14" x14ac:dyDescent="0.2">
      <c r="A65" s="1">
        <v>45479</v>
      </c>
      <c r="B65" s="2" t="s">
        <v>23</v>
      </c>
      <c r="C65" s="2" t="s">
        <v>15</v>
      </c>
      <c r="D65" s="2" t="s">
        <v>22</v>
      </c>
      <c r="E65">
        <v>2998</v>
      </c>
      <c r="F65">
        <v>88</v>
      </c>
      <c r="G65">
        <v>10</v>
      </c>
      <c r="H65">
        <v>684.57</v>
      </c>
      <c r="I65">
        <v>3304.37</v>
      </c>
      <c r="J65">
        <v>2.94</v>
      </c>
      <c r="K65">
        <v>11.36</v>
      </c>
      <c r="L65">
        <v>68.459999999999994</v>
      </c>
      <c r="M65">
        <v>4.83</v>
      </c>
      <c r="N65">
        <v>2619.8000000000002</v>
      </c>
    </row>
    <row r="66" spans="1:14" x14ac:dyDescent="0.2">
      <c r="A66" s="1">
        <v>45479</v>
      </c>
      <c r="B66" s="2" t="s">
        <v>24</v>
      </c>
      <c r="C66" s="2" t="s">
        <v>15</v>
      </c>
      <c r="D66" s="2" t="s">
        <v>36</v>
      </c>
      <c r="E66">
        <v>9035</v>
      </c>
      <c r="F66">
        <v>2043</v>
      </c>
      <c r="G66">
        <v>178</v>
      </c>
      <c r="H66">
        <v>82.87</v>
      </c>
      <c r="I66">
        <v>28160.47</v>
      </c>
      <c r="J66">
        <v>22.61</v>
      </c>
      <c r="K66">
        <v>8.7100000000000009</v>
      </c>
      <c r="L66">
        <v>0.47</v>
      </c>
      <c r="M66">
        <v>339.82</v>
      </c>
      <c r="N66">
        <v>28077.599999999999</v>
      </c>
    </row>
    <row r="67" spans="1:14" x14ac:dyDescent="0.2">
      <c r="A67" s="1">
        <v>45479</v>
      </c>
      <c r="B67" s="2" t="s">
        <v>26</v>
      </c>
      <c r="C67" s="2" t="s">
        <v>32</v>
      </c>
      <c r="D67" s="2" t="s">
        <v>16</v>
      </c>
      <c r="E67">
        <v>18602</v>
      </c>
      <c r="F67">
        <v>1309</v>
      </c>
      <c r="G67">
        <v>170</v>
      </c>
      <c r="H67">
        <v>0</v>
      </c>
      <c r="I67">
        <v>21604.9</v>
      </c>
      <c r="J67">
        <v>7.04</v>
      </c>
      <c r="K67">
        <v>12.99</v>
      </c>
      <c r="L67">
        <v>0</v>
      </c>
      <c r="M67">
        <v>0</v>
      </c>
      <c r="N67">
        <v>21604.9</v>
      </c>
    </row>
    <row r="68" spans="1:14" x14ac:dyDescent="0.2">
      <c r="A68" s="1">
        <v>45479</v>
      </c>
      <c r="B68" s="2" t="s">
        <v>27</v>
      </c>
      <c r="C68" s="2" t="s">
        <v>28</v>
      </c>
      <c r="D68" s="2" t="s">
        <v>36</v>
      </c>
      <c r="E68">
        <v>22008</v>
      </c>
      <c r="F68">
        <v>280</v>
      </c>
      <c r="G68">
        <v>7</v>
      </c>
      <c r="H68">
        <v>760.42</v>
      </c>
      <c r="I68">
        <v>539.02</v>
      </c>
      <c r="J68">
        <v>1.27</v>
      </c>
      <c r="K68">
        <v>2.5</v>
      </c>
      <c r="L68">
        <v>108.63</v>
      </c>
      <c r="M68">
        <v>0.71</v>
      </c>
      <c r="N68">
        <v>-221.4</v>
      </c>
    </row>
    <row r="69" spans="1:14" x14ac:dyDescent="0.2">
      <c r="A69" s="1">
        <v>45479</v>
      </c>
      <c r="B69" s="2" t="s">
        <v>29</v>
      </c>
      <c r="C69" s="2" t="s">
        <v>32</v>
      </c>
      <c r="D69" s="2" t="s">
        <v>36</v>
      </c>
      <c r="E69">
        <v>9504</v>
      </c>
      <c r="F69">
        <v>204</v>
      </c>
      <c r="G69">
        <v>8</v>
      </c>
      <c r="H69">
        <v>517.62</v>
      </c>
      <c r="I69">
        <v>995.33</v>
      </c>
      <c r="J69">
        <v>2.15</v>
      </c>
      <c r="K69">
        <v>3.92</v>
      </c>
      <c r="L69">
        <v>64.7</v>
      </c>
      <c r="M69">
        <v>1.92</v>
      </c>
      <c r="N69">
        <v>477.71</v>
      </c>
    </row>
    <row r="70" spans="1:14" x14ac:dyDescent="0.2">
      <c r="A70" s="1">
        <v>45479</v>
      </c>
      <c r="B70" s="2" t="s">
        <v>30</v>
      </c>
      <c r="C70" s="2" t="s">
        <v>32</v>
      </c>
      <c r="D70" s="2" t="s">
        <v>19</v>
      </c>
      <c r="E70">
        <v>7701</v>
      </c>
      <c r="F70">
        <v>195</v>
      </c>
      <c r="G70">
        <v>10</v>
      </c>
      <c r="H70">
        <v>372.63</v>
      </c>
      <c r="I70">
        <v>767.3</v>
      </c>
      <c r="J70">
        <v>2.5299999999999998</v>
      </c>
      <c r="K70">
        <v>5.13</v>
      </c>
      <c r="L70">
        <v>37.26</v>
      </c>
      <c r="M70">
        <v>2.06</v>
      </c>
      <c r="N70">
        <v>394.67</v>
      </c>
    </row>
    <row r="71" spans="1:14" x14ac:dyDescent="0.2">
      <c r="A71" s="1">
        <v>45479</v>
      </c>
      <c r="B71" s="2" t="s">
        <v>31</v>
      </c>
      <c r="C71" s="2" t="s">
        <v>32</v>
      </c>
      <c r="D71" s="2" t="s">
        <v>16</v>
      </c>
      <c r="E71">
        <v>12837</v>
      </c>
      <c r="F71">
        <v>439</v>
      </c>
      <c r="G71">
        <v>19</v>
      </c>
      <c r="H71">
        <v>451.18</v>
      </c>
      <c r="I71">
        <v>1684.26</v>
      </c>
      <c r="J71">
        <v>3.42</v>
      </c>
      <c r="K71">
        <v>4.33</v>
      </c>
      <c r="L71">
        <v>23.75</v>
      </c>
      <c r="M71">
        <v>3.73</v>
      </c>
      <c r="N71">
        <v>1233.08</v>
      </c>
    </row>
    <row r="72" spans="1:14" x14ac:dyDescent="0.2">
      <c r="A72" s="1">
        <v>45479</v>
      </c>
      <c r="B72" s="2" t="s">
        <v>33</v>
      </c>
      <c r="C72" s="2" t="s">
        <v>15</v>
      </c>
      <c r="D72" s="2" t="s">
        <v>16</v>
      </c>
      <c r="E72">
        <v>5013</v>
      </c>
      <c r="F72">
        <v>290</v>
      </c>
      <c r="G72">
        <v>25</v>
      </c>
      <c r="H72">
        <v>234.15</v>
      </c>
      <c r="I72">
        <v>2417.1799999999998</v>
      </c>
      <c r="J72">
        <v>5.78</v>
      </c>
      <c r="K72">
        <v>8.6199999999999992</v>
      </c>
      <c r="L72">
        <v>9.3699999999999992</v>
      </c>
      <c r="M72">
        <v>10.32</v>
      </c>
      <c r="N72">
        <v>2183.0300000000002</v>
      </c>
    </row>
    <row r="73" spans="1:14" x14ac:dyDescent="0.2">
      <c r="A73" s="1">
        <v>45479</v>
      </c>
      <c r="B73" s="2" t="s">
        <v>34</v>
      </c>
      <c r="C73" s="2" t="s">
        <v>15</v>
      </c>
      <c r="D73" s="2" t="s">
        <v>25</v>
      </c>
      <c r="E73">
        <v>2250</v>
      </c>
      <c r="F73">
        <v>131</v>
      </c>
      <c r="G73">
        <v>22</v>
      </c>
      <c r="H73">
        <v>81.95</v>
      </c>
      <c r="I73">
        <v>3272.43</v>
      </c>
      <c r="J73">
        <v>5.82</v>
      </c>
      <c r="K73">
        <v>16.79</v>
      </c>
      <c r="L73">
        <v>3.72</v>
      </c>
      <c r="M73">
        <v>39.93</v>
      </c>
      <c r="N73">
        <v>3190.48</v>
      </c>
    </row>
    <row r="74" spans="1:14" x14ac:dyDescent="0.2">
      <c r="A74" s="1">
        <v>45480</v>
      </c>
      <c r="B74" s="2" t="s">
        <v>14</v>
      </c>
      <c r="C74" s="2" t="s">
        <v>35</v>
      </c>
      <c r="D74" s="2" t="s">
        <v>19</v>
      </c>
      <c r="E74">
        <v>6841</v>
      </c>
      <c r="F74">
        <v>292</v>
      </c>
      <c r="G74">
        <v>26</v>
      </c>
      <c r="H74">
        <v>845.05</v>
      </c>
      <c r="I74">
        <v>4674.33</v>
      </c>
      <c r="J74">
        <v>4.2699999999999996</v>
      </c>
      <c r="K74">
        <v>8.9</v>
      </c>
      <c r="L74">
        <v>32.5</v>
      </c>
      <c r="M74">
        <v>5.53</v>
      </c>
      <c r="N74">
        <v>3829.28</v>
      </c>
    </row>
    <row r="75" spans="1:14" x14ac:dyDescent="0.2">
      <c r="A75" s="1">
        <v>45480</v>
      </c>
      <c r="B75" s="2" t="s">
        <v>17</v>
      </c>
      <c r="C75" s="2" t="s">
        <v>18</v>
      </c>
      <c r="D75" s="2" t="s">
        <v>19</v>
      </c>
      <c r="E75">
        <v>11890</v>
      </c>
      <c r="F75">
        <v>399</v>
      </c>
      <c r="G75">
        <v>29</v>
      </c>
      <c r="H75">
        <v>510.18</v>
      </c>
      <c r="I75">
        <v>3073.59</v>
      </c>
      <c r="J75">
        <v>3.36</v>
      </c>
      <c r="K75">
        <v>7.27</v>
      </c>
      <c r="L75">
        <v>17.59</v>
      </c>
      <c r="M75">
        <v>6.02</v>
      </c>
      <c r="N75">
        <v>2563.41</v>
      </c>
    </row>
    <row r="76" spans="1:14" x14ac:dyDescent="0.2">
      <c r="A76" s="1">
        <v>45480</v>
      </c>
      <c r="B76" s="2" t="s">
        <v>20</v>
      </c>
      <c r="C76" s="2" t="s">
        <v>28</v>
      </c>
      <c r="D76" s="2" t="s">
        <v>22</v>
      </c>
      <c r="E76">
        <v>9445</v>
      </c>
      <c r="F76">
        <v>348</v>
      </c>
      <c r="G76">
        <v>13</v>
      </c>
      <c r="H76">
        <v>514.30999999999995</v>
      </c>
      <c r="I76">
        <v>1205.5899999999999</v>
      </c>
      <c r="J76">
        <v>3.68</v>
      </c>
      <c r="K76">
        <v>3.74</v>
      </c>
      <c r="L76">
        <v>39.56</v>
      </c>
      <c r="M76">
        <v>2.34</v>
      </c>
      <c r="N76">
        <v>691.28</v>
      </c>
    </row>
    <row r="77" spans="1:14" x14ac:dyDescent="0.2">
      <c r="A77" s="1">
        <v>45480</v>
      </c>
      <c r="B77" s="2" t="s">
        <v>23</v>
      </c>
      <c r="C77" s="2" t="s">
        <v>28</v>
      </c>
      <c r="D77" s="2" t="s">
        <v>16</v>
      </c>
      <c r="E77">
        <v>2172</v>
      </c>
      <c r="F77">
        <v>54</v>
      </c>
      <c r="G77">
        <v>7</v>
      </c>
      <c r="H77">
        <v>700.18</v>
      </c>
      <c r="I77">
        <v>2044.38</v>
      </c>
      <c r="J77">
        <v>2.4900000000000002</v>
      </c>
      <c r="K77">
        <v>12.96</v>
      </c>
      <c r="L77">
        <v>100.03</v>
      </c>
      <c r="M77">
        <v>2.92</v>
      </c>
      <c r="N77">
        <v>1344.2</v>
      </c>
    </row>
    <row r="78" spans="1:14" x14ac:dyDescent="0.2">
      <c r="A78" s="1">
        <v>45480</v>
      </c>
      <c r="B78" s="2" t="s">
        <v>24</v>
      </c>
      <c r="C78" s="2" t="s">
        <v>15</v>
      </c>
      <c r="D78" s="2" t="s">
        <v>19</v>
      </c>
      <c r="E78">
        <v>9979</v>
      </c>
      <c r="F78">
        <v>1850</v>
      </c>
      <c r="G78">
        <v>192</v>
      </c>
      <c r="H78">
        <v>73.2</v>
      </c>
      <c r="I78">
        <v>28393.7</v>
      </c>
      <c r="J78">
        <v>18.54</v>
      </c>
      <c r="K78">
        <v>10.38</v>
      </c>
      <c r="L78">
        <v>0.38</v>
      </c>
      <c r="M78">
        <v>387.89</v>
      </c>
      <c r="N78">
        <v>28320.5</v>
      </c>
    </row>
    <row r="79" spans="1:14" x14ac:dyDescent="0.2">
      <c r="A79" s="1">
        <v>45480</v>
      </c>
      <c r="B79" s="2" t="s">
        <v>26</v>
      </c>
      <c r="C79" s="2" t="s">
        <v>32</v>
      </c>
      <c r="D79" s="2" t="s">
        <v>22</v>
      </c>
      <c r="E79">
        <v>17443</v>
      </c>
      <c r="F79">
        <v>992</v>
      </c>
      <c r="G79">
        <v>158</v>
      </c>
      <c r="H79">
        <v>0</v>
      </c>
      <c r="I79">
        <v>15610.16</v>
      </c>
      <c r="J79">
        <v>5.69</v>
      </c>
      <c r="K79">
        <v>15.93</v>
      </c>
      <c r="L79">
        <v>0</v>
      </c>
      <c r="M79">
        <v>0</v>
      </c>
      <c r="N79">
        <v>15610.16</v>
      </c>
    </row>
    <row r="80" spans="1:14" x14ac:dyDescent="0.2">
      <c r="A80" s="1">
        <v>45480</v>
      </c>
      <c r="B80" s="2" t="s">
        <v>27</v>
      </c>
      <c r="C80" s="2" t="s">
        <v>32</v>
      </c>
      <c r="D80" s="2" t="s">
        <v>16</v>
      </c>
      <c r="E80">
        <v>20769</v>
      </c>
      <c r="F80">
        <v>220</v>
      </c>
      <c r="G80">
        <v>4</v>
      </c>
      <c r="H80">
        <v>621.37</v>
      </c>
      <c r="I80">
        <v>431.47</v>
      </c>
      <c r="J80">
        <v>1.06</v>
      </c>
      <c r="K80">
        <v>1.82</v>
      </c>
      <c r="L80">
        <v>155.34</v>
      </c>
      <c r="M80">
        <v>0.69</v>
      </c>
      <c r="N80">
        <v>-189.9</v>
      </c>
    </row>
    <row r="81" spans="1:14" x14ac:dyDescent="0.2">
      <c r="A81" s="1">
        <v>45480</v>
      </c>
      <c r="B81" s="2" t="s">
        <v>29</v>
      </c>
      <c r="C81" s="2" t="s">
        <v>15</v>
      </c>
      <c r="D81" s="2" t="s">
        <v>19</v>
      </c>
      <c r="E81">
        <v>14662</v>
      </c>
      <c r="F81">
        <v>327</v>
      </c>
      <c r="G81">
        <v>20</v>
      </c>
      <c r="H81">
        <v>740.07</v>
      </c>
      <c r="I81">
        <v>2266.61</v>
      </c>
      <c r="J81">
        <v>2.23</v>
      </c>
      <c r="K81">
        <v>6.12</v>
      </c>
      <c r="L81">
        <v>37</v>
      </c>
      <c r="M81">
        <v>3.06</v>
      </c>
      <c r="N81">
        <v>1526.54</v>
      </c>
    </row>
    <row r="82" spans="1:14" x14ac:dyDescent="0.2">
      <c r="A82" s="1">
        <v>45480</v>
      </c>
      <c r="B82" s="2" t="s">
        <v>30</v>
      </c>
      <c r="C82" s="2" t="s">
        <v>15</v>
      </c>
      <c r="D82" s="2" t="s">
        <v>25</v>
      </c>
      <c r="E82">
        <v>4936</v>
      </c>
      <c r="F82">
        <v>135</v>
      </c>
      <c r="G82">
        <v>4</v>
      </c>
      <c r="H82">
        <v>412.84</v>
      </c>
      <c r="I82">
        <v>327.57</v>
      </c>
      <c r="J82">
        <v>2.74</v>
      </c>
      <c r="K82">
        <v>2.96</v>
      </c>
      <c r="L82">
        <v>103.21</v>
      </c>
      <c r="M82">
        <v>0.79</v>
      </c>
      <c r="N82">
        <v>-85.27</v>
      </c>
    </row>
    <row r="83" spans="1:14" x14ac:dyDescent="0.2">
      <c r="A83" s="1">
        <v>45480</v>
      </c>
      <c r="B83" s="2" t="s">
        <v>31</v>
      </c>
      <c r="C83" s="2" t="s">
        <v>32</v>
      </c>
      <c r="D83" s="2" t="s">
        <v>22</v>
      </c>
      <c r="E83">
        <v>15192</v>
      </c>
      <c r="F83">
        <v>396</v>
      </c>
      <c r="G83">
        <v>13</v>
      </c>
      <c r="H83">
        <v>357.28</v>
      </c>
      <c r="I83">
        <v>1463.49</v>
      </c>
      <c r="J83">
        <v>2.61</v>
      </c>
      <c r="K83">
        <v>3.28</v>
      </c>
      <c r="L83">
        <v>27.48</v>
      </c>
      <c r="M83">
        <v>4.0999999999999996</v>
      </c>
      <c r="N83">
        <v>1106.21</v>
      </c>
    </row>
    <row r="84" spans="1:14" x14ac:dyDescent="0.2">
      <c r="A84" s="1">
        <v>45480</v>
      </c>
      <c r="B84" s="2" t="s">
        <v>33</v>
      </c>
      <c r="C84" s="2" t="s">
        <v>21</v>
      </c>
      <c r="D84" s="2" t="s">
        <v>19</v>
      </c>
      <c r="E84">
        <v>3844</v>
      </c>
      <c r="F84">
        <v>211</v>
      </c>
      <c r="G84">
        <v>23</v>
      </c>
      <c r="H84">
        <v>300.02</v>
      </c>
      <c r="I84">
        <v>2235.23</v>
      </c>
      <c r="J84">
        <v>5.49</v>
      </c>
      <c r="K84">
        <v>10.9</v>
      </c>
      <c r="L84">
        <v>13.04</v>
      </c>
      <c r="M84">
        <v>7.45</v>
      </c>
      <c r="N84">
        <v>1935.21</v>
      </c>
    </row>
    <row r="85" spans="1:14" x14ac:dyDescent="0.2">
      <c r="A85" s="1">
        <v>45480</v>
      </c>
      <c r="B85" s="2" t="s">
        <v>34</v>
      </c>
      <c r="C85" s="2" t="s">
        <v>21</v>
      </c>
      <c r="D85" s="2" t="s">
        <v>25</v>
      </c>
      <c r="E85">
        <v>1993</v>
      </c>
      <c r="F85">
        <v>157</v>
      </c>
      <c r="G85">
        <v>27</v>
      </c>
      <c r="H85">
        <v>111.1</v>
      </c>
      <c r="I85">
        <v>3279.4</v>
      </c>
      <c r="J85">
        <v>7.88</v>
      </c>
      <c r="K85">
        <v>17.2</v>
      </c>
      <c r="L85">
        <v>4.1100000000000003</v>
      </c>
      <c r="M85">
        <v>29.52</v>
      </c>
      <c r="N85">
        <v>3168.3</v>
      </c>
    </row>
    <row r="86" spans="1:14" x14ac:dyDescent="0.2">
      <c r="A86" s="1">
        <v>45481</v>
      </c>
      <c r="B86" s="2" t="s">
        <v>14</v>
      </c>
      <c r="C86" s="2" t="s">
        <v>32</v>
      </c>
      <c r="D86" s="2" t="s">
        <v>16</v>
      </c>
      <c r="E86">
        <v>10347</v>
      </c>
      <c r="F86">
        <v>384</v>
      </c>
      <c r="G86">
        <v>35</v>
      </c>
      <c r="H86">
        <v>989.72</v>
      </c>
      <c r="I86">
        <v>4652.79</v>
      </c>
      <c r="J86">
        <v>3.71</v>
      </c>
      <c r="K86">
        <v>9.11</v>
      </c>
      <c r="L86">
        <v>28.28</v>
      </c>
      <c r="M86">
        <v>4.7</v>
      </c>
      <c r="N86">
        <v>3663.07</v>
      </c>
    </row>
    <row r="87" spans="1:14" x14ac:dyDescent="0.2">
      <c r="A87" s="1">
        <v>45481</v>
      </c>
      <c r="B87" s="2" t="s">
        <v>17</v>
      </c>
      <c r="C87" s="2" t="s">
        <v>32</v>
      </c>
      <c r="D87" s="2" t="s">
        <v>19</v>
      </c>
      <c r="E87">
        <v>13841</v>
      </c>
      <c r="F87">
        <v>417</v>
      </c>
      <c r="G87">
        <v>34</v>
      </c>
      <c r="H87">
        <v>951.68</v>
      </c>
      <c r="I87">
        <v>3328.8</v>
      </c>
      <c r="J87">
        <v>3.01</v>
      </c>
      <c r="K87">
        <v>8.15</v>
      </c>
      <c r="L87">
        <v>27.99</v>
      </c>
      <c r="M87">
        <v>3.5</v>
      </c>
      <c r="N87">
        <v>2377.12</v>
      </c>
    </row>
    <row r="88" spans="1:14" x14ac:dyDescent="0.2">
      <c r="A88" s="1">
        <v>45481</v>
      </c>
      <c r="B88" s="2" t="s">
        <v>20</v>
      </c>
      <c r="C88" s="2" t="s">
        <v>28</v>
      </c>
      <c r="D88" s="2" t="s">
        <v>16</v>
      </c>
      <c r="E88">
        <v>13429</v>
      </c>
      <c r="F88">
        <v>392</v>
      </c>
      <c r="G88">
        <v>17</v>
      </c>
      <c r="H88">
        <v>780.48</v>
      </c>
      <c r="I88">
        <v>1785.3</v>
      </c>
      <c r="J88">
        <v>2.92</v>
      </c>
      <c r="K88">
        <v>4.34</v>
      </c>
      <c r="L88">
        <v>45.91</v>
      </c>
      <c r="M88">
        <v>2.29</v>
      </c>
      <c r="N88">
        <v>1004.82</v>
      </c>
    </row>
    <row r="89" spans="1:14" x14ac:dyDescent="0.2">
      <c r="A89" s="1">
        <v>45481</v>
      </c>
      <c r="B89" s="2" t="s">
        <v>23</v>
      </c>
      <c r="C89" s="2" t="s">
        <v>18</v>
      </c>
      <c r="D89" s="2" t="s">
        <v>19</v>
      </c>
      <c r="E89">
        <v>3999</v>
      </c>
      <c r="F89">
        <v>93</v>
      </c>
      <c r="G89">
        <v>13</v>
      </c>
      <c r="H89">
        <v>1213.68</v>
      </c>
      <c r="I89">
        <v>3697.92</v>
      </c>
      <c r="J89">
        <v>2.33</v>
      </c>
      <c r="K89">
        <v>13.98</v>
      </c>
      <c r="L89">
        <v>93.36</v>
      </c>
      <c r="M89">
        <v>3.05</v>
      </c>
      <c r="N89">
        <v>2484.2399999999998</v>
      </c>
    </row>
    <row r="90" spans="1:14" x14ac:dyDescent="0.2">
      <c r="A90" s="1">
        <v>45481</v>
      </c>
      <c r="B90" s="2" t="s">
        <v>24</v>
      </c>
      <c r="C90" s="2" t="s">
        <v>35</v>
      </c>
      <c r="D90" s="2" t="s">
        <v>22</v>
      </c>
      <c r="E90">
        <v>13418</v>
      </c>
      <c r="F90">
        <v>2776</v>
      </c>
      <c r="G90">
        <v>348</v>
      </c>
      <c r="H90">
        <v>223.01</v>
      </c>
      <c r="I90">
        <v>44449.75</v>
      </c>
      <c r="J90">
        <v>20.69</v>
      </c>
      <c r="K90">
        <v>12.54</v>
      </c>
      <c r="L90">
        <v>0.64</v>
      </c>
      <c r="M90">
        <v>199.32</v>
      </c>
      <c r="N90">
        <v>44226.74</v>
      </c>
    </row>
    <row r="91" spans="1:14" x14ac:dyDescent="0.2">
      <c r="A91" s="1">
        <v>45481</v>
      </c>
      <c r="B91" s="2" t="s">
        <v>26</v>
      </c>
      <c r="C91" s="2" t="s">
        <v>18</v>
      </c>
      <c r="D91" s="2" t="s">
        <v>22</v>
      </c>
      <c r="E91">
        <v>26876</v>
      </c>
      <c r="F91">
        <v>1202</v>
      </c>
      <c r="G91">
        <v>143</v>
      </c>
      <c r="H91">
        <v>0</v>
      </c>
      <c r="I91">
        <v>20262.330000000002</v>
      </c>
      <c r="J91">
        <v>4.47</v>
      </c>
      <c r="K91">
        <v>11.9</v>
      </c>
      <c r="L91">
        <v>0</v>
      </c>
      <c r="M91">
        <v>0</v>
      </c>
      <c r="N91">
        <v>20262.330000000002</v>
      </c>
    </row>
    <row r="92" spans="1:14" x14ac:dyDescent="0.2">
      <c r="A92" s="1">
        <v>45481</v>
      </c>
      <c r="B92" s="2" t="s">
        <v>27</v>
      </c>
      <c r="C92" s="2" t="s">
        <v>32</v>
      </c>
      <c r="D92" s="2" t="s">
        <v>16</v>
      </c>
      <c r="E92">
        <v>28955</v>
      </c>
      <c r="F92">
        <v>415</v>
      </c>
      <c r="G92">
        <v>16</v>
      </c>
      <c r="H92">
        <v>818.24</v>
      </c>
      <c r="I92">
        <v>1436.44</v>
      </c>
      <c r="J92">
        <v>1.43</v>
      </c>
      <c r="K92">
        <v>3.86</v>
      </c>
      <c r="L92">
        <v>51.14</v>
      </c>
      <c r="M92">
        <v>1.76</v>
      </c>
      <c r="N92">
        <v>618.20000000000005</v>
      </c>
    </row>
    <row r="93" spans="1:14" x14ac:dyDescent="0.2">
      <c r="A93" s="1">
        <v>45481</v>
      </c>
      <c r="B93" s="2" t="s">
        <v>29</v>
      </c>
      <c r="C93" s="2" t="s">
        <v>18</v>
      </c>
      <c r="D93" s="2" t="s">
        <v>36</v>
      </c>
      <c r="E93">
        <v>16677</v>
      </c>
      <c r="F93">
        <v>425</v>
      </c>
      <c r="G93">
        <v>21</v>
      </c>
      <c r="H93">
        <v>1001.69</v>
      </c>
      <c r="I93">
        <v>2569.86</v>
      </c>
      <c r="J93">
        <v>2.5499999999999998</v>
      </c>
      <c r="K93">
        <v>4.9400000000000004</v>
      </c>
      <c r="L93">
        <v>47.7</v>
      </c>
      <c r="M93">
        <v>2.57</v>
      </c>
      <c r="N93">
        <v>1568.17</v>
      </c>
    </row>
    <row r="94" spans="1:14" x14ac:dyDescent="0.2">
      <c r="A94" s="1">
        <v>45481</v>
      </c>
      <c r="B94" s="2" t="s">
        <v>30</v>
      </c>
      <c r="C94" s="2" t="s">
        <v>18</v>
      </c>
      <c r="D94" s="2" t="s">
        <v>25</v>
      </c>
      <c r="E94">
        <v>11023</v>
      </c>
      <c r="F94">
        <v>226</v>
      </c>
      <c r="G94">
        <v>9</v>
      </c>
      <c r="H94">
        <v>617.66</v>
      </c>
      <c r="I94">
        <v>937.08</v>
      </c>
      <c r="J94">
        <v>2.0499999999999998</v>
      </c>
      <c r="K94">
        <v>3.98</v>
      </c>
      <c r="L94">
        <v>68.63</v>
      </c>
      <c r="M94">
        <v>1.52</v>
      </c>
      <c r="N94">
        <v>319.42</v>
      </c>
    </row>
    <row r="95" spans="1:14" x14ac:dyDescent="0.2">
      <c r="A95" s="1">
        <v>45481</v>
      </c>
      <c r="B95" s="2" t="s">
        <v>31</v>
      </c>
      <c r="C95" s="2" t="s">
        <v>21</v>
      </c>
      <c r="D95" s="2" t="s">
        <v>22</v>
      </c>
      <c r="E95">
        <v>16009</v>
      </c>
      <c r="F95">
        <v>561</v>
      </c>
      <c r="G95">
        <v>16</v>
      </c>
      <c r="H95">
        <v>803.98</v>
      </c>
      <c r="I95">
        <v>1525.84</v>
      </c>
      <c r="J95">
        <v>3.5</v>
      </c>
      <c r="K95">
        <v>2.85</v>
      </c>
      <c r="L95">
        <v>50.25</v>
      </c>
      <c r="M95">
        <v>1.9</v>
      </c>
      <c r="N95">
        <v>721.86</v>
      </c>
    </row>
    <row r="96" spans="1:14" x14ac:dyDescent="0.2">
      <c r="A96" s="1">
        <v>45481</v>
      </c>
      <c r="B96" s="2" t="s">
        <v>33</v>
      </c>
      <c r="C96" s="2" t="s">
        <v>15</v>
      </c>
      <c r="D96" s="2" t="s">
        <v>36</v>
      </c>
      <c r="E96">
        <v>7789</v>
      </c>
      <c r="F96">
        <v>315</v>
      </c>
      <c r="G96">
        <v>28</v>
      </c>
      <c r="H96">
        <v>395.9</v>
      </c>
      <c r="I96">
        <v>4433.47</v>
      </c>
      <c r="J96">
        <v>4.04</v>
      </c>
      <c r="K96">
        <v>8.89</v>
      </c>
      <c r="L96">
        <v>14.14</v>
      </c>
      <c r="M96">
        <v>11.2</v>
      </c>
      <c r="N96">
        <v>4037.57</v>
      </c>
    </row>
    <row r="97" spans="1:14" x14ac:dyDescent="0.2">
      <c r="A97" s="1">
        <v>45481</v>
      </c>
      <c r="B97" s="2" t="s">
        <v>34</v>
      </c>
      <c r="C97" s="2" t="s">
        <v>32</v>
      </c>
      <c r="D97" s="2" t="s">
        <v>22</v>
      </c>
      <c r="E97">
        <v>3887</v>
      </c>
      <c r="F97">
        <v>272</v>
      </c>
      <c r="G97">
        <v>34</v>
      </c>
      <c r="H97">
        <v>167.13</v>
      </c>
      <c r="I97">
        <v>5818.83</v>
      </c>
      <c r="J97">
        <v>7</v>
      </c>
      <c r="K97">
        <v>12.5</v>
      </c>
      <c r="L97">
        <v>4.92</v>
      </c>
      <c r="M97">
        <v>34.82</v>
      </c>
      <c r="N97">
        <v>5651.7</v>
      </c>
    </row>
    <row r="98" spans="1:14" x14ac:dyDescent="0.2">
      <c r="A98" s="1">
        <v>45482</v>
      </c>
      <c r="B98" s="2" t="s">
        <v>14</v>
      </c>
      <c r="C98" s="2" t="s">
        <v>35</v>
      </c>
      <c r="D98" s="2" t="s">
        <v>25</v>
      </c>
      <c r="E98">
        <v>9158</v>
      </c>
      <c r="F98">
        <v>284</v>
      </c>
      <c r="G98">
        <v>25</v>
      </c>
      <c r="H98">
        <v>741.74</v>
      </c>
      <c r="I98">
        <v>3132.77</v>
      </c>
      <c r="J98">
        <v>3.1</v>
      </c>
      <c r="K98">
        <v>8.8000000000000007</v>
      </c>
      <c r="L98">
        <v>29.67</v>
      </c>
      <c r="M98">
        <v>4.22</v>
      </c>
      <c r="N98">
        <v>2391.0300000000002</v>
      </c>
    </row>
    <row r="99" spans="1:14" x14ac:dyDescent="0.2">
      <c r="A99" s="1">
        <v>45482</v>
      </c>
      <c r="B99" s="2" t="s">
        <v>17</v>
      </c>
      <c r="C99" s="2" t="s">
        <v>32</v>
      </c>
      <c r="D99" s="2" t="s">
        <v>36</v>
      </c>
      <c r="E99">
        <v>15078</v>
      </c>
      <c r="F99">
        <v>358</v>
      </c>
      <c r="G99">
        <v>22</v>
      </c>
      <c r="H99">
        <v>1007.2</v>
      </c>
      <c r="I99">
        <v>2502.5100000000002</v>
      </c>
      <c r="J99">
        <v>2.37</v>
      </c>
      <c r="K99">
        <v>6.15</v>
      </c>
      <c r="L99">
        <v>45.78</v>
      </c>
      <c r="M99">
        <v>2.48</v>
      </c>
      <c r="N99">
        <v>1495.31</v>
      </c>
    </row>
    <row r="100" spans="1:14" x14ac:dyDescent="0.2">
      <c r="A100" s="1">
        <v>45482</v>
      </c>
      <c r="B100" s="2" t="s">
        <v>20</v>
      </c>
      <c r="C100" s="2" t="s">
        <v>21</v>
      </c>
      <c r="D100" s="2" t="s">
        <v>25</v>
      </c>
      <c r="E100">
        <v>9460</v>
      </c>
      <c r="F100">
        <v>389</v>
      </c>
      <c r="G100">
        <v>19</v>
      </c>
      <c r="H100">
        <v>614.69000000000005</v>
      </c>
      <c r="I100">
        <v>1879.53</v>
      </c>
      <c r="J100">
        <v>4.1100000000000003</v>
      </c>
      <c r="K100">
        <v>4.88</v>
      </c>
      <c r="L100">
        <v>32.35</v>
      </c>
      <c r="M100">
        <v>3.06</v>
      </c>
      <c r="N100">
        <v>1264.8399999999999</v>
      </c>
    </row>
    <row r="101" spans="1:14" x14ac:dyDescent="0.2">
      <c r="A101" s="1">
        <v>45482</v>
      </c>
      <c r="B101" s="2" t="s">
        <v>23</v>
      </c>
      <c r="C101" s="2" t="s">
        <v>15</v>
      </c>
      <c r="D101" s="2" t="s">
        <v>22</v>
      </c>
      <c r="E101">
        <v>4122</v>
      </c>
      <c r="F101">
        <v>118</v>
      </c>
      <c r="G101">
        <v>13</v>
      </c>
      <c r="H101">
        <v>863.75</v>
      </c>
      <c r="I101">
        <v>3936.01</v>
      </c>
      <c r="J101">
        <v>2.86</v>
      </c>
      <c r="K101">
        <v>11.02</v>
      </c>
      <c r="L101">
        <v>66.44</v>
      </c>
      <c r="M101">
        <v>4.5599999999999996</v>
      </c>
      <c r="N101">
        <v>3072.26</v>
      </c>
    </row>
    <row r="102" spans="1:14" x14ac:dyDescent="0.2">
      <c r="A102" s="1">
        <v>45482</v>
      </c>
      <c r="B102" s="2" t="s">
        <v>24</v>
      </c>
      <c r="C102" s="2" t="s">
        <v>15</v>
      </c>
      <c r="D102" s="2" t="s">
        <v>19</v>
      </c>
      <c r="E102">
        <v>21079</v>
      </c>
      <c r="F102">
        <v>3884</v>
      </c>
      <c r="G102">
        <v>465</v>
      </c>
      <c r="H102">
        <v>102.43</v>
      </c>
      <c r="I102">
        <v>50363.48</v>
      </c>
      <c r="J102">
        <v>18.43</v>
      </c>
      <c r="K102">
        <v>11.97</v>
      </c>
      <c r="L102">
        <v>0.22</v>
      </c>
      <c r="M102">
        <v>491.69</v>
      </c>
      <c r="N102">
        <v>50261.05</v>
      </c>
    </row>
    <row r="103" spans="1:14" x14ac:dyDescent="0.2">
      <c r="A103" s="1">
        <v>45482</v>
      </c>
      <c r="B103" s="2" t="s">
        <v>26</v>
      </c>
      <c r="C103" s="2" t="s">
        <v>28</v>
      </c>
      <c r="D103" s="2" t="s">
        <v>19</v>
      </c>
      <c r="E103">
        <v>17056</v>
      </c>
      <c r="F103">
        <v>1093</v>
      </c>
      <c r="G103">
        <v>130</v>
      </c>
      <c r="H103">
        <v>0</v>
      </c>
      <c r="I103">
        <v>18388.009999999998</v>
      </c>
      <c r="J103">
        <v>6.41</v>
      </c>
      <c r="K103">
        <v>11.89</v>
      </c>
      <c r="L103">
        <v>0</v>
      </c>
      <c r="M103">
        <v>0</v>
      </c>
      <c r="N103">
        <v>18388.009999999998</v>
      </c>
    </row>
    <row r="104" spans="1:14" x14ac:dyDescent="0.2">
      <c r="A104" s="1">
        <v>45482</v>
      </c>
      <c r="B104" s="2" t="s">
        <v>27</v>
      </c>
      <c r="C104" s="2" t="s">
        <v>28</v>
      </c>
      <c r="D104" s="2" t="s">
        <v>25</v>
      </c>
      <c r="E104">
        <v>22610</v>
      </c>
      <c r="F104">
        <v>249</v>
      </c>
      <c r="G104">
        <v>7</v>
      </c>
      <c r="H104">
        <v>825.71</v>
      </c>
      <c r="I104">
        <v>885.1</v>
      </c>
      <c r="J104">
        <v>1.1000000000000001</v>
      </c>
      <c r="K104">
        <v>2.81</v>
      </c>
      <c r="L104">
        <v>117.96</v>
      </c>
      <c r="M104">
        <v>1.07</v>
      </c>
      <c r="N104">
        <v>59.39</v>
      </c>
    </row>
    <row r="105" spans="1:14" x14ac:dyDescent="0.2">
      <c r="A105" s="1">
        <v>45482</v>
      </c>
      <c r="B105" s="2" t="s">
        <v>29</v>
      </c>
      <c r="C105" s="2" t="s">
        <v>28</v>
      </c>
      <c r="D105" s="2" t="s">
        <v>16</v>
      </c>
      <c r="E105">
        <v>21034</v>
      </c>
      <c r="F105">
        <v>573</v>
      </c>
      <c r="G105">
        <v>45</v>
      </c>
      <c r="H105">
        <v>787.83</v>
      </c>
      <c r="I105">
        <v>5075.2299999999996</v>
      </c>
      <c r="J105">
        <v>2.72</v>
      </c>
      <c r="K105">
        <v>7.85</v>
      </c>
      <c r="L105">
        <v>17.510000000000002</v>
      </c>
      <c r="M105">
        <v>6.44</v>
      </c>
      <c r="N105">
        <v>4287.3999999999996</v>
      </c>
    </row>
    <row r="106" spans="1:14" x14ac:dyDescent="0.2">
      <c r="A106" s="1">
        <v>45482</v>
      </c>
      <c r="B106" s="2" t="s">
        <v>30</v>
      </c>
      <c r="C106" s="2" t="s">
        <v>21</v>
      </c>
      <c r="D106" s="2" t="s">
        <v>22</v>
      </c>
      <c r="E106">
        <v>7216</v>
      </c>
      <c r="F106">
        <v>223</v>
      </c>
      <c r="G106">
        <v>8</v>
      </c>
      <c r="H106">
        <v>512.05999999999995</v>
      </c>
      <c r="I106">
        <v>605.78</v>
      </c>
      <c r="J106">
        <v>3.09</v>
      </c>
      <c r="K106">
        <v>3.59</v>
      </c>
      <c r="L106">
        <v>64.010000000000005</v>
      </c>
      <c r="M106">
        <v>1.18</v>
      </c>
      <c r="N106">
        <v>93.72</v>
      </c>
    </row>
    <row r="107" spans="1:14" x14ac:dyDescent="0.2">
      <c r="A107" s="1">
        <v>45482</v>
      </c>
      <c r="B107" s="2" t="s">
        <v>31</v>
      </c>
      <c r="C107" s="2" t="s">
        <v>18</v>
      </c>
      <c r="D107" s="2" t="s">
        <v>19</v>
      </c>
      <c r="E107">
        <v>24558</v>
      </c>
      <c r="F107">
        <v>838</v>
      </c>
      <c r="G107">
        <v>30</v>
      </c>
      <c r="H107">
        <v>638.52</v>
      </c>
      <c r="I107">
        <v>2217.63</v>
      </c>
      <c r="J107">
        <v>3.41</v>
      </c>
      <c r="K107">
        <v>3.58</v>
      </c>
      <c r="L107">
        <v>21.28</v>
      </c>
      <c r="M107">
        <v>3.47</v>
      </c>
      <c r="N107">
        <v>1579.11</v>
      </c>
    </row>
    <row r="108" spans="1:14" x14ac:dyDescent="0.2">
      <c r="A108" s="1">
        <v>45482</v>
      </c>
      <c r="B108" s="2" t="s">
        <v>33</v>
      </c>
      <c r="C108" s="2" t="s">
        <v>18</v>
      </c>
      <c r="D108" s="2" t="s">
        <v>25</v>
      </c>
      <c r="E108">
        <v>5578</v>
      </c>
      <c r="F108">
        <v>373</v>
      </c>
      <c r="G108">
        <v>46</v>
      </c>
      <c r="H108">
        <v>284.72000000000003</v>
      </c>
      <c r="I108">
        <v>6278.26</v>
      </c>
      <c r="J108">
        <v>6.69</v>
      </c>
      <c r="K108">
        <v>12.33</v>
      </c>
      <c r="L108">
        <v>6.19</v>
      </c>
      <c r="M108">
        <v>22.05</v>
      </c>
      <c r="N108">
        <v>5993.54</v>
      </c>
    </row>
    <row r="109" spans="1:14" x14ac:dyDescent="0.2">
      <c r="A109" s="1">
        <v>45482</v>
      </c>
      <c r="B109" s="2" t="s">
        <v>34</v>
      </c>
      <c r="C109" s="2" t="s">
        <v>32</v>
      </c>
      <c r="D109" s="2" t="s">
        <v>22</v>
      </c>
      <c r="E109">
        <v>5811</v>
      </c>
      <c r="F109">
        <v>366</v>
      </c>
      <c r="G109">
        <v>62</v>
      </c>
      <c r="H109">
        <v>58.94</v>
      </c>
      <c r="I109">
        <v>9311.2800000000007</v>
      </c>
      <c r="J109">
        <v>6.3</v>
      </c>
      <c r="K109">
        <v>16.940000000000001</v>
      </c>
      <c r="L109">
        <v>0.95</v>
      </c>
      <c r="M109">
        <v>157.97999999999999</v>
      </c>
      <c r="N109">
        <v>9252.34</v>
      </c>
    </row>
    <row r="110" spans="1:14" x14ac:dyDescent="0.2">
      <c r="A110" s="1">
        <v>45483</v>
      </c>
      <c r="B110" s="2" t="s">
        <v>14</v>
      </c>
      <c r="C110" s="2" t="s">
        <v>32</v>
      </c>
      <c r="D110" s="2" t="s">
        <v>22</v>
      </c>
      <c r="E110">
        <v>11651</v>
      </c>
      <c r="F110">
        <v>572</v>
      </c>
      <c r="G110">
        <v>66</v>
      </c>
      <c r="H110">
        <v>1094.57</v>
      </c>
      <c r="I110">
        <v>7901.22</v>
      </c>
      <c r="J110">
        <v>4.91</v>
      </c>
      <c r="K110">
        <v>11.54</v>
      </c>
      <c r="L110">
        <v>16.579999999999998</v>
      </c>
      <c r="M110">
        <v>7.22</v>
      </c>
      <c r="N110">
        <v>6806.65</v>
      </c>
    </row>
    <row r="111" spans="1:14" x14ac:dyDescent="0.2">
      <c r="A111" s="1">
        <v>45483</v>
      </c>
      <c r="B111" s="2" t="s">
        <v>17</v>
      </c>
      <c r="C111" s="2" t="s">
        <v>18</v>
      </c>
      <c r="D111" s="2" t="s">
        <v>16</v>
      </c>
      <c r="E111">
        <v>14052</v>
      </c>
      <c r="F111">
        <v>286</v>
      </c>
      <c r="G111">
        <v>18</v>
      </c>
      <c r="H111">
        <v>905.69</v>
      </c>
      <c r="I111">
        <v>2059.39</v>
      </c>
      <c r="J111">
        <v>2.04</v>
      </c>
      <c r="K111">
        <v>6.29</v>
      </c>
      <c r="L111">
        <v>50.32</v>
      </c>
      <c r="M111">
        <v>2.27</v>
      </c>
      <c r="N111">
        <v>1153.7</v>
      </c>
    </row>
    <row r="112" spans="1:14" x14ac:dyDescent="0.2">
      <c r="A112" s="1">
        <v>45483</v>
      </c>
      <c r="B112" s="2" t="s">
        <v>20</v>
      </c>
      <c r="C112" s="2" t="s">
        <v>15</v>
      </c>
      <c r="D112" s="2" t="s">
        <v>16</v>
      </c>
      <c r="E112">
        <v>9268</v>
      </c>
      <c r="F112">
        <v>406</v>
      </c>
      <c r="G112">
        <v>25</v>
      </c>
      <c r="H112">
        <v>654.59</v>
      </c>
      <c r="I112">
        <v>1846.19</v>
      </c>
      <c r="J112">
        <v>4.38</v>
      </c>
      <c r="K112">
        <v>6.16</v>
      </c>
      <c r="L112">
        <v>26.18</v>
      </c>
      <c r="M112">
        <v>2.82</v>
      </c>
      <c r="N112">
        <v>1191.5999999999999</v>
      </c>
    </row>
    <row r="113" spans="1:14" x14ac:dyDescent="0.2">
      <c r="A113" s="1">
        <v>45483</v>
      </c>
      <c r="B113" s="2" t="s">
        <v>23</v>
      </c>
      <c r="C113" s="2" t="s">
        <v>21</v>
      </c>
      <c r="D113" s="2" t="s">
        <v>16</v>
      </c>
      <c r="E113">
        <v>4686</v>
      </c>
      <c r="F113">
        <v>124</v>
      </c>
      <c r="G113">
        <v>16</v>
      </c>
      <c r="H113">
        <v>1444.9</v>
      </c>
      <c r="I113">
        <v>4464.7299999999996</v>
      </c>
      <c r="J113">
        <v>2.65</v>
      </c>
      <c r="K113">
        <v>12.9</v>
      </c>
      <c r="L113">
        <v>90.31</v>
      </c>
      <c r="M113">
        <v>3.09</v>
      </c>
      <c r="N113">
        <v>3019.83</v>
      </c>
    </row>
    <row r="114" spans="1:14" x14ac:dyDescent="0.2">
      <c r="A114" s="1">
        <v>45483</v>
      </c>
      <c r="B114" s="2" t="s">
        <v>24</v>
      </c>
      <c r="C114" s="2" t="s">
        <v>18</v>
      </c>
      <c r="D114" s="2" t="s">
        <v>19</v>
      </c>
      <c r="E114">
        <v>18620</v>
      </c>
      <c r="F114">
        <v>3356</v>
      </c>
      <c r="G114">
        <v>396</v>
      </c>
      <c r="H114">
        <v>144.5</v>
      </c>
      <c r="I114">
        <v>57774.54</v>
      </c>
      <c r="J114">
        <v>18.02</v>
      </c>
      <c r="K114">
        <v>11.8</v>
      </c>
      <c r="L114">
        <v>0.36</v>
      </c>
      <c r="M114">
        <v>399.82</v>
      </c>
      <c r="N114">
        <v>57630.04</v>
      </c>
    </row>
    <row r="115" spans="1:14" x14ac:dyDescent="0.2">
      <c r="A115" s="1">
        <v>45483</v>
      </c>
      <c r="B115" s="2" t="s">
        <v>26</v>
      </c>
      <c r="C115" s="2" t="s">
        <v>18</v>
      </c>
      <c r="D115" s="2" t="s">
        <v>25</v>
      </c>
      <c r="E115">
        <v>18905</v>
      </c>
      <c r="F115">
        <v>1271</v>
      </c>
      <c r="G115">
        <v>192</v>
      </c>
      <c r="H115">
        <v>0</v>
      </c>
      <c r="I115">
        <v>19610.68</v>
      </c>
      <c r="J115">
        <v>6.72</v>
      </c>
      <c r="K115">
        <v>15.11</v>
      </c>
      <c r="L115">
        <v>0</v>
      </c>
      <c r="M115">
        <v>0</v>
      </c>
      <c r="N115">
        <v>19610.68</v>
      </c>
    </row>
    <row r="116" spans="1:14" x14ac:dyDescent="0.2">
      <c r="A116" s="1">
        <v>45483</v>
      </c>
      <c r="B116" s="2" t="s">
        <v>27</v>
      </c>
      <c r="C116" s="2" t="s">
        <v>21</v>
      </c>
      <c r="D116" s="2" t="s">
        <v>19</v>
      </c>
      <c r="E116">
        <v>29175</v>
      </c>
      <c r="F116">
        <v>368</v>
      </c>
      <c r="G116">
        <v>16</v>
      </c>
      <c r="H116">
        <v>812.66</v>
      </c>
      <c r="I116">
        <v>1758.03</v>
      </c>
      <c r="J116">
        <v>1.26</v>
      </c>
      <c r="K116">
        <v>4.3499999999999996</v>
      </c>
      <c r="L116">
        <v>50.79</v>
      </c>
      <c r="M116">
        <v>2.16</v>
      </c>
      <c r="N116">
        <v>945.37</v>
      </c>
    </row>
    <row r="117" spans="1:14" x14ac:dyDescent="0.2">
      <c r="A117" s="1">
        <v>45483</v>
      </c>
      <c r="B117" s="2" t="s">
        <v>29</v>
      </c>
      <c r="C117" s="2" t="s">
        <v>15</v>
      </c>
      <c r="D117" s="2" t="s">
        <v>36</v>
      </c>
      <c r="E117">
        <v>14372</v>
      </c>
      <c r="F117">
        <v>319</v>
      </c>
      <c r="G117">
        <v>12</v>
      </c>
      <c r="H117">
        <v>961.36</v>
      </c>
      <c r="I117">
        <v>1732.27</v>
      </c>
      <c r="J117">
        <v>2.2200000000000002</v>
      </c>
      <c r="K117">
        <v>3.76</v>
      </c>
      <c r="L117">
        <v>80.11</v>
      </c>
      <c r="M117">
        <v>1.8</v>
      </c>
      <c r="N117">
        <v>770.91</v>
      </c>
    </row>
    <row r="118" spans="1:14" x14ac:dyDescent="0.2">
      <c r="A118" s="1">
        <v>45483</v>
      </c>
      <c r="B118" s="2" t="s">
        <v>30</v>
      </c>
      <c r="C118" s="2" t="s">
        <v>21</v>
      </c>
      <c r="D118" s="2" t="s">
        <v>25</v>
      </c>
      <c r="E118">
        <v>10660</v>
      </c>
      <c r="F118">
        <v>258</v>
      </c>
      <c r="G118">
        <v>11</v>
      </c>
      <c r="H118">
        <v>434.98</v>
      </c>
      <c r="I118">
        <v>917.23</v>
      </c>
      <c r="J118">
        <v>2.42</v>
      </c>
      <c r="K118">
        <v>4.26</v>
      </c>
      <c r="L118">
        <v>39.54</v>
      </c>
      <c r="M118">
        <v>2.11</v>
      </c>
      <c r="N118">
        <v>482.25</v>
      </c>
    </row>
    <row r="119" spans="1:14" x14ac:dyDescent="0.2">
      <c r="A119" s="1">
        <v>45483</v>
      </c>
      <c r="B119" s="2" t="s">
        <v>31</v>
      </c>
      <c r="C119" s="2" t="s">
        <v>21</v>
      </c>
      <c r="D119" s="2" t="s">
        <v>25</v>
      </c>
      <c r="E119">
        <v>16744</v>
      </c>
      <c r="F119">
        <v>692</v>
      </c>
      <c r="G119">
        <v>23</v>
      </c>
      <c r="H119">
        <v>788.8</v>
      </c>
      <c r="I119">
        <v>2087.61</v>
      </c>
      <c r="J119">
        <v>4.13</v>
      </c>
      <c r="K119">
        <v>3.32</v>
      </c>
      <c r="L119">
        <v>34.299999999999997</v>
      </c>
      <c r="M119">
        <v>2.65</v>
      </c>
      <c r="N119">
        <v>1298.81</v>
      </c>
    </row>
    <row r="120" spans="1:14" x14ac:dyDescent="0.2">
      <c r="A120" s="1">
        <v>45483</v>
      </c>
      <c r="B120" s="2" t="s">
        <v>33</v>
      </c>
      <c r="C120" s="2" t="s">
        <v>32</v>
      </c>
      <c r="D120" s="2" t="s">
        <v>36</v>
      </c>
      <c r="E120">
        <v>5930</v>
      </c>
      <c r="F120">
        <v>380</v>
      </c>
      <c r="G120">
        <v>43</v>
      </c>
      <c r="H120">
        <v>444</v>
      </c>
      <c r="I120">
        <v>5304.03</v>
      </c>
      <c r="J120">
        <v>6.41</v>
      </c>
      <c r="K120">
        <v>11.32</v>
      </c>
      <c r="L120">
        <v>10.33</v>
      </c>
      <c r="M120">
        <v>11.95</v>
      </c>
      <c r="N120">
        <v>4860.03</v>
      </c>
    </row>
    <row r="121" spans="1:14" x14ac:dyDescent="0.2">
      <c r="A121" s="1">
        <v>45483</v>
      </c>
      <c r="B121" s="2" t="s">
        <v>34</v>
      </c>
      <c r="C121" s="2" t="s">
        <v>21</v>
      </c>
      <c r="D121" s="2" t="s">
        <v>36</v>
      </c>
      <c r="E121">
        <v>3900</v>
      </c>
      <c r="F121">
        <v>266</v>
      </c>
      <c r="G121">
        <v>37</v>
      </c>
      <c r="H121">
        <v>111.79</v>
      </c>
      <c r="I121">
        <v>4868.4799999999996</v>
      </c>
      <c r="J121">
        <v>6.82</v>
      </c>
      <c r="K121">
        <v>13.91</v>
      </c>
      <c r="L121">
        <v>3.02</v>
      </c>
      <c r="M121">
        <v>43.55</v>
      </c>
      <c r="N121">
        <v>4756.6899999999996</v>
      </c>
    </row>
    <row r="122" spans="1:14" x14ac:dyDescent="0.2">
      <c r="A122" s="1">
        <v>45484</v>
      </c>
      <c r="B122" s="2" t="s">
        <v>14</v>
      </c>
      <c r="C122" s="2" t="s">
        <v>28</v>
      </c>
      <c r="D122" s="2" t="s">
        <v>22</v>
      </c>
      <c r="E122">
        <v>10889</v>
      </c>
      <c r="F122">
        <v>473</v>
      </c>
      <c r="G122">
        <v>52</v>
      </c>
      <c r="H122">
        <v>1014.32</v>
      </c>
      <c r="I122">
        <v>9406.2900000000009</v>
      </c>
      <c r="J122">
        <v>4.34</v>
      </c>
      <c r="K122">
        <v>10.99</v>
      </c>
      <c r="L122">
        <v>19.510000000000002</v>
      </c>
      <c r="M122">
        <v>9.27</v>
      </c>
      <c r="N122">
        <v>8391.9699999999993</v>
      </c>
    </row>
    <row r="123" spans="1:14" x14ac:dyDescent="0.2">
      <c r="A123" s="1">
        <v>45484</v>
      </c>
      <c r="B123" s="2" t="s">
        <v>17</v>
      </c>
      <c r="C123" s="2" t="s">
        <v>18</v>
      </c>
      <c r="D123" s="2" t="s">
        <v>16</v>
      </c>
      <c r="E123">
        <v>16202</v>
      </c>
      <c r="F123">
        <v>635</v>
      </c>
      <c r="G123">
        <v>35</v>
      </c>
      <c r="H123">
        <v>600.54999999999995</v>
      </c>
      <c r="I123">
        <v>5025.6099999999997</v>
      </c>
      <c r="J123">
        <v>3.92</v>
      </c>
      <c r="K123">
        <v>5.51</v>
      </c>
      <c r="L123">
        <v>17.16</v>
      </c>
      <c r="M123">
        <v>8.3699999999999992</v>
      </c>
      <c r="N123">
        <v>4425.0600000000004</v>
      </c>
    </row>
    <row r="124" spans="1:14" x14ac:dyDescent="0.2">
      <c r="A124" s="1">
        <v>45484</v>
      </c>
      <c r="B124" s="2" t="s">
        <v>20</v>
      </c>
      <c r="C124" s="2" t="s">
        <v>15</v>
      </c>
      <c r="D124" s="2" t="s">
        <v>36</v>
      </c>
      <c r="E124">
        <v>14702</v>
      </c>
      <c r="F124">
        <v>405</v>
      </c>
      <c r="G124">
        <v>19</v>
      </c>
      <c r="H124">
        <v>821.31</v>
      </c>
      <c r="I124">
        <v>1987.15</v>
      </c>
      <c r="J124">
        <v>2.75</v>
      </c>
      <c r="K124">
        <v>4.6900000000000004</v>
      </c>
      <c r="L124">
        <v>43.23</v>
      </c>
      <c r="M124">
        <v>2.42</v>
      </c>
      <c r="N124">
        <v>1165.8399999999999</v>
      </c>
    </row>
    <row r="125" spans="1:14" x14ac:dyDescent="0.2">
      <c r="A125" s="1">
        <v>45484</v>
      </c>
      <c r="B125" s="2" t="s">
        <v>23</v>
      </c>
      <c r="C125" s="2" t="s">
        <v>35</v>
      </c>
      <c r="D125" s="2" t="s">
        <v>36</v>
      </c>
      <c r="E125">
        <v>3252</v>
      </c>
      <c r="F125">
        <v>69</v>
      </c>
      <c r="G125">
        <v>6</v>
      </c>
      <c r="H125">
        <v>911.2</v>
      </c>
      <c r="I125">
        <v>2047.34</v>
      </c>
      <c r="J125">
        <v>2.12</v>
      </c>
      <c r="K125">
        <v>8.6999999999999993</v>
      </c>
      <c r="L125">
        <v>151.87</v>
      </c>
      <c r="M125">
        <v>2.25</v>
      </c>
      <c r="N125">
        <v>1136.1400000000001</v>
      </c>
    </row>
    <row r="126" spans="1:14" x14ac:dyDescent="0.2">
      <c r="A126" s="1">
        <v>45484</v>
      </c>
      <c r="B126" s="2" t="s">
        <v>24</v>
      </c>
      <c r="C126" s="2" t="s">
        <v>28</v>
      </c>
      <c r="D126" s="2" t="s">
        <v>36</v>
      </c>
      <c r="E126">
        <v>20958</v>
      </c>
      <c r="F126">
        <v>4336</v>
      </c>
      <c r="G126">
        <v>446</v>
      </c>
      <c r="H126">
        <v>213.72</v>
      </c>
      <c r="I126">
        <v>57012.33</v>
      </c>
      <c r="J126">
        <v>20.69</v>
      </c>
      <c r="K126">
        <v>10.29</v>
      </c>
      <c r="L126">
        <v>0.48</v>
      </c>
      <c r="M126">
        <v>266.76</v>
      </c>
      <c r="N126">
        <v>56798.61</v>
      </c>
    </row>
    <row r="127" spans="1:14" x14ac:dyDescent="0.2">
      <c r="A127" s="1">
        <v>45484</v>
      </c>
      <c r="B127" s="2" t="s">
        <v>26</v>
      </c>
      <c r="C127" s="2" t="s">
        <v>15</v>
      </c>
      <c r="D127" s="2" t="s">
        <v>16</v>
      </c>
      <c r="E127">
        <v>29605</v>
      </c>
      <c r="F127">
        <v>1973</v>
      </c>
      <c r="G127">
        <v>305</v>
      </c>
      <c r="H127">
        <v>0</v>
      </c>
      <c r="I127">
        <v>37435.480000000003</v>
      </c>
      <c r="J127">
        <v>6.66</v>
      </c>
      <c r="K127">
        <v>15.46</v>
      </c>
      <c r="L127">
        <v>0</v>
      </c>
      <c r="M127">
        <v>0</v>
      </c>
      <c r="N127">
        <v>37435.480000000003</v>
      </c>
    </row>
    <row r="128" spans="1:14" x14ac:dyDescent="0.2">
      <c r="A128" s="1">
        <v>45484</v>
      </c>
      <c r="B128" s="2" t="s">
        <v>27</v>
      </c>
      <c r="C128" s="2" t="s">
        <v>15</v>
      </c>
      <c r="D128" s="2" t="s">
        <v>16</v>
      </c>
      <c r="E128">
        <v>25173</v>
      </c>
      <c r="F128">
        <v>374</v>
      </c>
      <c r="G128">
        <v>8</v>
      </c>
      <c r="H128">
        <v>1004.35</v>
      </c>
      <c r="I128">
        <v>754.58</v>
      </c>
      <c r="J128">
        <v>1.49</v>
      </c>
      <c r="K128">
        <v>2.14</v>
      </c>
      <c r="L128">
        <v>125.54</v>
      </c>
      <c r="M128">
        <v>0.75</v>
      </c>
      <c r="N128">
        <v>-249.77</v>
      </c>
    </row>
    <row r="129" spans="1:14" x14ac:dyDescent="0.2">
      <c r="A129" s="1">
        <v>45484</v>
      </c>
      <c r="B129" s="2" t="s">
        <v>29</v>
      </c>
      <c r="C129" s="2" t="s">
        <v>18</v>
      </c>
      <c r="D129" s="2" t="s">
        <v>36</v>
      </c>
      <c r="E129">
        <v>15753</v>
      </c>
      <c r="F129">
        <v>273</v>
      </c>
      <c r="G129">
        <v>19</v>
      </c>
      <c r="H129">
        <v>838.63</v>
      </c>
      <c r="I129">
        <v>2292.31</v>
      </c>
      <c r="J129">
        <v>1.73</v>
      </c>
      <c r="K129">
        <v>6.96</v>
      </c>
      <c r="L129">
        <v>44.14</v>
      </c>
      <c r="M129">
        <v>2.73</v>
      </c>
      <c r="N129">
        <v>1453.68</v>
      </c>
    </row>
    <row r="130" spans="1:14" x14ac:dyDescent="0.2">
      <c r="A130" s="1">
        <v>45484</v>
      </c>
      <c r="B130" s="2" t="s">
        <v>30</v>
      </c>
      <c r="C130" s="2" t="s">
        <v>15</v>
      </c>
      <c r="D130" s="2" t="s">
        <v>19</v>
      </c>
      <c r="E130">
        <v>8643</v>
      </c>
      <c r="F130">
        <v>185</v>
      </c>
      <c r="G130">
        <v>7</v>
      </c>
      <c r="H130">
        <v>677.17</v>
      </c>
      <c r="I130">
        <v>692.78</v>
      </c>
      <c r="J130">
        <v>2.14</v>
      </c>
      <c r="K130">
        <v>3.78</v>
      </c>
      <c r="L130">
        <v>96.74</v>
      </c>
      <c r="M130">
        <v>1.02</v>
      </c>
      <c r="N130">
        <v>15.61</v>
      </c>
    </row>
    <row r="131" spans="1:14" x14ac:dyDescent="0.2">
      <c r="A131" s="1">
        <v>45484</v>
      </c>
      <c r="B131" s="2" t="s">
        <v>31</v>
      </c>
      <c r="C131" s="2" t="s">
        <v>18</v>
      </c>
      <c r="D131" s="2" t="s">
        <v>22</v>
      </c>
      <c r="E131">
        <v>18069</v>
      </c>
      <c r="F131">
        <v>573</v>
      </c>
      <c r="G131">
        <v>28</v>
      </c>
      <c r="H131">
        <v>770.6</v>
      </c>
      <c r="I131">
        <v>3145.86</v>
      </c>
      <c r="J131">
        <v>3.17</v>
      </c>
      <c r="K131">
        <v>4.8899999999999997</v>
      </c>
      <c r="L131">
        <v>27.52</v>
      </c>
      <c r="M131">
        <v>4.08</v>
      </c>
      <c r="N131">
        <v>2375.2600000000002</v>
      </c>
    </row>
    <row r="132" spans="1:14" x14ac:dyDescent="0.2">
      <c r="A132" s="1">
        <v>45484</v>
      </c>
      <c r="B132" s="2" t="s">
        <v>33</v>
      </c>
      <c r="C132" s="2" t="s">
        <v>21</v>
      </c>
      <c r="D132" s="2" t="s">
        <v>22</v>
      </c>
      <c r="E132">
        <v>4820</v>
      </c>
      <c r="F132">
        <v>277</v>
      </c>
      <c r="G132">
        <v>34</v>
      </c>
      <c r="H132">
        <v>477.08</v>
      </c>
      <c r="I132">
        <v>4303.08</v>
      </c>
      <c r="J132">
        <v>5.75</v>
      </c>
      <c r="K132">
        <v>12.27</v>
      </c>
      <c r="L132">
        <v>14.03</v>
      </c>
      <c r="M132">
        <v>9.02</v>
      </c>
      <c r="N132">
        <v>3826</v>
      </c>
    </row>
    <row r="133" spans="1:14" x14ac:dyDescent="0.2">
      <c r="A133" s="1">
        <v>45484</v>
      </c>
      <c r="B133" s="2" t="s">
        <v>34</v>
      </c>
      <c r="C133" s="2" t="s">
        <v>32</v>
      </c>
      <c r="D133" s="2" t="s">
        <v>36</v>
      </c>
      <c r="E133">
        <v>5916</v>
      </c>
      <c r="F133">
        <v>520</v>
      </c>
      <c r="G133">
        <v>92</v>
      </c>
      <c r="H133">
        <v>163.09</v>
      </c>
      <c r="I133">
        <v>13038.51</v>
      </c>
      <c r="J133">
        <v>8.7899999999999991</v>
      </c>
      <c r="K133">
        <v>17.690000000000001</v>
      </c>
      <c r="L133">
        <v>1.77</v>
      </c>
      <c r="M133">
        <v>79.95</v>
      </c>
      <c r="N133">
        <v>12875.42</v>
      </c>
    </row>
    <row r="134" spans="1:14" x14ac:dyDescent="0.2">
      <c r="A134" s="1">
        <v>45485</v>
      </c>
      <c r="B134" s="2" t="s">
        <v>14</v>
      </c>
      <c r="C134" s="2" t="s">
        <v>21</v>
      </c>
      <c r="D134" s="2" t="s">
        <v>36</v>
      </c>
      <c r="E134">
        <v>10709</v>
      </c>
      <c r="F134">
        <v>378</v>
      </c>
      <c r="G134">
        <v>39</v>
      </c>
      <c r="H134">
        <v>912.1</v>
      </c>
      <c r="I134">
        <v>5179.82</v>
      </c>
      <c r="J134">
        <v>3.53</v>
      </c>
      <c r="K134">
        <v>10.32</v>
      </c>
      <c r="L134">
        <v>23.39</v>
      </c>
      <c r="M134">
        <v>5.68</v>
      </c>
      <c r="N134">
        <v>4267.72</v>
      </c>
    </row>
    <row r="135" spans="1:14" x14ac:dyDescent="0.2">
      <c r="A135" s="1">
        <v>45485</v>
      </c>
      <c r="B135" s="2" t="s">
        <v>17</v>
      </c>
      <c r="C135" s="2" t="s">
        <v>21</v>
      </c>
      <c r="D135" s="2" t="s">
        <v>19</v>
      </c>
      <c r="E135">
        <v>12768</v>
      </c>
      <c r="F135">
        <v>430</v>
      </c>
      <c r="G135">
        <v>28</v>
      </c>
      <c r="H135">
        <v>722.05</v>
      </c>
      <c r="I135">
        <v>3044.32</v>
      </c>
      <c r="J135">
        <v>3.37</v>
      </c>
      <c r="K135">
        <v>6.51</v>
      </c>
      <c r="L135">
        <v>25.79</v>
      </c>
      <c r="M135">
        <v>4.22</v>
      </c>
      <c r="N135">
        <v>2322.27</v>
      </c>
    </row>
    <row r="136" spans="1:14" x14ac:dyDescent="0.2">
      <c r="A136" s="1">
        <v>45485</v>
      </c>
      <c r="B136" s="2" t="s">
        <v>20</v>
      </c>
      <c r="C136" s="2" t="s">
        <v>28</v>
      </c>
      <c r="D136" s="2" t="s">
        <v>22</v>
      </c>
      <c r="E136">
        <v>11704</v>
      </c>
      <c r="F136">
        <v>372</v>
      </c>
      <c r="G136">
        <v>16</v>
      </c>
      <c r="H136">
        <v>611.77</v>
      </c>
      <c r="I136">
        <v>1690.11</v>
      </c>
      <c r="J136">
        <v>3.18</v>
      </c>
      <c r="K136">
        <v>4.3</v>
      </c>
      <c r="L136">
        <v>38.24</v>
      </c>
      <c r="M136">
        <v>2.76</v>
      </c>
      <c r="N136">
        <v>1078.3399999999999</v>
      </c>
    </row>
    <row r="137" spans="1:14" x14ac:dyDescent="0.2">
      <c r="A137" s="1">
        <v>45485</v>
      </c>
      <c r="B137" s="2" t="s">
        <v>23</v>
      </c>
      <c r="C137" s="2" t="s">
        <v>18</v>
      </c>
      <c r="D137" s="2" t="s">
        <v>36</v>
      </c>
      <c r="E137">
        <v>3862</v>
      </c>
      <c r="F137">
        <v>74</v>
      </c>
      <c r="G137">
        <v>10</v>
      </c>
      <c r="H137">
        <v>1355.41</v>
      </c>
      <c r="I137">
        <v>2717.11</v>
      </c>
      <c r="J137">
        <v>1.92</v>
      </c>
      <c r="K137">
        <v>13.51</v>
      </c>
      <c r="L137">
        <v>135.54</v>
      </c>
      <c r="M137">
        <v>2</v>
      </c>
      <c r="N137">
        <v>1361.7</v>
      </c>
    </row>
    <row r="138" spans="1:14" x14ac:dyDescent="0.2">
      <c r="A138" s="1">
        <v>45485</v>
      </c>
      <c r="B138" s="2" t="s">
        <v>24</v>
      </c>
      <c r="C138" s="2" t="s">
        <v>32</v>
      </c>
      <c r="D138" s="2" t="s">
        <v>16</v>
      </c>
      <c r="E138">
        <v>21173</v>
      </c>
      <c r="F138">
        <v>4590</v>
      </c>
      <c r="G138">
        <v>415</v>
      </c>
      <c r="H138">
        <v>183.64</v>
      </c>
      <c r="I138">
        <v>69845.45</v>
      </c>
      <c r="J138">
        <v>21.68</v>
      </c>
      <c r="K138">
        <v>9.0399999999999991</v>
      </c>
      <c r="L138">
        <v>0.44</v>
      </c>
      <c r="M138">
        <v>380.34</v>
      </c>
      <c r="N138">
        <v>69661.81</v>
      </c>
    </row>
    <row r="139" spans="1:14" x14ac:dyDescent="0.2">
      <c r="A139" s="1">
        <v>45485</v>
      </c>
      <c r="B139" s="2" t="s">
        <v>26</v>
      </c>
      <c r="C139" s="2" t="s">
        <v>18</v>
      </c>
      <c r="D139" s="2" t="s">
        <v>25</v>
      </c>
      <c r="E139">
        <v>20010</v>
      </c>
      <c r="F139">
        <v>1297</v>
      </c>
      <c r="G139">
        <v>189</v>
      </c>
      <c r="H139">
        <v>0</v>
      </c>
      <c r="I139">
        <v>24067.8</v>
      </c>
      <c r="J139">
        <v>6.48</v>
      </c>
      <c r="K139">
        <v>14.57</v>
      </c>
      <c r="L139">
        <v>0</v>
      </c>
      <c r="M139">
        <v>0</v>
      </c>
      <c r="N139">
        <v>24067.8</v>
      </c>
    </row>
    <row r="140" spans="1:14" x14ac:dyDescent="0.2">
      <c r="A140" s="1">
        <v>45485</v>
      </c>
      <c r="B140" s="2" t="s">
        <v>27</v>
      </c>
      <c r="C140" s="2" t="s">
        <v>18</v>
      </c>
      <c r="D140" s="2" t="s">
        <v>16</v>
      </c>
      <c r="E140">
        <v>22379</v>
      </c>
      <c r="F140">
        <v>314</v>
      </c>
      <c r="G140">
        <v>7</v>
      </c>
      <c r="H140">
        <v>650.91</v>
      </c>
      <c r="I140">
        <v>838.82</v>
      </c>
      <c r="J140">
        <v>1.4</v>
      </c>
      <c r="K140">
        <v>2.23</v>
      </c>
      <c r="L140">
        <v>92.99</v>
      </c>
      <c r="M140">
        <v>1.29</v>
      </c>
      <c r="N140">
        <v>187.91</v>
      </c>
    </row>
    <row r="141" spans="1:14" x14ac:dyDescent="0.2">
      <c r="A141" s="1">
        <v>45485</v>
      </c>
      <c r="B141" s="2" t="s">
        <v>29</v>
      </c>
      <c r="C141" s="2" t="s">
        <v>21</v>
      </c>
      <c r="D141" s="2" t="s">
        <v>22</v>
      </c>
      <c r="E141">
        <v>19555</v>
      </c>
      <c r="F141">
        <v>377</v>
      </c>
      <c r="G141">
        <v>24</v>
      </c>
      <c r="H141">
        <v>826.28</v>
      </c>
      <c r="I141">
        <v>2890.71</v>
      </c>
      <c r="J141">
        <v>1.93</v>
      </c>
      <c r="K141">
        <v>6.37</v>
      </c>
      <c r="L141">
        <v>34.43</v>
      </c>
      <c r="M141">
        <v>3.5</v>
      </c>
      <c r="N141">
        <v>2064.4299999999998</v>
      </c>
    </row>
    <row r="142" spans="1:14" x14ac:dyDescent="0.2">
      <c r="A142" s="1">
        <v>45485</v>
      </c>
      <c r="B142" s="2" t="s">
        <v>30</v>
      </c>
      <c r="C142" s="2" t="s">
        <v>28</v>
      </c>
      <c r="D142" s="2" t="s">
        <v>36</v>
      </c>
      <c r="E142">
        <v>11622</v>
      </c>
      <c r="F142">
        <v>312</v>
      </c>
      <c r="G142">
        <v>17</v>
      </c>
      <c r="H142">
        <v>548.94000000000005</v>
      </c>
      <c r="I142">
        <v>1763.51</v>
      </c>
      <c r="J142">
        <v>2.68</v>
      </c>
      <c r="K142">
        <v>5.45</v>
      </c>
      <c r="L142">
        <v>32.29</v>
      </c>
      <c r="M142">
        <v>3.21</v>
      </c>
      <c r="N142">
        <v>1214.57</v>
      </c>
    </row>
    <row r="143" spans="1:14" x14ac:dyDescent="0.2">
      <c r="A143" s="1">
        <v>45485</v>
      </c>
      <c r="B143" s="2" t="s">
        <v>31</v>
      </c>
      <c r="C143" s="2" t="s">
        <v>28</v>
      </c>
      <c r="D143" s="2" t="s">
        <v>22</v>
      </c>
      <c r="E143">
        <v>17086</v>
      </c>
      <c r="F143">
        <v>685</v>
      </c>
      <c r="G143">
        <v>33</v>
      </c>
      <c r="H143">
        <v>528.98</v>
      </c>
      <c r="I143">
        <v>2816.81</v>
      </c>
      <c r="J143">
        <v>4.01</v>
      </c>
      <c r="K143">
        <v>4.82</v>
      </c>
      <c r="L143">
        <v>16.03</v>
      </c>
      <c r="M143">
        <v>5.32</v>
      </c>
      <c r="N143">
        <v>2287.83</v>
      </c>
    </row>
    <row r="144" spans="1:14" x14ac:dyDescent="0.2">
      <c r="A144" s="1">
        <v>45485</v>
      </c>
      <c r="B144" s="2" t="s">
        <v>33</v>
      </c>
      <c r="C144" s="2" t="s">
        <v>28</v>
      </c>
      <c r="D144" s="2" t="s">
        <v>16</v>
      </c>
      <c r="E144">
        <v>4891</v>
      </c>
      <c r="F144">
        <v>339</v>
      </c>
      <c r="G144">
        <v>41</v>
      </c>
      <c r="H144">
        <v>298.7</v>
      </c>
      <c r="I144">
        <v>4267.47</v>
      </c>
      <c r="J144">
        <v>6.93</v>
      </c>
      <c r="K144">
        <v>12.09</v>
      </c>
      <c r="L144">
        <v>7.29</v>
      </c>
      <c r="M144">
        <v>14.29</v>
      </c>
      <c r="N144">
        <v>3968.77</v>
      </c>
    </row>
    <row r="145" spans="1:14" x14ac:dyDescent="0.2">
      <c r="A145" s="1">
        <v>45485</v>
      </c>
      <c r="B145" s="2" t="s">
        <v>34</v>
      </c>
      <c r="C145" s="2" t="s">
        <v>21</v>
      </c>
      <c r="D145" s="2" t="s">
        <v>36</v>
      </c>
      <c r="E145">
        <v>3966</v>
      </c>
      <c r="F145">
        <v>264</v>
      </c>
      <c r="G145">
        <v>40</v>
      </c>
      <c r="H145">
        <v>100.44</v>
      </c>
      <c r="I145">
        <v>6210.92</v>
      </c>
      <c r="J145">
        <v>6.66</v>
      </c>
      <c r="K145">
        <v>15.15</v>
      </c>
      <c r="L145">
        <v>2.5099999999999998</v>
      </c>
      <c r="M145">
        <v>61.84</v>
      </c>
      <c r="N145">
        <v>6110.48</v>
      </c>
    </row>
    <row r="146" spans="1:14" x14ac:dyDescent="0.2">
      <c r="A146" s="1">
        <v>45486</v>
      </c>
      <c r="B146" s="2" t="s">
        <v>14</v>
      </c>
      <c r="C146" s="2" t="s">
        <v>18</v>
      </c>
      <c r="D146" s="2" t="s">
        <v>36</v>
      </c>
      <c r="E146">
        <v>6484</v>
      </c>
      <c r="F146">
        <v>223</v>
      </c>
      <c r="G146">
        <v>22</v>
      </c>
      <c r="H146">
        <v>811.74</v>
      </c>
      <c r="I146">
        <v>3254.96</v>
      </c>
      <c r="J146">
        <v>3.44</v>
      </c>
      <c r="K146">
        <v>9.8699999999999992</v>
      </c>
      <c r="L146">
        <v>36.9</v>
      </c>
      <c r="M146">
        <v>4.01</v>
      </c>
      <c r="N146">
        <v>2443.2199999999998</v>
      </c>
    </row>
    <row r="147" spans="1:14" x14ac:dyDescent="0.2">
      <c r="A147" s="1">
        <v>45486</v>
      </c>
      <c r="B147" s="2" t="s">
        <v>17</v>
      </c>
      <c r="C147" s="2" t="s">
        <v>35</v>
      </c>
      <c r="D147" s="2" t="s">
        <v>36</v>
      </c>
      <c r="E147">
        <v>7183</v>
      </c>
      <c r="F147">
        <v>176</v>
      </c>
      <c r="G147">
        <v>10</v>
      </c>
      <c r="H147">
        <v>490.02</v>
      </c>
      <c r="I147">
        <v>1023.09</v>
      </c>
      <c r="J147">
        <v>2.4500000000000002</v>
      </c>
      <c r="K147">
        <v>5.68</v>
      </c>
      <c r="L147">
        <v>49</v>
      </c>
      <c r="M147">
        <v>2.09</v>
      </c>
      <c r="N147">
        <v>533.07000000000005</v>
      </c>
    </row>
    <row r="148" spans="1:14" x14ac:dyDescent="0.2">
      <c r="A148" s="1">
        <v>45486</v>
      </c>
      <c r="B148" s="2" t="s">
        <v>20</v>
      </c>
      <c r="C148" s="2" t="s">
        <v>35</v>
      </c>
      <c r="D148" s="2" t="s">
        <v>36</v>
      </c>
      <c r="E148">
        <v>8880</v>
      </c>
      <c r="F148">
        <v>286</v>
      </c>
      <c r="G148">
        <v>13</v>
      </c>
      <c r="H148">
        <v>497.48</v>
      </c>
      <c r="I148">
        <v>1080.8</v>
      </c>
      <c r="J148">
        <v>3.22</v>
      </c>
      <c r="K148">
        <v>4.55</v>
      </c>
      <c r="L148">
        <v>38.270000000000003</v>
      </c>
      <c r="M148">
        <v>2.17</v>
      </c>
      <c r="N148">
        <v>583.32000000000005</v>
      </c>
    </row>
    <row r="149" spans="1:14" x14ac:dyDescent="0.2">
      <c r="A149" s="1">
        <v>45486</v>
      </c>
      <c r="B149" s="2" t="s">
        <v>23</v>
      </c>
      <c r="C149" s="2" t="s">
        <v>15</v>
      </c>
      <c r="D149" s="2" t="s">
        <v>25</v>
      </c>
      <c r="E149">
        <v>2413</v>
      </c>
      <c r="F149">
        <v>67</v>
      </c>
      <c r="G149">
        <v>9</v>
      </c>
      <c r="H149">
        <v>1060.82</v>
      </c>
      <c r="I149">
        <v>2984.18</v>
      </c>
      <c r="J149">
        <v>2.78</v>
      </c>
      <c r="K149">
        <v>13.43</v>
      </c>
      <c r="L149">
        <v>117.87</v>
      </c>
      <c r="M149">
        <v>2.81</v>
      </c>
      <c r="N149">
        <v>1923.36</v>
      </c>
    </row>
    <row r="150" spans="1:14" x14ac:dyDescent="0.2">
      <c r="A150" s="1">
        <v>45486</v>
      </c>
      <c r="B150" s="2" t="s">
        <v>24</v>
      </c>
      <c r="C150" s="2" t="s">
        <v>15</v>
      </c>
      <c r="D150" s="2" t="s">
        <v>36</v>
      </c>
      <c r="E150">
        <v>13383</v>
      </c>
      <c r="F150">
        <v>2091</v>
      </c>
      <c r="G150">
        <v>269</v>
      </c>
      <c r="H150">
        <v>118.38</v>
      </c>
      <c r="I150">
        <v>29371.57</v>
      </c>
      <c r="J150">
        <v>15.62</v>
      </c>
      <c r="K150">
        <v>12.86</v>
      </c>
      <c r="L150">
        <v>0.44</v>
      </c>
      <c r="M150">
        <v>248.11</v>
      </c>
      <c r="N150">
        <v>29253.19</v>
      </c>
    </row>
    <row r="151" spans="1:14" x14ac:dyDescent="0.2">
      <c r="A151" s="1">
        <v>45486</v>
      </c>
      <c r="B151" s="2" t="s">
        <v>26</v>
      </c>
      <c r="C151" s="2" t="s">
        <v>21</v>
      </c>
      <c r="D151" s="2" t="s">
        <v>22</v>
      </c>
      <c r="E151">
        <v>15096</v>
      </c>
      <c r="F151">
        <v>977</v>
      </c>
      <c r="G151">
        <v>144</v>
      </c>
      <c r="H151">
        <v>0</v>
      </c>
      <c r="I151">
        <v>17568.95</v>
      </c>
      <c r="J151">
        <v>6.47</v>
      </c>
      <c r="K151">
        <v>14.74</v>
      </c>
      <c r="L151">
        <v>0</v>
      </c>
      <c r="M151">
        <v>0</v>
      </c>
      <c r="N151">
        <v>17568.95</v>
      </c>
    </row>
    <row r="152" spans="1:14" x14ac:dyDescent="0.2">
      <c r="A152" s="1">
        <v>45486</v>
      </c>
      <c r="B152" s="2" t="s">
        <v>27</v>
      </c>
      <c r="C152" s="2" t="s">
        <v>35</v>
      </c>
      <c r="D152" s="2" t="s">
        <v>22</v>
      </c>
      <c r="E152">
        <v>22806</v>
      </c>
      <c r="F152">
        <v>398</v>
      </c>
      <c r="G152">
        <v>9</v>
      </c>
      <c r="H152">
        <v>439.54</v>
      </c>
      <c r="I152">
        <v>929</v>
      </c>
      <c r="J152">
        <v>1.75</v>
      </c>
      <c r="K152">
        <v>2.2599999999999998</v>
      </c>
      <c r="L152">
        <v>48.84</v>
      </c>
      <c r="M152">
        <v>2.11</v>
      </c>
      <c r="N152">
        <v>489.46</v>
      </c>
    </row>
    <row r="153" spans="1:14" x14ac:dyDescent="0.2">
      <c r="A153" s="1">
        <v>45486</v>
      </c>
      <c r="B153" s="2" t="s">
        <v>29</v>
      </c>
      <c r="C153" s="2" t="s">
        <v>18</v>
      </c>
      <c r="D153" s="2" t="s">
        <v>25</v>
      </c>
      <c r="E153">
        <v>9761</v>
      </c>
      <c r="F153">
        <v>252</v>
      </c>
      <c r="G153">
        <v>19</v>
      </c>
      <c r="H153">
        <v>801.54</v>
      </c>
      <c r="I153">
        <v>2609.7399999999998</v>
      </c>
      <c r="J153">
        <v>2.58</v>
      </c>
      <c r="K153">
        <v>7.54</v>
      </c>
      <c r="L153">
        <v>42.19</v>
      </c>
      <c r="M153">
        <v>3.26</v>
      </c>
      <c r="N153">
        <v>1808.2</v>
      </c>
    </row>
    <row r="154" spans="1:14" x14ac:dyDescent="0.2">
      <c r="A154" s="1">
        <v>45486</v>
      </c>
      <c r="B154" s="2" t="s">
        <v>30</v>
      </c>
      <c r="C154" s="2" t="s">
        <v>15</v>
      </c>
      <c r="D154" s="2" t="s">
        <v>25</v>
      </c>
      <c r="E154">
        <v>6544</v>
      </c>
      <c r="F154">
        <v>214</v>
      </c>
      <c r="G154">
        <v>6</v>
      </c>
      <c r="H154">
        <v>273.35000000000002</v>
      </c>
      <c r="I154">
        <v>594.35</v>
      </c>
      <c r="J154">
        <v>3.27</v>
      </c>
      <c r="K154">
        <v>2.8</v>
      </c>
      <c r="L154">
        <v>45.56</v>
      </c>
      <c r="M154">
        <v>2.17</v>
      </c>
      <c r="N154">
        <v>321</v>
      </c>
    </row>
    <row r="155" spans="1:14" x14ac:dyDescent="0.2">
      <c r="A155" s="1">
        <v>45486</v>
      </c>
      <c r="B155" s="2" t="s">
        <v>31</v>
      </c>
      <c r="C155" s="2" t="s">
        <v>18</v>
      </c>
      <c r="D155" s="2" t="s">
        <v>19</v>
      </c>
      <c r="E155">
        <v>14900</v>
      </c>
      <c r="F155">
        <v>431</v>
      </c>
      <c r="G155">
        <v>17</v>
      </c>
      <c r="H155">
        <v>654.29999999999995</v>
      </c>
      <c r="I155">
        <v>1474.78</v>
      </c>
      <c r="J155">
        <v>2.89</v>
      </c>
      <c r="K155">
        <v>3.94</v>
      </c>
      <c r="L155">
        <v>38.49</v>
      </c>
      <c r="M155">
        <v>2.25</v>
      </c>
      <c r="N155">
        <v>820.48</v>
      </c>
    </row>
    <row r="156" spans="1:14" x14ac:dyDescent="0.2">
      <c r="A156" s="1">
        <v>45486</v>
      </c>
      <c r="B156" s="2" t="s">
        <v>33</v>
      </c>
      <c r="C156" s="2" t="s">
        <v>18</v>
      </c>
      <c r="D156" s="2" t="s">
        <v>16</v>
      </c>
      <c r="E156">
        <v>5400</v>
      </c>
      <c r="F156">
        <v>346</v>
      </c>
      <c r="G156">
        <v>36</v>
      </c>
      <c r="H156">
        <v>403.9</v>
      </c>
      <c r="I156">
        <v>4296.8900000000003</v>
      </c>
      <c r="J156">
        <v>6.41</v>
      </c>
      <c r="K156">
        <v>10.4</v>
      </c>
      <c r="L156">
        <v>11.22</v>
      </c>
      <c r="M156">
        <v>10.64</v>
      </c>
      <c r="N156">
        <v>3892.99</v>
      </c>
    </row>
    <row r="157" spans="1:14" x14ac:dyDescent="0.2">
      <c r="A157" s="1">
        <v>45486</v>
      </c>
      <c r="B157" s="2" t="s">
        <v>34</v>
      </c>
      <c r="C157" s="2" t="s">
        <v>32</v>
      </c>
      <c r="D157" s="2" t="s">
        <v>36</v>
      </c>
      <c r="E157">
        <v>3426</v>
      </c>
      <c r="F157">
        <v>251</v>
      </c>
      <c r="G157">
        <v>38</v>
      </c>
      <c r="H157">
        <v>112.57</v>
      </c>
      <c r="I157">
        <v>6220.39</v>
      </c>
      <c r="J157">
        <v>7.33</v>
      </c>
      <c r="K157">
        <v>15.14</v>
      </c>
      <c r="L157">
        <v>2.96</v>
      </c>
      <c r="M157">
        <v>55.26</v>
      </c>
      <c r="N157">
        <v>6107.82</v>
      </c>
    </row>
    <row r="158" spans="1:14" x14ac:dyDescent="0.2">
      <c r="A158" s="1">
        <v>45487</v>
      </c>
      <c r="B158" s="2" t="s">
        <v>14</v>
      </c>
      <c r="C158" s="2" t="s">
        <v>32</v>
      </c>
      <c r="D158" s="2" t="s">
        <v>25</v>
      </c>
      <c r="E158">
        <v>7763</v>
      </c>
      <c r="F158">
        <v>333</v>
      </c>
      <c r="G158">
        <v>36</v>
      </c>
      <c r="H158">
        <v>853.34</v>
      </c>
      <c r="I158">
        <v>6043.06</v>
      </c>
      <c r="J158">
        <v>4.29</v>
      </c>
      <c r="K158">
        <v>10.81</v>
      </c>
      <c r="L158">
        <v>23.7</v>
      </c>
      <c r="M158">
        <v>7.08</v>
      </c>
      <c r="N158">
        <v>5189.72</v>
      </c>
    </row>
    <row r="159" spans="1:14" x14ac:dyDescent="0.2">
      <c r="A159" s="1">
        <v>45487</v>
      </c>
      <c r="B159" s="2" t="s">
        <v>17</v>
      </c>
      <c r="C159" s="2" t="s">
        <v>21</v>
      </c>
      <c r="D159" s="2" t="s">
        <v>16</v>
      </c>
      <c r="E159">
        <v>9783</v>
      </c>
      <c r="F159">
        <v>245</v>
      </c>
      <c r="G159">
        <v>14</v>
      </c>
      <c r="H159">
        <v>567.77</v>
      </c>
      <c r="I159">
        <v>1283.4100000000001</v>
      </c>
      <c r="J159">
        <v>2.5</v>
      </c>
      <c r="K159">
        <v>5.71</v>
      </c>
      <c r="L159">
        <v>40.56</v>
      </c>
      <c r="M159">
        <v>2.2599999999999998</v>
      </c>
      <c r="N159">
        <v>715.64</v>
      </c>
    </row>
    <row r="160" spans="1:14" x14ac:dyDescent="0.2">
      <c r="A160" s="1">
        <v>45487</v>
      </c>
      <c r="B160" s="2" t="s">
        <v>20</v>
      </c>
      <c r="C160" s="2" t="s">
        <v>32</v>
      </c>
      <c r="D160" s="2" t="s">
        <v>16</v>
      </c>
      <c r="E160">
        <v>9646</v>
      </c>
      <c r="F160">
        <v>265</v>
      </c>
      <c r="G160">
        <v>11</v>
      </c>
      <c r="H160">
        <v>558.86</v>
      </c>
      <c r="I160">
        <v>1051.67</v>
      </c>
      <c r="J160">
        <v>2.75</v>
      </c>
      <c r="K160">
        <v>4.1500000000000004</v>
      </c>
      <c r="L160">
        <v>50.81</v>
      </c>
      <c r="M160">
        <v>1.88</v>
      </c>
      <c r="N160">
        <v>492.81</v>
      </c>
    </row>
    <row r="161" spans="1:14" x14ac:dyDescent="0.2">
      <c r="A161" s="1">
        <v>45487</v>
      </c>
      <c r="B161" s="2" t="s">
        <v>23</v>
      </c>
      <c r="C161" s="2" t="s">
        <v>21</v>
      </c>
      <c r="D161" s="2" t="s">
        <v>16</v>
      </c>
      <c r="E161">
        <v>2963</v>
      </c>
      <c r="F161">
        <v>68</v>
      </c>
      <c r="G161">
        <v>7</v>
      </c>
      <c r="H161">
        <v>539.39</v>
      </c>
      <c r="I161">
        <v>1508.75</v>
      </c>
      <c r="J161">
        <v>2.29</v>
      </c>
      <c r="K161">
        <v>10.29</v>
      </c>
      <c r="L161">
        <v>77.06</v>
      </c>
      <c r="M161">
        <v>2.8</v>
      </c>
      <c r="N161">
        <v>969.36</v>
      </c>
    </row>
    <row r="162" spans="1:14" x14ac:dyDescent="0.2">
      <c r="A162" s="1">
        <v>45487</v>
      </c>
      <c r="B162" s="2" t="s">
        <v>24</v>
      </c>
      <c r="C162" s="2" t="s">
        <v>32</v>
      </c>
      <c r="D162" s="2" t="s">
        <v>16</v>
      </c>
      <c r="E162">
        <v>14086</v>
      </c>
      <c r="F162">
        <v>2555</v>
      </c>
      <c r="G162">
        <v>328</v>
      </c>
      <c r="H162">
        <v>91.17</v>
      </c>
      <c r="I162">
        <v>37725.870000000003</v>
      </c>
      <c r="J162">
        <v>18.14</v>
      </c>
      <c r="K162">
        <v>12.84</v>
      </c>
      <c r="L162">
        <v>0.28000000000000003</v>
      </c>
      <c r="M162">
        <v>413.8</v>
      </c>
      <c r="N162">
        <v>37634.699999999997</v>
      </c>
    </row>
    <row r="163" spans="1:14" x14ac:dyDescent="0.2">
      <c r="A163" s="1">
        <v>45487</v>
      </c>
      <c r="B163" s="2" t="s">
        <v>26</v>
      </c>
      <c r="C163" s="2" t="s">
        <v>15</v>
      </c>
      <c r="D163" s="2" t="s">
        <v>22</v>
      </c>
      <c r="E163">
        <v>15982</v>
      </c>
      <c r="F163">
        <v>1041</v>
      </c>
      <c r="G163">
        <v>124</v>
      </c>
      <c r="H163">
        <v>0</v>
      </c>
      <c r="I163">
        <v>14893.68</v>
      </c>
      <c r="J163">
        <v>6.51</v>
      </c>
      <c r="K163">
        <v>11.91</v>
      </c>
      <c r="L163">
        <v>0</v>
      </c>
      <c r="M163">
        <v>0</v>
      </c>
      <c r="N163">
        <v>14893.68</v>
      </c>
    </row>
    <row r="164" spans="1:14" x14ac:dyDescent="0.2">
      <c r="A164" s="1">
        <v>45487</v>
      </c>
      <c r="B164" s="2" t="s">
        <v>27</v>
      </c>
      <c r="C164" s="2" t="s">
        <v>28</v>
      </c>
      <c r="D164" s="2" t="s">
        <v>16</v>
      </c>
      <c r="E164">
        <v>16376</v>
      </c>
      <c r="F164">
        <v>284</v>
      </c>
      <c r="G164">
        <v>7</v>
      </c>
      <c r="H164">
        <v>710.91</v>
      </c>
      <c r="I164">
        <v>618.51</v>
      </c>
      <c r="J164">
        <v>1.73</v>
      </c>
      <c r="K164">
        <v>2.46</v>
      </c>
      <c r="L164">
        <v>101.56</v>
      </c>
      <c r="M164">
        <v>0.87</v>
      </c>
      <c r="N164">
        <v>-92.4</v>
      </c>
    </row>
    <row r="165" spans="1:14" x14ac:dyDescent="0.2">
      <c r="A165" s="1">
        <v>45487</v>
      </c>
      <c r="B165" s="2" t="s">
        <v>29</v>
      </c>
      <c r="C165" s="2" t="s">
        <v>32</v>
      </c>
      <c r="D165" s="2" t="s">
        <v>22</v>
      </c>
      <c r="E165">
        <v>12530</v>
      </c>
      <c r="F165">
        <v>368</v>
      </c>
      <c r="G165">
        <v>27</v>
      </c>
      <c r="H165">
        <v>732.75</v>
      </c>
      <c r="I165">
        <v>3300.98</v>
      </c>
      <c r="J165">
        <v>2.94</v>
      </c>
      <c r="K165">
        <v>7.34</v>
      </c>
      <c r="L165">
        <v>27.14</v>
      </c>
      <c r="M165">
        <v>4.5</v>
      </c>
      <c r="N165">
        <v>2568.23</v>
      </c>
    </row>
    <row r="166" spans="1:14" x14ac:dyDescent="0.2">
      <c r="A166" s="1">
        <v>45487</v>
      </c>
      <c r="B166" s="2" t="s">
        <v>30</v>
      </c>
      <c r="C166" s="2" t="s">
        <v>32</v>
      </c>
      <c r="D166" s="2" t="s">
        <v>25</v>
      </c>
      <c r="E166">
        <v>5278</v>
      </c>
      <c r="F166">
        <v>114</v>
      </c>
      <c r="G166">
        <v>5</v>
      </c>
      <c r="H166">
        <v>405.1</v>
      </c>
      <c r="I166">
        <v>510.17</v>
      </c>
      <c r="J166">
        <v>2.16</v>
      </c>
      <c r="K166">
        <v>4.3899999999999997</v>
      </c>
      <c r="L166">
        <v>81.02</v>
      </c>
      <c r="M166">
        <v>1.26</v>
      </c>
      <c r="N166">
        <v>105.07</v>
      </c>
    </row>
    <row r="167" spans="1:14" x14ac:dyDescent="0.2">
      <c r="A167" s="1">
        <v>45487</v>
      </c>
      <c r="B167" s="2" t="s">
        <v>31</v>
      </c>
      <c r="C167" s="2" t="s">
        <v>18</v>
      </c>
      <c r="D167" s="2" t="s">
        <v>25</v>
      </c>
      <c r="E167">
        <v>11234</v>
      </c>
      <c r="F167">
        <v>436</v>
      </c>
      <c r="G167">
        <v>24</v>
      </c>
      <c r="H167">
        <v>566.41999999999996</v>
      </c>
      <c r="I167">
        <v>2285.09</v>
      </c>
      <c r="J167">
        <v>3.88</v>
      </c>
      <c r="K167">
        <v>5.5</v>
      </c>
      <c r="L167">
        <v>23.6</v>
      </c>
      <c r="M167">
        <v>4.03</v>
      </c>
      <c r="N167">
        <v>1718.67</v>
      </c>
    </row>
    <row r="168" spans="1:14" x14ac:dyDescent="0.2">
      <c r="A168" s="1">
        <v>45487</v>
      </c>
      <c r="B168" s="2" t="s">
        <v>33</v>
      </c>
      <c r="C168" s="2" t="s">
        <v>18</v>
      </c>
      <c r="D168" s="2" t="s">
        <v>36</v>
      </c>
      <c r="E168">
        <v>4780</v>
      </c>
      <c r="F168">
        <v>263</v>
      </c>
      <c r="G168">
        <v>30</v>
      </c>
      <c r="H168">
        <v>211.57</v>
      </c>
      <c r="I168">
        <v>3522.4</v>
      </c>
      <c r="J168">
        <v>5.5</v>
      </c>
      <c r="K168">
        <v>11.41</v>
      </c>
      <c r="L168">
        <v>7.05</v>
      </c>
      <c r="M168">
        <v>16.649999999999999</v>
      </c>
      <c r="N168">
        <v>3310.83</v>
      </c>
    </row>
    <row r="169" spans="1:14" x14ac:dyDescent="0.2">
      <c r="A169" s="1">
        <v>45487</v>
      </c>
      <c r="B169" s="2" t="s">
        <v>34</v>
      </c>
      <c r="C169" s="2" t="s">
        <v>15</v>
      </c>
      <c r="D169" s="2" t="s">
        <v>25</v>
      </c>
      <c r="E169">
        <v>4119</v>
      </c>
      <c r="F169">
        <v>245</v>
      </c>
      <c r="G169">
        <v>33</v>
      </c>
      <c r="H169">
        <v>74.84</v>
      </c>
      <c r="I169">
        <v>5318.35</v>
      </c>
      <c r="J169">
        <v>5.95</v>
      </c>
      <c r="K169">
        <v>13.47</v>
      </c>
      <c r="L169">
        <v>2.27</v>
      </c>
      <c r="M169">
        <v>71.06</v>
      </c>
      <c r="N169">
        <v>5243.51</v>
      </c>
    </row>
    <row r="170" spans="1:14" x14ac:dyDescent="0.2">
      <c r="A170" s="1">
        <v>45488</v>
      </c>
      <c r="B170" s="2" t="s">
        <v>14</v>
      </c>
      <c r="C170" s="2" t="s">
        <v>32</v>
      </c>
      <c r="D170" s="2" t="s">
        <v>25</v>
      </c>
      <c r="E170">
        <v>11939</v>
      </c>
      <c r="F170">
        <v>504</v>
      </c>
      <c r="G170">
        <v>49</v>
      </c>
      <c r="H170">
        <v>1056.45</v>
      </c>
      <c r="I170">
        <v>8556.58</v>
      </c>
      <c r="J170">
        <v>4.22</v>
      </c>
      <c r="K170">
        <v>9.7200000000000006</v>
      </c>
      <c r="L170">
        <v>21.56</v>
      </c>
      <c r="M170">
        <v>8.1</v>
      </c>
      <c r="N170">
        <v>7500.13</v>
      </c>
    </row>
    <row r="171" spans="1:14" x14ac:dyDescent="0.2">
      <c r="A171" s="1">
        <v>45488</v>
      </c>
      <c r="B171" s="2" t="s">
        <v>17</v>
      </c>
      <c r="C171" s="2" t="s">
        <v>35</v>
      </c>
      <c r="D171" s="2" t="s">
        <v>19</v>
      </c>
      <c r="E171">
        <v>11771</v>
      </c>
      <c r="F171">
        <v>249</v>
      </c>
      <c r="G171">
        <v>14</v>
      </c>
      <c r="H171">
        <v>981.58</v>
      </c>
      <c r="I171">
        <v>1469.86</v>
      </c>
      <c r="J171">
        <v>2.12</v>
      </c>
      <c r="K171">
        <v>5.62</v>
      </c>
      <c r="L171">
        <v>70.11</v>
      </c>
      <c r="M171">
        <v>1.5</v>
      </c>
      <c r="N171">
        <v>488.28</v>
      </c>
    </row>
    <row r="172" spans="1:14" x14ac:dyDescent="0.2">
      <c r="A172" s="1">
        <v>45488</v>
      </c>
      <c r="B172" s="2" t="s">
        <v>20</v>
      </c>
      <c r="C172" s="2" t="s">
        <v>21</v>
      </c>
      <c r="D172" s="2" t="s">
        <v>19</v>
      </c>
      <c r="E172">
        <v>10067</v>
      </c>
      <c r="F172">
        <v>324</v>
      </c>
      <c r="G172">
        <v>18</v>
      </c>
      <c r="H172">
        <v>443.44</v>
      </c>
      <c r="I172">
        <v>1670.9</v>
      </c>
      <c r="J172">
        <v>3.22</v>
      </c>
      <c r="K172">
        <v>5.56</v>
      </c>
      <c r="L172">
        <v>24.64</v>
      </c>
      <c r="M172">
        <v>3.77</v>
      </c>
      <c r="N172">
        <v>1227.46</v>
      </c>
    </row>
    <row r="173" spans="1:14" x14ac:dyDescent="0.2">
      <c r="A173" s="1">
        <v>45488</v>
      </c>
      <c r="B173" s="2" t="s">
        <v>23</v>
      </c>
      <c r="C173" s="2" t="s">
        <v>21</v>
      </c>
      <c r="D173" s="2" t="s">
        <v>19</v>
      </c>
      <c r="E173">
        <v>3000</v>
      </c>
      <c r="F173">
        <v>50</v>
      </c>
      <c r="G173">
        <v>6</v>
      </c>
      <c r="H173">
        <v>1326.02</v>
      </c>
      <c r="I173">
        <v>1777.37</v>
      </c>
      <c r="J173">
        <v>1.67</v>
      </c>
      <c r="K173">
        <v>12</v>
      </c>
      <c r="L173">
        <v>221</v>
      </c>
      <c r="M173">
        <v>1.34</v>
      </c>
      <c r="N173">
        <v>451.35</v>
      </c>
    </row>
    <row r="174" spans="1:14" x14ac:dyDescent="0.2">
      <c r="A174" s="1">
        <v>45488</v>
      </c>
      <c r="B174" s="2" t="s">
        <v>24</v>
      </c>
      <c r="C174" s="2" t="s">
        <v>28</v>
      </c>
      <c r="D174" s="2" t="s">
        <v>22</v>
      </c>
      <c r="E174">
        <v>16237</v>
      </c>
      <c r="F174">
        <v>3571</v>
      </c>
      <c r="G174">
        <v>338</v>
      </c>
      <c r="H174">
        <v>238.58</v>
      </c>
      <c r="I174">
        <v>40285.599999999999</v>
      </c>
      <c r="J174">
        <v>21.99</v>
      </c>
      <c r="K174">
        <v>9.4700000000000006</v>
      </c>
      <c r="L174">
        <v>0.71</v>
      </c>
      <c r="M174">
        <v>168.86</v>
      </c>
      <c r="N174">
        <v>40047.019999999997</v>
      </c>
    </row>
    <row r="175" spans="1:14" x14ac:dyDescent="0.2">
      <c r="A175" s="1">
        <v>45488</v>
      </c>
      <c r="B175" s="2" t="s">
        <v>26</v>
      </c>
      <c r="C175" s="2" t="s">
        <v>15</v>
      </c>
      <c r="D175" s="2" t="s">
        <v>19</v>
      </c>
      <c r="E175">
        <v>26973</v>
      </c>
      <c r="F175">
        <v>1922</v>
      </c>
      <c r="G175">
        <v>243</v>
      </c>
      <c r="H175">
        <v>0</v>
      </c>
      <c r="I175">
        <v>30859.03</v>
      </c>
      <c r="J175">
        <v>7.13</v>
      </c>
      <c r="K175">
        <v>12.64</v>
      </c>
      <c r="L175">
        <v>0</v>
      </c>
      <c r="M175">
        <v>0</v>
      </c>
      <c r="N175">
        <v>30859.03</v>
      </c>
    </row>
    <row r="176" spans="1:14" x14ac:dyDescent="0.2">
      <c r="A176" s="1">
        <v>45488</v>
      </c>
      <c r="B176" s="2" t="s">
        <v>27</v>
      </c>
      <c r="C176" s="2" t="s">
        <v>28</v>
      </c>
      <c r="D176" s="2" t="s">
        <v>19</v>
      </c>
      <c r="E176">
        <v>22099</v>
      </c>
      <c r="F176">
        <v>266</v>
      </c>
      <c r="G176">
        <v>6</v>
      </c>
      <c r="H176">
        <v>659.09</v>
      </c>
      <c r="I176">
        <v>555.6</v>
      </c>
      <c r="J176">
        <v>1.2</v>
      </c>
      <c r="K176">
        <v>2.2599999999999998</v>
      </c>
      <c r="L176">
        <v>109.85</v>
      </c>
      <c r="M176">
        <v>0.84</v>
      </c>
      <c r="N176">
        <v>-103.49</v>
      </c>
    </row>
    <row r="177" spans="1:14" x14ac:dyDescent="0.2">
      <c r="A177" s="1">
        <v>45488</v>
      </c>
      <c r="B177" s="2" t="s">
        <v>29</v>
      </c>
      <c r="C177" s="2" t="s">
        <v>18</v>
      </c>
      <c r="D177" s="2" t="s">
        <v>16</v>
      </c>
      <c r="E177">
        <v>18750</v>
      </c>
      <c r="F177">
        <v>465</v>
      </c>
      <c r="G177">
        <v>30</v>
      </c>
      <c r="H177">
        <v>696.86</v>
      </c>
      <c r="I177">
        <v>2905.17</v>
      </c>
      <c r="J177">
        <v>2.48</v>
      </c>
      <c r="K177">
        <v>6.45</v>
      </c>
      <c r="L177">
        <v>23.23</v>
      </c>
      <c r="M177">
        <v>4.17</v>
      </c>
      <c r="N177">
        <v>2208.31</v>
      </c>
    </row>
    <row r="178" spans="1:14" x14ac:dyDescent="0.2">
      <c r="A178" s="1">
        <v>45488</v>
      </c>
      <c r="B178" s="2" t="s">
        <v>30</v>
      </c>
      <c r="C178" s="2" t="s">
        <v>28</v>
      </c>
      <c r="D178" s="2" t="s">
        <v>25</v>
      </c>
      <c r="E178">
        <v>8808</v>
      </c>
      <c r="F178">
        <v>229</v>
      </c>
      <c r="G178">
        <v>11</v>
      </c>
      <c r="H178">
        <v>465</v>
      </c>
      <c r="I178">
        <v>1121</v>
      </c>
      <c r="J178">
        <v>2.6</v>
      </c>
      <c r="K178">
        <v>4.8</v>
      </c>
      <c r="L178">
        <v>42.27</v>
      </c>
      <c r="M178">
        <v>2.41</v>
      </c>
      <c r="N178">
        <v>656</v>
      </c>
    </row>
    <row r="179" spans="1:14" x14ac:dyDescent="0.2">
      <c r="A179" s="1">
        <v>45488</v>
      </c>
      <c r="B179" s="2" t="s">
        <v>31</v>
      </c>
      <c r="C179" s="2" t="s">
        <v>32</v>
      </c>
      <c r="D179" s="2" t="s">
        <v>16</v>
      </c>
      <c r="E179">
        <v>17248</v>
      </c>
      <c r="F179">
        <v>751</v>
      </c>
      <c r="G179">
        <v>32</v>
      </c>
      <c r="H179">
        <v>919.48</v>
      </c>
      <c r="I179">
        <v>3209.03</v>
      </c>
      <c r="J179">
        <v>4.3499999999999996</v>
      </c>
      <c r="K179">
        <v>4.26</v>
      </c>
      <c r="L179">
        <v>28.73</v>
      </c>
      <c r="M179">
        <v>3.49</v>
      </c>
      <c r="N179">
        <v>2289.5500000000002</v>
      </c>
    </row>
    <row r="180" spans="1:14" x14ac:dyDescent="0.2">
      <c r="A180" s="1">
        <v>45488</v>
      </c>
      <c r="B180" s="2" t="s">
        <v>33</v>
      </c>
      <c r="C180" s="2" t="s">
        <v>18</v>
      </c>
      <c r="D180" s="2" t="s">
        <v>25</v>
      </c>
      <c r="E180">
        <v>4922</v>
      </c>
      <c r="F180">
        <v>269</v>
      </c>
      <c r="G180">
        <v>28</v>
      </c>
      <c r="H180">
        <v>498.27</v>
      </c>
      <c r="I180">
        <v>3208.95</v>
      </c>
      <c r="J180">
        <v>5.47</v>
      </c>
      <c r="K180">
        <v>10.41</v>
      </c>
      <c r="L180">
        <v>17.8</v>
      </c>
      <c r="M180">
        <v>6.44</v>
      </c>
      <c r="N180">
        <v>2710.68</v>
      </c>
    </row>
    <row r="181" spans="1:14" x14ac:dyDescent="0.2">
      <c r="A181" s="1">
        <v>45488</v>
      </c>
      <c r="B181" s="2" t="s">
        <v>34</v>
      </c>
      <c r="C181" s="2" t="s">
        <v>21</v>
      </c>
      <c r="D181" s="2" t="s">
        <v>25</v>
      </c>
      <c r="E181">
        <v>2795</v>
      </c>
      <c r="F181">
        <v>144</v>
      </c>
      <c r="G181">
        <v>22</v>
      </c>
      <c r="H181">
        <v>78.08</v>
      </c>
      <c r="I181">
        <v>3202.05</v>
      </c>
      <c r="J181">
        <v>5.15</v>
      </c>
      <c r="K181">
        <v>15.28</v>
      </c>
      <c r="L181">
        <v>3.55</v>
      </c>
      <c r="M181">
        <v>41.01</v>
      </c>
      <c r="N181">
        <v>3123.97</v>
      </c>
    </row>
    <row r="182" spans="1:14" x14ac:dyDescent="0.2">
      <c r="A182" s="1">
        <v>45489</v>
      </c>
      <c r="B182" s="2" t="s">
        <v>14</v>
      </c>
      <c r="C182" s="2" t="s">
        <v>35</v>
      </c>
      <c r="D182" s="2" t="s">
        <v>22</v>
      </c>
      <c r="E182">
        <v>8512</v>
      </c>
      <c r="F182">
        <v>255</v>
      </c>
      <c r="G182">
        <v>29</v>
      </c>
      <c r="H182">
        <v>1202.31</v>
      </c>
      <c r="I182">
        <v>5306.41</v>
      </c>
      <c r="J182">
        <v>3</v>
      </c>
      <c r="K182">
        <v>11.37</v>
      </c>
      <c r="L182">
        <v>41.46</v>
      </c>
      <c r="M182">
        <v>4.41</v>
      </c>
      <c r="N182">
        <v>4104.1000000000004</v>
      </c>
    </row>
    <row r="183" spans="1:14" x14ac:dyDescent="0.2">
      <c r="A183" s="1">
        <v>45489</v>
      </c>
      <c r="B183" s="2" t="s">
        <v>17</v>
      </c>
      <c r="C183" s="2" t="s">
        <v>35</v>
      </c>
      <c r="D183" s="2" t="s">
        <v>16</v>
      </c>
      <c r="E183">
        <v>14727</v>
      </c>
      <c r="F183">
        <v>359</v>
      </c>
      <c r="G183">
        <v>19</v>
      </c>
      <c r="H183">
        <v>699.72</v>
      </c>
      <c r="I183">
        <v>2499.2199999999998</v>
      </c>
      <c r="J183">
        <v>2.44</v>
      </c>
      <c r="K183">
        <v>5.29</v>
      </c>
      <c r="L183">
        <v>36.83</v>
      </c>
      <c r="M183">
        <v>3.57</v>
      </c>
      <c r="N183">
        <v>1799.5</v>
      </c>
    </row>
    <row r="184" spans="1:14" x14ac:dyDescent="0.2">
      <c r="A184" s="1">
        <v>45489</v>
      </c>
      <c r="B184" s="2" t="s">
        <v>20</v>
      </c>
      <c r="C184" s="2" t="s">
        <v>21</v>
      </c>
      <c r="D184" s="2" t="s">
        <v>19</v>
      </c>
      <c r="E184">
        <v>10035</v>
      </c>
      <c r="F184">
        <v>345</v>
      </c>
      <c r="G184">
        <v>20</v>
      </c>
      <c r="H184">
        <v>633.22</v>
      </c>
      <c r="I184">
        <v>1927.37</v>
      </c>
      <c r="J184">
        <v>3.44</v>
      </c>
      <c r="K184">
        <v>5.8</v>
      </c>
      <c r="L184">
        <v>31.66</v>
      </c>
      <c r="M184">
        <v>3.04</v>
      </c>
      <c r="N184">
        <v>1294.1500000000001</v>
      </c>
    </row>
    <row r="185" spans="1:14" x14ac:dyDescent="0.2">
      <c r="A185" s="1">
        <v>45489</v>
      </c>
      <c r="B185" s="2" t="s">
        <v>23</v>
      </c>
      <c r="C185" s="2" t="s">
        <v>35</v>
      </c>
      <c r="D185" s="2" t="s">
        <v>22</v>
      </c>
      <c r="E185">
        <v>4128</v>
      </c>
      <c r="F185">
        <v>116</v>
      </c>
      <c r="G185">
        <v>17</v>
      </c>
      <c r="H185">
        <v>1300.6600000000001</v>
      </c>
      <c r="I185">
        <v>5076.34</v>
      </c>
      <c r="J185">
        <v>2.81</v>
      </c>
      <c r="K185">
        <v>14.66</v>
      </c>
      <c r="L185">
        <v>76.510000000000005</v>
      </c>
      <c r="M185">
        <v>3.9</v>
      </c>
      <c r="N185">
        <v>3775.68</v>
      </c>
    </row>
    <row r="186" spans="1:14" x14ac:dyDescent="0.2">
      <c r="A186" s="1">
        <v>45489</v>
      </c>
      <c r="B186" s="2" t="s">
        <v>24</v>
      </c>
      <c r="C186" s="2" t="s">
        <v>28</v>
      </c>
      <c r="D186" s="2" t="s">
        <v>25</v>
      </c>
      <c r="E186">
        <v>21131</v>
      </c>
      <c r="F186">
        <v>4218</v>
      </c>
      <c r="G186">
        <v>347</v>
      </c>
      <c r="H186">
        <v>184.33</v>
      </c>
      <c r="I186">
        <v>40146.49</v>
      </c>
      <c r="J186">
        <v>19.96</v>
      </c>
      <c r="K186">
        <v>8.23</v>
      </c>
      <c r="L186">
        <v>0.53</v>
      </c>
      <c r="M186">
        <v>217.8</v>
      </c>
      <c r="N186">
        <v>39962.160000000003</v>
      </c>
    </row>
    <row r="187" spans="1:14" x14ac:dyDescent="0.2">
      <c r="A187" s="1">
        <v>45489</v>
      </c>
      <c r="B187" s="2" t="s">
        <v>26</v>
      </c>
      <c r="C187" s="2" t="s">
        <v>15</v>
      </c>
      <c r="D187" s="2" t="s">
        <v>19</v>
      </c>
      <c r="E187">
        <v>18983</v>
      </c>
      <c r="F187">
        <v>1286</v>
      </c>
      <c r="G187">
        <v>141</v>
      </c>
      <c r="H187">
        <v>0</v>
      </c>
      <c r="I187">
        <v>21088.52</v>
      </c>
      <c r="J187">
        <v>6.77</v>
      </c>
      <c r="K187">
        <v>10.96</v>
      </c>
      <c r="L187">
        <v>0</v>
      </c>
      <c r="M187">
        <v>0</v>
      </c>
      <c r="N187">
        <v>21088.52</v>
      </c>
    </row>
    <row r="188" spans="1:14" x14ac:dyDescent="0.2">
      <c r="A188" s="1">
        <v>45489</v>
      </c>
      <c r="B188" s="2" t="s">
        <v>27</v>
      </c>
      <c r="C188" s="2" t="s">
        <v>32</v>
      </c>
      <c r="D188" s="2" t="s">
        <v>25</v>
      </c>
      <c r="E188">
        <v>26353</v>
      </c>
      <c r="F188">
        <v>433</v>
      </c>
      <c r="G188">
        <v>15</v>
      </c>
      <c r="H188">
        <v>621.12</v>
      </c>
      <c r="I188">
        <v>1667.04</v>
      </c>
      <c r="J188">
        <v>1.64</v>
      </c>
      <c r="K188">
        <v>3.46</v>
      </c>
      <c r="L188">
        <v>41.41</v>
      </c>
      <c r="M188">
        <v>2.68</v>
      </c>
      <c r="N188">
        <v>1045.92</v>
      </c>
    </row>
    <row r="189" spans="1:14" x14ac:dyDescent="0.2">
      <c r="A189" s="1">
        <v>45489</v>
      </c>
      <c r="B189" s="2" t="s">
        <v>29</v>
      </c>
      <c r="C189" s="2" t="s">
        <v>18</v>
      </c>
      <c r="D189" s="2" t="s">
        <v>25</v>
      </c>
      <c r="E189">
        <v>19201</v>
      </c>
      <c r="F189">
        <v>547</v>
      </c>
      <c r="G189">
        <v>39</v>
      </c>
      <c r="H189">
        <v>914.17</v>
      </c>
      <c r="I189">
        <v>4540.3500000000004</v>
      </c>
      <c r="J189">
        <v>2.85</v>
      </c>
      <c r="K189">
        <v>7.13</v>
      </c>
      <c r="L189">
        <v>23.44</v>
      </c>
      <c r="M189">
        <v>4.97</v>
      </c>
      <c r="N189">
        <v>3626.18</v>
      </c>
    </row>
    <row r="190" spans="1:14" x14ac:dyDescent="0.2">
      <c r="A190" s="1">
        <v>45489</v>
      </c>
      <c r="B190" s="2" t="s">
        <v>30</v>
      </c>
      <c r="C190" s="2" t="s">
        <v>35</v>
      </c>
      <c r="D190" s="2" t="s">
        <v>16</v>
      </c>
      <c r="E190">
        <v>11000</v>
      </c>
      <c r="F190">
        <v>326</v>
      </c>
      <c r="G190">
        <v>14</v>
      </c>
      <c r="H190">
        <v>550.89</v>
      </c>
      <c r="I190">
        <v>1450.53</v>
      </c>
      <c r="J190">
        <v>2.96</v>
      </c>
      <c r="K190">
        <v>4.29</v>
      </c>
      <c r="L190">
        <v>39.35</v>
      </c>
      <c r="M190">
        <v>2.63</v>
      </c>
      <c r="N190">
        <v>899.64</v>
      </c>
    </row>
    <row r="191" spans="1:14" x14ac:dyDescent="0.2">
      <c r="A191" s="1">
        <v>45489</v>
      </c>
      <c r="B191" s="2" t="s">
        <v>31</v>
      </c>
      <c r="C191" s="2" t="s">
        <v>21</v>
      </c>
      <c r="D191" s="2" t="s">
        <v>19</v>
      </c>
      <c r="E191">
        <v>24118</v>
      </c>
      <c r="F191">
        <v>710</v>
      </c>
      <c r="G191">
        <v>28</v>
      </c>
      <c r="H191">
        <v>700.94</v>
      </c>
      <c r="I191">
        <v>2594.8200000000002</v>
      </c>
      <c r="J191">
        <v>2.94</v>
      </c>
      <c r="K191">
        <v>3.94</v>
      </c>
      <c r="L191">
        <v>25.03</v>
      </c>
      <c r="M191">
        <v>3.7</v>
      </c>
      <c r="N191">
        <v>1893.88</v>
      </c>
    </row>
    <row r="192" spans="1:14" x14ac:dyDescent="0.2">
      <c r="A192" s="1">
        <v>45489</v>
      </c>
      <c r="B192" s="2" t="s">
        <v>33</v>
      </c>
      <c r="C192" s="2" t="s">
        <v>18</v>
      </c>
      <c r="D192" s="2" t="s">
        <v>16</v>
      </c>
      <c r="E192">
        <v>6383</v>
      </c>
      <c r="F192">
        <v>296</v>
      </c>
      <c r="G192">
        <v>28</v>
      </c>
      <c r="H192">
        <v>378.77</v>
      </c>
      <c r="I192">
        <v>4076.54</v>
      </c>
      <c r="J192">
        <v>4.6399999999999997</v>
      </c>
      <c r="K192">
        <v>9.4600000000000009</v>
      </c>
      <c r="L192">
        <v>13.53</v>
      </c>
      <c r="M192">
        <v>10.76</v>
      </c>
      <c r="N192">
        <v>3697.77</v>
      </c>
    </row>
    <row r="193" spans="1:14" x14ac:dyDescent="0.2">
      <c r="A193" s="1">
        <v>45489</v>
      </c>
      <c r="B193" s="2" t="s">
        <v>34</v>
      </c>
      <c r="C193" s="2" t="s">
        <v>15</v>
      </c>
      <c r="D193" s="2" t="s">
        <v>25</v>
      </c>
      <c r="E193">
        <v>4162</v>
      </c>
      <c r="F193">
        <v>234</v>
      </c>
      <c r="G193">
        <v>30</v>
      </c>
      <c r="H193">
        <v>145.91999999999999</v>
      </c>
      <c r="I193">
        <v>4737.24</v>
      </c>
      <c r="J193">
        <v>5.62</v>
      </c>
      <c r="K193">
        <v>12.82</v>
      </c>
      <c r="L193">
        <v>4.8600000000000003</v>
      </c>
      <c r="M193">
        <v>32.46</v>
      </c>
      <c r="N193">
        <v>4591.32</v>
      </c>
    </row>
    <row r="194" spans="1:14" x14ac:dyDescent="0.2">
      <c r="A194" s="1">
        <v>45490</v>
      </c>
      <c r="B194" s="2" t="s">
        <v>14</v>
      </c>
      <c r="C194" s="2" t="s">
        <v>21</v>
      </c>
      <c r="D194" s="2" t="s">
        <v>19</v>
      </c>
      <c r="E194">
        <v>10035</v>
      </c>
      <c r="F194">
        <v>396</v>
      </c>
      <c r="G194">
        <v>42</v>
      </c>
      <c r="H194">
        <v>900.57</v>
      </c>
      <c r="I194">
        <v>5621.52</v>
      </c>
      <c r="J194">
        <v>3.95</v>
      </c>
      <c r="K194">
        <v>10.61</v>
      </c>
      <c r="L194">
        <v>21.44</v>
      </c>
      <c r="M194">
        <v>6.24</v>
      </c>
      <c r="N194">
        <v>4720.95</v>
      </c>
    </row>
    <row r="195" spans="1:14" x14ac:dyDescent="0.2">
      <c r="A195" s="1">
        <v>45490</v>
      </c>
      <c r="B195" s="2" t="s">
        <v>17</v>
      </c>
      <c r="C195" s="2" t="s">
        <v>35</v>
      </c>
      <c r="D195" s="2" t="s">
        <v>25</v>
      </c>
      <c r="E195">
        <v>15310</v>
      </c>
      <c r="F195">
        <v>535</v>
      </c>
      <c r="G195">
        <v>34</v>
      </c>
      <c r="H195">
        <v>872.05</v>
      </c>
      <c r="I195">
        <v>3315.02</v>
      </c>
      <c r="J195">
        <v>3.49</v>
      </c>
      <c r="K195">
        <v>6.36</v>
      </c>
      <c r="L195">
        <v>25.65</v>
      </c>
      <c r="M195">
        <v>3.8</v>
      </c>
      <c r="N195">
        <v>2442.9699999999998</v>
      </c>
    </row>
    <row r="196" spans="1:14" x14ac:dyDescent="0.2">
      <c r="A196" s="1">
        <v>45490</v>
      </c>
      <c r="B196" s="2" t="s">
        <v>20</v>
      </c>
      <c r="C196" s="2" t="s">
        <v>21</v>
      </c>
      <c r="D196" s="2" t="s">
        <v>19</v>
      </c>
      <c r="E196">
        <v>14544</v>
      </c>
      <c r="F196">
        <v>572</v>
      </c>
      <c r="G196">
        <v>37</v>
      </c>
      <c r="H196">
        <v>482.26</v>
      </c>
      <c r="I196">
        <v>3284.53</v>
      </c>
      <c r="J196">
        <v>3.93</v>
      </c>
      <c r="K196">
        <v>6.47</v>
      </c>
      <c r="L196">
        <v>13.03</v>
      </c>
      <c r="M196">
        <v>6.81</v>
      </c>
      <c r="N196">
        <v>2802.27</v>
      </c>
    </row>
    <row r="197" spans="1:14" x14ac:dyDescent="0.2">
      <c r="A197" s="1">
        <v>45490</v>
      </c>
      <c r="B197" s="2" t="s">
        <v>23</v>
      </c>
      <c r="C197" s="2" t="s">
        <v>21</v>
      </c>
      <c r="D197" s="2" t="s">
        <v>19</v>
      </c>
      <c r="E197">
        <v>3456</v>
      </c>
      <c r="F197">
        <v>72</v>
      </c>
      <c r="G197">
        <v>10</v>
      </c>
      <c r="H197">
        <v>827.29</v>
      </c>
      <c r="I197">
        <v>2651.2</v>
      </c>
      <c r="J197">
        <v>2.08</v>
      </c>
      <c r="K197">
        <v>13.89</v>
      </c>
      <c r="L197">
        <v>82.73</v>
      </c>
      <c r="M197">
        <v>3.2</v>
      </c>
      <c r="N197">
        <v>1823.91</v>
      </c>
    </row>
    <row r="198" spans="1:14" x14ac:dyDescent="0.2">
      <c r="A198" s="1">
        <v>45490</v>
      </c>
      <c r="B198" s="2" t="s">
        <v>24</v>
      </c>
      <c r="C198" s="2" t="s">
        <v>32</v>
      </c>
      <c r="D198" s="2" t="s">
        <v>36</v>
      </c>
      <c r="E198">
        <v>15450</v>
      </c>
      <c r="F198">
        <v>3060</v>
      </c>
      <c r="G198">
        <v>244</v>
      </c>
      <c r="H198">
        <v>126.28</v>
      </c>
      <c r="I198">
        <v>33392.85</v>
      </c>
      <c r="J198">
        <v>19.809999999999999</v>
      </c>
      <c r="K198">
        <v>7.97</v>
      </c>
      <c r="L198">
        <v>0.52</v>
      </c>
      <c r="M198">
        <v>264.43</v>
      </c>
      <c r="N198">
        <v>33266.57</v>
      </c>
    </row>
    <row r="199" spans="1:14" x14ac:dyDescent="0.2">
      <c r="A199" s="1">
        <v>45490</v>
      </c>
      <c r="B199" s="2" t="s">
        <v>26</v>
      </c>
      <c r="C199" s="2" t="s">
        <v>35</v>
      </c>
      <c r="D199" s="2" t="s">
        <v>16</v>
      </c>
      <c r="E199">
        <v>17574</v>
      </c>
      <c r="F199">
        <v>883</v>
      </c>
      <c r="G199">
        <v>118</v>
      </c>
      <c r="H199">
        <v>0</v>
      </c>
      <c r="I199">
        <v>15563.06</v>
      </c>
      <c r="J199">
        <v>5.0199999999999996</v>
      </c>
      <c r="K199">
        <v>13.36</v>
      </c>
      <c r="L199">
        <v>0</v>
      </c>
      <c r="M199">
        <v>0</v>
      </c>
      <c r="N199">
        <v>15563.06</v>
      </c>
    </row>
    <row r="200" spans="1:14" x14ac:dyDescent="0.2">
      <c r="A200" s="1">
        <v>45490</v>
      </c>
      <c r="B200" s="2" t="s">
        <v>27</v>
      </c>
      <c r="C200" s="2" t="s">
        <v>18</v>
      </c>
      <c r="D200" s="2" t="s">
        <v>36</v>
      </c>
      <c r="E200">
        <v>30527</v>
      </c>
      <c r="F200">
        <v>433</v>
      </c>
      <c r="G200">
        <v>11</v>
      </c>
      <c r="H200">
        <v>784.86</v>
      </c>
      <c r="I200">
        <v>1031.72</v>
      </c>
      <c r="J200">
        <v>1.42</v>
      </c>
      <c r="K200">
        <v>2.54</v>
      </c>
      <c r="L200">
        <v>71.349999999999994</v>
      </c>
      <c r="M200">
        <v>1.31</v>
      </c>
      <c r="N200">
        <v>246.86</v>
      </c>
    </row>
    <row r="201" spans="1:14" x14ac:dyDescent="0.2">
      <c r="A201" s="1">
        <v>45490</v>
      </c>
      <c r="B201" s="2" t="s">
        <v>29</v>
      </c>
      <c r="C201" s="2" t="s">
        <v>35</v>
      </c>
      <c r="D201" s="2" t="s">
        <v>16</v>
      </c>
      <c r="E201">
        <v>16932</v>
      </c>
      <c r="F201">
        <v>387</v>
      </c>
      <c r="G201">
        <v>26</v>
      </c>
      <c r="H201">
        <v>904.04</v>
      </c>
      <c r="I201">
        <v>3623.61</v>
      </c>
      <c r="J201">
        <v>2.29</v>
      </c>
      <c r="K201">
        <v>6.72</v>
      </c>
      <c r="L201">
        <v>34.770000000000003</v>
      </c>
      <c r="M201">
        <v>4.01</v>
      </c>
      <c r="N201">
        <v>2719.57</v>
      </c>
    </row>
    <row r="202" spans="1:14" x14ac:dyDescent="0.2">
      <c r="A202" s="1">
        <v>45490</v>
      </c>
      <c r="B202" s="2" t="s">
        <v>30</v>
      </c>
      <c r="C202" s="2" t="s">
        <v>18</v>
      </c>
      <c r="D202" s="2" t="s">
        <v>19</v>
      </c>
      <c r="E202">
        <v>11039</v>
      </c>
      <c r="F202">
        <v>249</v>
      </c>
      <c r="G202">
        <v>9</v>
      </c>
      <c r="H202">
        <v>407.81</v>
      </c>
      <c r="I202">
        <v>946.44</v>
      </c>
      <c r="J202">
        <v>2.2599999999999998</v>
      </c>
      <c r="K202">
        <v>3.61</v>
      </c>
      <c r="L202">
        <v>45.31</v>
      </c>
      <c r="M202">
        <v>2.3199999999999998</v>
      </c>
      <c r="N202">
        <v>538.63</v>
      </c>
    </row>
    <row r="203" spans="1:14" x14ac:dyDescent="0.2">
      <c r="A203" s="1">
        <v>45490</v>
      </c>
      <c r="B203" s="2" t="s">
        <v>31</v>
      </c>
      <c r="C203" s="2" t="s">
        <v>21</v>
      </c>
      <c r="D203" s="2" t="s">
        <v>19</v>
      </c>
      <c r="E203">
        <v>16674</v>
      </c>
      <c r="F203">
        <v>640</v>
      </c>
      <c r="G203">
        <v>19</v>
      </c>
      <c r="H203">
        <v>723.36</v>
      </c>
      <c r="I203">
        <v>1948.81</v>
      </c>
      <c r="J203">
        <v>3.84</v>
      </c>
      <c r="K203">
        <v>2.97</v>
      </c>
      <c r="L203">
        <v>38.07</v>
      </c>
      <c r="M203">
        <v>2.69</v>
      </c>
      <c r="N203">
        <v>1225.45</v>
      </c>
    </row>
    <row r="204" spans="1:14" x14ac:dyDescent="0.2">
      <c r="A204" s="1">
        <v>45490</v>
      </c>
      <c r="B204" s="2" t="s">
        <v>33</v>
      </c>
      <c r="C204" s="2" t="s">
        <v>21</v>
      </c>
      <c r="D204" s="2" t="s">
        <v>36</v>
      </c>
      <c r="E204">
        <v>6738</v>
      </c>
      <c r="F204">
        <v>331</v>
      </c>
      <c r="G204">
        <v>33</v>
      </c>
      <c r="H204">
        <v>373.21</v>
      </c>
      <c r="I204">
        <v>3809.32</v>
      </c>
      <c r="J204">
        <v>4.91</v>
      </c>
      <c r="K204">
        <v>9.9700000000000006</v>
      </c>
      <c r="L204">
        <v>11.31</v>
      </c>
      <c r="M204">
        <v>10.210000000000001</v>
      </c>
      <c r="N204">
        <v>3436.11</v>
      </c>
    </row>
    <row r="205" spans="1:14" x14ac:dyDescent="0.2">
      <c r="A205" s="1">
        <v>45490</v>
      </c>
      <c r="B205" s="2" t="s">
        <v>34</v>
      </c>
      <c r="C205" s="2" t="s">
        <v>32</v>
      </c>
      <c r="D205" s="2" t="s">
        <v>36</v>
      </c>
      <c r="E205">
        <v>3337</v>
      </c>
      <c r="F205">
        <v>328</v>
      </c>
      <c r="G205">
        <v>45</v>
      </c>
      <c r="H205">
        <v>47.24</v>
      </c>
      <c r="I205">
        <v>5759.18</v>
      </c>
      <c r="J205">
        <v>9.83</v>
      </c>
      <c r="K205">
        <v>13.72</v>
      </c>
      <c r="L205">
        <v>1.05</v>
      </c>
      <c r="M205">
        <v>121.91</v>
      </c>
      <c r="N205">
        <v>5711.94</v>
      </c>
    </row>
    <row r="206" spans="1:14" x14ac:dyDescent="0.2">
      <c r="A206" s="1">
        <v>45491</v>
      </c>
      <c r="B206" s="2" t="s">
        <v>14</v>
      </c>
      <c r="C206" s="2" t="s">
        <v>32</v>
      </c>
      <c r="D206" s="2" t="s">
        <v>16</v>
      </c>
      <c r="E206">
        <v>12693</v>
      </c>
      <c r="F206">
        <v>571</v>
      </c>
      <c r="G206">
        <v>66</v>
      </c>
      <c r="H206">
        <v>732.03</v>
      </c>
      <c r="I206">
        <v>10320.83</v>
      </c>
      <c r="J206">
        <v>4.5</v>
      </c>
      <c r="K206">
        <v>11.56</v>
      </c>
      <c r="L206">
        <v>11.09</v>
      </c>
      <c r="M206">
        <v>14.1</v>
      </c>
      <c r="N206">
        <v>9588.7999999999993</v>
      </c>
    </row>
    <row r="207" spans="1:14" x14ac:dyDescent="0.2">
      <c r="A207" s="1">
        <v>45491</v>
      </c>
      <c r="B207" s="2" t="s">
        <v>17</v>
      </c>
      <c r="C207" s="2" t="s">
        <v>18</v>
      </c>
      <c r="D207" s="2" t="s">
        <v>16</v>
      </c>
      <c r="E207">
        <v>10460</v>
      </c>
      <c r="F207">
        <v>354</v>
      </c>
      <c r="G207">
        <v>18</v>
      </c>
      <c r="H207">
        <v>813.22</v>
      </c>
      <c r="I207">
        <v>2364.86</v>
      </c>
      <c r="J207">
        <v>3.38</v>
      </c>
      <c r="K207">
        <v>5.08</v>
      </c>
      <c r="L207">
        <v>45.18</v>
      </c>
      <c r="M207">
        <v>2.91</v>
      </c>
      <c r="N207">
        <v>1551.64</v>
      </c>
    </row>
    <row r="208" spans="1:14" x14ac:dyDescent="0.2">
      <c r="A208" s="1">
        <v>45491</v>
      </c>
      <c r="B208" s="2" t="s">
        <v>20</v>
      </c>
      <c r="C208" s="2" t="s">
        <v>15</v>
      </c>
      <c r="D208" s="2" t="s">
        <v>22</v>
      </c>
      <c r="E208">
        <v>10007</v>
      </c>
      <c r="F208">
        <v>264</v>
      </c>
      <c r="G208">
        <v>16</v>
      </c>
      <c r="H208">
        <v>802.9</v>
      </c>
      <c r="I208">
        <v>1738.59</v>
      </c>
      <c r="J208">
        <v>2.64</v>
      </c>
      <c r="K208">
        <v>6.06</v>
      </c>
      <c r="L208">
        <v>50.18</v>
      </c>
      <c r="M208">
        <v>2.17</v>
      </c>
      <c r="N208">
        <v>935.69</v>
      </c>
    </row>
    <row r="209" spans="1:14" x14ac:dyDescent="0.2">
      <c r="A209" s="1">
        <v>45491</v>
      </c>
      <c r="B209" s="2" t="s">
        <v>23</v>
      </c>
      <c r="C209" s="2" t="s">
        <v>32</v>
      </c>
      <c r="D209" s="2" t="s">
        <v>16</v>
      </c>
      <c r="E209">
        <v>3373</v>
      </c>
      <c r="F209">
        <v>53</v>
      </c>
      <c r="G209">
        <v>5</v>
      </c>
      <c r="H209">
        <v>995.72</v>
      </c>
      <c r="I209">
        <v>1417.41</v>
      </c>
      <c r="J209">
        <v>1.57</v>
      </c>
      <c r="K209">
        <v>9.43</v>
      </c>
      <c r="L209">
        <v>199.14</v>
      </c>
      <c r="M209">
        <v>1.42</v>
      </c>
      <c r="N209">
        <v>421.69</v>
      </c>
    </row>
    <row r="210" spans="1:14" x14ac:dyDescent="0.2">
      <c r="A210" s="1">
        <v>45491</v>
      </c>
      <c r="B210" s="2" t="s">
        <v>24</v>
      </c>
      <c r="C210" s="2" t="s">
        <v>35</v>
      </c>
      <c r="D210" s="2" t="s">
        <v>25</v>
      </c>
      <c r="E210">
        <v>18577</v>
      </c>
      <c r="F210">
        <v>4550</v>
      </c>
      <c r="G210">
        <v>583</v>
      </c>
      <c r="H210">
        <v>149.18</v>
      </c>
      <c r="I210">
        <v>91791.360000000001</v>
      </c>
      <c r="J210">
        <v>24.49</v>
      </c>
      <c r="K210">
        <v>12.81</v>
      </c>
      <c r="L210">
        <v>0.26</v>
      </c>
      <c r="M210">
        <v>615.30999999999995</v>
      </c>
      <c r="N210">
        <v>91642.18</v>
      </c>
    </row>
    <row r="211" spans="1:14" x14ac:dyDescent="0.2">
      <c r="A211" s="1">
        <v>45491</v>
      </c>
      <c r="B211" s="2" t="s">
        <v>26</v>
      </c>
      <c r="C211" s="2" t="s">
        <v>32</v>
      </c>
      <c r="D211" s="2" t="s">
        <v>22</v>
      </c>
      <c r="E211">
        <v>21184</v>
      </c>
      <c r="F211">
        <v>1380</v>
      </c>
      <c r="G211">
        <v>203</v>
      </c>
      <c r="H211">
        <v>0</v>
      </c>
      <c r="I211">
        <v>30294.54</v>
      </c>
      <c r="J211">
        <v>6.51</v>
      </c>
      <c r="K211">
        <v>14.71</v>
      </c>
      <c r="L211">
        <v>0</v>
      </c>
      <c r="M211">
        <v>0</v>
      </c>
      <c r="N211">
        <v>30294.54</v>
      </c>
    </row>
    <row r="212" spans="1:14" x14ac:dyDescent="0.2">
      <c r="A212" s="1">
        <v>45491</v>
      </c>
      <c r="B212" s="2" t="s">
        <v>27</v>
      </c>
      <c r="C212" s="2" t="s">
        <v>28</v>
      </c>
      <c r="D212" s="2" t="s">
        <v>22</v>
      </c>
      <c r="E212">
        <v>31432</v>
      </c>
      <c r="F212">
        <v>351</v>
      </c>
      <c r="G212">
        <v>16</v>
      </c>
      <c r="H212">
        <v>846.66</v>
      </c>
      <c r="I212">
        <v>1911.06</v>
      </c>
      <c r="J212">
        <v>1.1200000000000001</v>
      </c>
      <c r="K212">
        <v>4.5599999999999996</v>
      </c>
      <c r="L212">
        <v>52.92</v>
      </c>
      <c r="M212">
        <v>2.2599999999999998</v>
      </c>
      <c r="N212">
        <v>1064.4000000000001</v>
      </c>
    </row>
    <row r="213" spans="1:14" x14ac:dyDescent="0.2">
      <c r="A213" s="1">
        <v>45491</v>
      </c>
      <c r="B213" s="2" t="s">
        <v>29</v>
      </c>
      <c r="C213" s="2" t="s">
        <v>18</v>
      </c>
      <c r="D213" s="2" t="s">
        <v>19</v>
      </c>
      <c r="E213">
        <v>18588</v>
      </c>
      <c r="F213">
        <v>467</v>
      </c>
      <c r="G213">
        <v>23</v>
      </c>
      <c r="H213">
        <v>966.42</v>
      </c>
      <c r="I213">
        <v>2925.07</v>
      </c>
      <c r="J213">
        <v>2.5099999999999998</v>
      </c>
      <c r="K213">
        <v>4.93</v>
      </c>
      <c r="L213">
        <v>42.02</v>
      </c>
      <c r="M213">
        <v>3.03</v>
      </c>
      <c r="N213">
        <v>1958.65</v>
      </c>
    </row>
    <row r="214" spans="1:14" x14ac:dyDescent="0.2">
      <c r="A214" s="1">
        <v>45491</v>
      </c>
      <c r="B214" s="2" t="s">
        <v>30</v>
      </c>
      <c r="C214" s="2" t="s">
        <v>35</v>
      </c>
      <c r="D214" s="2" t="s">
        <v>16</v>
      </c>
      <c r="E214">
        <v>11488</v>
      </c>
      <c r="F214">
        <v>259</v>
      </c>
      <c r="G214">
        <v>7</v>
      </c>
      <c r="H214">
        <v>541.84</v>
      </c>
      <c r="I214">
        <v>783.24</v>
      </c>
      <c r="J214">
        <v>2.25</v>
      </c>
      <c r="K214">
        <v>2.7</v>
      </c>
      <c r="L214">
        <v>77.41</v>
      </c>
      <c r="M214">
        <v>1.45</v>
      </c>
      <c r="N214">
        <v>241.4</v>
      </c>
    </row>
    <row r="215" spans="1:14" x14ac:dyDescent="0.2">
      <c r="A215" s="1">
        <v>45491</v>
      </c>
      <c r="B215" s="2" t="s">
        <v>31</v>
      </c>
      <c r="C215" s="2" t="s">
        <v>35</v>
      </c>
      <c r="D215" s="2" t="s">
        <v>22</v>
      </c>
      <c r="E215">
        <v>20960</v>
      </c>
      <c r="F215">
        <v>759</v>
      </c>
      <c r="G215">
        <v>47</v>
      </c>
      <c r="H215">
        <v>804.05</v>
      </c>
      <c r="I215">
        <v>4860.08</v>
      </c>
      <c r="J215">
        <v>3.62</v>
      </c>
      <c r="K215">
        <v>6.19</v>
      </c>
      <c r="L215">
        <v>17.11</v>
      </c>
      <c r="M215">
        <v>6.04</v>
      </c>
      <c r="N215">
        <v>4056.03</v>
      </c>
    </row>
    <row r="216" spans="1:14" x14ac:dyDescent="0.2">
      <c r="A216" s="1">
        <v>45491</v>
      </c>
      <c r="B216" s="2" t="s">
        <v>33</v>
      </c>
      <c r="C216" s="2" t="s">
        <v>15</v>
      </c>
      <c r="D216" s="2" t="s">
        <v>22</v>
      </c>
      <c r="E216">
        <v>7069</v>
      </c>
      <c r="F216">
        <v>425</v>
      </c>
      <c r="G216">
        <v>53</v>
      </c>
      <c r="H216">
        <v>428.74</v>
      </c>
      <c r="I216">
        <v>8174.21</v>
      </c>
      <c r="J216">
        <v>6.01</v>
      </c>
      <c r="K216">
        <v>12.47</v>
      </c>
      <c r="L216">
        <v>8.09</v>
      </c>
      <c r="M216">
        <v>19.07</v>
      </c>
      <c r="N216">
        <v>7745.47</v>
      </c>
    </row>
    <row r="217" spans="1:14" x14ac:dyDescent="0.2">
      <c r="A217" s="1">
        <v>45491</v>
      </c>
      <c r="B217" s="2" t="s">
        <v>34</v>
      </c>
      <c r="C217" s="2" t="s">
        <v>15</v>
      </c>
      <c r="D217" s="2" t="s">
        <v>16</v>
      </c>
      <c r="E217">
        <v>4188</v>
      </c>
      <c r="F217">
        <v>224</v>
      </c>
      <c r="G217">
        <v>37</v>
      </c>
      <c r="H217">
        <v>64.75</v>
      </c>
      <c r="I217">
        <v>4505.47</v>
      </c>
      <c r="J217">
        <v>5.35</v>
      </c>
      <c r="K217">
        <v>16.52</v>
      </c>
      <c r="L217">
        <v>1.75</v>
      </c>
      <c r="M217">
        <v>69.58</v>
      </c>
      <c r="N217">
        <v>4440.72</v>
      </c>
    </row>
    <row r="218" spans="1:14" x14ac:dyDescent="0.2">
      <c r="A218" s="1">
        <v>45492</v>
      </c>
      <c r="B218" s="2" t="s">
        <v>14</v>
      </c>
      <c r="C218" s="2" t="s">
        <v>35</v>
      </c>
      <c r="D218" s="2" t="s">
        <v>25</v>
      </c>
      <c r="E218">
        <v>9262</v>
      </c>
      <c r="F218">
        <v>402</v>
      </c>
      <c r="G218">
        <v>45</v>
      </c>
      <c r="H218">
        <v>856.42</v>
      </c>
      <c r="I218">
        <v>7347.31</v>
      </c>
      <c r="J218">
        <v>4.34</v>
      </c>
      <c r="K218">
        <v>11.19</v>
      </c>
      <c r="L218">
        <v>19.03</v>
      </c>
      <c r="M218">
        <v>8.58</v>
      </c>
      <c r="N218">
        <v>6490.89</v>
      </c>
    </row>
    <row r="219" spans="1:14" x14ac:dyDescent="0.2">
      <c r="A219" s="1">
        <v>45492</v>
      </c>
      <c r="B219" s="2" t="s">
        <v>17</v>
      </c>
      <c r="C219" s="2" t="s">
        <v>28</v>
      </c>
      <c r="D219" s="2" t="s">
        <v>25</v>
      </c>
      <c r="E219">
        <v>11486</v>
      </c>
      <c r="F219">
        <v>363</v>
      </c>
      <c r="G219">
        <v>25</v>
      </c>
      <c r="H219">
        <v>686.79</v>
      </c>
      <c r="I219">
        <v>2355.23</v>
      </c>
      <c r="J219">
        <v>3.16</v>
      </c>
      <c r="K219">
        <v>6.89</v>
      </c>
      <c r="L219">
        <v>27.47</v>
      </c>
      <c r="M219">
        <v>3.43</v>
      </c>
      <c r="N219">
        <v>1668.44</v>
      </c>
    </row>
    <row r="220" spans="1:14" x14ac:dyDescent="0.2">
      <c r="A220" s="1">
        <v>45492</v>
      </c>
      <c r="B220" s="2" t="s">
        <v>20</v>
      </c>
      <c r="C220" s="2" t="s">
        <v>15</v>
      </c>
      <c r="D220" s="2" t="s">
        <v>22</v>
      </c>
      <c r="E220">
        <v>13696</v>
      </c>
      <c r="F220">
        <v>575</v>
      </c>
      <c r="G220">
        <v>36</v>
      </c>
      <c r="H220">
        <v>833.36</v>
      </c>
      <c r="I220">
        <v>3796.91</v>
      </c>
      <c r="J220">
        <v>4.2</v>
      </c>
      <c r="K220">
        <v>6.26</v>
      </c>
      <c r="L220">
        <v>23.15</v>
      </c>
      <c r="M220">
        <v>4.5599999999999996</v>
      </c>
      <c r="N220">
        <v>2963.55</v>
      </c>
    </row>
    <row r="221" spans="1:14" x14ac:dyDescent="0.2">
      <c r="A221" s="1">
        <v>45492</v>
      </c>
      <c r="B221" s="2" t="s">
        <v>23</v>
      </c>
      <c r="C221" s="2" t="s">
        <v>21</v>
      </c>
      <c r="D221" s="2" t="s">
        <v>22</v>
      </c>
      <c r="E221">
        <v>3963</v>
      </c>
      <c r="F221">
        <v>113</v>
      </c>
      <c r="G221">
        <v>16</v>
      </c>
      <c r="H221">
        <v>1149.46</v>
      </c>
      <c r="I221">
        <v>3937.27</v>
      </c>
      <c r="J221">
        <v>2.85</v>
      </c>
      <c r="K221">
        <v>14.16</v>
      </c>
      <c r="L221">
        <v>71.84</v>
      </c>
      <c r="M221">
        <v>3.43</v>
      </c>
      <c r="N221">
        <v>2787.81</v>
      </c>
    </row>
    <row r="222" spans="1:14" x14ac:dyDescent="0.2">
      <c r="A222" s="1">
        <v>45492</v>
      </c>
      <c r="B222" s="2" t="s">
        <v>24</v>
      </c>
      <c r="C222" s="2" t="s">
        <v>21</v>
      </c>
      <c r="D222" s="2" t="s">
        <v>36</v>
      </c>
      <c r="E222">
        <v>17527</v>
      </c>
      <c r="F222">
        <v>3053</v>
      </c>
      <c r="G222">
        <v>323</v>
      </c>
      <c r="H222">
        <v>210.88</v>
      </c>
      <c r="I222">
        <v>42150.12</v>
      </c>
      <c r="J222">
        <v>17.420000000000002</v>
      </c>
      <c r="K222">
        <v>10.58</v>
      </c>
      <c r="L222">
        <v>0.65</v>
      </c>
      <c r="M222">
        <v>199.88</v>
      </c>
      <c r="N222">
        <v>41939.24</v>
      </c>
    </row>
    <row r="223" spans="1:14" x14ac:dyDescent="0.2">
      <c r="A223" s="1">
        <v>45492</v>
      </c>
      <c r="B223" s="2" t="s">
        <v>26</v>
      </c>
      <c r="C223" s="2" t="s">
        <v>18</v>
      </c>
      <c r="D223" s="2" t="s">
        <v>22</v>
      </c>
      <c r="E223">
        <v>27680</v>
      </c>
      <c r="F223">
        <v>1756</v>
      </c>
      <c r="G223">
        <v>196</v>
      </c>
      <c r="H223">
        <v>0</v>
      </c>
      <c r="I223">
        <v>26397.72</v>
      </c>
      <c r="J223">
        <v>6.34</v>
      </c>
      <c r="K223">
        <v>11.16</v>
      </c>
      <c r="L223">
        <v>0</v>
      </c>
      <c r="M223">
        <v>0</v>
      </c>
      <c r="N223">
        <v>26397.72</v>
      </c>
    </row>
    <row r="224" spans="1:14" x14ac:dyDescent="0.2">
      <c r="A224" s="1">
        <v>45492</v>
      </c>
      <c r="B224" s="2" t="s">
        <v>27</v>
      </c>
      <c r="C224" s="2" t="s">
        <v>15</v>
      </c>
      <c r="D224" s="2" t="s">
        <v>19</v>
      </c>
      <c r="E224">
        <v>33572</v>
      </c>
      <c r="F224">
        <v>527</v>
      </c>
      <c r="G224">
        <v>17</v>
      </c>
      <c r="H224">
        <v>844.68</v>
      </c>
      <c r="I224">
        <v>1860.47</v>
      </c>
      <c r="J224">
        <v>1.57</v>
      </c>
      <c r="K224">
        <v>3.23</v>
      </c>
      <c r="L224">
        <v>49.69</v>
      </c>
      <c r="M224">
        <v>2.2000000000000002</v>
      </c>
      <c r="N224">
        <v>1015.79</v>
      </c>
    </row>
    <row r="225" spans="1:14" x14ac:dyDescent="0.2">
      <c r="A225" s="1">
        <v>45492</v>
      </c>
      <c r="B225" s="2" t="s">
        <v>29</v>
      </c>
      <c r="C225" s="2" t="s">
        <v>28</v>
      </c>
      <c r="D225" s="2" t="s">
        <v>22</v>
      </c>
      <c r="E225">
        <v>18027</v>
      </c>
      <c r="F225">
        <v>305</v>
      </c>
      <c r="G225">
        <v>17</v>
      </c>
      <c r="H225">
        <v>758.37</v>
      </c>
      <c r="I225">
        <v>2257.6799999999998</v>
      </c>
      <c r="J225">
        <v>1.69</v>
      </c>
      <c r="K225">
        <v>5.57</v>
      </c>
      <c r="L225">
        <v>44.61</v>
      </c>
      <c r="M225">
        <v>2.98</v>
      </c>
      <c r="N225">
        <v>1499.31</v>
      </c>
    </row>
    <row r="226" spans="1:14" x14ac:dyDescent="0.2">
      <c r="A226" s="1">
        <v>45492</v>
      </c>
      <c r="B226" s="2" t="s">
        <v>30</v>
      </c>
      <c r="C226" s="2" t="s">
        <v>35</v>
      </c>
      <c r="D226" s="2" t="s">
        <v>22</v>
      </c>
      <c r="E226">
        <v>9393</v>
      </c>
      <c r="F226">
        <v>289</v>
      </c>
      <c r="G226">
        <v>11</v>
      </c>
      <c r="H226">
        <v>444.06</v>
      </c>
      <c r="I226">
        <v>1202.06</v>
      </c>
      <c r="J226">
        <v>3.08</v>
      </c>
      <c r="K226">
        <v>3.81</v>
      </c>
      <c r="L226">
        <v>40.369999999999997</v>
      </c>
      <c r="M226">
        <v>2.71</v>
      </c>
      <c r="N226">
        <v>758</v>
      </c>
    </row>
    <row r="227" spans="1:14" x14ac:dyDescent="0.2">
      <c r="A227" s="1">
        <v>45492</v>
      </c>
      <c r="B227" s="2" t="s">
        <v>31</v>
      </c>
      <c r="C227" s="2" t="s">
        <v>15</v>
      </c>
      <c r="D227" s="2" t="s">
        <v>16</v>
      </c>
      <c r="E227">
        <v>23590</v>
      </c>
      <c r="F227">
        <v>866</v>
      </c>
      <c r="G227">
        <v>52</v>
      </c>
      <c r="H227">
        <v>615.70000000000005</v>
      </c>
      <c r="I227">
        <v>4656.3900000000003</v>
      </c>
      <c r="J227">
        <v>3.67</v>
      </c>
      <c r="K227">
        <v>6</v>
      </c>
      <c r="L227">
        <v>11.84</v>
      </c>
      <c r="M227">
        <v>7.56</v>
      </c>
      <c r="N227">
        <v>4040.69</v>
      </c>
    </row>
    <row r="228" spans="1:14" x14ac:dyDescent="0.2">
      <c r="A228" s="1">
        <v>45492</v>
      </c>
      <c r="B228" s="2" t="s">
        <v>33</v>
      </c>
      <c r="C228" s="2" t="s">
        <v>28</v>
      </c>
      <c r="D228" s="2" t="s">
        <v>16</v>
      </c>
      <c r="E228">
        <v>7748</v>
      </c>
      <c r="F228">
        <v>345</v>
      </c>
      <c r="G228">
        <v>38</v>
      </c>
      <c r="H228">
        <v>505.04</v>
      </c>
      <c r="I228">
        <v>5410.53</v>
      </c>
      <c r="J228">
        <v>4.45</v>
      </c>
      <c r="K228">
        <v>11.01</v>
      </c>
      <c r="L228">
        <v>13.29</v>
      </c>
      <c r="M228">
        <v>10.71</v>
      </c>
      <c r="N228">
        <v>4905.49</v>
      </c>
    </row>
    <row r="229" spans="1:14" x14ac:dyDescent="0.2">
      <c r="A229" s="1">
        <v>45492</v>
      </c>
      <c r="B229" s="2" t="s">
        <v>34</v>
      </c>
      <c r="C229" s="2" t="s">
        <v>28</v>
      </c>
      <c r="D229" s="2" t="s">
        <v>22</v>
      </c>
      <c r="E229">
        <v>3195</v>
      </c>
      <c r="F229">
        <v>281</v>
      </c>
      <c r="G229">
        <v>45</v>
      </c>
      <c r="H229">
        <v>73.84</v>
      </c>
      <c r="I229">
        <v>7732.93</v>
      </c>
      <c r="J229">
        <v>8.7899999999999991</v>
      </c>
      <c r="K229">
        <v>16.010000000000002</v>
      </c>
      <c r="L229">
        <v>1.64</v>
      </c>
      <c r="M229">
        <v>104.73</v>
      </c>
      <c r="N229">
        <v>7659.09</v>
      </c>
    </row>
    <row r="230" spans="1:14" x14ac:dyDescent="0.2">
      <c r="A230" s="1">
        <v>45493</v>
      </c>
      <c r="B230" s="2" t="s">
        <v>14</v>
      </c>
      <c r="C230" s="2" t="s">
        <v>21</v>
      </c>
      <c r="D230" s="2" t="s">
        <v>36</v>
      </c>
      <c r="E230">
        <v>6324</v>
      </c>
      <c r="F230">
        <v>301</v>
      </c>
      <c r="G230">
        <v>26</v>
      </c>
      <c r="H230">
        <v>631.66999999999996</v>
      </c>
      <c r="I230">
        <v>4840.2299999999996</v>
      </c>
      <c r="J230">
        <v>4.76</v>
      </c>
      <c r="K230">
        <v>8.64</v>
      </c>
      <c r="L230">
        <v>24.3</v>
      </c>
      <c r="M230">
        <v>7.66</v>
      </c>
      <c r="N230">
        <v>4208.5600000000004</v>
      </c>
    </row>
    <row r="231" spans="1:14" x14ac:dyDescent="0.2">
      <c r="A231" s="1">
        <v>45493</v>
      </c>
      <c r="B231" s="2" t="s">
        <v>17</v>
      </c>
      <c r="C231" s="2" t="s">
        <v>35</v>
      </c>
      <c r="D231" s="2" t="s">
        <v>19</v>
      </c>
      <c r="E231">
        <v>8087</v>
      </c>
      <c r="F231">
        <v>220</v>
      </c>
      <c r="G231">
        <v>15</v>
      </c>
      <c r="H231">
        <v>541.34</v>
      </c>
      <c r="I231">
        <v>1396.53</v>
      </c>
      <c r="J231">
        <v>2.72</v>
      </c>
      <c r="K231">
        <v>6.82</v>
      </c>
      <c r="L231">
        <v>36.090000000000003</v>
      </c>
      <c r="M231">
        <v>2.58</v>
      </c>
      <c r="N231">
        <v>855.19</v>
      </c>
    </row>
    <row r="232" spans="1:14" x14ac:dyDescent="0.2">
      <c r="A232" s="1">
        <v>45493</v>
      </c>
      <c r="B232" s="2" t="s">
        <v>20</v>
      </c>
      <c r="C232" s="2" t="s">
        <v>21</v>
      </c>
      <c r="D232" s="2" t="s">
        <v>22</v>
      </c>
      <c r="E232">
        <v>10019</v>
      </c>
      <c r="F232">
        <v>282</v>
      </c>
      <c r="G232">
        <v>17</v>
      </c>
      <c r="H232">
        <v>564.12</v>
      </c>
      <c r="I232">
        <v>1438.75</v>
      </c>
      <c r="J232">
        <v>2.81</v>
      </c>
      <c r="K232">
        <v>6.03</v>
      </c>
      <c r="L232">
        <v>33.18</v>
      </c>
      <c r="M232">
        <v>2.5499999999999998</v>
      </c>
      <c r="N232">
        <v>874.63</v>
      </c>
    </row>
    <row r="233" spans="1:14" x14ac:dyDescent="0.2">
      <c r="A233" s="1">
        <v>45493</v>
      </c>
      <c r="B233" s="2" t="s">
        <v>23</v>
      </c>
      <c r="C233" s="2" t="s">
        <v>18</v>
      </c>
      <c r="D233" s="2" t="s">
        <v>22</v>
      </c>
      <c r="E233">
        <v>3285</v>
      </c>
      <c r="F233">
        <v>74</v>
      </c>
      <c r="G233">
        <v>10</v>
      </c>
      <c r="H233">
        <v>717.63</v>
      </c>
      <c r="I233">
        <v>2399.98</v>
      </c>
      <c r="J233">
        <v>2.25</v>
      </c>
      <c r="K233">
        <v>13.51</v>
      </c>
      <c r="L233">
        <v>71.760000000000005</v>
      </c>
      <c r="M233">
        <v>3.34</v>
      </c>
      <c r="N233">
        <v>1682.35</v>
      </c>
    </row>
    <row r="234" spans="1:14" x14ac:dyDescent="0.2">
      <c r="A234" s="1">
        <v>45493</v>
      </c>
      <c r="B234" s="2" t="s">
        <v>24</v>
      </c>
      <c r="C234" s="2" t="s">
        <v>28</v>
      </c>
      <c r="D234" s="2" t="s">
        <v>19</v>
      </c>
      <c r="E234">
        <v>9316</v>
      </c>
      <c r="F234">
        <v>1408</v>
      </c>
      <c r="G234">
        <v>123</v>
      </c>
      <c r="H234">
        <v>98.17</v>
      </c>
      <c r="I234">
        <v>15982.64</v>
      </c>
      <c r="J234">
        <v>15.11</v>
      </c>
      <c r="K234">
        <v>8.74</v>
      </c>
      <c r="L234">
        <v>0.8</v>
      </c>
      <c r="M234">
        <v>162.81</v>
      </c>
      <c r="N234">
        <v>15884.47</v>
      </c>
    </row>
    <row r="235" spans="1:14" x14ac:dyDescent="0.2">
      <c r="A235" s="1">
        <v>45493</v>
      </c>
      <c r="B235" s="2" t="s">
        <v>26</v>
      </c>
      <c r="C235" s="2" t="s">
        <v>35</v>
      </c>
      <c r="D235" s="2" t="s">
        <v>16</v>
      </c>
      <c r="E235">
        <v>17645</v>
      </c>
      <c r="F235">
        <v>788</v>
      </c>
      <c r="G235">
        <v>93</v>
      </c>
      <c r="H235">
        <v>0</v>
      </c>
      <c r="I235">
        <v>12264.67</v>
      </c>
      <c r="J235">
        <v>4.47</v>
      </c>
      <c r="K235">
        <v>11.8</v>
      </c>
      <c r="L235">
        <v>0</v>
      </c>
      <c r="M235">
        <v>0</v>
      </c>
      <c r="N235">
        <v>12264.67</v>
      </c>
    </row>
    <row r="236" spans="1:14" x14ac:dyDescent="0.2">
      <c r="A236" s="1">
        <v>45493</v>
      </c>
      <c r="B236" s="2" t="s">
        <v>27</v>
      </c>
      <c r="C236" s="2" t="s">
        <v>35</v>
      </c>
      <c r="D236" s="2" t="s">
        <v>19</v>
      </c>
      <c r="E236">
        <v>20025</v>
      </c>
      <c r="F236">
        <v>230</v>
      </c>
      <c r="G236">
        <v>8</v>
      </c>
      <c r="H236">
        <v>470.24</v>
      </c>
      <c r="I236">
        <v>1103.53</v>
      </c>
      <c r="J236">
        <v>1.1499999999999999</v>
      </c>
      <c r="K236">
        <v>3.48</v>
      </c>
      <c r="L236">
        <v>58.78</v>
      </c>
      <c r="M236">
        <v>2.35</v>
      </c>
      <c r="N236">
        <v>633.29</v>
      </c>
    </row>
    <row r="237" spans="1:14" x14ac:dyDescent="0.2">
      <c r="A237" s="1">
        <v>45493</v>
      </c>
      <c r="B237" s="2" t="s">
        <v>29</v>
      </c>
      <c r="C237" s="2" t="s">
        <v>15</v>
      </c>
      <c r="D237" s="2" t="s">
        <v>25</v>
      </c>
      <c r="E237">
        <v>11438</v>
      </c>
      <c r="F237">
        <v>237</v>
      </c>
      <c r="G237">
        <v>17</v>
      </c>
      <c r="H237">
        <v>822.12</v>
      </c>
      <c r="I237">
        <v>1912.37</v>
      </c>
      <c r="J237">
        <v>2.0699999999999998</v>
      </c>
      <c r="K237">
        <v>7.17</v>
      </c>
      <c r="L237">
        <v>48.36</v>
      </c>
      <c r="M237">
        <v>2.33</v>
      </c>
      <c r="N237">
        <v>1090.25</v>
      </c>
    </row>
    <row r="238" spans="1:14" x14ac:dyDescent="0.2">
      <c r="A238" s="1">
        <v>45493</v>
      </c>
      <c r="B238" s="2" t="s">
        <v>30</v>
      </c>
      <c r="C238" s="2" t="s">
        <v>28</v>
      </c>
      <c r="D238" s="2" t="s">
        <v>25</v>
      </c>
      <c r="E238">
        <v>6804</v>
      </c>
      <c r="F238">
        <v>190</v>
      </c>
      <c r="G238">
        <v>10</v>
      </c>
      <c r="H238">
        <v>251.92</v>
      </c>
      <c r="I238">
        <v>1069.94</v>
      </c>
      <c r="J238">
        <v>2.79</v>
      </c>
      <c r="K238">
        <v>5.26</v>
      </c>
      <c r="L238">
        <v>25.19</v>
      </c>
      <c r="M238">
        <v>4.25</v>
      </c>
      <c r="N238">
        <v>818.02</v>
      </c>
    </row>
    <row r="239" spans="1:14" x14ac:dyDescent="0.2">
      <c r="A239" s="1">
        <v>45493</v>
      </c>
      <c r="B239" s="2" t="s">
        <v>31</v>
      </c>
      <c r="C239" s="2" t="s">
        <v>35</v>
      </c>
      <c r="D239" s="2" t="s">
        <v>16</v>
      </c>
      <c r="E239">
        <v>13476</v>
      </c>
      <c r="F239">
        <v>365</v>
      </c>
      <c r="G239">
        <v>14</v>
      </c>
      <c r="H239">
        <v>370.87</v>
      </c>
      <c r="I239">
        <v>1102.3399999999999</v>
      </c>
      <c r="J239">
        <v>2.71</v>
      </c>
      <c r="K239">
        <v>3.84</v>
      </c>
      <c r="L239">
        <v>26.49</v>
      </c>
      <c r="M239">
        <v>2.97</v>
      </c>
      <c r="N239">
        <v>731.47</v>
      </c>
    </row>
    <row r="240" spans="1:14" x14ac:dyDescent="0.2">
      <c r="A240" s="1">
        <v>45493</v>
      </c>
      <c r="B240" s="2" t="s">
        <v>33</v>
      </c>
      <c r="C240" s="2" t="s">
        <v>18</v>
      </c>
      <c r="D240" s="2" t="s">
        <v>19</v>
      </c>
      <c r="E240">
        <v>3558</v>
      </c>
      <c r="F240">
        <v>189</v>
      </c>
      <c r="G240">
        <v>23</v>
      </c>
      <c r="H240">
        <v>374.57</v>
      </c>
      <c r="I240">
        <v>2942.65</v>
      </c>
      <c r="J240">
        <v>5.31</v>
      </c>
      <c r="K240">
        <v>12.17</v>
      </c>
      <c r="L240">
        <v>16.29</v>
      </c>
      <c r="M240">
        <v>7.86</v>
      </c>
      <c r="N240">
        <v>2568.08</v>
      </c>
    </row>
    <row r="241" spans="1:14" x14ac:dyDescent="0.2">
      <c r="A241" s="1">
        <v>45493</v>
      </c>
      <c r="B241" s="2" t="s">
        <v>34</v>
      </c>
      <c r="C241" s="2" t="s">
        <v>21</v>
      </c>
      <c r="D241" s="2" t="s">
        <v>25</v>
      </c>
      <c r="E241">
        <v>2060</v>
      </c>
      <c r="F241">
        <v>140</v>
      </c>
      <c r="G241">
        <v>22</v>
      </c>
      <c r="H241">
        <v>69.650000000000006</v>
      </c>
      <c r="I241">
        <v>4147.34</v>
      </c>
      <c r="J241">
        <v>6.8</v>
      </c>
      <c r="K241">
        <v>15.71</v>
      </c>
      <c r="L241">
        <v>3.17</v>
      </c>
      <c r="M241">
        <v>59.55</v>
      </c>
      <c r="N241">
        <v>4077.69</v>
      </c>
    </row>
    <row r="242" spans="1:14" x14ac:dyDescent="0.2">
      <c r="A242" s="1">
        <v>45494</v>
      </c>
      <c r="B242" s="2" t="s">
        <v>14</v>
      </c>
      <c r="C242" s="2" t="s">
        <v>35</v>
      </c>
      <c r="D242" s="2" t="s">
        <v>16</v>
      </c>
      <c r="E242">
        <v>6787</v>
      </c>
      <c r="F242">
        <v>205</v>
      </c>
      <c r="G242">
        <v>22</v>
      </c>
      <c r="H242">
        <v>490.81</v>
      </c>
      <c r="I242">
        <v>3706.59</v>
      </c>
      <c r="J242">
        <v>3.02</v>
      </c>
      <c r="K242">
        <v>10.73</v>
      </c>
      <c r="L242">
        <v>22.31</v>
      </c>
      <c r="M242">
        <v>7.55</v>
      </c>
      <c r="N242">
        <v>3215.78</v>
      </c>
    </row>
    <row r="243" spans="1:14" x14ac:dyDescent="0.2">
      <c r="A243" s="1">
        <v>45494</v>
      </c>
      <c r="B243" s="2" t="s">
        <v>17</v>
      </c>
      <c r="C243" s="2" t="s">
        <v>18</v>
      </c>
      <c r="D243" s="2" t="s">
        <v>25</v>
      </c>
      <c r="E243">
        <v>10978</v>
      </c>
      <c r="F243">
        <v>420</v>
      </c>
      <c r="G243">
        <v>28</v>
      </c>
      <c r="H243">
        <v>384.73</v>
      </c>
      <c r="I243">
        <v>4044.33</v>
      </c>
      <c r="J243">
        <v>3.83</v>
      </c>
      <c r="K243">
        <v>6.67</v>
      </c>
      <c r="L243">
        <v>13.74</v>
      </c>
      <c r="M243">
        <v>10.51</v>
      </c>
      <c r="N243">
        <v>3659.6</v>
      </c>
    </row>
    <row r="244" spans="1:14" x14ac:dyDescent="0.2">
      <c r="A244" s="1">
        <v>45494</v>
      </c>
      <c r="B244" s="2" t="s">
        <v>20</v>
      </c>
      <c r="C244" s="2" t="s">
        <v>28</v>
      </c>
      <c r="D244" s="2" t="s">
        <v>19</v>
      </c>
      <c r="E244">
        <v>9086</v>
      </c>
      <c r="F244">
        <v>287</v>
      </c>
      <c r="G244">
        <v>16</v>
      </c>
      <c r="H244">
        <v>305.45999999999998</v>
      </c>
      <c r="I244">
        <v>1463.69</v>
      </c>
      <c r="J244">
        <v>3.16</v>
      </c>
      <c r="K244">
        <v>5.57</v>
      </c>
      <c r="L244">
        <v>19.09</v>
      </c>
      <c r="M244">
        <v>4.79</v>
      </c>
      <c r="N244">
        <v>1158.23</v>
      </c>
    </row>
    <row r="245" spans="1:14" x14ac:dyDescent="0.2">
      <c r="A245" s="1">
        <v>45494</v>
      </c>
      <c r="B245" s="2" t="s">
        <v>23</v>
      </c>
      <c r="C245" s="2" t="s">
        <v>15</v>
      </c>
      <c r="D245" s="2" t="s">
        <v>19</v>
      </c>
      <c r="E245">
        <v>2753</v>
      </c>
      <c r="F245">
        <v>80</v>
      </c>
      <c r="G245">
        <v>11</v>
      </c>
      <c r="H245">
        <v>635.66</v>
      </c>
      <c r="I245">
        <v>3708.36</v>
      </c>
      <c r="J245">
        <v>2.91</v>
      </c>
      <c r="K245">
        <v>13.75</v>
      </c>
      <c r="L245">
        <v>57.79</v>
      </c>
      <c r="M245">
        <v>5.83</v>
      </c>
      <c r="N245">
        <v>3072.7</v>
      </c>
    </row>
    <row r="246" spans="1:14" x14ac:dyDescent="0.2">
      <c r="A246" s="1">
        <v>45494</v>
      </c>
      <c r="B246" s="2" t="s">
        <v>24</v>
      </c>
      <c r="C246" s="2" t="s">
        <v>28</v>
      </c>
      <c r="D246" s="2" t="s">
        <v>25</v>
      </c>
      <c r="E246">
        <v>11858</v>
      </c>
      <c r="F246">
        <v>2278</v>
      </c>
      <c r="G246">
        <v>307</v>
      </c>
      <c r="H246">
        <v>164.12</v>
      </c>
      <c r="I246">
        <v>41674.949999999997</v>
      </c>
      <c r="J246">
        <v>19.21</v>
      </c>
      <c r="K246">
        <v>13.48</v>
      </c>
      <c r="L246">
        <v>0.53</v>
      </c>
      <c r="M246">
        <v>253.93</v>
      </c>
      <c r="N246">
        <v>41510.83</v>
      </c>
    </row>
    <row r="247" spans="1:14" x14ac:dyDescent="0.2">
      <c r="A247" s="1">
        <v>45494</v>
      </c>
      <c r="B247" s="2" t="s">
        <v>26</v>
      </c>
      <c r="C247" s="2" t="s">
        <v>32</v>
      </c>
      <c r="D247" s="2" t="s">
        <v>16</v>
      </c>
      <c r="E247">
        <v>11916</v>
      </c>
      <c r="F247">
        <v>545</v>
      </c>
      <c r="G247">
        <v>82</v>
      </c>
      <c r="H247">
        <v>0</v>
      </c>
      <c r="I247">
        <v>10019.790000000001</v>
      </c>
      <c r="J247">
        <v>4.57</v>
      </c>
      <c r="K247">
        <v>15.05</v>
      </c>
      <c r="L247">
        <v>0</v>
      </c>
      <c r="M247">
        <v>0</v>
      </c>
      <c r="N247">
        <v>10019.790000000001</v>
      </c>
    </row>
    <row r="248" spans="1:14" x14ac:dyDescent="0.2">
      <c r="A248" s="1">
        <v>45494</v>
      </c>
      <c r="B248" s="2" t="s">
        <v>27</v>
      </c>
      <c r="C248" s="2" t="s">
        <v>28</v>
      </c>
      <c r="D248" s="2" t="s">
        <v>25</v>
      </c>
      <c r="E248">
        <v>15435</v>
      </c>
      <c r="F248">
        <v>277</v>
      </c>
      <c r="G248">
        <v>8</v>
      </c>
      <c r="H248">
        <v>470.53</v>
      </c>
      <c r="I248">
        <v>946.51</v>
      </c>
      <c r="J248">
        <v>1.79</v>
      </c>
      <c r="K248">
        <v>2.89</v>
      </c>
      <c r="L248">
        <v>58.82</v>
      </c>
      <c r="M248">
        <v>2.0099999999999998</v>
      </c>
      <c r="N248">
        <v>475.98</v>
      </c>
    </row>
    <row r="249" spans="1:14" x14ac:dyDescent="0.2">
      <c r="A249" s="1">
        <v>45494</v>
      </c>
      <c r="B249" s="2" t="s">
        <v>29</v>
      </c>
      <c r="C249" s="2" t="s">
        <v>21</v>
      </c>
      <c r="D249" s="2" t="s">
        <v>19</v>
      </c>
      <c r="E249">
        <v>13801</v>
      </c>
      <c r="F249">
        <v>391</v>
      </c>
      <c r="G249">
        <v>19</v>
      </c>
      <c r="H249">
        <v>561.77</v>
      </c>
      <c r="I249">
        <v>2101.59</v>
      </c>
      <c r="J249">
        <v>2.83</v>
      </c>
      <c r="K249">
        <v>4.8600000000000003</v>
      </c>
      <c r="L249">
        <v>29.57</v>
      </c>
      <c r="M249">
        <v>3.74</v>
      </c>
      <c r="N249">
        <v>1539.82</v>
      </c>
    </row>
    <row r="250" spans="1:14" x14ac:dyDescent="0.2">
      <c r="A250" s="1">
        <v>45494</v>
      </c>
      <c r="B250" s="2" t="s">
        <v>30</v>
      </c>
      <c r="C250" s="2" t="s">
        <v>18</v>
      </c>
      <c r="D250" s="2" t="s">
        <v>36</v>
      </c>
      <c r="E250">
        <v>5632</v>
      </c>
      <c r="F250">
        <v>159</v>
      </c>
      <c r="G250">
        <v>7</v>
      </c>
      <c r="H250">
        <v>340.68</v>
      </c>
      <c r="I250">
        <v>589.78</v>
      </c>
      <c r="J250">
        <v>2.82</v>
      </c>
      <c r="K250">
        <v>4.4000000000000004</v>
      </c>
      <c r="L250">
        <v>48.67</v>
      </c>
      <c r="M250">
        <v>1.73</v>
      </c>
      <c r="N250">
        <v>249.1</v>
      </c>
    </row>
    <row r="251" spans="1:14" x14ac:dyDescent="0.2">
      <c r="A251" s="1">
        <v>45494</v>
      </c>
      <c r="B251" s="2" t="s">
        <v>31</v>
      </c>
      <c r="C251" s="2" t="s">
        <v>18</v>
      </c>
      <c r="D251" s="2" t="s">
        <v>25</v>
      </c>
      <c r="E251">
        <v>12147</v>
      </c>
      <c r="F251">
        <v>469</v>
      </c>
      <c r="G251">
        <v>27</v>
      </c>
      <c r="H251">
        <v>623.38</v>
      </c>
      <c r="I251">
        <v>2644.83</v>
      </c>
      <c r="J251">
        <v>3.86</v>
      </c>
      <c r="K251">
        <v>5.76</v>
      </c>
      <c r="L251">
        <v>23.09</v>
      </c>
      <c r="M251">
        <v>4.24</v>
      </c>
      <c r="N251">
        <v>2021.45</v>
      </c>
    </row>
    <row r="252" spans="1:14" x14ac:dyDescent="0.2">
      <c r="A252" s="1">
        <v>45494</v>
      </c>
      <c r="B252" s="2" t="s">
        <v>33</v>
      </c>
      <c r="C252" s="2" t="s">
        <v>32</v>
      </c>
      <c r="D252" s="2" t="s">
        <v>22</v>
      </c>
      <c r="E252">
        <v>5199</v>
      </c>
      <c r="F252">
        <v>359</v>
      </c>
      <c r="G252">
        <v>42</v>
      </c>
      <c r="H252">
        <v>407.74</v>
      </c>
      <c r="I252">
        <v>5527.18</v>
      </c>
      <c r="J252">
        <v>6.91</v>
      </c>
      <c r="K252">
        <v>11.7</v>
      </c>
      <c r="L252">
        <v>9.7100000000000009</v>
      </c>
      <c r="M252">
        <v>13.56</v>
      </c>
      <c r="N252">
        <v>5119.4399999999996</v>
      </c>
    </row>
    <row r="253" spans="1:14" x14ac:dyDescent="0.2">
      <c r="A253" s="1">
        <v>45494</v>
      </c>
      <c r="B253" s="2" t="s">
        <v>34</v>
      </c>
      <c r="C253" s="2" t="s">
        <v>35</v>
      </c>
      <c r="D253" s="2" t="s">
        <v>36</v>
      </c>
      <c r="E253">
        <v>2991</v>
      </c>
      <c r="F253">
        <v>285</v>
      </c>
      <c r="G253">
        <v>38</v>
      </c>
      <c r="H253">
        <v>98.7</v>
      </c>
      <c r="I253">
        <v>4864.3900000000003</v>
      </c>
      <c r="J253">
        <v>9.5299999999999994</v>
      </c>
      <c r="K253">
        <v>13.33</v>
      </c>
      <c r="L253">
        <v>2.6</v>
      </c>
      <c r="M253">
        <v>49.28</v>
      </c>
      <c r="N253">
        <v>4765.6899999999996</v>
      </c>
    </row>
    <row r="254" spans="1:14" x14ac:dyDescent="0.2">
      <c r="A254" s="1">
        <v>45495</v>
      </c>
      <c r="B254" s="2" t="s">
        <v>14</v>
      </c>
      <c r="C254" s="2" t="s">
        <v>18</v>
      </c>
      <c r="D254" s="2" t="s">
        <v>19</v>
      </c>
      <c r="E254">
        <v>9694</v>
      </c>
      <c r="F254">
        <v>402</v>
      </c>
      <c r="G254">
        <v>46</v>
      </c>
      <c r="H254">
        <v>943.33</v>
      </c>
      <c r="I254">
        <v>6951.1</v>
      </c>
      <c r="J254">
        <v>4.1500000000000004</v>
      </c>
      <c r="K254">
        <v>11.44</v>
      </c>
      <c r="L254">
        <v>20.51</v>
      </c>
      <c r="M254">
        <v>7.37</v>
      </c>
      <c r="N254">
        <v>6007.77</v>
      </c>
    </row>
    <row r="255" spans="1:14" x14ac:dyDescent="0.2">
      <c r="A255" s="1">
        <v>45495</v>
      </c>
      <c r="B255" s="2" t="s">
        <v>17</v>
      </c>
      <c r="C255" s="2" t="s">
        <v>32</v>
      </c>
      <c r="D255" s="2" t="s">
        <v>19</v>
      </c>
      <c r="E255">
        <v>11621</v>
      </c>
      <c r="F255">
        <v>260</v>
      </c>
      <c r="G255">
        <v>16</v>
      </c>
      <c r="H255">
        <v>797.12</v>
      </c>
      <c r="I255">
        <v>1512.72</v>
      </c>
      <c r="J255">
        <v>2.2400000000000002</v>
      </c>
      <c r="K255">
        <v>6.15</v>
      </c>
      <c r="L255">
        <v>49.82</v>
      </c>
      <c r="M255">
        <v>1.9</v>
      </c>
      <c r="N255">
        <v>715.6</v>
      </c>
    </row>
    <row r="256" spans="1:14" x14ac:dyDescent="0.2">
      <c r="A256" s="1">
        <v>45495</v>
      </c>
      <c r="B256" s="2" t="s">
        <v>20</v>
      </c>
      <c r="C256" s="2" t="s">
        <v>15</v>
      </c>
      <c r="D256" s="2" t="s">
        <v>16</v>
      </c>
      <c r="E256">
        <v>14007</v>
      </c>
      <c r="F256">
        <v>391</v>
      </c>
      <c r="G256">
        <v>19</v>
      </c>
      <c r="H256">
        <v>489.89</v>
      </c>
      <c r="I256">
        <v>2164.7199999999998</v>
      </c>
      <c r="J256">
        <v>2.79</v>
      </c>
      <c r="K256">
        <v>4.8600000000000003</v>
      </c>
      <c r="L256">
        <v>25.78</v>
      </c>
      <c r="M256">
        <v>4.42</v>
      </c>
      <c r="N256">
        <v>1674.83</v>
      </c>
    </row>
    <row r="257" spans="1:14" x14ac:dyDescent="0.2">
      <c r="A257" s="1">
        <v>45495</v>
      </c>
      <c r="B257" s="2" t="s">
        <v>23</v>
      </c>
      <c r="C257" s="2" t="s">
        <v>15</v>
      </c>
      <c r="D257" s="2" t="s">
        <v>19</v>
      </c>
      <c r="E257">
        <v>3059</v>
      </c>
      <c r="F257">
        <v>67</v>
      </c>
      <c r="G257">
        <v>9</v>
      </c>
      <c r="H257">
        <v>1351.52</v>
      </c>
      <c r="I257">
        <v>2876.51</v>
      </c>
      <c r="J257">
        <v>2.19</v>
      </c>
      <c r="K257">
        <v>13.43</v>
      </c>
      <c r="L257">
        <v>150.16999999999999</v>
      </c>
      <c r="M257">
        <v>2.13</v>
      </c>
      <c r="N257">
        <v>1524.99</v>
      </c>
    </row>
    <row r="258" spans="1:14" x14ac:dyDescent="0.2">
      <c r="A258" s="1">
        <v>45495</v>
      </c>
      <c r="B258" s="2" t="s">
        <v>24</v>
      </c>
      <c r="C258" s="2" t="s">
        <v>32</v>
      </c>
      <c r="D258" s="2" t="s">
        <v>19</v>
      </c>
      <c r="E258">
        <v>13967</v>
      </c>
      <c r="F258">
        <v>2697</v>
      </c>
      <c r="G258">
        <v>349</v>
      </c>
      <c r="H258">
        <v>165.48</v>
      </c>
      <c r="I258">
        <v>53216.66</v>
      </c>
      <c r="J258">
        <v>19.309999999999999</v>
      </c>
      <c r="K258">
        <v>12.94</v>
      </c>
      <c r="L258">
        <v>0.47</v>
      </c>
      <c r="M258">
        <v>321.58999999999997</v>
      </c>
      <c r="N258">
        <v>53051.18</v>
      </c>
    </row>
    <row r="259" spans="1:14" x14ac:dyDescent="0.2">
      <c r="A259" s="1">
        <v>45495</v>
      </c>
      <c r="B259" s="2" t="s">
        <v>26</v>
      </c>
      <c r="C259" s="2" t="s">
        <v>15</v>
      </c>
      <c r="D259" s="2" t="s">
        <v>36</v>
      </c>
      <c r="E259">
        <v>29283</v>
      </c>
      <c r="F259">
        <v>1196</v>
      </c>
      <c r="G259">
        <v>164</v>
      </c>
      <c r="H259">
        <v>0</v>
      </c>
      <c r="I259">
        <v>19447.82</v>
      </c>
      <c r="J259">
        <v>4.08</v>
      </c>
      <c r="K259">
        <v>13.71</v>
      </c>
      <c r="L259">
        <v>0</v>
      </c>
      <c r="M259">
        <v>0</v>
      </c>
      <c r="N259">
        <v>19447.82</v>
      </c>
    </row>
    <row r="260" spans="1:14" x14ac:dyDescent="0.2">
      <c r="A260" s="1">
        <v>45495</v>
      </c>
      <c r="B260" s="2" t="s">
        <v>27</v>
      </c>
      <c r="C260" s="2" t="s">
        <v>35</v>
      </c>
      <c r="D260" s="2" t="s">
        <v>36</v>
      </c>
      <c r="E260">
        <v>29822</v>
      </c>
      <c r="F260">
        <v>577</v>
      </c>
      <c r="G260">
        <v>21</v>
      </c>
      <c r="H260">
        <v>747.05</v>
      </c>
      <c r="I260">
        <v>1780.35</v>
      </c>
      <c r="J260">
        <v>1.93</v>
      </c>
      <c r="K260">
        <v>3.64</v>
      </c>
      <c r="L260">
        <v>35.57</v>
      </c>
      <c r="M260">
        <v>2.38</v>
      </c>
      <c r="N260">
        <v>1033.3</v>
      </c>
    </row>
    <row r="261" spans="1:14" x14ac:dyDescent="0.2">
      <c r="A261" s="1">
        <v>45495</v>
      </c>
      <c r="B261" s="2" t="s">
        <v>29</v>
      </c>
      <c r="C261" s="2" t="s">
        <v>15</v>
      </c>
      <c r="D261" s="2" t="s">
        <v>19</v>
      </c>
      <c r="E261">
        <v>15055</v>
      </c>
      <c r="F261">
        <v>407</v>
      </c>
      <c r="G261">
        <v>30</v>
      </c>
      <c r="H261">
        <v>806.82</v>
      </c>
      <c r="I261">
        <v>4393.8100000000004</v>
      </c>
      <c r="J261">
        <v>2.7</v>
      </c>
      <c r="K261">
        <v>7.37</v>
      </c>
      <c r="L261">
        <v>26.89</v>
      </c>
      <c r="M261">
        <v>5.45</v>
      </c>
      <c r="N261">
        <v>3586.99</v>
      </c>
    </row>
    <row r="262" spans="1:14" x14ac:dyDescent="0.2">
      <c r="A262" s="1">
        <v>45495</v>
      </c>
      <c r="B262" s="2" t="s">
        <v>30</v>
      </c>
      <c r="C262" s="2" t="s">
        <v>32</v>
      </c>
      <c r="D262" s="2" t="s">
        <v>22</v>
      </c>
      <c r="E262">
        <v>10933</v>
      </c>
      <c r="F262">
        <v>340</v>
      </c>
      <c r="G262">
        <v>18</v>
      </c>
      <c r="H262">
        <v>356.92</v>
      </c>
      <c r="I262">
        <v>1884.99</v>
      </c>
      <c r="J262">
        <v>3.11</v>
      </c>
      <c r="K262">
        <v>5.29</v>
      </c>
      <c r="L262">
        <v>19.829999999999998</v>
      </c>
      <c r="M262">
        <v>5.28</v>
      </c>
      <c r="N262">
        <v>1528.07</v>
      </c>
    </row>
    <row r="263" spans="1:14" x14ac:dyDescent="0.2">
      <c r="A263" s="1">
        <v>45495</v>
      </c>
      <c r="B263" s="2" t="s">
        <v>31</v>
      </c>
      <c r="C263" s="2" t="s">
        <v>21</v>
      </c>
      <c r="D263" s="2" t="s">
        <v>36</v>
      </c>
      <c r="E263">
        <v>21140</v>
      </c>
      <c r="F263">
        <v>545</v>
      </c>
      <c r="G263">
        <v>31</v>
      </c>
      <c r="H263">
        <v>536.34</v>
      </c>
      <c r="I263">
        <v>2768.48</v>
      </c>
      <c r="J263">
        <v>2.58</v>
      </c>
      <c r="K263">
        <v>5.69</v>
      </c>
      <c r="L263">
        <v>17.3</v>
      </c>
      <c r="M263">
        <v>5.16</v>
      </c>
      <c r="N263">
        <v>2232.14</v>
      </c>
    </row>
    <row r="264" spans="1:14" x14ac:dyDescent="0.2">
      <c r="A264" s="1">
        <v>45495</v>
      </c>
      <c r="B264" s="2" t="s">
        <v>33</v>
      </c>
      <c r="C264" s="2" t="s">
        <v>15</v>
      </c>
      <c r="D264" s="2" t="s">
        <v>36</v>
      </c>
      <c r="E264">
        <v>8125</v>
      </c>
      <c r="F264">
        <v>444</v>
      </c>
      <c r="G264">
        <v>55</v>
      </c>
      <c r="H264">
        <v>372.78</v>
      </c>
      <c r="I264">
        <v>5922.95</v>
      </c>
      <c r="J264">
        <v>5.46</v>
      </c>
      <c r="K264">
        <v>12.39</v>
      </c>
      <c r="L264">
        <v>6.78</v>
      </c>
      <c r="M264">
        <v>15.89</v>
      </c>
      <c r="N264">
        <v>5550.17</v>
      </c>
    </row>
    <row r="265" spans="1:14" x14ac:dyDescent="0.2">
      <c r="A265" s="1">
        <v>45495</v>
      </c>
      <c r="B265" s="2" t="s">
        <v>34</v>
      </c>
      <c r="C265" s="2" t="s">
        <v>15</v>
      </c>
      <c r="D265" s="2" t="s">
        <v>22</v>
      </c>
      <c r="E265">
        <v>5313</v>
      </c>
      <c r="F265">
        <v>373</v>
      </c>
      <c r="G265">
        <v>63</v>
      </c>
      <c r="H265">
        <v>109.4</v>
      </c>
      <c r="I265">
        <v>7975.42</v>
      </c>
      <c r="J265">
        <v>7.02</v>
      </c>
      <c r="K265">
        <v>16.89</v>
      </c>
      <c r="L265">
        <v>1.74</v>
      </c>
      <c r="M265">
        <v>72.900000000000006</v>
      </c>
      <c r="N265">
        <v>7866.02</v>
      </c>
    </row>
    <row r="266" spans="1:14" x14ac:dyDescent="0.2">
      <c r="A266" s="1">
        <v>45496</v>
      </c>
      <c r="B266" s="2" t="s">
        <v>14</v>
      </c>
      <c r="C266" s="2" t="s">
        <v>32</v>
      </c>
      <c r="D266" s="2" t="s">
        <v>25</v>
      </c>
      <c r="E266">
        <v>12313</v>
      </c>
      <c r="F266">
        <v>506</v>
      </c>
      <c r="G266">
        <v>58</v>
      </c>
      <c r="H266">
        <v>861.99</v>
      </c>
      <c r="I266">
        <v>6684.57</v>
      </c>
      <c r="J266">
        <v>4.1100000000000003</v>
      </c>
      <c r="K266">
        <v>11.46</v>
      </c>
      <c r="L266">
        <v>14.86</v>
      </c>
      <c r="M266">
        <v>7.75</v>
      </c>
      <c r="N266">
        <v>5822.58</v>
      </c>
    </row>
    <row r="267" spans="1:14" x14ac:dyDescent="0.2">
      <c r="A267" s="1">
        <v>45496</v>
      </c>
      <c r="B267" s="2" t="s">
        <v>17</v>
      </c>
      <c r="C267" s="2" t="s">
        <v>35</v>
      </c>
      <c r="D267" s="2" t="s">
        <v>36</v>
      </c>
      <c r="E267">
        <v>10311</v>
      </c>
      <c r="F267">
        <v>229</v>
      </c>
      <c r="G267">
        <v>15</v>
      </c>
      <c r="H267">
        <v>743.22</v>
      </c>
      <c r="I267">
        <v>1728.8</v>
      </c>
      <c r="J267">
        <v>2.2200000000000002</v>
      </c>
      <c r="K267">
        <v>6.55</v>
      </c>
      <c r="L267">
        <v>49.55</v>
      </c>
      <c r="M267">
        <v>2.33</v>
      </c>
      <c r="N267">
        <v>985.58</v>
      </c>
    </row>
    <row r="268" spans="1:14" x14ac:dyDescent="0.2">
      <c r="A268" s="1">
        <v>45496</v>
      </c>
      <c r="B268" s="2" t="s">
        <v>20</v>
      </c>
      <c r="C268" s="2" t="s">
        <v>32</v>
      </c>
      <c r="D268" s="2" t="s">
        <v>16</v>
      </c>
      <c r="E268">
        <v>9202</v>
      </c>
      <c r="F268">
        <v>255</v>
      </c>
      <c r="G268">
        <v>10</v>
      </c>
      <c r="H268">
        <v>662.02</v>
      </c>
      <c r="I268">
        <v>933.32</v>
      </c>
      <c r="J268">
        <v>2.77</v>
      </c>
      <c r="K268">
        <v>3.92</v>
      </c>
      <c r="L268">
        <v>66.2</v>
      </c>
      <c r="M268">
        <v>1.41</v>
      </c>
      <c r="N268">
        <v>271.3</v>
      </c>
    </row>
    <row r="269" spans="1:14" x14ac:dyDescent="0.2">
      <c r="A269" s="1">
        <v>45496</v>
      </c>
      <c r="B269" s="2" t="s">
        <v>23</v>
      </c>
      <c r="C269" s="2" t="s">
        <v>35</v>
      </c>
      <c r="D269" s="2" t="s">
        <v>19</v>
      </c>
      <c r="E269">
        <v>4335</v>
      </c>
      <c r="F269">
        <v>109</v>
      </c>
      <c r="G269">
        <v>14</v>
      </c>
      <c r="H269">
        <v>797.77</v>
      </c>
      <c r="I269">
        <v>3970.31</v>
      </c>
      <c r="J269">
        <v>2.5099999999999998</v>
      </c>
      <c r="K269">
        <v>12.84</v>
      </c>
      <c r="L269">
        <v>56.98</v>
      </c>
      <c r="M269">
        <v>4.9800000000000004</v>
      </c>
      <c r="N269">
        <v>3172.54</v>
      </c>
    </row>
    <row r="270" spans="1:14" x14ac:dyDescent="0.2">
      <c r="A270" s="1">
        <v>45496</v>
      </c>
      <c r="B270" s="2" t="s">
        <v>24</v>
      </c>
      <c r="C270" s="2" t="s">
        <v>21</v>
      </c>
      <c r="D270" s="2" t="s">
        <v>36</v>
      </c>
      <c r="E270">
        <v>17785</v>
      </c>
      <c r="F270">
        <v>2784</v>
      </c>
      <c r="G270">
        <v>264</v>
      </c>
      <c r="H270">
        <v>182.21</v>
      </c>
      <c r="I270">
        <v>29300.55</v>
      </c>
      <c r="J270">
        <v>15.65</v>
      </c>
      <c r="K270">
        <v>9.48</v>
      </c>
      <c r="L270">
        <v>0.69</v>
      </c>
      <c r="M270">
        <v>160.81</v>
      </c>
      <c r="N270">
        <v>29118.34</v>
      </c>
    </row>
    <row r="271" spans="1:14" x14ac:dyDescent="0.2">
      <c r="A271" s="1">
        <v>45496</v>
      </c>
      <c r="B271" s="2" t="s">
        <v>26</v>
      </c>
      <c r="C271" s="2" t="s">
        <v>32</v>
      </c>
      <c r="D271" s="2" t="s">
        <v>25</v>
      </c>
      <c r="E271">
        <v>25241</v>
      </c>
      <c r="F271">
        <v>1858</v>
      </c>
      <c r="G271">
        <v>204</v>
      </c>
      <c r="H271">
        <v>0</v>
      </c>
      <c r="I271">
        <v>21413.16</v>
      </c>
      <c r="J271">
        <v>7.36</v>
      </c>
      <c r="K271">
        <v>10.98</v>
      </c>
      <c r="L271">
        <v>0</v>
      </c>
      <c r="M271">
        <v>0</v>
      </c>
      <c r="N271">
        <v>21413.16</v>
      </c>
    </row>
    <row r="272" spans="1:14" x14ac:dyDescent="0.2">
      <c r="A272" s="1">
        <v>45496</v>
      </c>
      <c r="B272" s="2" t="s">
        <v>27</v>
      </c>
      <c r="C272" s="2" t="s">
        <v>15</v>
      </c>
      <c r="D272" s="2" t="s">
        <v>19</v>
      </c>
      <c r="E272">
        <v>28405</v>
      </c>
      <c r="F272">
        <v>328</v>
      </c>
      <c r="G272">
        <v>12</v>
      </c>
      <c r="H272">
        <v>960.66</v>
      </c>
      <c r="I272">
        <v>1335.42</v>
      </c>
      <c r="J272">
        <v>1.1499999999999999</v>
      </c>
      <c r="K272">
        <v>3.66</v>
      </c>
      <c r="L272">
        <v>80.05</v>
      </c>
      <c r="M272">
        <v>1.39</v>
      </c>
      <c r="N272">
        <v>374.76</v>
      </c>
    </row>
    <row r="273" spans="1:14" x14ac:dyDescent="0.2">
      <c r="A273" s="1">
        <v>45496</v>
      </c>
      <c r="B273" s="2" t="s">
        <v>29</v>
      </c>
      <c r="C273" s="2" t="s">
        <v>28</v>
      </c>
      <c r="D273" s="2" t="s">
        <v>36</v>
      </c>
      <c r="E273">
        <v>12771</v>
      </c>
      <c r="F273">
        <v>346</v>
      </c>
      <c r="G273">
        <v>17</v>
      </c>
      <c r="H273">
        <v>948.35</v>
      </c>
      <c r="I273">
        <v>1772.83</v>
      </c>
      <c r="J273">
        <v>2.71</v>
      </c>
      <c r="K273">
        <v>4.91</v>
      </c>
      <c r="L273">
        <v>55.79</v>
      </c>
      <c r="M273">
        <v>1.87</v>
      </c>
      <c r="N273">
        <v>824.48</v>
      </c>
    </row>
    <row r="274" spans="1:14" x14ac:dyDescent="0.2">
      <c r="A274" s="1">
        <v>45496</v>
      </c>
      <c r="B274" s="2" t="s">
        <v>30</v>
      </c>
      <c r="C274" s="2" t="s">
        <v>28</v>
      </c>
      <c r="D274" s="2" t="s">
        <v>22</v>
      </c>
      <c r="E274">
        <v>11888</v>
      </c>
      <c r="F274">
        <v>266</v>
      </c>
      <c r="G274">
        <v>7</v>
      </c>
      <c r="H274">
        <v>406.63</v>
      </c>
      <c r="I274">
        <v>690.88</v>
      </c>
      <c r="J274">
        <v>2.2400000000000002</v>
      </c>
      <c r="K274">
        <v>2.63</v>
      </c>
      <c r="L274">
        <v>58.09</v>
      </c>
      <c r="M274">
        <v>1.7</v>
      </c>
      <c r="N274">
        <v>284.25</v>
      </c>
    </row>
    <row r="275" spans="1:14" x14ac:dyDescent="0.2">
      <c r="A275" s="1">
        <v>45496</v>
      </c>
      <c r="B275" s="2" t="s">
        <v>31</v>
      </c>
      <c r="C275" s="2" t="s">
        <v>32</v>
      </c>
      <c r="D275" s="2" t="s">
        <v>36</v>
      </c>
      <c r="E275">
        <v>22763</v>
      </c>
      <c r="F275">
        <v>727</v>
      </c>
      <c r="G275">
        <v>45</v>
      </c>
      <c r="H275">
        <v>889.38</v>
      </c>
      <c r="I275">
        <v>3830.75</v>
      </c>
      <c r="J275">
        <v>3.19</v>
      </c>
      <c r="K275">
        <v>6.19</v>
      </c>
      <c r="L275">
        <v>19.760000000000002</v>
      </c>
      <c r="M275">
        <v>4.3099999999999996</v>
      </c>
      <c r="N275">
        <v>2941.37</v>
      </c>
    </row>
    <row r="276" spans="1:14" x14ac:dyDescent="0.2">
      <c r="A276" s="1">
        <v>45496</v>
      </c>
      <c r="B276" s="2" t="s">
        <v>33</v>
      </c>
      <c r="C276" s="2" t="s">
        <v>15</v>
      </c>
      <c r="D276" s="2" t="s">
        <v>22</v>
      </c>
      <c r="E276">
        <v>8109</v>
      </c>
      <c r="F276">
        <v>493</v>
      </c>
      <c r="G276">
        <v>61</v>
      </c>
      <c r="H276">
        <v>498.55</v>
      </c>
      <c r="I276">
        <v>8671.0499999999993</v>
      </c>
      <c r="J276">
        <v>6.08</v>
      </c>
      <c r="K276">
        <v>12.37</v>
      </c>
      <c r="L276">
        <v>8.17</v>
      </c>
      <c r="M276">
        <v>17.39</v>
      </c>
      <c r="N276">
        <v>8172.5</v>
      </c>
    </row>
    <row r="277" spans="1:14" x14ac:dyDescent="0.2">
      <c r="A277" s="1">
        <v>45496</v>
      </c>
      <c r="B277" s="2" t="s">
        <v>34</v>
      </c>
      <c r="C277" s="2" t="s">
        <v>15</v>
      </c>
      <c r="D277" s="2" t="s">
        <v>16</v>
      </c>
      <c r="E277">
        <v>4023</v>
      </c>
      <c r="F277">
        <v>314</v>
      </c>
      <c r="G277">
        <v>41</v>
      </c>
      <c r="H277">
        <v>121.83</v>
      </c>
      <c r="I277">
        <v>4938.62</v>
      </c>
      <c r="J277">
        <v>7.81</v>
      </c>
      <c r="K277">
        <v>13.06</v>
      </c>
      <c r="L277">
        <v>2.97</v>
      </c>
      <c r="M277">
        <v>40.54</v>
      </c>
      <c r="N277">
        <v>4816.79</v>
      </c>
    </row>
    <row r="278" spans="1:14" x14ac:dyDescent="0.2">
      <c r="A278" s="1">
        <v>45497</v>
      </c>
      <c r="B278" s="2" t="s">
        <v>14</v>
      </c>
      <c r="C278" s="2" t="s">
        <v>35</v>
      </c>
      <c r="D278" s="2" t="s">
        <v>25</v>
      </c>
      <c r="E278">
        <v>8224</v>
      </c>
      <c r="F278">
        <v>268</v>
      </c>
      <c r="G278">
        <v>28</v>
      </c>
      <c r="H278">
        <v>1262.6099999999999</v>
      </c>
      <c r="I278">
        <v>4199.87</v>
      </c>
      <c r="J278">
        <v>3.26</v>
      </c>
      <c r="K278">
        <v>10.45</v>
      </c>
      <c r="L278">
        <v>45.09</v>
      </c>
      <c r="M278">
        <v>3.33</v>
      </c>
      <c r="N278">
        <v>2937.26</v>
      </c>
    </row>
    <row r="279" spans="1:14" x14ac:dyDescent="0.2">
      <c r="A279" s="1">
        <v>45497</v>
      </c>
      <c r="B279" s="2" t="s">
        <v>17</v>
      </c>
      <c r="C279" s="2" t="s">
        <v>15</v>
      </c>
      <c r="D279" s="2" t="s">
        <v>25</v>
      </c>
      <c r="E279">
        <v>13572</v>
      </c>
      <c r="F279">
        <v>284</v>
      </c>
      <c r="G279">
        <v>20</v>
      </c>
      <c r="H279">
        <v>520.58000000000004</v>
      </c>
      <c r="I279">
        <v>2005.7</v>
      </c>
      <c r="J279">
        <v>2.09</v>
      </c>
      <c r="K279">
        <v>7.04</v>
      </c>
      <c r="L279">
        <v>26.03</v>
      </c>
      <c r="M279">
        <v>3.85</v>
      </c>
      <c r="N279">
        <v>1485.12</v>
      </c>
    </row>
    <row r="280" spans="1:14" x14ac:dyDescent="0.2">
      <c r="A280" s="1">
        <v>45497</v>
      </c>
      <c r="B280" s="2" t="s">
        <v>20</v>
      </c>
      <c r="C280" s="2" t="s">
        <v>35</v>
      </c>
      <c r="D280" s="2" t="s">
        <v>16</v>
      </c>
      <c r="E280">
        <v>14256</v>
      </c>
      <c r="F280">
        <v>577</v>
      </c>
      <c r="G280">
        <v>36</v>
      </c>
      <c r="H280">
        <v>454.54</v>
      </c>
      <c r="I280">
        <v>3292.26</v>
      </c>
      <c r="J280">
        <v>4.05</v>
      </c>
      <c r="K280">
        <v>6.24</v>
      </c>
      <c r="L280">
        <v>12.63</v>
      </c>
      <c r="M280">
        <v>7.24</v>
      </c>
      <c r="N280">
        <v>2837.72</v>
      </c>
    </row>
    <row r="281" spans="1:14" x14ac:dyDescent="0.2">
      <c r="A281" s="1">
        <v>45497</v>
      </c>
      <c r="B281" s="2" t="s">
        <v>23</v>
      </c>
      <c r="C281" s="2" t="s">
        <v>21</v>
      </c>
      <c r="D281" s="2" t="s">
        <v>19</v>
      </c>
      <c r="E281">
        <v>4164</v>
      </c>
      <c r="F281">
        <v>111</v>
      </c>
      <c r="G281">
        <v>13</v>
      </c>
      <c r="H281">
        <v>922.16</v>
      </c>
      <c r="I281">
        <v>2822.93</v>
      </c>
      <c r="J281">
        <v>2.67</v>
      </c>
      <c r="K281">
        <v>11.71</v>
      </c>
      <c r="L281">
        <v>70.94</v>
      </c>
      <c r="M281">
        <v>3.06</v>
      </c>
      <c r="N281">
        <v>1900.77</v>
      </c>
    </row>
    <row r="282" spans="1:14" x14ac:dyDescent="0.2">
      <c r="A282" s="1">
        <v>45497</v>
      </c>
      <c r="B282" s="2" t="s">
        <v>24</v>
      </c>
      <c r="C282" s="2" t="s">
        <v>21</v>
      </c>
      <c r="D282" s="2" t="s">
        <v>22</v>
      </c>
      <c r="E282">
        <v>18392</v>
      </c>
      <c r="F282">
        <v>3972</v>
      </c>
      <c r="G282">
        <v>344</v>
      </c>
      <c r="H282">
        <v>134.47999999999999</v>
      </c>
      <c r="I282">
        <v>43143.29</v>
      </c>
      <c r="J282">
        <v>21.6</v>
      </c>
      <c r="K282">
        <v>8.66</v>
      </c>
      <c r="L282">
        <v>0.39</v>
      </c>
      <c r="M282">
        <v>320.82</v>
      </c>
      <c r="N282">
        <v>43008.81</v>
      </c>
    </row>
    <row r="283" spans="1:14" x14ac:dyDescent="0.2">
      <c r="A283" s="1">
        <v>45497</v>
      </c>
      <c r="B283" s="2" t="s">
        <v>26</v>
      </c>
      <c r="C283" s="2" t="s">
        <v>21</v>
      </c>
      <c r="D283" s="2" t="s">
        <v>16</v>
      </c>
      <c r="E283">
        <v>17380</v>
      </c>
      <c r="F283">
        <v>1233</v>
      </c>
      <c r="G283">
        <v>140</v>
      </c>
      <c r="H283">
        <v>0</v>
      </c>
      <c r="I283">
        <v>20959.86</v>
      </c>
      <c r="J283">
        <v>7.09</v>
      </c>
      <c r="K283">
        <v>11.35</v>
      </c>
      <c r="L283">
        <v>0</v>
      </c>
      <c r="M283">
        <v>0</v>
      </c>
      <c r="N283">
        <v>20959.86</v>
      </c>
    </row>
    <row r="284" spans="1:14" x14ac:dyDescent="0.2">
      <c r="A284" s="1">
        <v>45497</v>
      </c>
      <c r="B284" s="2" t="s">
        <v>27</v>
      </c>
      <c r="C284" s="2" t="s">
        <v>18</v>
      </c>
      <c r="D284" s="2" t="s">
        <v>22</v>
      </c>
      <c r="E284">
        <v>30645</v>
      </c>
      <c r="F284">
        <v>336</v>
      </c>
      <c r="G284">
        <v>15</v>
      </c>
      <c r="H284">
        <v>595.16</v>
      </c>
      <c r="I284">
        <v>2038.58</v>
      </c>
      <c r="J284">
        <v>1.1000000000000001</v>
      </c>
      <c r="K284">
        <v>4.46</v>
      </c>
      <c r="L284">
        <v>39.68</v>
      </c>
      <c r="M284">
        <v>3.43</v>
      </c>
      <c r="N284">
        <v>1443.42</v>
      </c>
    </row>
    <row r="285" spans="1:14" x14ac:dyDescent="0.2">
      <c r="A285" s="1">
        <v>45497</v>
      </c>
      <c r="B285" s="2" t="s">
        <v>29</v>
      </c>
      <c r="C285" s="2" t="s">
        <v>28</v>
      </c>
      <c r="D285" s="2" t="s">
        <v>25</v>
      </c>
      <c r="E285">
        <v>17041</v>
      </c>
      <c r="F285">
        <v>279</v>
      </c>
      <c r="G285">
        <v>13</v>
      </c>
      <c r="H285">
        <v>1137.83</v>
      </c>
      <c r="I285">
        <v>1743.46</v>
      </c>
      <c r="J285">
        <v>1.64</v>
      </c>
      <c r="K285">
        <v>4.66</v>
      </c>
      <c r="L285">
        <v>87.53</v>
      </c>
      <c r="M285">
        <v>1.53</v>
      </c>
      <c r="N285">
        <v>605.63</v>
      </c>
    </row>
    <row r="286" spans="1:14" x14ac:dyDescent="0.2">
      <c r="A286" s="1">
        <v>45497</v>
      </c>
      <c r="B286" s="2" t="s">
        <v>30</v>
      </c>
      <c r="C286" s="2" t="s">
        <v>18</v>
      </c>
      <c r="D286" s="2" t="s">
        <v>36</v>
      </c>
      <c r="E286">
        <v>11698</v>
      </c>
      <c r="F286">
        <v>286</v>
      </c>
      <c r="G286">
        <v>11</v>
      </c>
      <c r="H286">
        <v>383.41</v>
      </c>
      <c r="I286">
        <v>1101.98</v>
      </c>
      <c r="J286">
        <v>2.44</v>
      </c>
      <c r="K286">
        <v>3.85</v>
      </c>
      <c r="L286">
        <v>34.86</v>
      </c>
      <c r="M286">
        <v>2.87</v>
      </c>
      <c r="N286">
        <v>718.57</v>
      </c>
    </row>
    <row r="287" spans="1:14" x14ac:dyDescent="0.2">
      <c r="A287" s="1">
        <v>45497</v>
      </c>
      <c r="B287" s="2" t="s">
        <v>31</v>
      </c>
      <c r="C287" s="2" t="s">
        <v>28</v>
      </c>
      <c r="D287" s="2" t="s">
        <v>25</v>
      </c>
      <c r="E287">
        <v>18983</v>
      </c>
      <c r="F287">
        <v>697</v>
      </c>
      <c r="G287">
        <v>28</v>
      </c>
      <c r="H287">
        <v>679.01</v>
      </c>
      <c r="I287">
        <v>2790.36</v>
      </c>
      <c r="J287">
        <v>3.67</v>
      </c>
      <c r="K287">
        <v>4.0199999999999996</v>
      </c>
      <c r="L287">
        <v>24.25</v>
      </c>
      <c r="M287">
        <v>4.1100000000000003</v>
      </c>
      <c r="N287">
        <v>2111.35</v>
      </c>
    </row>
    <row r="288" spans="1:14" x14ac:dyDescent="0.2">
      <c r="A288" s="1">
        <v>45497</v>
      </c>
      <c r="B288" s="2" t="s">
        <v>33</v>
      </c>
      <c r="C288" s="2" t="s">
        <v>21</v>
      </c>
      <c r="D288" s="2" t="s">
        <v>36</v>
      </c>
      <c r="E288">
        <v>7196</v>
      </c>
      <c r="F288">
        <v>359</v>
      </c>
      <c r="G288">
        <v>34</v>
      </c>
      <c r="H288">
        <v>306.39999999999998</v>
      </c>
      <c r="I288">
        <v>4984.51</v>
      </c>
      <c r="J288">
        <v>4.99</v>
      </c>
      <c r="K288">
        <v>9.4700000000000006</v>
      </c>
      <c r="L288">
        <v>9.01</v>
      </c>
      <c r="M288">
        <v>16.27</v>
      </c>
      <c r="N288">
        <v>4678.1099999999997</v>
      </c>
    </row>
    <row r="289" spans="1:14" x14ac:dyDescent="0.2">
      <c r="A289" s="1">
        <v>45497</v>
      </c>
      <c r="B289" s="2" t="s">
        <v>34</v>
      </c>
      <c r="C289" s="2" t="s">
        <v>28</v>
      </c>
      <c r="D289" s="2" t="s">
        <v>36</v>
      </c>
      <c r="E289">
        <v>3458</v>
      </c>
      <c r="F289">
        <v>289</v>
      </c>
      <c r="G289">
        <v>39</v>
      </c>
      <c r="H289">
        <v>100.81</v>
      </c>
      <c r="I289">
        <v>5346.42</v>
      </c>
      <c r="J289">
        <v>8.36</v>
      </c>
      <c r="K289">
        <v>13.49</v>
      </c>
      <c r="L289">
        <v>2.58</v>
      </c>
      <c r="M289">
        <v>53.03</v>
      </c>
      <c r="N289">
        <v>5245.61</v>
      </c>
    </row>
    <row r="290" spans="1:14" x14ac:dyDescent="0.2">
      <c r="A290" s="1">
        <v>45498</v>
      </c>
      <c r="B290" s="2" t="s">
        <v>14</v>
      </c>
      <c r="C290" s="2" t="s">
        <v>21</v>
      </c>
      <c r="D290" s="2" t="s">
        <v>22</v>
      </c>
      <c r="E290">
        <v>7758</v>
      </c>
      <c r="F290">
        <v>355</v>
      </c>
      <c r="G290">
        <v>42</v>
      </c>
      <c r="H290">
        <v>1256.1400000000001</v>
      </c>
      <c r="I290">
        <v>5982.23</v>
      </c>
      <c r="J290">
        <v>4.58</v>
      </c>
      <c r="K290">
        <v>11.83</v>
      </c>
      <c r="L290">
        <v>29.91</v>
      </c>
      <c r="M290">
        <v>4.76</v>
      </c>
      <c r="N290">
        <v>4726.09</v>
      </c>
    </row>
    <row r="291" spans="1:14" x14ac:dyDescent="0.2">
      <c r="A291" s="1">
        <v>45498</v>
      </c>
      <c r="B291" s="2" t="s">
        <v>17</v>
      </c>
      <c r="C291" s="2" t="s">
        <v>15</v>
      </c>
      <c r="D291" s="2" t="s">
        <v>16</v>
      </c>
      <c r="E291">
        <v>13571</v>
      </c>
      <c r="F291">
        <v>342</v>
      </c>
      <c r="G291">
        <v>17</v>
      </c>
      <c r="H291">
        <v>907.02</v>
      </c>
      <c r="I291">
        <v>1598.29</v>
      </c>
      <c r="J291">
        <v>2.52</v>
      </c>
      <c r="K291">
        <v>4.97</v>
      </c>
      <c r="L291">
        <v>53.35</v>
      </c>
      <c r="M291">
        <v>1.76</v>
      </c>
      <c r="N291">
        <v>691.27</v>
      </c>
    </row>
    <row r="292" spans="1:14" x14ac:dyDescent="0.2">
      <c r="A292" s="1">
        <v>45498</v>
      </c>
      <c r="B292" s="2" t="s">
        <v>20</v>
      </c>
      <c r="C292" s="2" t="s">
        <v>18</v>
      </c>
      <c r="D292" s="2" t="s">
        <v>36</v>
      </c>
      <c r="E292">
        <v>14019</v>
      </c>
      <c r="F292">
        <v>542</v>
      </c>
      <c r="G292">
        <v>28</v>
      </c>
      <c r="H292">
        <v>488.15</v>
      </c>
      <c r="I292">
        <v>2461.2399999999998</v>
      </c>
      <c r="J292">
        <v>3.87</v>
      </c>
      <c r="K292">
        <v>5.17</v>
      </c>
      <c r="L292">
        <v>17.43</v>
      </c>
      <c r="M292">
        <v>5.04</v>
      </c>
      <c r="N292">
        <v>1973.09</v>
      </c>
    </row>
    <row r="293" spans="1:14" x14ac:dyDescent="0.2">
      <c r="A293" s="1">
        <v>45498</v>
      </c>
      <c r="B293" s="2" t="s">
        <v>23</v>
      </c>
      <c r="C293" s="2" t="s">
        <v>21</v>
      </c>
      <c r="D293" s="2" t="s">
        <v>22</v>
      </c>
      <c r="E293">
        <v>3383</v>
      </c>
      <c r="F293">
        <v>77</v>
      </c>
      <c r="G293">
        <v>7</v>
      </c>
      <c r="H293">
        <v>1031.71</v>
      </c>
      <c r="I293">
        <v>1877.97</v>
      </c>
      <c r="J293">
        <v>2.2799999999999998</v>
      </c>
      <c r="K293">
        <v>9.09</v>
      </c>
      <c r="L293">
        <v>147.38999999999999</v>
      </c>
      <c r="M293">
        <v>1.82</v>
      </c>
      <c r="N293">
        <v>846.26</v>
      </c>
    </row>
    <row r="294" spans="1:14" x14ac:dyDescent="0.2">
      <c r="A294" s="1">
        <v>45498</v>
      </c>
      <c r="B294" s="2" t="s">
        <v>24</v>
      </c>
      <c r="C294" s="2" t="s">
        <v>15</v>
      </c>
      <c r="D294" s="2" t="s">
        <v>25</v>
      </c>
      <c r="E294">
        <v>19443</v>
      </c>
      <c r="F294">
        <v>4853</v>
      </c>
      <c r="G294">
        <v>602</v>
      </c>
      <c r="H294">
        <v>99.87</v>
      </c>
      <c r="I294">
        <v>62763.38</v>
      </c>
      <c r="J294">
        <v>24.96</v>
      </c>
      <c r="K294">
        <v>12.4</v>
      </c>
      <c r="L294">
        <v>0.17</v>
      </c>
      <c r="M294">
        <v>628.45000000000005</v>
      </c>
      <c r="N294">
        <v>62663.51</v>
      </c>
    </row>
    <row r="295" spans="1:14" x14ac:dyDescent="0.2">
      <c r="A295" s="1">
        <v>45498</v>
      </c>
      <c r="B295" s="2" t="s">
        <v>26</v>
      </c>
      <c r="C295" s="2" t="s">
        <v>28</v>
      </c>
      <c r="D295" s="2" t="s">
        <v>16</v>
      </c>
      <c r="E295">
        <v>23817</v>
      </c>
      <c r="F295">
        <v>991</v>
      </c>
      <c r="G295">
        <v>128</v>
      </c>
      <c r="H295">
        <v>0</v>
      </c>
      <c r="I295">
        <v>13525.73</v>
      </c>
      <c r="J295">
        <v>4.16</v>
      </c>
      <c r="K295">
        <v>12.92</v>
      </c>
      <c r="L295">
        <v>0</v>
      </c>
      <c r="M295">
        <v>0</v>
      </c>
      <c r="N295">
        <v>13525.73</v>
      </c>
    </row>
    <row r="296" spans="1:14" x14ac:dyDescent="0.2">
      <c r="A296" s="1">
        <v>45498</v>
      </c>
      <c r="B296" s="2" t="s">
        <v>27</v>
      </c>
      <c r="C296" s="2" t="s">
        <v>32</v>
      </c>
      <c r="D296" s="2" t="s">
        <v>22</v>
      </c>
      <c r="E296">
        <v>28026</v>
      </c>
      <c r="F296">
        <v>336</v>
      </c>
      <c r="G296">
        <v>7</v>
      </c>
      <c r="H296">
        <v>840.66</v>
      </c>
      <c r="I296">
        <v>737.05</v>
      </c>
      <c r="J296">
        <v>1.2</v>
      </c>
      <c r="K296">
        <v>2.08</v>
      </c>
      <c r="L296">
        <v>120.09</v>
      </c>
      <c r="M296">
        <v>0.88</v>
      </c>
      <c r="N296">
        <v>-103.61</v>
      </c>
    </row>
    <row r="297" spans="1:14" x14ac:dyDescent="0.2">
      <c r="A297" s="1">
        <v>45498</v>
      </c>
      <c r="B297" s="2" t="s">
        <v>29</v>
      </c>
      <c r="C297" s="2" t="s">
        <v>18</v>
      </c>
      <c r="D297" s="2" t="s">
        <v>36</v>
      </c>
      <c r="E297">
        <v>20536</v>
      </c>
      <c r="F297">
        <v>521</v>
      </c>
      <c r="G297">
        <v>34</v>
      </c>
      <c r="H297">
        <v>1028.18</v>
      </c>
      <c r="I297">
        <v>3604.08</v>
      </c>
      <c r="J297">
        <v>2.54</v>
      </c>
      <c r="K297">
        <v>6.53</v>
      </c>
      <c r="L297">
        <v>30.24</v>
      </c>
      <c r="M297">
        <v>3.51</v>
      </c>
      <c r="N297">
        <v>2575.9</v>
      </c>
    </row>
    <row r="298" spans="1:14" x14ac:dyDescent="0.2">
      <c r="A298" s="1">
        <v>45498</v>
      </c>
      <c r="B298" s="2" t="s">
        <v>30</v>
      </c>
      <c r="C298" s="2" t="s">
        <v>21</v>
      </c>
      <c r="D298" s="2" t="s">
        <v>36</v>
      </c>
      <c r="E298">
        <v>7295</v>
      </c>
      <c r="F298">
        <v>177</v>
      </c>
      <c r="G298">
        <v>9</v>
      </c>
      <c r="H298">
        <v>442.7</v>
      </c>
      <c r="I298">
        <v>887.21</v>
      </c>
      <c r="J298">
        <v>2.4300000000000002</v>
      </c>
      <c r="K298">
        <v>5.08</v>
      </c>
      <c r="L298">
        <v>49.19</v>
      </c>
      <c r="M298">
        <v>2</v>
      </c>
      <c r="N298">
        <v>444.51</v>
      </c>
    </row>
    <row r="299" spans="1:14" x14ac:dyDescent="0.2">
      <c r="A299" s="1">
        <v>45498</v>
      </c>
      <c r="B299" s="2" t="s">
        <v>31</v>
      </c>
      <c r="C299" s="2" t="s">
        <v>15</v>
      </c>
      <c r="D299" s="2" t="s">
        <v>25</v>
      </c>
      <c r="E299">
        <v>18516</v>
      </c>
      <c r="F299">
        <v>463</v>
      </c>
      <c r="G299">
        <v>22</v>
      </c>
      <c r="H299">
        <v>592.11</v>
      </c>
      <c r="I299">
        <v>2157.79</v>
      </c>
      <c r="J299">
        <v>2.5</v>
      </c>
      <c r="K299">
        <v>4.75</v>
      </c>
      <c r="L299">
        <v>26.91</v>
      </c>
      <c r="M299">
        <v>3.64</v>
      </c>
      <c r="N299">
        <v>1565.68</v>
      </c>
    </row>
    <row r="300" spans="1:14" x14ac:dyDescent="0.2">
      <c r="A300" s="1">
        <v>45498</v>
      </c>
      <c r="B300" s="2" t="s">
        <v>33</v>
      </c>
      <c r="C300" s="2" t="s">
        <v>32</v>
      </c>
      <c r="D300" s="2" t="s">
        <v>25</v>
      </c>
      <c r="E300">
        <v>5020</v>
      </c>
      <c r="F300">
        <v>343</v>
      </c>
      <c r="G300">
        <v>37</v>
      </c>
      <c r="H300">
        <v>532.02</v>
      </c>
      <c r="I300">
        <v>4808.28</v>
      </c>
      <c r="J300">
        <v>6.83</v>
      </c>
      <c r="K300">
        <v>10.79</v>
      </c>
      <c r="L300">
        <v>14.38</v>
      </c>
      <c r="M300">
        <v>9.0399999999999991</v>
      </c>
      <c r="N300">
        <v>4276.26</v>
      </c>
    </row>
    <row r="301" spans="1:14" x14ac:dyDescent="0.2">
      <c r="A301" s="1">
        <v>45498</v>
      </c>
      <c r="B301" s="2" t="s">
        <v>34</v>
      </c>
      <c r="C301" s="2" t="s">
        <v>35</v>
      </c>
      <c r="D301" s="2" t="s">
        <v>36</v>
      </c>
      <c r="E301">
        <v>4412</v>
      </c>
      <c r="F301">
        <v>226</v>
      </c>
      <c r="G301">
        <v>32</v>
      </c>
      <c r="H301">
        <v>161.13999999999999</v>
      </c>
      <c r="I301">
        <v>4622.92</v>
      </c>
      <c r="J301">
        <v>5.12</v>
      </c>
      <c r="K301">
        <v>14.16</v>
      </c>
      <c r="L301">
        <v>5.04</v>
      </c>
      <c r="M301">
        <v>28.69</v>
      </c>
      <c r="N301">
        <v>4461.78</v>
      </c>
    </row>
    <row r="302" spans="1:14" x14ac:dyDescent="0.2">
      <c r="A302" s="1">
        <v>45499</v>
      </c>
      <c r="B302" s="2" t="s">
        <v>14</v>
      </c>
      <c r="C302" s="2" t="s">
        <v>32</v>
      </c>
      <c r="D302" s="2" t="s">
        <v>25</v>
      </c>
      <c r="E302">
        <v>10513</v>
      </c>
      <c r="F302">
        <v>332</v>
      </c>
      <c r="G302">
        <v>31</v>
      </c>
      <c r="H302">
        <v>987.78</v>
      </c>
      <c r="I302">
        <v>5590.34</v>
      </c>
      <c r="J302">
        <v>3.16</v>
      </c>
      <c r="K302">
        <v>9.34</v>
      </c>
      <c r="L302">
        <v>31.86</v>
      </c>
      <c r="M302">
        <v>5.66</v>
      </c>
      <c r="N302">
        <v>4602.5600000000004</v>
      </c>
    </row>
    <row r="303" spans="1:14" x14ac:dyDescent="0.2">
      <c r="A303" s="1">
        <v>45499</v>
      </c>
      <c r="B303" s="2" t="s">
        <v>17</v>
      </c>
      <c r="C303" s="2" t="s">
        <v>28</v>
      </c>
      <c r="D303" s="2" t="s">
        <v>25</v>
      </c>
      <c r="E303">
        <v>12367</v>
      </c>
      <c r="F303">
        <v>453</v>
      </c>
      <c r="G303">
        <v>30</v>
      </c>
      <c r="H303">
        <v>511.59</v>
      </c>
      <c r="I303">
        <v>3880.53</v>
      </c>
      <c r="J303">
        <v>3.66</v>
      </c>
      <c r="K303">
        <v>6.62</v>
      </c>
      <c r="L303">
        <v>17.05</v>
      </c>
      <c r="M303">
        <v>7.59</v>
      </c>
      <c r="N303">
        <v>3368.94</v>
      </c>
    </row>
    <row r="304" spans="1:14" x14ac:dyDescent="0.2">
      <c r="A304" s="1">
        <v>45499</v>
      </c>
      <c r="B304" s="2" t="s">
        <v>20</v>
      </c>
      <c r="C304" s="2" t="s">
        <v>28</v>
      </c>
      <c r="D304" s="2" t="s">
        <v>22</v>
      </c>
      <c r="E304">
        <v>12249</v>
      </c>
      <c r="F304">
        <v>437</v>
      </c>
      <c r="G304">
        <v>31</v>
      </c>
      <c r="H304">
        <v>570.45000000000005</v>
      </c>
      <c r="I304">
        <v>2435.4699999999998</v>
      </c>
      <c r="J304">
        <v>3.57</v>
      </c>
      <c r="K304">
        <v>7.09</v>
      </c>
      <c r="L304">
        <v>18.399999999999999</v>
      </c>
      <c r="M304">
        <v>4.2699999999999996</v>
      </c>
      <c r="N304">
        <v>1865.02</v>
      </c>
    </row>
    <row r="305" spans="1:14" x14ac:dyDescent="0.2">
      <c r="A305" s="1">
        <v>45499</v>
      </c>
      <c r="B305" s="2" t="s">
        <v>23</v>
      </c>
      <c r="C305" s="2" t="s">
        <v>15</v>
      </c>
      <c r="D305" s="2" t="s">
        <v>36</v>
      </c>
      <c r="E305">
        <v>3902</v>
      </c>
      <c r="F305">
        <v>105</v>
      </c>
      <c r="G305">
        <v>11</v>
      </c>
      <c r="H305">
        <v>928.5</v>
      </c>
      <c r="I305">
        <v>3209.95</v>
      </c>
      <c r="J305">
        <v>2.69</v>
      </c>
      <c r="K305">
        <v>10.48</v>
      </c>
      <c r="L305">
        <v>84.41</v>
      </c>
      <c r="M305">
        <v>3.46</v>
      </c>
      <c r="N305">
        <v>2281.4499999999998</v>
      </c>
    </row>
    <row r="306" spans="1:14" x14ac:dyDescent="0.2">
      <c r="A306" s="1">
        <v>45499</v>
      </c>
      <c r="B306" s="2" t="s">
        <v>24</v>
      </c>
      <c r="C306" s="2" t="s">
        <v>28</v>
      </c>
      <c r="D306" s="2" t="s">
        <v>19</v>
      </c>
      <c r="E306">
        <v>16226</v>
      </c>
      <c r="F306">
        <v>4022</v>
      </c>
      <c r="G306">
        <v>378</v>
      </c>
      <c r="H306">
        <v>113.65</v>
      </c>
      <c r="I306">
        <v>48851.99</v>
      </c>
      <c r="J306">
        <v>24.79</v>
      </c>
      <c r="K306">
        <v>9.4</v>
      </c>
      <c r="L306">
        <v>0.3</v>
      </c>
      <c r="M306">
        <v>429.85</v>
      </c>
      <c r="N306">
        <v>48738.34</v>
      </c>
    </row>
    <row r="307" spans="1:14" x14ac:dyDescent="0.2">
      <c r="A307" s="1">
        <v>45499</v>
      </c>
      <c r="B307" s="2" t="s">
        <v>26</v>
      </c>
      <c r="C307" s="2" t="s">
        <v>21</v>
      </c>
      <c r="D307" s="2" t="s">
        <v>19</v>
      </c>
      <c r="E307">
        <v>18102</v>
      </c>
      <c r="F307">
        <v>938</v>
      </c>
      <c r="G307">
        <v>109</v>
      </c>
      <c r="H307">
        <v>0</v>
      </c>
      <c r="I307">
        <v>16404.11</v>
      </c>
      <c r="J307">
        <v>5.18</v>
      </c>
      <c r="K307">
        <v>11.62</v>
      </c>
      <c r="L307">
        <v>0</v>
      </c>
      <c r="M307">
        <v>0</v>
      </c>
      <c r="N307">
        <v>16404.11</v>
      </c>
    </row>
    <row r="308" spans="1:14" x14ac:dyDescent="0.2">
      <c r="A308" s="1">
        <v>45499</v>
      </c>
      <c r="B308" s="2" t="s">
        <v>27</v>
      </c>
      <c r="C308" s="2" t="s">
        <v>32</v>
      </c>
      <c r="D308" s="2" t="s">
        <v>36</v>
      </c>
      <c r="E308">
        <v>28740</v>
      </c>
      <c r="F308">
        <v>451</v>
      </c>
      <c r="G308">
        <v>21</v>
      </c>
      <c r="H308">
        <v>863.35</v>
      </c>
      <c r="I308">
        <v>1846.21</v>
      </c>
      <c r="J308">
        <v>1.57</v>
      </c>
      <c r="K308">
        <v>4.66</v>
      </c>
      <c r="L308">
        <v>41.11</v>
      </c>
      <c r="M308">
        <v>2.14</v>
      </c>
      <c r="N308">
        <v>982.86</v>
      </c>
    </row>
    <row r="309" spans="1:14" x14ac:dyDescent="0.2">
      <c r="A309" s="1">
        <v>45499</v>
      </c>
      <c r="B309" s="2" t="s">
        <v>29</v>
      </c>
      <c r="C309" s="2" t="s">
        <v>15</v>
      </c>
      <c r="D309" s="2" t="s">
        <v>22</v>
      </c>
      <c r="E309">
        <v>20198</v>
      </c>
      <c r="F309">
        <v>440</v>
      </c>
      <c r="G309">
        <v>17</v>
      </c>
      <c r="H309">
        <v>697.78</v>
      </c>
      <c r="I309">
        <v>1634.72</v>
      </c>
      <c r="J309">
        <v>2.1800000000000002</v>
      </c>
      <c r="K309">
        <v>3.86</v>
      </c>
      <c r="L309">
        <v>41.05</v>
      </c>
      <c r="M309">
        <v>2.34</v>
      </c>
      <c r="N309">
        <v>936.94</v>
      </c>
    </row>
    <row r="310" spans="1:14" x14ac:dyDescent="0.2">
      <c r="A310" s="1">
        <v>45499</v>
      </c>
      <c r="B310" s="2" t="s">
        <v>30</v>
      </c>
      <c r="C310" s="2" t="s">
        <v>35</v>
      </c>
      <c r="D310" s="2" t="s">
        <v>36</v>
      </c>
      <c r="E310">
        <v>7526</v>
      </c>
      <c r="F310">
        <v>260</v>
      </c>
      <c r="G310">
        <v>12</v>
      </c>
      <c r="H310">
        <v>670.45</v>
      </c>
      <c r="I310">
        <v>1227.19</v>
      </c>
      <c r="J310">
        <v>3.45</v>
      </c>
      <c r="K310">
        <v>4.62</v>
      </c>
      <c r="L310">
        <v>55.87</v>
      </c>
      <c r="M310">
        <v>1.83</v>
      </c>
      <c r="N310">
        <v>556.74</v>
      </c>
    </row>
    <row r="311" spans="1:14" x14ac:dyDescent="0.2">
      <c r="A311" s="1">
        <v>45499</v>
      </c>
      <c r="B311" s="2" t="s">
        <v>31</v>
      </c>
      <c r="C311" s="2" t="s">
        <v>18</v>
      </c>
      <c r="D311" s="2" t="s">
        <v>19</v>
      </c>
      <c r="E311">
        <v>21072</v>
      </c>
      <c r="F311">
        <v>935</v>
      </c>
      <c r="G311">
        <v>33</v>
      </c>
      <c r="H311">
        <v>751.53</v>
      </c>
      <c r="I311">
        <v>3514.98</v>
      </c>
      <c r="J311">
        <v>4.4400000000000004</v>
      </c>
      <c r="K311">
        <v>3.53</v>
      </c>
      <c r="L311">
        <v>22.77</v>
      </c>
      <c r="M311">
        <v>4.68</v>
      </c>
      <c r="N311">
        <v>2763.45</v>
      </c>
    </row>
    <row r="312" spans="1:14" x14ac:dyDescent="0.2">
      <c r="A312" s="1">
        <v>45499</v>
      </c>
      <c r="B312" s="2" t="s">
        <v>33</v>
      </c>
      <c r="C312" s="2" t="s">
        <v>21</v>
      </c>
      <c r="D312" s="2" t="s">
        <v>19</v>
      </c>
      <c r="E312">
        <v>8237</v>
      </c>
      <c r="F312">
        <v>453</v>
      </c>
      <c r="G312">
        <v>50</v>
      </c>
      <c r="H312">
        <v>333.94</v>
      </c>
      <c r="I312">
        <v>6389</v>
      </c>
      <c r="J312">
        <v>5.5</v>
      </c>
      <c r="K312">
        <v>11.04</v>
      </c>
      <c r="L312">
        <v>6.68</v>
      </c>
      <c r="M312">
        <v>19.13</v>
      </c>
      <c r="N312">
        <v>6055.06</v>
      </c>
    </row>
    <row r="313" spans="1:14" x14ac:dyDescent="0.2">
      <c r="A313" s="1">
        <v>45499</v>
      </c>
      <c r="B313" s="2" t="s">
        <v>34</v>
      </c>
      <c r="C313" s="2" t="s">
        <v>35</v>
      </c>
      <c r="D313" s="2" t="s">
        <v>19</v>
      </c>
      <c r="E313">
        <v>3212</v>
      </c>
      <c r="F313">
        <v>255</v>
      </c>
      <c r="G313">
        <v>35</v>
      </c>
      <c r="H313">
        <v>98.32</v>
      </c>
      <c r="I313">
        <v>5385.4</v>
      </c>
      <c r="J313">
        <v>7.94</v>
      </c>
      <c r="K313">
        <v>13.73</v>
      </c>
      <c r="L313">
        <v>2.81</v>
      </c>
      <c r="M313">
        <v>54.77</v>
      </c>
      <c r="N313">
        <v>5287.08</v>
      </c>
    </row>
    <row r="314" spans="1:14" x14ac:dyDescent="0.2">
      <c r="A314" s="1">
        <v>45500</v>
      </c>
      <c r="B314" s="2" t="s">
        <v>14</v>
      </c>
      <c r="C314" s="2" t="s">
        <v>32</v>
      </c>
      <c r="D314" s="2" t="s">
        <v>16</v>
      </c>
      <c r="E314">
        <v>8421</v>
      </c>
      <c r="F314">
        <v>383</v>
      </c>
      <c r="G314">
        <v>41</v>
      </c>
      <c r="H314">
        <v>749.16</v>
      </c>
      <c r="I314">
        <v>5290.6</v>
      </c>
      <c r="J314">
        <v>4.55</v>
      </c>
      <c r="K314">
        <v>10.7</v>
      </c>
      <c r="L314">
        <v>18.27</v>
      </c>
      <c r="M314">
        <v>7.06</v>
      </c>
      <c r="N314">
        <v>4541.4399999999996</v>
      </c>
    </row>
    <row r="315" spans="1:14" x14ac:dyDescent="0.2">
      <c r="A315" s="1">
        <v>45500</v>
      </c>
      <c r="B315" s="2" t="s">
        <v>17</v>
      </c>
      <c r="C315" s="2" t="s">
        <v>21</v>
      </c>
      <c r="D315" s="2" t="s">
        <v>22</v>
      </c>
      <c r="E315">
        <v>9863</v>
      </c>
      <c r="F315">
        <v>242</v>
      </c>
      <c r="G315">
        <v>12</v>
      </c>
      <c r="H315">
        <v>685.4</v>
      </c>
      <c r="I315">
        <v>1388.38</v>
      </c>
      <c r="J315">
        <v>2.4500000000000002</v>
      </c>
      <c r="K315">
        <v>4.96</v>
      </c>
      <c r="L315">
        <v>57.12</v>
      </c>
      <c r="M315">
        <v>2.0299999999999998</v>
      </c>
      <c r="N315">
        <v>702.98</v>
      </c>
    </row>
    <row r="316" spans="1:14" x14ac:dyDescent="0.2">
      <c r="A316" s="1">
        <v>45500</v>
      </c>
      <c r="B316" s="2" t="s">
        <v>20</v>
      </c>
      <c r="C316" s="2" t="s">
        <v>21</v>
      </c>
      <c r="D316" s="2" t="s">
        <v>36</v>
      </c>
      <c r="E316">
        <v>6973</v>
      </c>
      <c r="F316">
        <v>192</v>
      </c>
      <c r="G316">
        <v>8</v>
      </c>
      <c r="H316">
        <v>390.1</v>
      </c>
      <c r="I316">
        <v>861.96</v>
      </c>
      <c r="J316">
        <v>2.75</v>
      </c>
      <c r="K316">
        <v>4.17</v>
      </c>
      <c r="L316">
        <v>48.76</v>
      </c>
      <c r="M316">
        <v>2.21</v>
      </c>
      <c r="N316">
        <v>471.86</v>
      </c>
    </row>
    <row r="317" spans="1:14" x14ac:dyDescent="0.2">
      <c r="A317" s="1">
        <v>45500</v>
      </c>
      <c r="B317" s="2" t="s">
        <v>23</v>
      </c>
      <c r="C317" s="2" t="s">
        <v>15</v>
      </c>
      <c r="D317" s="2" t="s">
        <v>22</v>
      </c>
      <c r="E317">
        <v>3474</v>
      </c>
      <c r="F317">
        <v>77</v>
      </c>
      <c r="G317">
        <v>10</v>
      </c>
      <c r="H317">
        <v>1045.3499999999999</v>
      </c>
      <c r="I317">
        <v>2246.35</v>
      </c>
      <c r="J317">
        <v>2.2200000000000002</v>
      </c>
      <c r="K317">
        <v>12.99</v>
      </c>
      <c r="L317">
        <v>104.54</v>
      </c>
      <c r="M317">
        <v>2.15</v>
      </c>
      <c r="N317">
        <v>1201</v>
      </c>
    </row>
    <row r="318" spans="1:14" x14ac:dyDescent="0.2">
      <c r="A318" s="1">
        <v>45500</v>
      </c>
      <c r="B318" s="2" t="s">
        <v>24</v>
      </c>
      <c r="C318" s="2" t="s">
        <v>15</v>
      </c>
      <c r="D318" s="2" t="s">
        <v>22</v>
      </c>
      <c r="E318">
        <v>11097</v>
      </c>
      <c r="F318">
        <v>1793</v>
      </c>
      <c r="G318">
        <v>233</v>
      </c>
      <c r="H318">
        <v>151.91999999999999</v>
      </c>
      <c r="I318">
        <v>30264.59</v>
      </c>
      <c r="J318">
        <v>16.16</v>
      </c>
      <c r="K318">
        <v>12.99</v>
      </c>
      <c r="L318">
        <v>0.65</v>
      </c>
      <c r="M318">
        <v>199.21</v>
      </c>
      <c r="N318">
        <v>30112.67</v>
      </c>
    </row>
    <row r="319" spans="1:14" x14ac:dyDescent="0.2">
      <c r="A319" s="1">
        <v>45500</v>
      </c>
      <c r="B319" s="2" t="s">
        <v>26</v>
      </c>
      <c r="C319" s="2" t="s">
        <v>18</v>
      </c>
      <c r="D319" s="2" t="s">
        <v>36</v>
      </c>
      <c r="E319">
        <v>12150</v>
      </c>
      <c r="F319">
        <v>932</v>
      </c>
      <c r="G319">
        <v>97</v>
      </c>
      <c r="H319">
        <v>0</v>
      </c>
      <c r="I319">
        <v>13237.05</v>
      </c>
      <c r="J319">
        <v>7.67</v>
      </c>
      <c r="K319">
        <v>10.41</v>
      </c>
      <c r="L319">
        <v>0</v>
      </c>
      <c r="M319">
        <v>0</v>
      </c>
      <c r="N319">
        <v>13237.05</v>
      </c>
    </row>
    <row r="320" spans="1:14" x14ac:dyDescent="0.2">
      <c r="A320" s="1">
        <v>45500</v>
      </c>
      <c r="B320" s="2" t="s">
        <v>27</v>
      </c>
      <c r="C320" s="2" t="s">
        <v>28</v>
      </c>
      <c r="D320" s="2" t="s">
        <v>19</v>
      </c>
      <c r="E320">
        <v>20988</v>
      </c>
      <c r="F320">
        <v>281</v>
      </c>
      <c r="G320">
        <v>8</v>
      </c>
      <c r="H320">
        <v>503.22</v>
      </c>
      <c r="I320">
        <v>817.55</v>
      </c>
      <c r="J320">
        <v>1.34</v>
      </c>
      <c r="K320">
        <v>2.85</v>
      </c>
      <c r="L320">
        <v>62.9</v>
      </c>
      <c r="M320">
        <v>1.62</v>
      </c>
      <c r="N320">
        <v>314.33</v>
      </c>
    </row>
    <row r="321" spans="1:14" x14ac:dyDescent="0.2">
      <c r="A321" s="1">
        <v>45500</v>
      </c>
      <c r="B321" s="2" t="s">
        <v>29</v>
      </c>
      <c r="C321" s="2" t="s">
        <v>32</v>
      </c>
      <c r="D321" s="2" t="s">
        <v>36</v>
      </c>
      <c r="E321">
        <v>11669</v>
      </c>
      <c r="F321">
        <v>177</v>
      </c>
      <c r="G321">
        <v>9</v>
      </c>
      <c r="H321">
        <v>741.19</v>
      </c>
      <c r="I321">
        <v>974.02</v>
      </c>
      <c r="J321">
        <v>1.52</v>
      </c>
      <c r="K321">
        <v>5.08</v>
      </c>
      <c r="L321">
        <v>82.35</v>
      </c>
      <c r="M321">
        <v>1.31</v>
      </c>
      <c r="N321">
        <v>232.83</v>
      </c>
    </row>
    <row r="322" spans="1:14" x14ac:dyDescent="0.2">
      <c r="A322" s="1">
        <v>45500</v>
      </c>
      <c r="B322" s="2" t="s">
        <v>30</v>
      </c>
      <c r="C322" s="2" t="s">
        <v>28</v>
      </c>
      <c r="D322" s="2" t="s">
        <v>16</v>
      </c>
      <c r="E322">
        <v>7110</v>
      </c>
      <c r="F322">
        <v>163</v>
      </c>
      <c r="G322">
        <v>7</v>
      </c>
      <c r="H322">
        <v>331.07</v>
      </c>
      <c r="I322">
        <v>638.67999999999995</v>
      </c>
      <c r="J322">
        <v>2.29</v>
      </c>
      <c r="K322">
        <v>4.29</v>
      </c>
      <c r="L322">
        <v>47.3</v>
      </c>
      <c r="M322">
        <v>1.93</v>
      </c>
      <c r="N322">
        <v>307.61</v>
      </c>
    </row>
    <row r="323" spans="1:14" x14ac:dyDescent="0.2">
      <c r="A323" s="1">
        <v>45500</v>
      </c>
      <c r="B323" s="2" t="s">
        <v>31</v>
      </c>
      <c r="C323" s="2" t="s">
        <v>21</v>
      </c>
      <c r="D323" s="2" t="s">
        <v>36</v>
      </c>
      <c r="E323">
        <v>14090</v>
      </c>
      <c r="F323">
        <v>368</v>
      </c>
      <c r="G323">
        <v>16</v>
      </c>
      <c r="H323">
        <v>625.70000000000005</v>
      </c>
      <c r="I323">
        <v>1228.82</v>
      </c>
      <c r="J323">
        <v>2.61</v>
      </c>
      <c r="K323">
        <v>4.3499999999999996</v>
      </c>
      <c r="L323">
        <v>39.11</v>
      </c>
      <c r="M323">
        <v>1.96</v>
      </c>
      <c r="N323">
        <v>603.12</v>
      </c>
    </row>
    <row r="324" spans="1:14" x14ac:dyDescent="0.2">
      <c r="A324" s="1">
        <v>45500</v>
      </c>
      <c r="B324" s="2" t="s">
        <v>33</v>
      </c>
      <c r="C324" s="2" t="s">
        <v>28</v>
      </c>
      <c r="D324" s="2" t="s">
        <v>25</v>
      </c>
      <c r="E324">
        <v>5020</v>
      </c>
      <c r="F324">
        <v>201</v>
      </c>
      <c r="G324">
        <v>20</v>
      </c>
      <c r="H324">
        <v>263.93</v>
      </c>
      <c r="I324">
        <v>2440.0700000000002</v>
      </c>
      <c r="J324">
        <v>4</v>
      </c>
      <c r="K324">
        <v>9.9499999999999993</v>
      </c>
      <c r="L324">
        <v>13.2</v>
      </c>
      <c r="M324">
        <v>9.25</v>
      </c>
      <c r="N324">
        <v>2176.14</v>
      </c>
    </row>
    <row r="325" spans="1:14" x14ac:dyDescent="0.2">
      <c r="A325" s="1">
        <v>45500</v>
      </c>
      <c r="B325" s="2" t="s">
        <v>34</v>
      </c>
      <c r="C325" s="2" t="s">
        <v>15</v>
      </c>
      <c r="D325" s="2" t="s">
        <v>16</v>
      </c>
      <c r="E325">
        <v>2356</v>
      </c>
      <c r="F325">
        <v>146</v>
      </c>
      <c r="G325">
        <v>19</v>
      </c>
      <c r="H325">
        <v>117.06</v>
      </c>
      <c r="I325">
        <v>3311.9</v>
      </c>
      <c r="J325">
        <v>6.2</v>
      </c>
      <c r="K325">
        <v>13.01</v>
      </c>
      <c r="L325">
        <v>6.16</v>
      </c>
      <c r="M325">
        <v>28.29</v>
      </c>
      <c r="N325">
        <v>3194.84</v>
      </c>
    </row>
    <row r="326" spans="1:14" x14ac:dyDescent="0.2">
      <c r="A326" s="1">
        <v>45501</v>
      </c>
      <c r="B326" s="2" t="s">
        <v>14</v>
      </c>
      <c r="C326" s="2" t="s">
        <v>32</v>
      </c>
      <c r="D326" s="2" t="s">
        <v>36</v>
      </c>
      <c r="E326">
        <v>5952</v>
      </c>
      <c r="F326">
        <v>278</v>
      </c>
      <c r="G326">
        <v>29</v>
      </c>
      <c r="H326">
        <v>687.49</v>
      </c>
      <c r="I326">
        <v>4945.29</v>
      </c>
      <c r="J326">
        <v>4.67</v>
      </c>
      <c r="K326">
        <v>10.43</v>
      </c>
      <c r="L326">
        <v>23.71</v>
      </c>
      <c r="M326">
        <v>7.19</v>
      </c>
      <c r="N326">
        <v>4257.8</v>
      </c>
    </row>
    <row r="327" spans="1:14" x14ac:dyDescent="0.2">
      <c r="A327" s="1">
        <v>45501</v>
      </c>
      <c r="B327" s="2" t="s">
        <v>17</v>
      </c>
      <c r="C327" s="2" t="s">
        <v>28</v>
      </c>
      <c r="D327" s="2" t="s">
        <v>16</v>
      </c>
      <c r="E327">
        <v>8294</v>
      </c>
      <c r="F327">
        <v>183</v>
      </c>
      <c r="G327">
        <v>16</v>
      </c>
      <c r="H327">
        <v>561.89</v>
      </c>
      <c r="I327">
        <v>1664.36</v>
      </c>
      <c r="J327">
        <v>2.21</v>
      </c>
      <c r="K327">
        <v>8.74</v>
      </c>
      <c r="L327">
        <v>35.119999999999997</v>
      </c>
      <c r="M327">
        <v>2.96</v>
      </c>
      <c r="N327">
        <v>1102.47</v>
      </c>
    </row>
    <row r="328" spans="1:14" x14ac:dyDescent="0.2">
      <c r="A328" s="1">
        <v>45501</v>
      </c>
      <c r="B328" s="2" t="s">
        <v>20</v>
      </c>
      <c r="C328" s="2" t="s">
        <v>35</v>
      </c>
      <c r="D328" s="2" t="s">
        <v>19</v>
      </c>
      <c r="E328">
        <v>9387</v>
      </c>
      <c r="F328">
        <v>237</v>
      </c>
      <c r="G328">
        <v>13</v>
      </c>
      <c r="H328">
        <v>567.58000000000004</v>
      </c>
      <c r="I328">
        <v>1191.44</v>
      </c>
      <c r="J328">
        <v>2.52</v>
      </c>
      <c r="K328">
        <v>5.49</v>
      </c>
      <c r="L328">
        <v>43.66</v>
      </c>
      <c r="M328">
        <v>2.1</v>
      </c>
      <c r="N328">
        <v>623.86</v>
      </c>
    </row>
    <row r="329" spans="1:14" x14ac:dyDescent="0.2">
      <c r="A329" s="1">
        <v>45501</v>
      </c>
      <c r="B329" s="2" t="s">
        <v>23</v>
      </c>
      <c r="C329" s="2" t="s">
        <v>28</v>
      </c>
      <c r="D329" s="2" t="s">
        <v>36</v>
      </c>
      <c r="E329">
        <v>2996</v>
      </c>
      <c r="F329">
        <v>54</v>
      </c>
      <c r="G329">
        <v>6</v>
      </c>
      <c r="H329">
        <v>893.37</v>
      </c>
      <c r="I329">
        <v>1899.18</v>
      </c>
      <c r="J329">
        <v>1.8</v>
      </c>
      <c r="K329">
        <v>11.11</v>
      </c>
      <c r="L329">
        <v>148.9</v>
      </c>
      <c r="M329">
        <v>2.13</v>
      </c>
      <c r="N329">
        <v>1005.81</v>
      </c>
    </row>
    <row r="330" spans="1:14" x14ac:dyDescent="0.2">
      <c r="A330" s="1">
        <v>45501</v>
      </c>
      <c r="B330" s="2" t="s">
        <v>24</v>
      </c>
      <c r="C330" s="2" t="s">
        <v>32</v>
      </c>
      <c r="D330" s="2" t="s">
        <v>25</v>
      </c>
      <c r="E330">
        <v>14142</v>
      </c>
      <c r="F330">
        <v>2340</v>
      </c>
      <c r="G330">
        <v>245</v>
      </c>
      <c r="H330">
        <v>134.36000000000001</v>
      </c>
      <c r="I330">
        <v>38193.449999999997</v>
      </c>
      <c r="J330">
        <v>16.55</v>
      </c>
      <c r="K330">
        <v>10.47</v>
      </c>
      <c r="L330">
        <v>0.55000000000000004</v>
      </c>
      <c r="M330">
        <v>284.26</v>
      </c>
      <c r="N330">
        <v>38059.089999999997</v>
      </c>
    </row>
    <row r="331" spans="1:14" x14ac:dyDescent="0.2">
      <c r="A331" s="1">
        <v>45501</v>
      </c>
      <c r="B331" s="2" t="s">
        <v>26</v>
      </c>
      <c r="C331" s="2" t="s">
        <v>32</v>
      </c>
      <c r="D331" s="2" t="s">
        <v>22</v>
      </c>
      <c r="E331">
        <v>18113</v>
      </c>
      <c r="F331">
        <v>1122</v>
      </c>
      <c r="G331">
        <v>161</v>
      </c>
      <c r="H331">
        <v>0</v>
      </c>
      <c r="I331">
        <v>19370.62</v>
      </c>
      <c r="J331">
        <v>6.19</v>
      </c>
      <c r="K331">
        <v>14.35</v>
      </c>
      <c r="L331">
        <v>0</v>
      </c>
      <c r="M331">
        <v>0</v>
      </c>
      <c r="N331">
        <v>19370.62</v>
      </c>
    </row>
    <row r="332" spans="1:14" x14ac:dyDescent="0.2">
      <c r="A332" s="1">
        <v>45501</v>
      </c>
      <c r="B332" s="2" t="s">
        <v>27</v>
      </c>
      <c r="C332" s="2" t="s">
        <v>28</v>
      </c>
      <c r="D332" s="2" t="s">
        <v>22</v>
      </c>
      <c r="E332">
        <v>16316</v>
      </c>
      <c r="F332">
        <v>282</v>
      </c>
      <c r="G332">
        <v>6</v>
      </c>
      <c r="H332">
        <v>758.03</v>
      </c>
      <c r="I332">
        <v>538.20000000000005</v>
      </c>
      <c r="J332">
        <v>1.73</v>
      </c>
      <c r="K332">
        <v>2.13</v>
      </c>
      <c r="L332">
        <v>126.34</v>
      </c>
      <c r="M332">
        <v>0.71</v>
      </c>
      <c r="N332">
        <v>-219.83</v>
      </c>
    </row>
    <row r="333" spans="1:14" x14ac:dyDescent="0.2">
      <c r="A333" s="1">
        <v>45501</v>
      </c>
      <c r="B333" s="2" t="s">
        <v>29</v>
      </c>
      <c r="C333" s="2" t="s">
        <v>35</v>
      </c>
      <c r="D333" s="2" t="s">
        <v>36</v>
      </c>
      <c r="E333">
        <v>13468</v>
      </c>
      <c r="F333">
        <v>382</v>
      </c>
      <c r="G333">
        <v>15</v>
      </c>
      <c r="H333">
        <v>486</v>
      </c>
      <c r="I333">
        <v>2003.62</v>
      </c>
      <c r="J333">
        <v>2.84</v>
      </c>
      <c r="K333">
        <v>3.93</v>
      </c>
      <c r="L333">
        <v>32.4</v>
      </c>
      <c r="M333">
        <v>4.12</v>
      </c>
      <c r="N333">
        <v>1517.62</v>
      </c>
    </row>
    <row r="334" spans="1:14" x14ac:dyDescent="0.2">
      <c r="A334" s="1">
        <v>45501</v>
      </c>
      <c r="B334" s="2" t="s">
        <v>30</v>
      </c>
      <c r="C334" s="2" t="s">
        <v>28</v>
      </c>
      <c r="D334" s="2" t="s">
        <v>16</v>
      </c>
      <c r="E334">
        <v>5728</v>
      </c>
      <c r="F334">
        <v>171</v>
      </c>
      <c r="G334">
        <v>5</v>
      </c>
      <c r="H334">
        <v>357.04</v>
      </c>
      <c r="I334">
        <v>502.03</v>
      </c>
      <c r="J334">
        <v>2.99</v>
      </c>
      <c r="K334">
        <v>2.92</v>
      </c>
      <c r="L334">
        <v>71.41</v>
      </c>
      <c r="M334">
        <v>1.41</v>
      </c>
      <c r="N334">
        <v>144.99</v>
      </c>
    </row>
    <row r="335" spans="1:14" x14ac:dyDescent="0.2">
      <c r="A335" s="1">
        <v>45501</v>
      </c>
      <c r="B335" s="2" t="s">
        <v>31</v>
      </c>
      <c r="C335" s="2" t="s">
        <v>28</v>
      </c>
      <c r="D335" s="2" t="s">
        <v>19</v>
      </c>
      <c r="E335">
        <v>11989</v>
      </c>
      <c r="F335">
        <v>512</v>
      </c>
      <c r="G335">
        <v>25</v>
      </c>
      <c r="H335">
        <v>614.91999999999996</v>
      </c>
      <c r="I335">
        <v>2279.5500000000002</v>
      </c>
      <c r="J335">
        <v>4.2699999999999996</v>
      </c>
      <c r="K335">
        <v>4.88</v>
      </c>
      <c r="L335">
        <v>24.6</v>
      </c>
      <c r="M335">
        <v>3.71</v>
      </c>
      <c r="N335">
        <v>1664.63</v>
      </c>
    </row>
    <row r="336" spans="1:14" x14ac:dyDescent="0.2">
      <c r="A336" s="1">
        <v>45501</v>
      </c>
      <c r="B336" s="2" t="s">
        <v>33</v>
      </c>
      <c r="C336" s="2" t="s">
        <v>15</v>
      </c>
      <c r="D336" s="2" t="s">
        <v>36</v>
      </c>
      <c r="E336">
        <v>4363</v>
      </c>
      <c r="F336">
        <v>269</v>
      </c>
      <c r="G336">
        <v>33</v>
      </c>
      <c r="H336">
        <v>250.82</v>
      </c>
      <c r="I336">
        <v>4540.18</v>
      </c>
      <c r="J336">
        <v>6.17</v>
      </c>
      <c r="K336">
        <v>12.27</v>
      </c>
      <c r="L336">
        <v>7.6</v>
      </c>
      <c r="M336">
        <v>18.100000000000001</v>
      </c>
      <c r="N336">
        <v>4289.3599999999997</v>
      </c>
    </row>
    <row r="337" spans="1:14" x14ac:dyDescent="0.2">
      <c r="A337" s="1">
        <v>45501</v>
      </c>
      <c r="B337" s="2" t="s">
        <v>34</v>
      </c>
      <c r="C337" s="2" t="s">
        <v>15</v>
      </c>
      <c r="D337" s="2" t="s">
        <v>22</v>
      </c>
      <c r="E337">
        <v>3292</v>
      </c>
      <c r="F337">
        <v>241</v>
      </c>
      <c r="G337">
        <v>33</v>
      </c>
      <c r="H337">
        <v>78.88</v>
      </c>
      <c r="I337">
        <v>5556.8</v>
      </c>
      <c r="J337">
        <v>7.32</v>
      </c>
      <c r="K337">
        <v>13.69</v>
      </c>
      <c r="L337">
        <v>2.39</v>
      </c>
      <c r="M337">
        <v>70.45</v>
      </c>
      <c r="N337">
        <v>5477.92</v>
      </c>
    </row>
    <row r="338" spans="1:14" x14ac:dyDescent="0.2">
      <c r="A338" s="1">
        <v>45502</v>
      </c>
      <c r="B338" s="2" t="s">
        <v>14</v>
      </c>
      <c r="C338" s="2" t="s">
        <v>28</v>
      </c>
      <c r="D338" s="2" t="s">
        <v>22</v>
      </c>
      <c r="E338">
        <v>11169</v>
      </c>
      <c r="F338">
        <v>438</v>
      </c>
      <c r="G338">
        <v>41</v>
      </c>
      <c r="H338">
        <v>1192.8399999999999</v>
      </c>
      <c r="I338">
        <v>5578.19</v>
      </c>
      <c r="J338">
        <v>3.92</v>
      </c>
      <c r="K338">
        <v>9.36</v>
      </c>
      <c r="L338">
        <v>29.09</v>
      </c>
      <c r="M338">
        <v>4.68</v>
      </c>
      <c r="N338">
        <v>4385.3500000000004</v>
      </c>
    </row>
    <row r="339" spans="1:14" x14ac:dyDescent="0.2">
      <c r="A339" s="1">
        <v>45502</v>
      </c>
      <c r="B339" s="2" t="s">
        <v>17</v>
      </c>
      <c r="C339" s="2" t="s">
        <v>32</v>
      </c>
      <c r="D339" s="2" t="s">
        <v>25</v>
      </c>
      <c r="E339">
        <v>12312</v>
      </c>
      <c r="F339">
        <v>278</v>
      </c>
      <c r="G339">
        <v>22</v>
      </c>
      <c r="H339">
        <v>620.88</v>
      </c>
      <c r="I339">
        <v>2027.92</v>
      </c>
      <c r="J339">
        <v>2.2599999999999998</v>
      </c>
      <c r="K339">
        <v>7.91</v>
      </c>
      <c r="L339">
        <v>28.22</v>
      </c>
      <c r="M339">
        <v>3.27</v>
      </c>
      <c r="N339">
        <v>1407.04</v>
      </c>
    </row>
    <row r="340" spans="1:14" x14ac:dyDescent="0.2">
      <c r="A340" s="1">
        <v>45502</v>
      </c>
      <c r="B340" s="2" t="s">
        <v>20</v>
      </c>
      <c r="C340" s="2" t="s">
        <v>18</v>
      </c>
      <c r="D340" s="2" t="s">
        <v>36</v>
      </c>
      <c r="E340">
        <v>12801</v>
      </c>
      <c r="F340">
        <v>384</v>
      </c>
      <c r="G340">
        <v>16</v>
      </c>
      <c r="H340">
        <v>634.29</v>
      </c>
      <c r="I340">
        <v>1268.52</v>
      </c>
      <c r="J340">
        <v>3</v>
      </c>
      <c r="K340">
        <v>4.17</v>
      </c>
      <c r="L340">
        <v>39.64</v>
      </c>
      <c r="M340">
        <v>2</v>
      </c>
      <c r="N340">
        <v>634.23</v>
      </c>
    </row>
    <row r="341" spans="1:14" x14ac:dyDescent="0.2">
      <c r="A341" s="1">
        <v>45502</v>
      </c>
      <c r="B341" s="2" t="s">
        <v>23</v>
      </c>
      <c r="C341" s="2" t="s">
        <v>32</v>
      </c>
      <c r="D341" s="2" t="s">
        <v>25</v>
      </c>
      <c r="E341">
        <v>2958</v>
      </c>
      <c r="F341">
        <v>78</v>
      </c>
      <c r="G341">
        <v>9</v>
      </c>
      <c r="H341">
        <v>1002.13</v>
      </c>
      <c r="I341">
        <v>2114.0300000000002</v>
      </c>
      <c r="J341">
        <v>2.64</v>
      </c>
      <c r="K341">
        <v>11.54</v>
      </c>
      <c r="L341">
        <v>111.35</v>
      </c>
      <c r="M341">
        <v>2.11</v>
      </c>
      <c r="N341">
        <v>1111.9000000000001</v>
      </c>
    </row>
    <row r="342" spans="1:14" x14ac:dyDescent="0.2">
      <c r="A342" s="1">
        <v>45502</v>
      </c>
      <c r="B342" s="2" t="s">
        <v>24</v>
      </c>
      <c r="C342" s="2" t="s">
        <v>15</v>
      </c>
      <c r="D342" s="2" t="s">
        <v>16</v>
      </c>
      <c r="E342">
        <v>16407</v>
      </c>
      <c r="F342">
        <v>3110</v>
      </c>
      <c r="G342">
        <v>303</v>
      </c>
      <c r="H342">
        <v>216.11</v>
      </c>
      <c r="I342">
        <v>46784.25</v>
      </c>
      <c r="J342">
        <v>18.96</v>
      </c>
      <c r="K342">
        <v>9.74</v>
      </c>
      <c r="L342">
        <v>0.71</v>
      </c>
      <c r="M342">
        <v>216.48</v>
      </c>
      <c r="N342">
        <v>46568.14</v>
      </c>
    </row>
    <row r="343" spans="1:14" x14ac:dyDescent="0.2">
      <c r="A343" s="1">
        <v>45502</v>
      </c>
      <c r="B343" s="2" t="s">
        <v>26</v>
      </c>
      <c r="C343" s="2" t="s">
        <v>18</v>
      </c>
      <c r="D343" s="2" t="s">
        <v>36</v>
      </c>
      <c r="E343">
        <v>22848</v>
      </c>
      <c r="F343">
        <v>1654</v>
      </c>
      <c r="G343">
        <v>233</v>
      </c>
      <c r="H343">
        <v>0</v>
      </c>
      <c r="I343">
        <v>36625.760000000002</v>
      </c>
      <c r="J343">
        <v>7.24</v>
      </c>
      <c r="K343">
        <v>14.09</v>
      </c>
      <c r="L343">
        <v>0</v>
      </c>
      <c r="M343">
        <v>0</v>
      </c>
      <c r="N343">
        <v>36625.760000000002</v>
      </c>
    </row>
    <row r="344" spans="1:14" x14ac:dyDescent="0.2">
      <c r="A344" s="1">
        <v>45502</v>
      </c>
      <c r="B344" s="2" t="s">
        <v>27</v>
      </c>
      <c r="C344" s="2" t="s">
        <v>21</v>
      </c>
      <c r="D344" s="2" t="s">
        <v>36</v>
      </c>
      <c r="E344">
        <v>21437</v>
      </c>
      <c r="F344">
        <v>421</v>
      </c>
      <c r="G344">
        <v>19</v>
      </c>
      <c r="H344">
        <v>841.66</v>
      </c>
      <c r="I344">
        <v>2639.76</v>
      </c>
      <c r="J344">
        <v>1.96</v>
      </c>
      <c r="K344">
        <v>4.51</v>
      </c>
      <c r="L344">
        <v>44.3</v>
      </c>
      <c r="M344">
        <v>3.14</v>
      </c>
      <c r="N344">
        <v>1798.1</v>
      </c>
    </row>
    <row r="345" spans="1:14" x14ac:dyDescent="0.2">
      <c r="A345" s="1">
        <v>45502</v>
      </c>
      <c r="B345" s="2" t="s">
        <v>29</v>
      </c>
      <c r="C345" s="2" t="s">
        <v>21</v>
      </c>
      <c r="D345" s="2" t="s">
        <v>16</v>
      </c>
      <c r="E345">
        <v>15437</v>
      </c>
      <c r="F345">
        <v>318</v>
      </c>
      <c r="G345">
        <v>17</v>
      </c>
      <c r="H345">
        <v>916.61</v>
      </c>
      <c r="I345">
        <v>1893.21</v>
      </c>
      <c r="J345">
        <v>2.06</v>
      </c>
      <c r="K345">
        <v>5.35</v>
      </c>
      <c r="L345">
        <v>53.92</v>
      </c>
      <c r="M345">
        <v>2.0699999999999998</v>
      </c>
      <c r="N345">
        <v>976.6</v>
      </c>
    </row>
    <row r="346" spans="1:14" x14ac:dyDescent="0.2">
      <c r="A346" s="1">
        <v>45502</v>
      </c>
      <c r="B346" s="2" t="s">
        <v>30</v>
      </c>
      <c r="C346" s="2" t="s">
        <v>35</v>
      </c>
      <c r="D346" s="2" t="s">
        <v>36</v>
      </c>
      <c r="E346">
        <v>6948</v>
      </c>
      <c r="F346">
        <v>186</v>
      </c>
      <c r="G346">
        <v>9</v>
      </c>
      <c r="H346">
        <v>491.16</v>
      </c>
      <c r="I346">
        <v>819.08</v>
      </c>
      <c r="J346">
        <v>2.68</v>
      </c>
      <c r="K346">
        <v>4.84</v>
      </c>
      <c r="L346">
        <v>54.57</v>
      </c>
      <c r="M346">
        <v>1.67</v>
      </c>
      <c r="N346">
        <v>327.92</v>
      </c>
    </row>
    <row r="347" spans="1:14" x14ac:dyDescent="0.2">
      <c r="A347" s="1">
        <v>45502</v>
      </c>
      <c r="B347" s="2" t="s">
        <v>31</v>
      </c>
      <c r="C347" s="2" t="s">
        <v>35</v>
      </c>
      <c r="D347" s="2" t="s">
        <v>22</v>
      </c>
      <c r="E347">
        <v>22037</v>
      </c>
      <c r="F347">
        <v>782</v>
      </c>
      <c r="G347">
        <v>27</v>
      </c>
      <c r="H347">
        <v>898.74</v>
      </c>
      <c r="I347">
        <v>2958.21</v>
      </c>
      <c r="J347">
        <v>3.55</v>
      </c>
      <c r="K347">
        <v>3.45</v>
      </c>
      <c r="L347">
        <v>33.29</v>
      </c>
      <c r="M347">
        <v>3.29</v>
      </c>
      <c r="N347">
        <v>2059.4699999999998</v>
      </c>
    </row>
    <row r="348" spans="1:14" x14ac:dyDescent="0.2">
      <c r="A348" s="1">
        <v>45502</v>
      </c>
      <c r="B348" s="2" t="s">
        <v>33</v>
      </c>
      <c r="C348" s="2" t="s">
        <v>28</v>
      </c>
      <c r="D348" s="2" t="s">
        <v>19</v>
      </c>
      <c r="E348">
        <v>7668</v>
      </c>
      <c r="F348">
        <v>452</v>
      </c>
      <c r="G348">
        <v>55</v>
      </c>
      <c r="H348">
        <v>344.01</v>
      </c>
      <c r="I348">
        <v>7482.23</v>
      </c>
      <c r="J348">
        <v>5.89</v>
      </c>
      <c r="K348">
        <v>12.17</v>
      </c>
      <c r="L348">
        <v>6.25</v>
      </c>
      <c r="M348">
        <v>21.75</v>
      </c>
      <c r="N348">
        <v>7138.22</v>
      </c>
    </row>
    <row r="349" spans="1:14" x14ac:dyDescent="0.2">
      <c r="A349" s="1">
        <v>45502</v>
      </c>
      <c r="B349" s="2" t="s">
        <v>34</v>
      </c>
      <c r="C349" s="2" t="s">
        <v>35</v>
      </c>
      <c r="D349" s="2" t="s">
        <v>36</v>
      </c>
      <c r="E349">
        <v>3668</v>
      </c>
      <c r="F349">
        <v>242</v>
      </c>
      <c r="G349">
        <v>29</v>
      </c>
      <c r="H349">
        <v>49.91</v>
      </c>
      <c r="I349">
        <v>5191.43</v>
      </c>
      <c r="J349">
        <v>6.6</v>
      </c>
      <c r="K349">
        <v>11.98</v>
      </c>
      <c r="L349">
        <v>1.72</v>
      </c>
      <c r="M349">
        <v>104.02</v>
      </c>
      <c r="N349">
        <v>5141.5200000000004</v>
      </c>
    </row>
    <row r="350" spans="1:14" x14ac:dyDescent="0.2">
      <c r="A350" s="1">
        <v>45503</v>
      </c>
      <c r="B350" s="2" t="s">
        <v>14</v>
      </c>
      <c r="C350" s="2" t="s">
        <v>35</v>
      </c>
      <c r="D350" s="2" t="s">
        <v>36</v>
      </c>
      <c r="E350">
        <v>11139</v>
      </c>
      <c r="F350">
        <v>360</v>
      </c>
      <c r="G350">
        <v>34</v>
      </c>
      <c r="H350">
        <v>841.69</v>
      </c>
      <c r="I350">
        <v>3933.07</v>
      </c>
      <c r="J350">
        <v>3.23</v>
      </c>
      <c r="K350">
        <v>9.44</v>
      </c>
      <c r="L350">
        <v>24.76</v>
      </c>
      <c r="M350">
        <v>4.67</v>
      </c>
      <c r="N350">
        <v>3091.38</v>
      </c>
    </row>
    <row r="351" spans="1:14" x14ac:dyDescent="0.2">
      <c r="A351" s="1">
        <v>45503</v>
      </c>
      <c r="B351" s="2" t="s">
        <v>17</v>
      </c>
      <c r="C351" s="2" t="s">
        <v>35</v>
      </c>
      <c r="D351" s="2" t="s">
        <v>16</v>
      </c>
      <c r="E351">
        <v>13358</v>
      </c>
      <c r="F351">
        <v>303</v>
      </c>
      <c r="G351">
        <v>23</v>
      </c>
      <c r="H351">
        <v>946.42</v>
      </c>
      <c r="I351">
        <v>2694.38</v>
      </c>
      <c r="J351">
        <v>2.27</v>
      </c>
      <c r="K351">
        <v>7.59</v>
      </c>
      <c r="L351">
        <v>41.15</v>
      </c>
      <c r="M351">
        <v>2.85</v>
      </c>
      <c r="N351">
        <v>1747.96</v>
      </c>
    </row>
    <row r="352" spans="1:14" x14ac:dyDescent="0.2">
      <c r="A352" s="1">
        <v>45503</v>
      </c>
      <c r="B352" s="2" t="s">
        <v>20</v>
      </c>
      <c r="C352" s="2" t="s">
        <v>28</v>
      </c>
      <c r="D352" s="2" t="s">
        <v>16</v>
      </c>
      <c r="E352">
        <v>9740</v>
      </c>
      <c r="F352">
        <v>436</v>
      </c>
      <c r="G352">
        <v>21</v>
      </c>
      <c r="H352">
        <v>543.82000000000005</v>
      </c>
      <c r="I352">
        <v>2626.79</v>
      </c>
      <c r="J352">
        <v>4.4800000000000004</v>
      </c>
      <c r="K352">
        <v>4.82</v>
      </c>
      <c r="L352">
        <v>25.9</v>
      </c>
      <c r="M352">
        <v>4.83</v>
      </c>
      <c r="N352">
        <v>2082.9699999999998</v>
      </c>
    </row>
    <row r="353" spans="1:14" x14ac:dyDescent="0.2">
      <c r="A353" s="1">
        <v>45503</v>
      </c>
      <c r="B353" s="2" t="s">
        <v>23</v>
      </c>
      <c r="C353" s="2" t="s">
        <v>15</v>
      </c>
      <c r="D353" s="2" t="s">
        <v>25</v>
      </c>
      <c r="E353">
        <v>3054</v>
      </c>
      <c r="F353">
        <v>54</v>
      </c>
      <c r="G353">
        <v>7</v>
      </c>
      <c r="H353">
        <v>914.64</v>
      </c>
      <c r="I353">
        <v>1934.4</v>
      </c>
      <c r="J353">
        <v>1.77</v>
      </c>
      <c r="K353">
        <v>12.96</v>
      </c>
      <c r="L353">
        <v>130.66</v>
      </c>
      <c r="M353">
        <v>2.11</v>
      </c>
      <c r="N353">
        <v>1019.76</v>
      </c>
    </row>
    <row r="354" spans="1:14" x14ac:dyDescent="0.2">
      <c r="A354" s="1">
        <v>45503</v>
      </c>
      <c r="B354" s="2" t="s">
        <v>24</v>
      </c>
      <c r="C354" s="2" t="s">
        <v>18</v>
      </c>
      <c r="D354" s="2" t="s">
        <v>19</v>
      </c>
      <c r="E354">
        <v>18227</v>
      </c>
      <c r="F354">
        <v>3943</v>
      </c>
      <c r="G354">
        <v>434</v>
      </c>
      <c r="H354">
        <v>127.62</v>
      </c>
      <c r="I354">
        <v>68333.850000000006</v>
      </c>
      <c r="J354">
        <v>21.63</v>
      </c>
      <c r="K354">
        <v>11.01</v>
      </c>
      <c r="L354">
        <v>0.28999999999999998</v>
      </c>
      <c r="M354">
        <v>535.45000000000005</v>
      </c>
      <c r="N354">
        <v>68206.23</v>
      </c>
    </row>
    <row r="355" spans="1:14" x14ac:dyDescent="0.2">
      <c r="A355" s="1">
        <v>45503</v>
      </c>
      <c r="B355" s="2" t="s">
        <v>26</v>
      </c>
      <c r="C355" s="2" t="s">
        <v>21</v>
      </c>
      <c r="D355" s="2" t="s">
        <v>16</v>
      </c>
      <c r="E355">
        <v>25725</v>
      </c>
      <c r="F355">
        <v>1420</v>
      </c>
      <c r="G355">
        <v>192</v>
      </c>
      <c r="H355">
        <v>0</v>
      </c>
      <c r="I355">
        <v>24781.68</v>
      </c>
      <c r="J355">
        <v>5.52</v>
      </c>
      <c r="K355">
        <v>13.52</v>
      </c>
      <c r="L355">
        <v>0</v>
      </c>
      <c r="M355">
        <v>0</v>
      </c>
      <c r="N355">
        <v>24781.68</v>
      </c>
    </row>
    <row r="356" spans="1:14" x14ac:dyDescent="0.2">
      <c r="A356" s="1">
        <v>45503</v>
      </c>
      <c r="B356" s="2" t="s">
        <v>27</v>
      </c>
      <c r="C356" s="2" t="s">
        <v>15</v>
      </c>
      <c r="D356" s="2" t="s">
        <v>16</v>
      </c>
      <c r="E356">
        <v>32443</v>
      </c>
      <c r="F356">
        <v>546</v>
      </c>
      <c r="G356">
        <v>16</v>
      </c>
      <c r="H356">
        <v>804.43</v>
      </c>
      <c r="I356">
        <v>2168.83</v>
      </c>
      <c r="J356">
        <v>1.68</v>
      </c>
      <c r="K356">
        <v>2.93</v>
      </c>
      <c r="L356">
        <v>50.28</v>
      </c>
      <c r="M356">
        <v>2.7</v>
      </c>
      <c r="N356">
        <v>1364.4</v>
      </c>
    </row>
    <row r="357" spans="1:14" x14ac:dyDescent="0.2">
      <c r="A357" s="1">
        <v>45503</v>
      </c>
      <c r="B357" s="2" t="s">
        <v>29</v>
      </c>
      <c r="C357" s="2" t="s">
        <v>18</v>
      </c>
      <c r="D357" s="2" t="s">
        <v>22</v>
      </c>
      <c r="E357">
        <v>15837</v>
      </c>
      <c r="F357">
        <v>345</v>
      </c>
      <c r="G357">
        <v>21</v>
      </c>
      <c r="H357">
        <v>783.06</v>
      </c>
      <c r="I357">
        <v>2639.28</v>
      </c>
      <c r="J357">
        <v>2.1800000000000002</v>
      </c>
      <c r="K357">
        <v>6.09</v>
      </c>
      <c r="L357">
        <v>37.29</v>
      </c>
      <c r="M357">
        <v>3.37</v>
      </c>
      <c r="N357">
        <v>1856.22</v>
      </c>
    </row>
    <row r="358" spans="1:14" x14ac:dyDescent="0.2">
      <c r="A358" s="1">
        <v>45503</v>
      </c>
      <c r="B358" s="2" t="s">
        <v>30</v>
      </c>
      <c r="C358" s="2" t="s">
        <v>21</v>
      </c>
      <c r="D358" s="2" t="s">
        <v>16</v>
      </c>
      <c r="E358">
        <v>7808</v>
      </c>
      <c r="F358">
        <v>238</v>
      </c>
      <c r="G358">
        <v>6</v>
      </c>
      <c r="H358">
        <v>393.6</v>
      </c>
      <c r="I358">
        <v>504.69</v>
      </c>
      <c r="J358">
        <v>3.05</v>
      </c>
      <c r="K358">
        <v>2.52</v>
      </c>
      <c r="L358">
        <v>65.599999999999994</v>
      </c>
      <c r="M358">
        <v>1.28</v>
      </c>
      <c r="N358">
        <v>111.09</v>
      </c>
    </row>
    <row r="359" spans="1:14" x14ac:dyDescent="0.2">
      <c r="A359" s="1">
        <v>45503</v>
      </c>
      <c r="B359" s="2" t="s">
        <v>31</v>
      </c>
      <c r="C359" s="2" t="s">
        <v>32</v>
      </c>
      <c r="D359" s="2" t="s">
        <v>22</v>
      </c>
      <c r="E359">
        <v>21019</v>
      </c>
      <c r="F359">
        <v>691</v>
      </c>
      <c r="G359">
        <v>29</v>
      </c>
      <c r="H359">
        <v>591.71</v>
      </c>
      <c r="I359">
        <v>2093.79</v>
      </c>
      <c r="J359">
        <v>3.29</v>
      </c>
      <c r="K359">
        <v>4.2</v>
      </c>
      <c r="L359">
        <v>20.399999999999999</v>
      </c>
      <c r="M359">
        <v>3.54</v>
      </c>
      <c r="N359">
        <v>1502.08</v>
      </c>
    </row>
    <row r="360" spans="1:14" x14ac:dyDescent="0.2">
      <c r="A360" s="1">
        <v>45503</v>
      </c>
      <c r="B360" s="2" t="s">
        <v>33</v>
      </c>
      <c r="C360" s="2" t="s">
        <v>21</v>
      </c>
      <c r="D360" s="2" t="s">
        <v>22</v>
      </c>
      <c r="E360">
        <v>8392</v>
      </c>
      <c r="F360">
        <v>357</v>
      </c>
      <c r="G360">
        <v>41</v>
      </c>
      <c r="H360">
        <v>347.89</v>
      </c>
      <c r="I360">
        <v>5022.4399999999996</v>
      </c>
      <c r="J360">
        <v>4.25</v>
      </c>
      <c r="K360">
        <v>11.48</v>
      </c>
      <c r="L360">
        <v>8.49</v>
      </c>
      <c r="M360">
        <v>14.44</v>
      </c>
      <c r="N360">
        <v>4674.55</v>
      </c>
    </row>
    <row r="361" spans="1:14" x14ac:dyDescent="0.2">
      <c r="A361" s="1">
        <v>45503</v>
      </c>
      <c r="B361" s="2" t="s">
        <v>34</v>
      </c>
      <c r="C361" s="2" t="s">
        <v>28</v>
      </c>
      <c r="D361" s="2" t="s">
        <v>16</v>
      </c>
      <c r="E361">
        <v>5891</v>
      </c>
      <c r="F361">
        <v>301</v>
      </c>
      <c r="G361">
        <v>38</v>
      </c>
      <c r="H361">
        <v>72.260000000000005</v>
      </c>
      <c r="I361">
        <v>6089.68</v>
      </c>
      <c r="J361">
        <v>5.1100000000000003</v>
      </c>
      <c r="K361">
        <v>12.62</v>
      </c>
      <c r="L361">
        <v>1.9</v>
      </c>
      <c r="M361">
        <v>84.27</v>
      </c>
      <c r="N361">
        <v>6017.42</v>
      </c>
    </row>
    <row r="362" spans="1:14" x14ac:dyDescent="0.2">
      <c r="A362" s="1">
        <v>45504</v>
      </c>
      <c r="B362" s="2" t="s">
        <v>14</v>
      </c>
      <c r="C362" s="2" t="s">
        <v>32</v>
      </c>
      <c r="D362" s="2" t="s">
        <v>22</v>
      </c>
      <c r="E362">
        <v>7997</v>
      </c>
      <c r="F362">
        <v>329</v>
      </c>
      <c r="G362">
        <v>27</v>
      </c>
      <c r="H362">
        <v>1129.6500000000001</v>
      </c>
      <c r="I362">
        <v>4415.37</v>
      </c>
      <c r="J362">
        <v>4.1100000000000003</v>
      </c>
      <c r="K362">
        <v>8.2100000000000009</v>
      </c>
      <c r="L362">
        <v>41.84</v>
      </c>
      <c r="M362">
        <v>3.91</v>
      </c>
      <c r="N362">
        <v>3285.72</v>
      </c>
    </row>
    <row r="363" spans="1:14" x14ac:dyDescent="0.2">
      <c r="A363" s="1">
        <v>45504</v>
      </c>
      <c r="B363" s="2" t="s">
        <v>17</v>
      </c>
      <c r="C363" s="2" t="s">
        <v>28</v>
      </c>
      <c r="D363" s="2" t="s">
        <v>19</v>
      </c>
      <c r="E363">
        <v>15866</v>
      </c>
      <c r="F363">
        <v>553</v>
      </c>
      <c r="G363">
        <v>43</v>
      </c>
      <c r="H363">
        <v>718.87</v>
      </c>
      <c r="I363">
        <v>5424.75</v>
      </c>
      <c r="J363">
        <v>3.49</v>
      </c>
      <c r="K363">
        <v>7.78</v>
      </c>
      <c r="L363">
        <v>16.72</v>
      </c>
      <c r="M363">
        <v>7.55</v>
      </c>
      <c r="N363">
        <v>4705.88</v>
      </c>
    </row>
    <row r="364" spans="1:14" x14ac:dyDescent="0.2">
      <c r="A364" s="1">
        <v>45504</v>
      </c>
      <c r="B364" s="2" t="s">
        <v>20</v>
      </c>
      <c r="C364" s="2" t="s">
        <v>35</v>
      </c>
      <c r="D364" s="2" t="s">
        <v>22</v>
      </c>
      <c r="E364">
        <v>13404</v>
      </c>
      <c r="F364">
        <v>404</v>
      </c>
      <c r="G364">
        <v>18</v>
      </c>
      <c r="H364">
        <v>619.99</v>
      </c>
      <c r="I364">
        <v>1716.21</v>
      </c>
      <c r="J364">
        <v>3.01</v>
      </c>
      <c r="K364">
        <v>4.46</v>
      </c>
      <c r="L364">
        <v>34.44</v>
      </c>
      <c r="M364">
        <v>2.77</v>
      </c>
      <c r="N364">
        <v>1096.22</v>
      </c>
    </row>
    <row r="365" spans="1:14" x14ac:dyDescent="0.2">
      <c r="A365" s="1">
        <v>45504</v>
      </c>
      <c r="B365" s="2" t="s">
        <v>23</v>
      </c>
      <c r="C365" s="2" t="s">
        <v>32</v>
      </c>
      <c r="D365" s="2" t="s">
        <v>25</v>
      </c>
      <c r="E365">
        <v>3637</v>
      </c>
      <c r="F365">
        <v>73</v>
      </c>
      <c r="G365">
        <v>9</v>
      </c>
      <c r="H365">
        <v>1101.17</v>
      </c>
      <c r="I365">
        <v>2925.62</v>
      </c>
      <c r="J365">
        <v>2.0099999999999998</v>
      </c>
      <c r="K365">
        <v>12.33</v>
      </c>
      <c r="L365">
        <v>122.35</v>
      </c>
      <c r="M365">
        <v>2.66</v>
      </c>
      <c r="N365">
        <v>1824.45</v>
      </c>
    </row>
    <row r="366" spans="1:14" x14ac:dyDescent="0.2">
      <c r="A366" s="1">
        <v>45504</v>
      </c>
      <c r="B366" s="2" t="s">
        <v>24</v>
      </c>
      <c r="C366" s="2" t="s">
        <v>15</v>
      </c>
      <c r="D366" s="2" t="s">
        <v>16</v>
      </c>
      <c r="E366">
        <v>18382</v>
      </c>
      <c r="F366">
        <v>3259</v>
      </c>
      <c r="G366">
        <v>311</v>
      </c>
      <c r="H366">
        <v>142.1</v>
      </c>
      <c r="I366">
        <v>45722.97</v>
      </c>
      <c r="J366">
        <v>17.73</v>
      </c>
      <c r="K366">
        <v>9.5399999999999991</v>
      </c>
      <c r="L366">
        <v>0.46</v>
      </c>
      <c r="M366">
        <v>321.77</v>
      </c>
      <c r="N366">
        <v>45580.87</v>
      </c>
    </row>
    <row r="367" spans="1:14" x14ac:dyDescent="0.2">
      <c r="A367" s="1">
        <v>45504</v>
      </c>
      <c r="B367" s="2" t="s">
        <v>26</v>
      </c>
      <c r="C367" s="2" t="s">
        <v>21</v>
      </c>
      <c r="D367" s="2" t="s">
        <v>19</v>
      </c>
      <c r="E367">
        <v>22004</v>
      </c>
      <c r="F367">
        <v>1179</v>
      </c>
      <c r="G367">
        <v>175</v>
      </c>
      <c r="H367">
        <v>0</v>
      </c>
      <c r="I367">
        <v>19964.36</v>
      </c>
      <c r="J367">
        <v>5.36</v>
      </c>
      <c r="K367">
        <v>14.84</v>
      </c>
      <c r="L367">
        <v>0</v>
      </c>
      <c r="M367">
        <v>0</v>
      </c>
      <c r="N367">
        <v>19964.36</v>
      </c>
    </row>
    <row r="368" spans="1:14" x14ac:dyDescent="0.2">
      <c r="A368" s="1">
        <v>45504</v>
      </c>
      <c r="B368" s="2" t="s">
        <v>27</v>
      </c>
      <c r="C368" s="2" t="s">
        <v>18</v>
      </c>
      <c r="D368" s="2" t="s">
        <v>25</v>
      </c>
      <c r="E368">
        <v>26876</v>
      </c>
      <c r="F368">
        <v>385</v>
      </c>
      <c r="G368">
        <v>8</v>
      </c>
      <c r="H368">
        <v>807.59</v>
      </c>
      <c r="I368">
        <v>921.72</v>
      </c>
      <c r="J368">
        <v>1.43</v>
      </c>
      <c r="K368">
        <v>2.08</v>
      </c>
      <c r="L368">
        <v>100.95</v>
      </c>
      <c r="M368">
        <v>1.1399999999999999</v>
      </c>
      <c r="N368">
        <v>114.13</v>
      </c>
    </row>
    <row r="369" spans="1:14" x14ac:dyDescent="0.2">
      <c r="A369" s="1">
        <v>45504</v>
      </c>
      <c r="B369" s="2" t="s">
        <v>29</v>
      </c>
      <c r="C369" s="2" t="s">
        <v>18</v>
      </c>
      <c r="D369" s="2" t="s">
        <v>19</v>
      </c>
      <c r="E369">
        <v>13156</v>
      </c>
      <c r="F369">
        <v>367</v>
      </c>
      <c r="G369">
        <v>25</v>
      </c>
      <c r="H369">
        <v>913.35</v>
      </c>
      <c r="I369">
        <v>2657.71</v>
      </c>
      <c r="J369">
        <v>2.79</v>
      </c>
      <c r="K369">
        <v>6.81</v>
      </c>
      <c r="L369">
        <v>36.53</v>
      </c>
      <c r="M369">
        <v>2.91</v>
      </c>
      <c r="N369">
        <v>1744.36</v>
      </c>
    </row>
    <row r="370" spans="1:14" x14ac:dyDescent="0.2">
      <c r="A370" s="1">
        <v>45504</v>
      </c>
      <c r="B370" s="2" t="s">
        <v>30</v>
      </c>
      <c r="C370" s="2" t="s">
        <v>32</v>
      </c>
      <c r="D370" s="2" t="s">
        <v>36</v>
      </c>
      <c r="E370">
        <v>8866</v>
      </c>
      <c r="F370">
        <v>290</v>
      </c>
      <c r="G370">
        <v>9</v>
      </c>
      <c r="H370">
        <v>575.41999999999996</v>
      </c>
      <c r="I370">
        <v>960.09</v>
      </c>
      <c r="J370">
        <v>3.27</v>
      </c>
      <c r="K370">
        <v>3.1</v>
      </c>
      <c r="L370">
        <v>63.94</v>
      </c>
      <c r="M370">
        <v>1.67</v>
      </c>
      <c r="N370">
        <v>384.67</v>
      </c>
    </row>
    <row r="371" spans="1:14" x14ac:dyDescent="0.2">
      <c r="A371" s="1">
        <v>45504</v>
      </c>
      <c r="B371" s="2" t="s">
        <v>31</v>
      </c>
      <c r="C371" s="2" t="s">
        <v>28</v>
      </c>
      <c r="D371" s="2" t="s">
        <v>22</v>
      </c>
      <c r="E371">
        <v>23511</v>
      </c>
      <c r="F371">
        <v>873</v>
      </c>
      <c r="G371">
        <v>53</v>
      </c>
      <c r="H371">
        <v>795.94</v>
      </c>
      <c r="I371">
        <v>5107.96</v>
      </c>
      <c r="J371">
        <v>3.71</v>
      </c>
      <c r="K371">
        <v>6.07</v>
      </c>
      <c r="L371">
        <v>15.02</v>
      </c>
      <c r="M371">
        <v>6.42</v>
      </c>
      <c r="N371">
        <v>4312.0200000000004</v>
      </c>
    </row>
    <row r="372" spans="1:14" x14ac:dyDescent="0.2">
      <c r="A372" s="1">
        <v>45504</v>
      </c>
      <c r="B372" s="2" t="s">
        <v>33</v>
      </c>
      <c r="C372" s="2" t="s">
        <v>18</v>
      </c>
      <c r="D372" s="2" t="s">
        <v>25</v>
      </c>
      <c r="E372">
        <v>6108</v>
      </c>
      <c r="F372">
        <v>299</v>
      </c>
      <c r="G372">
        <v>31</v>
      </c>
      <c r="H372">
        <v>552.84</v>
      </c>
      <c r="I372">
        <v>4684.42</v>
      </c>
      <c r="J372">
        <v>4.9000000000000004</v>
      </c>
      <c r="K372">
        <v>10.37</v>
      </c>
      <c r="L372">
        <v>17.829999999999998</v>
      </c>
      <c r="M372">
        <v>8.4700000000000006</v>
      </c>
      <c r="N372">
        <v>4131.58</v>
      </c>
    </row>
    <row r="373" spans="1:14" x14ac:dyDescent="0.2">
      <c r="A373" s="1">
        <v>45504</v>
      </c>
      <c r="B373" s="2" t="s">
        <v>34</v>
      </c>
      <c r="C373" s="2" t="s">
        <v>15</v>
      </c>
      <c r="D373" s="2" t="s">
        <v>22</v>
      </c>
      <c r="E373">
        <v>4655</v>
      </c>
      <c r="F373">
        <v>297</v>
      </c>
      <c r="G373">
        <v>46</v>
      </c>
      <c r="H373">
        <v>167.55</v>
      </c>
      <c r="I373">
        <v>7803.05</v>
      </c>
      <c r="J373">
        <v>6.38</v>
      </c>
      <c r="K373">
        <v>15.49</v>
      </c>
      <c r="L373">
        <v>3.64</v>
      </c>
      <c r="M373">
        <v>46.57</v>
      </c>
      <c r="N373">
        <v>7635.5</v>
      </c>
    </row>
    <row r="374" spans="1:14" x14ac:dyDescent="0.2">
      <c r="A374" s="1">
        <v>45505</v>
      </c>
      <c r="B374" s="2" t="s">
        <v>14</v>
      </c>
      <c r="C374" s="2" t="s">
        <v>18</v>
      </c>
      <c r="D374" s="2" t="s">
        <v>19</v>
      </c>
      <c r="E374">
        <v>11101</v>
      </c>
      <c r="F374">
        <v>533</v>
      </c>
      <c r="G374">
        <v>58</v>
      </c>
      <c r="H374">
        <v>1263.94</v>
      </c>
      <c r="I374">
        <v>10450.68</v>
      </c>
      <c r="J374">
        <v>4.8</v>
      </c>
      <c r="K374">
        <v>10.88</v>
      </c>
      <c r="L374">
        <v>21.79</v>
      </c>
      <c r="M374">
        <v>8.27</v>
      </c>
      <c r="N374">
        <v>9186.74</v>
      </c>
    </row>
    <row r="375" spans="1:14" x14ac:dyDescent="0.2">
      <c r="A375" s="1">
        <v>45505</v>
      </c>
      <c r="B375" s="2" t="s">
        <v>17</v>
      </c>
      <c r="C375" s="2" t="s">
        <v>15</v>
      </c>
      <c r="D375" s="2" t="s">
        <v>25</v>
      </c>
      <c r="E375">
        <v>11769</v>
      </c>
      <c r="F375">
        <v>324</v>
      </c>
      <c r="G375">
        <v>17</v>
      </c>
      <c r="H375">
        <v>1015.08</v>
      </c>
      <c r="I375">
        <v>2316.63</v>
      </c>
      <c r="J375">
        <v>2.75</v>
      </c>
      <c r="K375">
        <v>5.25</v>
      </c>
      <c r="L375">
        <v>59.71</v>
      </c>
      <c r="M375">
        <v>2.2799999999999998</v>
      </c>
      <c r="N375">
        <v>1301.55</v>
      </c>
    </row>
    <row r="376" spans="1:14" x14ac:dyDescent="0.2">
      <c r="A376" s="1">
        <v>45505</v>
      </c>
      <c r="B376" s="2" t="s">
        <v>20</v>
      </c>
      <c r="C376" s="2" t="s">
        <v>18</v>
      </c>
      <c r="D376" s="2" t="s">
        <v>25</v>
      </c>
      <c r="E376">
        <v>11943</v>
      </c>
      <c r="F376">
        <v>517</v>
      </c>
      <c r="G376">
        <v>36</v>
      </c>
      <c r="H376">
        <v>547.02</v>
      </c>
      <c r="I376">
        <v>4037.96</v>
      </c>
      <c r="J376">
        <v>4.33</v>
      </c>
      <c r="K376">
        <v>6.96</v>
      </c>
      <c r="L376">
        <v>15.2</v>
      </c>
      <c r="M376">
        <v>7.38</v>
      </c>
      <c r="N376">
        <v>3490.94</v>
      </c>
    </row>
    <row r="377" spans="1:14" x14ac:dyDescent="0.2">
      <c r="A377" s="1">
        <v>45505</v>
      </c>
      <c r="B377" s="2" t="s">
        <v>23</v>
      </c>
      <c r="C377" s="2" t="s">
        <v>18</v>
      </c>
      <c r="D377" s="2" t="s">
        <v>19</v>
      </c>
      <c r="E377">
        <v>4787</v>
      </c>
      <c r="F377">
        <v>135</v>
      </c>
      <c r="G377">
        <v>15</v>
      </c>
      <c r="H377">
        <v>909.98</v>
      </c>
      <c r="I377">
        <v>2753.58</v>
      </c>
      <c r="J377">
        <v>2.82</v>
      </c>
      <c r="K377">
        <v>11.11</v>
      </c>
      <c r="L377">
        <v>60.67</v>
      </c>
      <c r="M377">
        <v>3.03</v>
      </c>
      <c r="N377">
        <v>1843.6</v>
      </c>
    </row>
    <row r="378" spans="1:14" x14ac:dyDescent="0.2">
      <c r="A378" s="1">
        <v>45505</v>
      </c>
      <c r="B378" s="2" t="s">
        <v>24</v>
      </c>
      <c r="C378" s="2" t="s">
        <v>32</v>
      </c>
      <c r="D378" s="2" t="s">
        <v>36</v>
      </c>
      <c r="E378">
        <v>18704</v>
      </c>
      <c r="F378">
        <v>3147</v>
      </c>
      <c r="G378">
        <v>291</v>
      </c>
      <c r="H378">
        <v>134.12</v>
      </c>
      <c r="I378">
        <v>48689.7</v>
      </c>
      <c r="J378">
        <v>16.829999999999998</v>
      </c>
      <c r="K378">
        <v>9.25</v>
      </c>
      <c r="L378">
        <v>0.46</v>
      </c>
      <c r="M378">
        <v>363.03</v>
      </c>
      <c r="N378">
        <v>48555.58</v>
      </c>
    </row>
    <row r="379" spans="1:14" x14ac:dyDescent="0.2">
      <c r="A379" s="1">
        <v>45505</v>
      </c>
      <c r="B379" s="2" t="s">
        <v>26</v>
      </c>
      <c r="C379" s="2" t="s">
        <v>15</v>
      </c>
      <c r="D379" s="2" t="s">
        <v>19</v>
      </c>
      <c r="E379">
        <v>21466</v>
      </c>
      <c r="F379">
        <v>1147</v>
      </c>
      <c r="G379">
        <v>156</v>
      </c>
      <c r="H379">
        <v>0</v>
      </c>
      <c r="I379">
        <v>24895.71</v>
      </c>
      <c r="J379">
        <v>5.34</v>
      </c>
      <c r="K379">
        <v>13.6</v>
      </c>
      <c r="L379">
        <v>0</v>
      </c>
      <c r="M379">
        <v>0</v>
      </c>
      <c r="N379">
        <v>24895.71</v>
      </c>
    </row>
    <row r="380" spans="1:14" x14ac:dyDescent="0.2">
      <c r="A380" s="1">
        <v>45505</v>
      </c>
      <c r="B380" s="2" t="s">
        <v>27</v>
      </c>
      <c r="C380" s="2" t="s">
        <v>18</v>
      </c>
      <c r="D380" s="2" t="s">
        <v>25</v>
      </c>
      <c r="E380">
        <v>30953</v>
      </c>
      <c r="F380">
        <v>488</v>
      </c>
      <c r="G380">
        <v>18</v>
      </c>
      <c r="H380">
        <v>774.43</v>
      </c>
      <c r="I380">
        <v>1884.08</v>
      </c>
      <c r="J380">
        <v>1.58</v>
      </c>
      <c r="K380">
        <v>3.69</v>
      </c>
      <c r="L380">
        <v>43.02</v>
      </c>
      <c r="M380">
        <v>2.4300000000000002</v>
      </c>
      <c r="N380">
        <v>1109.6500000000001</v>
      </c>
    </row>
    <row r="381" spans="1:14" x14ac:dyDescent="0.2">
      <c r="A381" s="1">
        <v>45505</v>
      </c>
      <c r="B381" s="2" t="s">
        <v>29</v>
      </c>
      <c r="C381" s="2" t="s">
        <v>15</v>
      </c>
      <c r="D381" s="2" t="s">
        <v>19</v>
      </c>
      <c r="E381">
        <v>18620</v>
      </c>
      <c r="F381">
        <v>338</v>
      </c>
      <c r="G381">
        <v>22</v>
      </c>
      <c r="H381">
        <v>1163.68</v>
      </c>
      <c r="I381">
        <v>2190.6</v>
      </c>
      <c r="J381">
        <v>1.82</v>
      </c>
      <c r="K381">
        <v>6.51</v>
      </c>
      <c r="L381">
        <v>52.89</v>
      </c>
      <c r="M381">
        <v>1.88</v>
      </c>
      <c r="N381">
        <v>1026.92</v>
      </c>
    </row>
    <row r="382" spans="1:14" x14ac:dyDescent="0.2">
      <c r="A382" s="1">
        <v>45505</v>
      </c>
      <c r="B382" s="2" t="s">
        <v>30</v>
      </c>
      <c r="C382" s="2" t="s">
        <v>18</v>
      </c>
      <c r="D382" s="2" t="s">
        <v>36</v>
      </c>
      <c r="E382">
        <v>11325</v>
      </c>
      <c r="F382">
        <v>385</v>
      </c>
      <c r="G382">
        <v>14</v>
      </c>
      <c r="H382">
        <v>462.56</v>
      </c>
      <c r="I382">
        <v>1292.3699999999999</v>
      </c>
      <c r="J382">
        <v>3.4</v>
      </c>
      <c r="K382">
        <v>3.64</v>
      </c>
      <c r="L382">
        <v>33.04</v>
      </c>
      <c r="M382">
        <v>2.79</v>
      </c>
      <c r="N382">
        <v>829.81</v>
      </c>
    </row>
    <row r="383" spans="1:14" x14ac:dyDescent="0.2">
      <c r="A383" s="1">
        <v>45505</v>
      </c>
      <c r="B383" s="2" t="s">
        <v>31</v>
      </c>
      <c r="C383" s="2" t="s">
        <v>28</v>
      </c>
      <c r="D383" s="2" t="s">
        <v>16</v>
      </c>
      <c r="E383">
        <v>24239</v>
      </c>
      <c r="F383">
        <v>884</v>
      </c>
      <c r="G383">
        <v>46</v>
      </c>
      <c r="H383">
        <v>728.87</v>
      </c>
      <c r="I383">
        <v>3684.64</v>
      </c>
      <c r="J383">
        <v>3.65</v>
      </c>
      <c r="K383">
        <v>5.2</v>
      </c>
      <c r="L383">
        <v>15.84</v>
      </c>
      <c r="M383">
        <v>5.0599999999999996</v>
      </c>
      <c r="N383">
        <v>2955.77</v>
      </c>
    </row>
    <row r="384" spans="1:14" x14ac:dyDescent="0.2">
      <c r="A384" s="1">
        <v>45505</v>
      </c>
      <c r="B384" s="2" t="s">
        <v>33</v>
      </c>
      <c r="C384" s="2" t="s">
        <v>28</v>
      </c>
      <c r="D384" s="2" t="s">
        <v>19</v>
      </c>
      <c r="E384">
        <v>4462</v>
      </c>
      <c r="F384">
        <v>260</v>
      </c>
      <c r="G384">
        <v>28</v>
      </c>
      <c r="H384">
        <v>511.51</v>
      </c>
      <c r="I384">
        <v>3419.05</v>
      </c>
      <c r="J384">
        <v>5.83</v>
      </c>
      <c r="K384">
        <v>10.77</v>
      </c>
      <c r="L384">
        <v>18.27</v>
      </c>
      <c r="M384">
        <v>6.68</v>
      </c>
      <c r="N384">
        <v>2907.54</v>
      </c>
    </row>
    <row r="385" spans="1:14" x14ac:dyDescent="0.2">
      <c r="A385" s="1">
        <v>45505</v>
      </c>
      <c r="B385" s="2" t="s">
        <v>34</v>
      </c>
      <c r="C385" s="2" t="s">
        <v>15</v>
      </c>
      <c r="D385" s="2" t="s">
        <v>36</v>
      </c>
      <c r="E385">
        <v>4360</v>
      </c>
      <c r="F385">
        <v>339</v>
      </c>
      <c r="G385">
        <v>53</v>
      </c>
      <c r="H385">
        <v>69.459999999999994</v>
      </c>
      <c r="I385">
        <v>8985.17</v>
      </c>
      <c r="J385">
        <v>7.78</v>
      </c>
      <c r="K385">
        <v>15.63</v>
      </c>
      <c r="L385">
        <v>1.31</v>
      </c>
      <c r="M385">
        <v>129.36000000000001</v>
      </c>
      <c r="N385">
        <v>8915.7099999999991</v>
      </c>
    </row>
    <row r="386" spans="1:14" x14ac:dyDescent="0.2">
      <c r="A386" s="1">
        <v>45506</v>
      </c>
      <c r="B386" s="2" t="s">
        <v>14</v>
      </c>
      <c r="C386" s="2" t="s">
        <v>15</v>
      </c>
      <c r="D386" s="2" t="s">
        <v>22</v>
      </c>
      <c r="E386">
        <v>10148</v>
      </c>
      <c r="F386">
        <v>480</v>
      </c>
      <c r="G386">
        <v>39</v>
      </c>
      <c r="H386">
        <v>1140.54</v>
      </c>
      <c r="I386">
        <v>5869.51</v>
      </c>
      <c r="J386">
        <v>4.7300000000000004</v>
      </c>
      <c r="K386">
        <v>8.1199999999999992</v>
      </c>
      <c r="L386">
        <v>29.24</v>
      </c>
      <c r="M386">
        <v>5.15</v>
      </c>
      <c r="N386">
        <v>4728.97</v>
      </c>
    </row>
    <row r="387" spans="1:14" x14ac:dyDescent="0.2">
      <c r="A387" s="1">
        <v>45506</v>
      </c>
      <c r="B387" s="2" t="s">
        <v>17</v>
      </c>
      <c r="C387" s="2" t="s">
        <v>28</v>
      </c>
      <c r="D387" s="2" t="s">
        <v>22</v>
      </c>
      <c r="E387">
        <v>15244</v>
      </c>
      <c r="F387">
        <v>362</v>
      </c>
      <c r="G387">
        <v>24</v>
      </c>
      <c r="H387">
        <v>545.21</v>
      </c>
      <c r="I387">
        <v>3273.82</v>
      </c>
      <c r="J387">
        <v>2.37</v>
      </c>
      <c r="K387">
        <v>6.63</v>
      </c>
      <c r="L387">
        <v>22.72</v>
      </c>
      <c r="M387">
        <v>6</v>
      </c>
      <c r="N387">
        <v>2728.61</v>
      </c>
    </row>
    <row r="388" spans="1:14" x14ac:dyDescent="0.2">
      <c r="A388" s="1">
        <v>45506</v>
      </c>
      <c r="B388" s="2" t="s">
        <v>20</v>
      </c>
      <c r="C388" s="2" t="s">
        <v>15</v>
      </c>
      <c r="D388" s="2" t="s">
        <v>25</v>
      </c>
      <c r="E388">
        <v>10543</v>
      </c>
      <c r="F388">
        <v>453</v>
      </c>
      <c r="G388">
        <v>23</v>
      </c>
      <c r="H388">
        <v>480.32</v>
      </c>
      <c r="I388">
        <v>2756.71</v>
      </c>
      <c r="J388">
        <v>4.3</v>
      </c>
      <c r="K388">
        <v>5.08</v>
      </c>
      <c r="L388">
        <v>20.88</v>
      </c>
      <c r="M388">
        <v>5.74</v>
      </c>
      <c r="N388">
        <v>2276.39</v>
      </c>
    </row>
    <row r="389" spans="1:14" x14ac:dyDescent="0.2">
      <c r="A389" s="1">
        <v>45506</v>
      </c>
      <c r="B389" s="2" t="s">
        <v>23</v>
      </c>
      <c r="C389" s="2" t="s">
        <v>15</v>
      </c>
      <c r="D389" s="2" t="s">
        <v>19</v>
      </c>
      <c r="E389">
        <v>3078</v>
      </c>
      <c r="F389">
        <v>56</v>
      </c>
      <c r="G389">
        <v>5</v>
      </c>
      <c r="H389">
        <v>1488.94</v>
      </c>
      <c r="I389">
        <v>1205.57</v>
      </c>
      <c r="J389">
        <v>1.82</v>
      </c>
      <c r="K389">
        <v>8.93</v>
      </c>
      <c r="L389">
        <v>297.79000000000002</v>
      </c>
      <c r="M389">
        <v>0.81</v>
      </c>
      <c r="N389">
        <v>-283.37</v>
      </c>
    </row>
    <row r="390" spans="1:14" x14ac:dyDescent="0.2">
      <c r="A390" s="1">
        <v>45506</v>
      </c>
      <c r="B390" s="2" t="s">
        <v>24</v>
      </c>
      <c r="C390" s="2" t="s">
        <v>32</v>
      </c>
      <c r="D390" s="2" t="s">
        <v>25</v>
      </c>
      <c r="E390">
        <v>15739</v>
      </c>
      <c r="F390">
        <v>3111</v>
      </c>
      <c r="G390">
        <v>266</v>
      </c>
      <c r="H390">
        <v>117.98</v>
      </c>
      <c r="I390">
        <v>39502.980000000003</v>
      </c>
      <c r="J390">
        <v>19.77</v>
      </c>
      <c r="K390">
        <v>8.5500000000000007</v>
      </c>
      <c r="L390">
        <v>0.44</v>
      </c>
      <c r="M390">
        <v>334.83</v>
      </c>
      <c r="N390">
        <v>39385</v>
      </c>
    </row>
    <row r="391" spans="1:14" x14ac:dyDescent="0.2">
      <c r="A391" s="1">
        <v>45506</v>
      </c>
      <c r="B391" s="2" t="s">
        <v>26</v>
      </c>
      <c r="C391" s="2" t="s">
        <v>28</v>
      </c>
      <c r="D391" s="2" t="s">
        <v>36</v>
      </c>
      <c r="E391">
        <v>20165</v>
      </c>
      <c r="F391">
        <v>1021</v>
      </c>
      <c r="G391">
        <v>134</v>
      </c>
      <c r="H391">
        <v>0</v>
      </c>
      <c r="I391">
        <v>18796.29</v>
      </c>
      <c r="J391">
        <v>5.0599999999999996</v>
      </c>
      <c r="K391">
        <v>13.12</v>
      </c>
      <c r="L391">
        <v>0</v>
      </c>
      <c r="M391">
        <v>0</v>
      </c>
      <c r="N391">
        <v>18796.29</v>
      </c>
    </row>
    <row r="392" spans="1:14" x14ac:dyDescent="0.2">
      <c r="A392" s="1">
        <v>45506</v>
      </c>
      <c r="B392" s="2" t="s">
        <v>27</v>
      </c>
      <c r="C392" s="2" t="s">
        <v>28</v>
      </c>
      <c r="D392" s="2" t="s">
        <v>25</v>
      </c>
      <c r="E392">
        <v>29714</v>
      </c>
      <c r="F392">
        <v>492</v>
      </c>
      <c r="G392">
        <v>12</v>
      </c>
      <c r="H392">
        <v>648.52</v>
      </c>
      <c r="I392">
        <v>1133.6600000000001</v>
      </c>
      <c r="J392">
        <v>1.66</v>
      </c>
      <c r="K392">
        <v>2.44</v>
      </c>
      <c r="L392">
        <v>54.04</v>
      </c>
      <c r="M392">
        <v>1.75</v>
      </c>
      <c r="N392">
        <v>485.14</v>
      </c>
    </row>
    <row r="393" spans="1:14" x14ac:dyDescent="0.2">
      <c r="A393" s="1">
        <v>45506</v>
      </c>
      <c r="B393" s="2" t="s">
        <v>29</v>
      </c>
      <c r="C393" s="2" t="s">
        <v>35</v>
      </c>
      <c r="D393" s="2" t="s">
        <v>19</v>
      </c>
      <c r="E393">
        <v>15267</v>
      </c>
      <c r="F393">
        <v>365</v>
      </c>
      <c r="G393">
        <v>20</v>
      </c>
      <c r="H393">
        <v>917.32</v>
      </c>
      <c r="I393">
        <v>2705.22</v>
      </c>
      <c r="J393">
        <v>2.39</v>
      </c>
      <c r="K393">
        <v>5.48</v>
      </c>
      <c r="L393">
        <v>45.87</v>
      </c>
      <c r="M393">
        <v>2.95</v>
      </c>
      <c r="N393">
        <v>1787.9</v>
      </c>
    </row>
    <row r="394" spans="1:14" x14ac:dyDescent="0.2">
      <c r="A394" s="1">
        <v>45506</v>
      </c>
      <c r="B394" s="2" t="s">
        <v>30</v>
      </c>
      <c r="C394" s="2" t="s">
        <v>21</v>
      </c>
      <c r="D394" s="2" t="s">
        <v>16</v>
      </c>
      <c r="E394">
        <v>10081</v>
      </c>
      <c r="F394">
        <v>300</v>
      </c>
      <c r="G394">
        <v>14</v>
      </c>
      <c r="H394">
        <v>515.32000000000005</v>
      </c>
      <c r="I394">
        <v>1644.25</v>
      </c>
      <c r="J394">
        <v>2.98</v>
      </c>
      <c r="K394">
        <v>4.67</v>
      </c>
      <c r="L394">
        <v>36.81</v>
      </c>
      <c r="M394">
        <v>3.19</v>
      </c>
      <c r="N394">
        <v>1128.93</v>
      </c>
    </row>
    <row r="395" spans="1:14" x14ac:dyDescent="0.2">
      <c r="A395" s="1">
        <v>45506</v>
      </c>
      <c r="B395" s="2" t="s">
        <v>31</v>
      </c>
      <c r="C395" s="2" t="s">
        <v>35</v>
      </c>
      <c r="D395" s="2" t="s">
        <v>36</v>
      </c>
      <c r="E395">
        <v>16262</v>
      </c>
      <c r="F395">
        <v>713</v>
      </c>
      <c r="G395">
        <v>23</v>
      </c>
      <c r="H395">
        <v>911.55</v>
      </c>
      <c r="I395">
        <v>2206.21</v>
      </c>
      <c r="J395">
        <v>4.38</v>
      </c>
      <c r="K395">
        <v>3.23</v>
      </c>
      <c r="L395">
        <v>39.630000000000003</v>
      </c>
      <c r="M395">
        <v>2.42</v>
      </c>
      <c r="N395">
        <v>1294.6600000000001</v>
      </c>
    </row>
    <row r="396" spans="1:14" x14ac:dyDescent="0.2">
      <c r="A396" s="1">
        <v>45506</v>
      </c>
      <c r="B396" s="2" t="s">
        <v>33</v>
      </c>
      <c r="C396" s="2" t="s">
        <v>21</v>
      </c>
      <c r="D396" s="2" t="s">
        <v>36</v>
      </c>
      <c r="E396">
        <v>8477</v>
      </c>
      <c r="F396">
        <v>445</v>
      </c>
      <c r="G396">
        <v>48</v>
      </c>
      <c r="H396">
        <v>460.3</v>
      </c>
      <c r="I396">
        <v>5992.13</v>
      </c>
      <c r="J396">
        <v>5.25</v>
      </c>
      <c r="K396">
        <v>10.79</v>
      </c>
      <c r="L396">
        <v>9.59</v>
      </c>
      <c r="M396">
        <v>13.02</v>
      </c>
      <c r="N396">
        <v>5531.83</v>
      </c>
    </row>
    <row r="397" spans="1:14" x14ac:dyDescent="0.2">
      <c r="A397" s="1">
        <v>45506</v>
      </c>
      <c r="B397" s="2" t="s">
        <v>34</v>
      </c>
      <c r="C397" s="2" t="s">
        <v>32</v>
      </c>
      <c r="D397" s="2" t="s">
        <v>25</v>
      </c>
      <c r="E397">
        <v>3000</v>
      </c>
      <c r="F397">
        <v>256</v>
      </c>
      <c r="G397">
        <v>37</v>
      </c>
      <c r="H397">
        <v>135.27000000000001</v>
      </c>
      <c r="I397">
        <v>4437.95</v>
      </c>
      <c r="J397">
        <v>8.5299999999999994</v>
      </c>
      <c r="K397">
        <v>14.45</v>
      </c>
      <c r="L397">
        <v>3.66</v>
      </c>
      <c r="M397">
        <v>32.81</v>
      </c>
      <c r="N397">
        <v>4302.68</v>
      </c>
    </row>
    <row r="398" spans="1:14" x14ac:dyDescent="0.2">
      <c r="A398" s="1">
        <v>45507</v>
      </c>
      <c r="B398" s="2" t="s">
        <v>14</v>
      </c>
      <c r="C398" s="2" t="s">
        <v>15</v>
      </c>
      <c r="D398" s="2" t="s">
        <v>36</v>
      </c>
      <c r="E398">
        <v>7431</v>
      </c>
      <c r="F398">
        <v>355</v>
      </c>
      <c r="G398">
        <v>29</v>
      </c>
      <c r="H398">
        <v>809.83</v>
      </c>
      <c r="I398">
        <v>3797.22</v>
      </c>
      <c r="J398">
        <v>4.78</v>
      </c>
      <c r="K398">
        <v>8.17</v>
      </c>
      <c r="L398">
        <v>27.93</v>
      </c>
      <c r="M398">
        <v>4.6900000000000004</v>
      </c>
      <c r="N398">
        <v>2987.39</v>
      </c>
    </row>
    <row r="399" spans="1:14" x14ac:dyDescent="0.2">
      <c r="A399" s="1">
        <v>45507</v>
      </c>
      <c r="B399" s="2" t="s">
        <v>17</v>
      </c>
      <c r="C399" s="2" t="s">
        <v>35</v>
      </c>
      <c r="D399" s="2" t="s">
        <v>16</v>
      </c>
      <c r="E399">
        <v>11723</v>
      </c>
      <c r="F399">
        <v>387</v>
      </c>
      <c r="G399">
        <v>22</v>
      </c>
      <c r="H399">
        <v>489.67</v>
      </c>
      <c r="I399">
        <v>3281.92</v>
      </c>
      <c r="J399">
        <v>3.3</v>
      </c>
      <c r="K399">
        <v>5.68</v>
      </c>
      <c r="L399">
        <v>22.26</v>
      </c>
      <c r="M399">
        <v>6.7</v>
      </c>
      <c r="N399">
        <v>2792.25</v>
      </c>
    </row>
    <row r="400" spans="1:14" x14ac:dyDescent="0.2">
      <c r="A400" s="1">
        <v>45507</v>
      </c>
      <c r="B400" s="2" t="s">
        <v>20</v>
      </c>
      <c r="C400" s="2" t="s">
        <v>28</v>
      </c>
      <c r="D400" s="2" t="s">
        <v>19</v>
      </c>
      <c r="E400">
        <v>8007</v>
      </c>
      <c r="F400">
        <v>249</v>
      </c>
      <c r="G400">
        <v>14</v>
      </c>
      <c r="H400">
        <v>364.32</v>
      </c>
      <c r="I400">
        <v>1134.02</v>
      </c>
      <c r="J400">
        <v>3.11</v>
      </c>
      <c r="K400">
        <v>5.62</v>
      </c>
      <c r="L400">
        <v>26.02</v>
      </c>
      <c r="M400">
        <v>3.11</v>
      </c>
      <c r="N400">
        <v>769.7</v>
      </c>
    </row>
    <row r="401" spans="1:14" x14ac:dyDescent="0.2">
      <c r="A401" s="1">
        <v>45507</v>
      </c>
      <c r="B401" s="2" t="s">
        <v>23</v>
      </c>
      <c r="C401" s="2" t="s">
        <v>21</v>
      </c>
      <c r="D401" s="2" t="s">
        <v>36</v>
      </c>
      <c r="E401">
        <v>2194</v>
      </c>
      <c r="F401">
        <v>36</v>
      </c>
      <c r="G401">
        <v>4</v>
      </c>
      <c r="H401">
        <v>728.71</v>
      </c>
      <c r="I401">
        <v>939.44</v>
      </c>
      <c r="J401">
        <v>1.64</v>
      </c>
      <c r="K401">
        <v>11.11</v>
      </c>
      <c r="L401">
        <v>182.18</v>
      </c>
      <c r="M401">
        <v>1.29</v>
      </c>
      <c r="N401">
        <v>210.73</v>
      </c>
    </row>
    <row r="402" spans="1:14" x14ac:dyDescent="0.2">
      <c r="A402" s="1">
        <v>45507</v>
      </c>
      <c r="B402" s="2" t="s">
        <v>24</v>
      </c>
      <c r="C402" s="2" t="s">
        <v>21</v>
      </c>
      <c r="D402" s="2" t="s">
        <v>19</v>
      </c>
      <c r="E402">
        <v>10015</v>
      </c>
      <c r="F402">
        <v>1889</v>
      </c>
      <c r="G402">
        <v>163</v>
      </c>
      <c r="H402">
        <v>159.75</v>
      </c>
      <c r="I402">
        <v>20295.490000000002</v>
      </c>
      <c r="J402">
        <v>18.86</v>
      </c>
      <c r="K402">
        <v>8.6300000000000008</v>
      </c>
      <c r="L402">
        <v>0.98</v>
      </c>
      <c r="M402">
        <v>127.05</v>
      </c>
      <c r="N402">
        <v>20135.740000000002</v>
      </c>
    </row>
    <row r="403" spans="1:14" x14ac:dyDescent="0.2">
      <c r="A403" s="1">
        <v>45507</v>
      </c>
      <c r="B403" s="2" t="s">
        <v>26</v>
      </c>
      <c r="C403" s="2" t="s">
        <v>35</v>
      </c>
      <c r="D403" s="2" t="s">
        <v>19</v>
      </c>
      <c r="E403">
        <v>13470</v>
      </c>
      <c r="F403">
        <v>1006</v>
      </c>
      <c r="G403">
        <v>105</v>
      </c>
      <c r="H403">
        <v>0</v>
      </c>
      <c r="I403">
        <v>15087.65</v>
      </c>
      <c r="J403">
        <v>7.47</v>
      </c>
      <c r="K403">
        <v>10.44</v>
      </c>
      <c r="L403">
        <v>0</v>
      </c>
      <c r="M403">
        <v>0</v>
      </c>
      <c r="N403">
        <v>15087.65</v>
      </c>
    </row>
    <row r="404" spans="1:14" x14ac:dyDescent="0.2">
      <c r="A404" s="1">
        <v>45507</v>
      </c>
      <c r="B404" s="2" t="s">
        <v>27</v>
      </c>
      <c r="C404" s="2" t="s">
        <v>35</v>
      </c>
      <c r="D404" s="2" t="s">
        <v>25</v>
      </c>
      <c r="E404">
        <v>23690</v>
      </c>
      <c r="F404">
        <v>255</v>
      </c>
      <c r="G404">
        <v>11</v>
      </c>
      <c r="H404">
        <v>622.96</v>
      </c>
      <c r="I404">
        <v>1537.58</v>
      </c>
      <c r="J404">
        <v>1.08</v>
      </c>
      <c r="K404">
        <v>4.3099999999999996</v>
      </c>
      <c r="L404">
        <v>56.63</v>
      </c>
      <c r="M404">
        <v>2.4700000000000002</v>
      </c>
      <c r="N404">
        <v>914.62</v>
      </c>
    </row>
    <row r="405" spans="1:14" x14ac:dyDescent="0.2">
      <c r="A405" s="1">
        <v>45507</v>
      </c>
      <c r="B405" s="2" t="s">
        <v>29</v>
      </c>
      <c r="C405" s="2" t="s">
        <v>15</v>
      </c>
      <c r="D405" s="2" t="s">
        <v>19</v>
      </c>
      <c r="E405">
        <v>10675</v>
      </c>
      <c r="F405">
        <v>249</v>
      </c>
      <c r="G405">
        <v>17</v>
      </c>
      <c r="H405">
        <v>785.23</v>
      </c>
      <c r="I405">
        <v>2022.92</v>
      </c>
      <c r="J405">
        <v>2.33</v>
      </c>
      <c r="K405">
        <v>6.83</v>
      </c>
      <c r="L405">
        <v>46.19</v>
      </c>
      <c r="M405">
        <v>2.58</v>
      </c>
      <c r="N405">
        <v>1237.69</v>
      </c>
    </row>
    <row r="406" spans="1:14" x14ac:dyDescent="0.2">
      <c r="A406" s="1">
        <v>45507</v>
      </c>
      <c r="B406" s="2" t="s">
        <v>30</v>
      </c>
      <c r="C406" s="2" t="s">
        <v>32</v>
      </c>
      <c r="D406" s="2" t="s">
        <v>16</v>
      </c>
      <c r="E406">
        <v>7479</v>
      </c>
      <c r="F406">
        <v>215</v>
      </c>
      <c r="G406">
        <v>12</v>
      </c>
      <c r="H406">
        <v>383.37</v>
      </c>
      <c r="I406">
        <v>1176.05</v>
      </c>
      <c r="J406">
        <v>2.87</v>
      </c>
      <c r="K406">
        <v>5.58</v>
      </c>
      <c r="L406">
        <v>31.95</v>
      </c>
      <c r="M406">
        <v>3.07</v>
      </c>
      <c r="N406">
        <v>792.68</v>
      </c>
    </row>
    <row r="407" spans="1:14" x14ac:dyDescent="0.2">
      <c r="A407" s="1">
        <v>45507</v>
      </c>
      <c r="B407" s="2" t="s">
        <v>31</v>
      </c>
      <c r="C407" s="2" t="s">
        <v>32</v>
      </c>
      <c r="D407" s="2" t="s">
        <v>22</v>
      </c>
      <c r="E407">
        <v>12721</v>
      </c>
      <c r="F407">
        <v>444</v>
      </c>
      <c r="G407">
        <v>30</v>
      </c>
      <c r="H407">
        <v>502.71</v>
      </c>
      <c r="I407">
        <v>2495.92</v>
      </c>
      <c r="J407">
        <v>3.49</v>
      </c>
      <c r="K407">
        <v>6.76</v>
      </c>
      <c r="L407">
        <v>16.760000000000002</v>
      </c>
      <c r="M407">
        <v>4.96</v>
      </c>
      <c r="N407">
        <v>1993.21</v>
      </c>
    </row>
    <row r="408" spans="1:14" x14ac:dyDescent="0.2">
      <c r="A408" s="1">
        <v>45507</v>
      </c>
      <c r="B408" s="2" t="s">
        <v>33</v>
      </c>
      <c r="C408" s="2" t="s">
        <v>18</v>
      </c>
      <c r="D408" s="2" t="s">
        <v>22</v>
      </c>
      <c r="E408">
        <v>3510</v>
      </c>
      <c r="F408">
        <v>239</v>
      </c>
      <c r="G408">
        <v>30</v>
      </c>
      <c r="H408">
        <v>388.26</v>
      </c>
      <c r="I408">
        <v>3123.21</v>
      </c>
      <c r="J408">
        <v>6.81</v>
      </c>
      <c r="K408">
        <v>12.55</v>
      </c>
      <c r="L408">
        <v>12.94</v>
      </c>
      <c r="M408">
        <v>8.0399999999999991</v>
      </c>
      <c r="N408">
        <v>2734.95</v>
      </c>
    </row>
    <row r="409" spans="1:14" x14ac:dyDescent="0.2">
      <c r="A409" s="1">
        <v>45507</v>
      </c>
      <c r="B409" s="2" t="s">
        <v>34</v>
      </c>
      <c r="C409" s="2" t="s">
        <v>15</v>
      </c>
      <c r="D409" s="2" t="s">
        <v>36</v>
      </c>
      <c r="E409">
        <v>4025</v>
      </c>
      <c r="F409">
        <v>302</v>
      </c>
      <c r="G409">
        <v>48</v>
      </c>
      <c r="H409">
        <v>80.61</v>
      </c>
      <c r="I409">
        <v>6219.27</v>
      </c>
      <c r="J409">
        <v>7.5</v>
      </c>
      <c r="K409">
        <v>15.89</v>
      </c>
      <c r="L409">
        <v>1.68</v>
      </c>
      <c r="M409">
        <v>77.150000000000006</v>
      </c>
      <c r="N409">
        <v>6138.66</v>
      </c>
    </row>
    <row r="410" spans="1:14" x14ac:dyDescent="0.2">
      <c r="A410" s="1">
        <v>45508</v>
      </c>
      <c r="B410" s="2" t="s">
        <v>14</v>
      </c>
      <c r="C410" s="2" t="s">
        <v>28</v>
      </c>
      <c r="D410" s="2" t="s">
        <v>25</v>
      </c>
      <c r="E410">
        <v>6730</v>
      </c>
      <c r="F410">
        <v>234</v>
      </c>
      <c r="G410">
        <v>20</v>
      </c>
      <c r="H410">
        <v>515.52</v>
      </c>
      <c r="I410">
        <v>3130.87</v>
      </c>
      <c r="J410">
        <v>3.48</v>
      </c>
      <c r="K410">
        <v>8.5500000000000007</v>
      </c>
      <c r="L410">
        <v>25.78</v>
      </c>
      <c r="M410">
        <v>6.07</v>
      </c>
      <c r="N410">
        <v>2615.35</v>
      </c>
    </row>
    <row r="411" spans="1:14" x14ac:dyDescent="0.2">
      <c r="A411" s="1">
        <v>45508</v>
      </c>
      <c r="B411" s="2" t="s">
        <v>17</v>
      </c>
      <c r="C411" s="2" t="s">
        <v>21</v>
      </c>
      <c r="D411" s="2" t="s">
        <v>36</v>
      </c>
      <c r="E411">
        <v>8009</v>
      </c>
      <c r="F411">
        <v>210</v>
      </c>
      <c r="G411">
        <v>16</v>
      </c>
      <c r="H411">
        <v>689.7</v>
      </c>
      <c r="I411">
        <v>1820.07</v>
      </c>
      <c r="J411">
        <v>2.62</v>
      </c>
      <c r="K411">
        <v>7.62</v>
      </c>
      <c r="L411">
        <v>43.11</v>
      </c>
      <c r="M411">
        <v>2.64</v>
      </c>
      <c r="N411">
        <v>1130.3699999999999</v>
      </c>
    </row>
    <row r="412" spans="1:14" x14ac:dyDescent="0.2">
      <c r="A412" s="1">
        <v>45508</v>
      </c>
      <c r="B412" s="2" t="s">
        <v>20</v>
      </c>
      <c r="C412" s="2" t="s">
        <v>15</v>
      </c>
      <c r="D412" s="2" t="s">
        <v>36</v>
      </c>
      <c r="E412">
        <v>7370</v>
      </c>
      <c r="F412">
        <v>292</v>
      </c>
      <c r="G412">
        <v>11</v>
      </c>
      <c r="H412">
        <v>354.2</v>
      </c>
      <c r="I412">
        <v>1274.1099999999999</v>
      </c>
      <c r="J412">
        <v>3.96</v>
      </c>
      <c r="K412">
        <v>3.77</v>
      </c>
      <c r="L412">
        <v>32.200000000000003</v>
      </c>
      <c r="M412">
        <v>3.6</v>
      </c>
      <c r="N412">
        <v>919.91</v>
      </c>
    </row>
    <row r="413" spans="1:14" x14ac:dyDescent="0.2">
      <c r="A413" s="1">
        <v>45508</v>
      </c>
      <c r="B413" s="2" t="s">
        <v>23</v>
      </c>
      <c r="C413" s="2" t="s">
        <v>28</v>
      </c>
      <c r="D413" s="2" t="s">
        <v>16</v>
      </c>
      <c r="E413">
        <v>2655</v>
      </c>
      <c r="F413">
        <v>78</v>
      </c>
      <c r="G413">
        <v>7</v>
      </c>
      <c r="H413">
        <v>599.87</v>
      </c>
      <c r="I413">
        <v>2005.67</v>
      </c>
      <c r="J413">
        <v>2.94</v>
      </c>
      <c r="K413">
        <v>8.9700000000000006</v>
      </c>
      <c r="L413">
        <v>85.7</v>
      </c>
      <c r="M413">
        <v>3.34</v>
      </c>
      <c r="N413">
        <v>1405.8</v>
      </c>
    </row>
    <row r="414" spans="1:14" x14ac:dyDescent="0.2">
      <c r="A414" s="1">
        <v>45508</v>
      </c>
      <c r="B414" s="2" t="s">
        <v>24</v>
      </c>
      <c r="C414" s="2" t="s">
        <v>18</v>
      </c>
      <c r="D414" s="2" t="s">
        <v>19</v>
      </c>
      <c r="E414">
        <v>10566</v>
      </c>
      <c r="F414">
        <v>1895</v>
      </c>
      <c r="G414">
        <v>205</v>
      </c>
      <c r="H414">
        <v>85.07</v>
      </c>
      <c r="I414">
        <v>22935.26</v>
      </c>
      <c r="J414">
        <v>17.93</v>
      </c>
      <c r="K414">
        <v>10.82</v>
      </c>
      <c r="L414">
        <v>0.41</v>
      </c>
      <c r="M414">
        <v>269.60000000000002</v>
      </c>
      <c r="N414">
        <v>22850.19</v>
      </c>
    </row>
    <row r="415" spans="1:14" x14ac:dyDescent="0.2">
      <c r="A415" s="1">
        <v>45508</v>
      </c>
      <c r="B415" s="2" t="s">
        <v>26</v>
      </c>
      <c r="C415" s="2" t="s">
        <v>21</v>
      </c>
      <c r="D415" s="2" t="s">
        <v>36</v>
      </c>
      <c r="E415">
        <v>17112</v>
      </c>
      <c r="F415">
        <v>981</v>
      </c>
      <c r="G415">
        <v>109</v>
      </c>
      <c r="H415">
        <v>0</v>
      </c>
      <c r="I415">
        <v>14484.09</v>
      </c>
      <c r="J415">
        <v>5.73</v>
      </c>
      <c r="K415">
        <v>11.11</v>
      </c>
      <c r="L415">
        <v>0</v>
      </c>
      <c r="M415">
        <v>0</v>
      </c>
      <c r="N415">
        <v>14484.09</v>
      </c>
    </row>
    <row r="416" spans="1:14" x14ac:dyDescent="0.2">
      <c r="A416" s="1">
        <v>45508</v>
      </c>
      <c r="B416" s="2" t="s">
        <v>27</v>
      </c>
      <c r="C416" s="2" t="s">
        <v>15</v>
      </c>
      <c r="D416" s="2" t="s">
        <v>22</v>
      </c>
      <c r="E416">
        <v>14878</v>
      </c>
      <c r="F416">
        <v>277</v>
      </c>
      <c r="G416">
        <v>10</v>
      </c>
      <c r="H416">
        <v>748.05</v>
      </c>
      <c r="I416">
        <v>1321.64</v>
      </c>
      <c r="J416">
        <v>1.86</v>
      </c>
      <c r="K416">
        <v>3.61</v>
      </c>
      <c r="L416">
        <v>74.8</v>
      </c>
      <c r="M416">
        <v>1.77</v>
      </c>
      <c r="N416">
        <v>573.59</v>
      </c>
    </row>
    <row r="417" spans="1:14" x14ac:dyDescent="0.2">
      <c r="A417" s="1">
        <v>45508</v>
      </c>
      <c r="B417" s="2" t="s">
        <v>29</v>
      </c>
      <c r="C417" s="2" t="s">
        <v>35</v>
      </c>
      <c r="D417" s="2" t="s">
        <v>25</v>
      </c>
      <c r="E417">
        <v>9350</v>
      </c>
      <c r="F417">
        <v>276</v>
      </c>
      <c r="G417">
        <v>16</v>
      </c>
      <c r="H417">
        <v>541.15</v>
      </c>
      <c r="I417">
        <v>1991.59</v>
      </c>
      <c r="J417">
        <v>2.95</v>
      </c>
      <c r="K417">
        <v>5.8</v>
      </c>
      <c r="L417">
        <v>33.82</v>
      </c>
      <c r="M417">
        <v>3.68</v>
      </c>
      <c r="N417">
        <v>1450.44</v>
      </c>
    </row>
    <row r="418" spans="1:14" x14ac:dyDescent="0.2">
      <c r="A418" s="1">
        <v>45508</v>
      </c>
      <c r="B418" s="2" t="s">
        <v>30</v>
      </c>
      <c r="C418" s="2" t="s">
        <v>35</v>
      </c>
      <c r="D418" s="2" t="s">
        <v>36</v>
      </c>
      <c r="E418">
        <v>5086</v>
      </c>
      <c r="F418">
        <v>117</v>
      </c>
      <c r="G418">
        <v>6</v>
      </c>
      <c r="H418">
        <v>293.29000000000002</v>
      </c>
      <c r="I418">
        <v>549.26</v>
      </c>
      <c r="J418">
        <v>2.2999999999999998</v>
      </c>
      <c r="K418">
        <v>5.13</v>
      </c>
      <c r="L418">
        <v>48.88</v>
      </c>
      <c r="M418">
        <v>1.87</v>
      </c>
      <c r="N418">
        <v>255.97</v>
      </c>
    </row>
    <row r="419" spans="1:14" x14ac:dyDescent="0.2">
      <c r="A419" s="1">
        <v>45508</v>
      </c>
      <c r="B419" s="2" t="s">
        <v>31</v>
      </c>
      <c r="C419" s="2" t="s">
        <v>32</v>
      </c>
      <c r="D419" s="2" t="s">
        <v>25</v>
      </c>
      <c r="E419">
        <v>13879</v>
      </c>
      <c r="F419">
        <v>470</v>
      </c>
      <c r="G419">
        <v>15</v>
      </c>
      <c r="H419">
        <v>618.66</v>
      </c>
      <c r="I419">
        <v>1138.67</v>
      </c>
      <c r="J419">
        <v>3.39</v>
      </c>
      <c r="K419">
        <v>3.19</v>
      </c>
      <c r="L419">
        <v>41.24</v>
      </c>
      <c r="M419">
        <v>1.84</v>
      </c>
      <c r="N419">
        <v>520.01</v>
      </c>
    </row>
    <row r="420" spans="1:14" x14ac:dyDescent="0.2">
      <c r="A420" s="1">
        <v>45508</v>
      </c>
      <c r="B420" s="2" t="s">
        <v>33</v>
      </c>
      <c r="C420" s="2" t="s">
        <v>35</v>
      </c>
      <c r="D420" s="2" t="s">
        <v>36</v>
      </c>
      <c r="E420">
        <v>4407</v>
      </c>
      <c r="F420">
        <v>248</v>
      </c>
      <c r="G420">
        <v>20</v>
      </c>
      <c r="H420">
        <v>311.13</v>
      </c>
      <c r="I420">
        <v>2145.15</v>
      </c>
      <c r="J420">
        <v>5.63</v>
      </c>
      <c r="K420">
        <v>8.06</v>
      </c>
      <c r="L420">
        <v>15.56</v>
      </c>
      <c r="M420">
        <v>6.89</v>
      </c>
      <c r="N420">
        <v>1834.02</v>
      </c>
    </row>
    <row r="421" spans="1:14" x14ac:dyDescent="0.2">
      <c r="A421" s="1">
        <v>45508</v>
      </c>
      <c r="B421" s="2" t="s">
        <v>34</v>
      </c>
      <c r="C421" s="2" t="s">
        <v>15</v>
      </c>
      <c r="D421" s="2" t="s">
        <v>25</v>
      </c>
      <c r="E421">
        <v>3974</v>
      </c>
      <c r="F421">
        <v>300</v>
      </c>
      <c r="G421">
        <v>51</v>
      </c>
      <c r="H421">
        <v>118.03</v>
      </c>
      <c r="I421">
        <v>6050.03</v>
      </c>
      <c r="J421">
        <v>7.55</v>
      </c>
      <c r="K421">
        <v>17</v>
      </c>
      <c r="L421">
        <v>2.31</v>
      </c>
      <c r="M421">
        <v>51.26</v>
      </c>
      <c r="N421">
        <v>5932</v>
      </c>
    </row>
    <row r="422" spans="1:14" x14ac:dyDescent="0.2">
      <c r="A422" s="1">
        <v>45509</v>
      </c>
      <c r="B422" s="2" t="s">
        <v>14</v>
      </c>
      <c r="C422" s="2" t="s">
        <v>35</v>
      </c>
      <c r="D422" s="2" t="s">
        <v>19</v>
      </c>
      <c r="E422">
        <v>9518</v>
      </c>
      <c r="F422">
        <v>446</v>
      </c>
      <c r="G422">
        <v>45</v>
      </c>
      <c r="H422">
        <v>1228.3499999999999</v>
      </c>
      <c r="I422">
        <v>8149.31</v>
      </c>
      <c r="J422">
        <v>4.6900000000000004</v>
      </c>
      <c r="K422">
        <v>10.09</v>
      </c>
      <c r="L422">
        <v>27.3</v>
      </c>
      <c r="M422">
        <v>6.63</v>
      </c>
      <c r="N422">
        <v>6920.96</v>
      </c>
    </row>
    <row r="423" spans="1:14" x14ac:dyDescent="0.2">
      <c r="A423" s="1">
        <v>45509</v>
      </c>
      <c r="B423" s="2" t="s">
        <v>17</v>
      </c>
      <c r="C423" s="2" t="s">
        <v>15</v>
      </c>
      <c r="D423" s="2" t="s">
        <v>36</v>
      </c>
      <c r="E423">
        <v>16172</v>
      </c>
      <c r="F423">
        <v>590</v>
      </c>
      <c r="G423">
        <v>51</v>
      </c>
      <c r="H423">
        <v>941.26</v>
      </c>
      <c r="I423">
        <v>7121.37</v>
      </c>
      <c r="J423">
        <v>3.65</v>
      </c>
      <c r="K423">
        <v>8.64</v>
      </c>
      <c r="L423">
        <v>18.46</v>
      </c>
      <c r="M423">
        <v>7.57</v>
      </c>
      <c r="N423">
        <v>6180.11</v>
      </c>
    </row>
    <row r="424" spans="1:14" x14ac:dyDescent="0.2">
      <c r="A424" s="1">
        <v>45509</v>
      </c>
      <c r="B424" s="2" t="s">
        <v>20</v>
      </c>
      <c r="C424" s="2" t="s">
        <v>35</v>
      </c>
      <c r="D424" s="2" t="s">
        <v>19</v>
      </c>
      <c r="E424">
        <v>12822</v>
      </c>
      <c r="F424">
        <v>455</v>
      </c>
      <c r="G424">
        <v>27</v>
      </c>
      <c r="H424">
        <v>692.22</v>
      </c>
      <c r="I424">
        <v>3079.31</v>
      </c>
      <c r="J424">
        <v>3.55</v>
      </c>
      <c r="K424">
        <v>5.93</v>
      </c>
      <c r="L424">
        <v>25.64</v>
      </c>
      <c r="M424">
        <v>4.45</v>
      </c>
      <c r="N424">
        <v>2387.09</v>
      </c>
    </row>
    <row r="425" spans="1:14" x14ac:dyDescent="0.2">
      <c r="A425" s="1">
        <v>45509</v>
      </c>
      <c r="B425" s="2" t="s">
        <v>23</v>
      </c>
      <c r="C425" s="2" t="s">
        <v>35</v>
      </c>
      <c r="D425" s="2" t="s">
        <v>22</v>
      </c>
      <c r="E425">
        <v>4831</v>
      </c>
      <c r="F425">
        <v>98</v>
      </c>
      <c r="G425">
        <v>13</v>
      </c>
      <c r="H425">
        <v>1377.73</v>
      </c>
      <c r="I425">
        <v>4523.12</v>
      </c>
      <c r="J425">
        <v>2.0299999999999998</v>
      </c>
      <c r="K425">
        <v>13.27</v>
      </c>
      <c r="L425">
        <v>105.98</v>
      </c>
      <c r="M425">
        <v>3.28</v>
      </c>
      <c r="N425">
        <v>3145.39</v>
      </c>
    </row>
    <row r="426" spans="1:14" x14ac:dyDescent="0.2">
      <c r="A426" s="1">
        <v>45509</v>
      </c>
      <c r="B426" s="2" t="s">
        <v>24</v>
      </c>
      <c r="C426" s="2" t="s">
        <v>18</v>
      </c>
      <c r="D426" s="2" t="s">
        <v>22</v>
      </c>
      <c r="E426">
        <v>17201</v>
      </c>
      <c r="F426">
        <v>3208</v>
      </c>
      <c r="G426">
        <v>270</v>
      </c>
      <c r="H426">
        <v>144.41</v>
      </c>
      <c r="I426">
        <v>41148.26</v>
      </c>
      <c r="J426">
        <v>18.649999999999999</v>
      </c>
      <c r="K426">
        <v>8.42</v>
      </c>
      <c r="L426">
        <v>0.53</v>
      </c>
      <c r="M426">
        <v>284.94</v>
      </c>
      <c r="N426">
        <v>41003.85</v>
      </c>
    </row>
    <row r="427" spans="1:14" x14ac:dyDescent="0.2">
      <c r="A427" s="1">
        <v>45509</v>
      </c>
      <c r="B427" s="2" t="s">
        <v>26</v>
      </c>
      <c r="C427" s="2" t="s">
        <v>35</v>
      </c>
      <c r="D427" s="2" t="s">
        <v>16</v>
      </c>
      <c r="E427">
        <v>21362</v>
      </c>
      <c r="F427">
        <v>1365</v>
      </c>
      <c r="G427">
        <v>163</v>
      </c>
      <c r="H427">
        <v>0</v>
      </c>
      <c r="I427">
        <v>18300.509999999998</v>
      </c>
      <c r="J427">
        <v>6.39</v>
      </c>
      <c r="K427">
        <v>11.94</v>
      </c>
      <c r="L427">
        <v>0</v>
      </c>
      <c r="M427">
        <v>0</v>
      </c>
      <c r="N427">
        <v>18300.509999999998</v>
      </c>
    </row>
    <row r="428" spans="1:14" x14ac:dyDescent="0.2">
      <c r="A428" s="1">
        <v>45509</v>
      </c>
      <c r="B428" s="2" t="s">
        <v>27</v>
      </c>
      <c r="C428" s="2" t="s">
        <v>15</v>
      </c>
      <c r="D428" s="2" t="s">
        <v>25</v>
      </c>
      <c r="E428">
        <v>21731</v>
      </c>
      <c r="F428">
        <v>298</v>
      </c>
      <c r="G428">
        <v>13</v>
      </c>
      <c r="H428">
        <v>760.38</v>
      </c>
      <c r="I428">
        <v>1291.51</v>
      </c>
      <c r="J428">
        <v>1.37</v>
      </c>
      <c r="K428">
        <v>4.3600000000000003</v>
      </c>
      <c r="L428">
        <v>58.49</v>
      </c>
      <c r="M428">
        <v>1.7</v>
      </c>
      <c r="N428">
        <v>531.13</v>
      </c>
    </row>
    <row r="429" spans="1:14" x14ac:dyDescent="0.2">
      <c r="A429" s="1">
        <v>45509</v>
      </c>
      <c r="B429" s="2" t="s">
        <v>29</v>
      </c>
      <c r="C429" s="2" t="s">
        <v>15</v>
      </c>
      <c r="D429" s="2" t="s">
        <v>22</v>
      </c>
      <c r="E429">
        <v>20091</v>
      </c>
      <c r="F429">
        <v>338</v>
      </c>
      <c r="G429">
        <v>23</v>
      </c>
      <c r="H429">
        <v>755.83</v>
      </c>
      <c r="I429">
        <v>2435.46</v>
      </c>
      <c r="J429">
        <v>1.68</v>
      </c>
      <c r="K429">
        <v>6.8</v>
      </c>
      <c r="L429">
        <v>32.86</v>
      </c>
      <c r="M429">
        <v>3.22</v>
      </c>
      <c r="N429">
        <v>1679.63</v>
      </c>
    </row>
    <row r="430" spans="1:14" x14ac:dyDescent="0.2">
      <c r="A430" s="1">
        <v>45509</v>
      </c>
      <c r="B430" s="2" t="s">
        <v>30</v>
      </c>
      <c r="C430" s="2" t="s">
        <v>21</v>
      </c>
      <c r="D430" s="2" t="s">
        <v>22</v>
      </c>
      <c r="E430">
        <v>11557</v>
      </c>
      <c r="F430">
        <v>368</v>
      </c>
      <c r="G430">
        <v>13</v>
      </c>
      <c r="H430">
        <v>385.9</v>
      </c>
      <c r="I430">
        <v>1140.98</v>
      </c>
      <c r="J430">
        <v>3.18</v>
      </c>
      <c r="K430">
        <v>3.53</v>
      </c>
      <c r="L430">
        <v>29.68</v>
      </c>
      <c r="M430">
        <v>2.96</v>
      </c>
      <c r="N430">
        <v>755.08</v>
      </c>
    </row>
    <row r="431" spans="1:14" x14ac:dyDescent="0.2">
      <c r="A431" s="1">
        <v>45509</v>
      </c>
      <c r="B431" s="2" t="s">
        <v>31</v>
      </c>
      <c r="C431" s="2" t="s">
        <v>15</v>
      </c>
      <c r="D431" s="2" t="s">
        <v>36</v>
      </c>
      <c r="E431">
        <v>15706</v>
      </c>
      <c r="F431">
        <v>537</v>
      </c>
      <c r="G431">
        <v>24</v>
      </c>
      <c r="H431">
        <v>806.98</v>
      </c>
      <c r="I431">
        <v>2323.4899999999998</v>
      </c>
      <c r="J431">
        <v>3.42</v>
      </c>
      <c r="K431">
        <v>4.47</v>
      </c>
      <c r="L431">
        <v>33.619999999999997</v>
      </c>
      <c r="M431">
        <v>2.88</v>
      </c>
      <c r="N431">
        <v>1516.51</v>
      </c>
    </row>
    <row r="432" spans="1:14" x14ac:dyDescent="0.2">
      <c r="A432" s="1">
        <v>45509</v>
      </c>
      <c r="B432" s="2" t="s">
        <v>33</v>
      </c>
      <c r="C432" s="2" t="s">
        <v>35</v>
      </c>
      <c r="D432" s="2" t="s">
        <v>25</v>
      </c>
      <c r="E432">
        <v>8313</v>
      </c>
      <c r="F432">
        <v>335</v>
      </c>
      <c r="G432">
        <v>34</v>
      </c>
      <c r="H432">
        <v>268.58</v>
      </c>
      <c r="I432">
        <v>4166.08</v>
      </c>
      <c r="J432">
        <v>4.03</v>
      </c>
      <c r="K432">
        <v>10.15</v>
      </c>
      <c r="L432">
        <v>7.9</v>
      </c>
      <c r="M432">
        <v>15.51</v>
      </c>
      <c r="N432">
        <v>3897.5</v>
      </c>
    </row>
    <row r="433" spans="1:14" x14ac:dyDescent="0.2">
      <c r="A433" s="1">
        <v>45509</v>
      </c>
      <c r="B433" s="2" t="s">
        <v>34</v>
      </c>
      <c r="C433" s="2" t="s">
        <v>32</v>
      </c>
      <c r="D433" s="2" t="s">
        <v>25</v>
      </c>
      <c r="E433">
        <v>5625</v>
      </c>
      <c r="F433">
        <v>360</v>
      </c>
      <c r="G433">
        <v>45</v>
      </c>
      <c r="H433">
        <v>130.6</v>
      </c>
      <c r="I433">
        <v>7750.39</v>
      </c>
      <c r="J433">
        <v>6.4</v>
      </c>
      <c r="K433">
        <v>12.5</v>
      </c>
      <c r="L433">
        <v>2.9</v>
      </c>
      <c r="M433">
        <v>59.34</v>
      </c>
      <c r="N433">
        <v>7619.79</v>
      </c>
    </row>
    <row r="434" spans="1:14" x14ac:dyDescent="0.2">
      <c r="A434" s="1">
        <v>45510</v>
      </c>
      <c r="B434" s="2" t="s">
        <v>14</v>
      </c>
      <c r="C434" s="2" t="s">
        <v>35</v>
      </c>
      <c r="D434" s="2" t="s">
        <v>16</v>
      </c>
      <c r="E434">
        <v>11842</v>
      </c>
      <c r="F434">
        <v>456</v>
      </c>
      <c r="G434">
        <v>48</v>
      </c>
      <c r="H434">
        <v>1166.6199999999999</v>
      </c>
      <c r="I434">
        <v>7395.58</v>
      </c>
      <c r="J434">
        <v>3.85</v>
      </c>
      <c r="K434">
        <v>10.53</v>
      </c>
      <c r="L434">
        <v>24.3</v>
      </c>
      <c r="M434">
        <v>6.34</v>
      </c>
      <c r="N434">
        <v>6228.96</v>
      </c>
    </row>
    <row r="435" spans="1:14" x14ac:dyDescent="0.2">
      <c r="A435" s="1">
        <v>45510</v>
      </c>
      <c r="B435" s="2" t="s">
        <v>17</v>
      </c>
      <c r="C435" s="2" t="s">
        <v>21</v>
      </c>
      <c r="D435" s="2" t="s">
        <v>19</v>
      </c>
      <c r="E435">
        <v>15464</v>
      </c>
      <c r="F435">
        <v>505</v>
      </c>
      <c r="G435">
        <v>39</v>
      </c>
      <c r="H435">
        <v>636.98</v>
      </c>
      <c r="I435">
        <v>4800.43</v>
      </c>
      <c r="J435">
        <v>3.27</v>
      </c>
      <c r="K435">
        <v>7.72</v>
      </c>
      <c r="L435">
        <v>16.329999999999998</v>
      </c>
      <c r="M435">
        <v>7.54</v>
      </c>
      <c r="N435">
        <v>4163.45</v>
      </c>
    </row>
    <row r="436" spans="1:14" x14ac:dyDescent="0.2">
      <c r="A436" s="1">
        <v>45510</v>
      </c>
      <c r="B436" s="2" t="s">
        <v>20</v>
      </c>
      <c r="C436" s="2" t="s">
        <v>21</v>
      </c>
      <c r="D436" s="2" t="s">
        <v>19</v>
      </c>
      <c r="E436">
        <v>11225</v>
      </c>
      <c r="F436">
        <v>323</v>
      </c>
      <c r="G436">
        <v>22</v>
      </c>
      <c r="H436">
        <v>612.54</v>
      </c>
      <c r="I436">
        <v>2370.89</v>
      </c>
      <c r="J436">
        <v>2.88</v>
      </c>
      <c r="K436">
        <v>6.81</v>
      </c>
      <c r="L436">
        <v>27.84</v>
      </c>
      <c r="M436">
        <v>3.87</v>
      </c>
      <c r="N436">
        <v>1758.35</v>
      </c>
    </row>
    <row r="437" spans="1:14" x14ac:dyDescent="0.2">
      <c r="A437" s="1">
        <v>45510</v>
      </c>
      <c r="B437" s="2" t="s">
        <v>23</v>
      </c>
      <c r="C437" s="2" t="s">
        <v>21</v>
      </c>
      <c r="D437" s="2" t="s">
        <v>19</v>
      </c>
      <c r="E437">
        <v>4233</v>
      </c>
      <c r="F437">
        <v>81</v>
      </c>
      <c r="G437">
        <v>7</v>
      </c>
      <c r="H437">
        <v>917.88</v>
      </c>
      <c r="I437">
        <v>1706.94</v>
      </c>
      <c r="J437">
        <v>1.91</v>
      </c>
      <c r="K437">
        <v>8.64</v>
      </c>
      <c r="L437">
        <v>131.13</v>
      </c>
      <c r="M437">
        <v>1.86</v>
      </c>
      <c r="N437">
        <v>789.06</v>
      </c>
    </row>
    <row r="438" spans="1:14" x14ac:dyDescent="0.2">
      <c r="A438" s="1">
        <v>45510</v>
      </c>
      <c r="B438" s="2" t="s">
        <v>24</v>
      </c>
      <c r="C438" s="2" t="s">
        <v>18</v>
      </c>
      <c r="D438" s="2" t="s">
        <v>25</v>
      </c>
      <c r="E438">
        <v>15466</v>
      </c>
      <c r="F438">
        <v>2952</v>
      </c>
      <c r="G438">
        <v>335</v>
      </c>
      <c r="H438">
        <v>148.47999999999999</v>
      </c>
      <c r="I438">
        <v>53714.99</v>
      </c>
      <c r="J438">
        <v>19.09</v>
      </c>
      <c r="K438">
        <v>11.35</v>
      </c>
      <c r="L438">
        <v>0.44</v>
      </c>
      <c r="M438">
        <v>361.77</v>
      </c>
      <c r="N438">
        <v>53566.51</v>
      </c>
    </row>
    <row r="439" spans="1:14" x14ac:dyDescent="0.2">
      <c r="A439" s="1">
        <v>45510</v>
      </c>
      <c r="B439" s="2" t="s">
        <v>26</v>
      </c>
      <c r="C439" s="2" t="s">
        <v>21</v>
      </c>
      <c r="D439" s="2" t="s">
        <v>19</v>
      </c>
      <c r="E439">
        <v>27110</v>
      </c>
      <c r="F439">
        <v>1156</v>
      </c>
      <c r="G439">
        <v>170</v>
      </c>
      <c r="H439">
        <v>0</v>
      </c>
      <c r="I439">
        <v>19386.61</v>
      </c>
      <c r="J439">
        <v>4.26</v>
      </c>
      <c r="K439">
        <v>14.71</v>
      </c>
      <c r="L439">
        <v>0</v>
      </c>
      <c r="M439">
        <v>0</v>
      </c>
      <c r="N439">
        <v>19386.61</v>
      </c>
    </row>
    <row r="440" spans="1:14" x14ac:dyDescent="0.2">
      <c r="A440" s="1">
        <v>45510</v>
      </c>
      <c r="B440" s="2" t="s">
        <v>27</v>
      </c>
      <c r="C440" s="2" t="s">
        <v>18</v>
      </c>
      <c r="D440" s="2" t="s">
        <v>16</v>
      </c>
      <c r="E440">
        <v>24906</v>
      </c>
      <c r="F440">
        <v>311</v>
      </c>
      <c r="G440">
        <v>12</v>
      </c>
      <c r="H440">
        <v>747.63</v>
      </c>
      <c r="I440">
        <v>1507.21</v>
      </c>
      <c r="J440">
        <v>1.25</v>
      </c>
      <c r="K440">
        <v>3.86</v>
      </c>
      <c r="L440">
        <v>62.3</v>
      </c>
      <c r="M440">
        <v>2.02</v>
      </c>
      <c r="N440">
        <v>759.58</v>
      </c>
    </row>
    <row r="441" spans="1:14" x14ac:dyDescent="0.2">
      <c r="A441" s="1">
        <v>45510</v>
      </c>
      <c r="B441" s="2" t="s">
        <v>29</v>
      </c>
      <c r="C441" s="2" t="s">
        <v>32</v>
      </c>
      <c r="D441" s="2" t="s">
        <v>19</v>
      </c>
      <c r="E441">
        <v>14861</v>
      </c>
      <c r="F441">
        <v>375</v>
      </c>
      <c r="G441">
        <v>20</v>
      </c>
      <c r="H441">
        <v>1126.6500000000001</v>
      </c>
      <c r="I441">
        <v>2472.6</v>
      </c>
      <c r="J441">
        <v>2.52</v>
      </c>
      <c r="K441">
        <v>5.33</v>
      </c>
      <c r="L441">
        <v>56.33</v>
      </c>
      <c r="M441">
        <v>2.19</v>
      </c>
      <c r="N441">
        <v>1345.95</v>
      </c>
    </row>
    <row r="442" spans="1:14" x14ac:dyDescent="0.2">
      <c r="A442" s="1">
        <v>45510</v>
      </c>
      <c r="B442" s="2" t="s">
        <v>30</v>
      </c>
      <c r="C442" s="2" t="s">
        <v>15</v>
      </c>
      <c r="D442" s="2" t="s">
        <v>22</v>
      </c>
      <c r="E442">
        <v>11421</v>
      </c>
      <c r="F442">
        <v>330</v>
      </c>
      <c r="G442">
        <v>17</v>
      </c>
      <c r="H442">
        <v>470.06</v>
      </c>
      <c r="I442">
        <v>1922.55</v>
      </c>
      <c r="J442">
        <v>2.89</v>
      </c>
      <c r="K442">
        <v>5.15</v>
      </c>
      <c r="L442">
        <v>27.65</v>
      </c>
      <c r="M442">
        <v>4.09</v>
      </c>
      <c r="N442">
        <v>1452.49</v>
      </c>
    </row>
    <row r="443" spans="1:14" x14ac:dyDescent="0.2">
      <c r="A443" s="1">
        <v>45510</v>
      </c>
      <c r="B443" s="2" t="s">
        <v>31</v>
      </c>
      <c r="C443" s="2" t="s">
        <v>15</v>
      </c>
      <c r="D443" s="2" t="s">
        <v>36</v>
      </c>
      <c r="E443">
        <v>16648</v>
      </c>
      <c r="F443">
        <v>427</v>
      </c>
      <c r="G443">
        <v>24</v>
      </c>
      <c r="H443">
        <v>860.3</v>
      </c>
      <c r="I443">
        <v>2454.0300000000002</v>
      </c>
      <c r="J443">
        <v>2.56</v>
      </c>
      <c r="K443">
        <v>5.62</v>
      </c>
      <c r="L443">
        <v>35.85</v>
      </c>
      <c r="M443">
        <v>2.85</v>
      </c>
      <c r="N443">
        <v>1593.73</v>
      </c>
    </row>
    <row r="444" spans="1:14" x14ac:dyDescent="0.2">
      <c r="A444" s="1">
        <v>45510</v>
      </c>
      <c r="B444" s="2" t="s">
        <v>33</v>
      </c>
      <c r="C444" s="2" t="s">
        <v>18</v>
      </c>
      <c r="D444" s="2" t="s">
        <v>16</v>
      </c>
      <c r="E444">
        <v>4258</v>
      </c>
      <c r="F444">
        <v>296</v>
      </c>
      <c r="G444">
        <v>35</v>
      </c>
      <c r="H444">
        <v>301.77</v>
      </c>
      <c r="I444">
        <v>3980.83</v>
      </c>
      <c r="J444">
        <v>6.95</v>
      </c>
      <c r="K444">
        <v>11.82</v>
      </c>
      <c r="L444">
        <v>8.6199999999999992</v>
      </c>
      <c r="M444">
        <v>13.19</v>
      </c>
      <c r="N444">
        <v>3679.06</v>
      </c>
    </row>
    <row r="445" spans="1:14" x14ac:dyDescent="0.2">
      <c r="A445" s="1">
        <v>45510</v>
      </c>
      <c r="B445" s="2" t="s">
        <v>34</v>
      </c>
      <c r="C445" s="2" t="s">
        <v>32</v>
      </c>
      <c r="D445" s="2" t="s">
        <v>19</v>
      </c>
      <c r="E445">
        <v>3914</v>
      </c>
      <c r="F445">
        <v>350</v>
      </c>
      <c r="G445">
        <v>52</v>
      </c>
      <c r="H445">
        <v>110.87</v>
      </c>
      <c r="I445">
        <v>6507.17</v>
      </c>
      <c r="J445">
        <v>8.94</v>
      </c>
      <c r="K445">
        <v>14.86</v>
      </c>
      <c r="L445">
        <v>2.13</v>
      </c>
      <c r="M445">
        <v>58.69</v>
      </c>
      <c r="N445">
        <v>6396.3</v>
      </c>
    </row>
    <row r="446" spans="1:14" x14ac:dyDescent="0.2">
      <c r="A446" s="1">
        <v>45511</v>
      </c>
      <c r="B446" s="2" t="s">
        <v>14</v>
      </c>
      <c r="C446" s="2" t="s">
        <v>28</v>
      </c>
      <c r="D446" s="2" t="s">
        <v>36</v>
      </c>
      <c r="E446">
        <v>9737</v>
      </c>
      <c r="F446">
        <v>455</v>
      </c>
      <c r="G446">
        <v>36</v>
      </c>
      <c r="H446">
        <v>1197.29</v>
      </c>
      <c r="I446">
        <v>4558.76</v>
      </c>
      <c r="J446">
        <v>4.67</v>
      </c>
      <c r="K446">
        <v>7.91</v>
      </c>
      <c r="L446">
        <v>33.26</v>
      </c>
      <c r="M446">
        <v>3.81</v>
      </c>
      <c r="N446">
        <v>3361.47</v>
      </c>
    </row>
    <row r="447" spans="1:14" x14ac:dyDescent="0.2">
      <c r="A447" s="1">
        <v>45511</v>
      </c>
      <c r="B447" s="2" t="s">
        <v>17</v>
      </c>
      <c r="C447" s="2" t="s">
        <v>28</v>
      </c>
      <c r="D447" s="2" t="s">
        <v>19</v>
      </c>
      <c r="E447">
        <v>16420</v>
      </c>
      <c r="F447">
        <v>615</v>
      </c>
      <c r="G447">
        <v>51</v>
      </c>
      <c r="H447">
        <v>614.65</v>
      </c>
      <c r="I447">
        <v>6094.92</v>
      </c>
      <c r="J447">
        <v>3.75</v>
      </c>
      <c r="K447">
        <v>8.2899999999999991</v>
      </c>
      <c r="L447">
        <v>12.05</v>
      </c>
      <c r="M447">
        <v>9.92</v>
      </c>
      <c r="N447">
        <v>5480.27</v>
      </c>
    </row>
    <row r="448" spans="1:14" x14ac:dyDescent="0.2">
      <c r="A448" s="1">
        <v>45511</v>
      </c>
      <c r="B448" s="2" t="s">
        <v>20</v>
      </c>
      <c r="C448" s="2" t="s">
        <v>21</v>
      </c>
      <c r="D448" s="2" t="s">
        <v>16</v>
      </c>
      <c r="E448">
        <v>13684</v>
      </c>
      <c r="F448">
        <v>533</v>
      </c>
      <c r="G448">
        <v>23</v>
      </c>
      <c r="H448">
        <v>704.54</v>
      </c>
      <c r="I448">
        <v>2393.12</v>
      </c>
      <c r="J448">
        <v>3.9</v>
      </c>
      <c r="K448">
        <v>4.32</v>
      </c>
      <c r="L448">
        <v>30.63</v>
      </c>
      <c r="M448">
        <v>3.4</v>
      </c>
      <c r="N448">
        <v>1688.58</v>
      </c>
    </row>
    <row r="449" spans="1:14" x14ac:dyDescent="0.2">
      <c r="A449" s="1">
        <v>45511</v>
      </c>
      <c r="B449" s="2" t="s">
        <v>23</v>
      </c>
      <c r="C449" s="2" t="s">
        <v>35</v>
      </c>
      <c r="D449" s="2" t="s">
        <v>36</v>
      </c>
      <c r="E449">
        <v>3376</v>
      </c>
      <c r="F449">
        <v>80</v>
      </c>
      <c r="G449">
        <v>8</v>
      </c>
      <c r="H449">
        <v>1086.03</v>
      </c>
      <c r="I449">
        <v>1934.27</v>
      </c>
      <c r="J449">
        <v>2.37</v>
      </c>
      <c r="K449">
        <v>10</v>
      </c>
      <c r="L449">
        <v>135.75</v>
      </c>
      <c r="M449">
        <v>1.78</v>
      </c>
      <c r="N449">
        <v>848.24</v>
      </c>
    </row>
    <row r="450" spans="1:14" x14ac:dyDescent="0.2">
      <c r="A450" s="1">
        <v>45511</v>
      </c>
      <c r="B450" s="2" t="s">
        <v>24</v>
      </c>
      <c r="C450" s="2" t="s">
        <v>18</v>
      </c>
      <c r="D450" s="2" t="s">
        <v>16</v>
      </c>
      <c r="E450">
        <v>14570</v>
      </c>
      <c r="F450">
        <v>2900</v>
      </c>
      <c r="G450">
        <v>297</v>
      </c>
      <c r="H450">
        <v>198.48</v>
      </c>
      <c r="I450">
        <v>47493.51</v>
      </c>
      <c r="J450">
        <v>19.899999999999999</v>
      </c>
      <c r="K450">
        <v>10.24</v>
      </c>
      <c r="L450">
        <v>0.67</v>
      </c>
      <c r="M450">
        <v>239.29</v>
      </c>
      <c r="N450">
        <v>47295.03</v>
      </c>
    </row>
    <row r="451" spans="1:14" x14ac:dyDescent="0.2">
      <c r="A451" s="1">
        <v>45511</v>
      </c>
      <c r="B451" s="2" t="s">
        <v>26</v>
      </c>
      <c r="C451" s="2" t="s">
        <v>28</v>
      </c>
      <c r="D451" s="2" t="s">
        <v>36</v>
      </c>
      <c r="E451">
        <v>17639</v>
      </c>
      <c r="F451">
        <v>802</v>
      </c>
      <c r="G451">
        <v>123</v>
      </c>
      <c r="H451">
        <v>0</v>
      </c>
      <c r="I451">
        <v>14852.08</v>
      </c>
      <c r="J451">
        <v>4.55</v>
      </c>
      <c r="K451">
        <v>15.34</v>
      </c>
      <c r="L451">
        <v>0</v>
      </c>
      <c r="M451">
        <v>0</v>
      </c>
      <c r="N451">
        <v>14852.08</v>
      </c>
    </row>
    <row r="452" spans="1:14" x14ac:dyDescent="0.2">
      <c r="A452" s="1">
        <v>45511</v>
      </c>
      <c r="B452" s="2" t="s">
        <v>27</v>
      </c>
      <c r="C452" s="2" t="s">
        <v>18</v>
      </c>
      <c r="D452" s="2" t="s">
        <v>25</v>
      </c>
      <c r="E452">
        <v>26679</v>
      </c>
      <c r="F452">
        <v>320</v>
      </c>
      <c r="G452">
        <v>13</v>
      </c>
      <c r="H452">
        <v>783.17</v>
      </c>
      <c r="I452">
        <v>1784.37</v>
      </c>
      <c r="J452">
        <v>1.2</v>
      </c>
      <c r="K452">
        <v>4.0599999999999996</v>
      </c>
      <c r="L452">
        <v>60.24</v>
      </c>
      <c r="M452">
        <v>2.2799999999999998</v>
      </c>
      <c r="N452">
        <v>1001.2</v>
      </c>
    </row>
    <row r="453" spans="1:14" x14ac:dyDescent="0.2">
      <c r="A453" s="1">
        <v>45511</v>
      </c>
      <c r="B453" s="2" t="s">
        <v>29</v>
      </c>
      <c r="C453" s="2" t="s">
        <v>15</v>
      </c>
      <c r="D453" s="2" t="s">
        <v>16</v>
      </c>
      <c r="E453">
        <v>18406</v>
      </c>
      <c r="F453">
        <v>306</v>
      </c>
      <c r="G453">
        <v>13</v>
      </c>
      <c r="H453">
        <v>916.88</v>
      </c>
      <c r="I453">
        <v>1937.04</v>
      </c>
      <c r="J453">
        <v>1.66</v>
      </c>
      <c r="K453">
        <v>4.25</v>
      </c>
      <c r="L453">
        <v>70.53</v>
      </c>
      <c r="M453">
        <v>2.11</v>
      </c>
      <c r="N453">
        <v>1020.16</v>
      </c>
    </row>
    <row r="454" spans="1:14" x14ac:dyDescent="0.2">
      <c r="A454" s="1">
        <v>45511</v>
      </c>
      <c r="B454" s="2" t="s">
        <v>30</v>
      </c>
      <c r="C454" s="2" t="s">
        <v>21</v>
      </c>
      <c r="D454" s="2" t="s">
        <v>22</v>
      </c>
      <c r="E454">
        <v>7239</v>
      </c>
      <c r="F454">
        <v>247</v>
      </c>
      <c r="G454">
        <v>9</v>
      </c>
      <c r="H454">
        <v>677.77</v>
      </c>
      <c r="I454">
        <v>689.35</v>
      </c>
      <c r="J454">
        <v>3.41</v>
      </c>
      <c r="K454">
        <v>3.64</v>
      </c>
      <c r="L454">
        <v>75.31</v>
      </c>
      <c r="M454">
        <v>1.02</v>
      </c>
      <c r="N454">
        <v>11.58</v>
      </c>
    </row>
    <row r="455" spans="1:14" x14ac:dyDescent="0.2">
      <c r="A455" s="1">
        <v>45511</v>
      </c>
      <c r="B455" s="2" t="s">
        <v>31</v>
      </c>
      <c r="C455" s="2" t="s">
        <v>32</v>
      </c>
      <c r="D455" s="2" t="s">
        <v>19</v>
      </c>
      <c r="E455">
        <v>21280</v>
      </c>
      <c r="F455">
        <v>824</v>
      </c>
      <c r="G455">
        <v>33</v>
      </c>
      <c r="H455">
        <v>904.38</v>
      </c>
      <c r="I455">
        <v>2999.56</v>
      </c>
      <c r="J455">
        <v>3.87</v>
      </c>
      <c r="K455">
        <v>4</v>
      </c>
      <c r="L455">
        <v>27.41</v>
      </c>
      <c r="M455">
        <v>3.32</v>
      </c>
      <c r="N455">
        <v>2095.1799999999998</v>
      </c>
    </row>
    <row r="456" spans="1:14" x14ac:dyDescent="0.2">
      <c r="A456" s="1">
        <v>45511</v>
      </c>
      <c r="B456" s="2" t="s">
        <v>33</v>
      </c>
      <c r="C456" s="2" t="s">
        <v>18</v>
      </c>
      <c r="D456" s="2" t="s">
        <v>22</v>
      </c>
      <c r="E456">
        <v>5598</v>
      </c>
      <c r="F456">
        <v>347</v>
      </c>
      <c r="G456">
        <v>40</v>
      </c>
      <c r="H456">
        <v>314.99</v>
      </c>
      <c r="I456">
        <v>5842.51</v>
      </c>
      <c r="J456">
        <v>6.2</v>
      </c>
      <c r="K456">
        <v>11.53</v>
      </c>
      <c r="L456">
        <v>7.87</v>
      </c>
      <c r="M456">
        <v>18.55</v>
      </c>
      <c r="N456">
        <v>5527.52</v>
      </c>
    </row>
    <row r="457" spans="1:14" x14ac:dyDescent="0.2">
      <c r="A457" s="1">
        <v>45511</v>
      </c>
      <c r="B457" s="2" t="s">
        <v>34</v>
      </c>
      <c r="C457" s="2" t="s">
        <v>18</v>
      </c>
      <c r="D457" s="2" t="s">
        <v>25</v>
      </c>
      <c r="E457">
        <v>2697</v>
      </c>
      <c r="F457">
        <v>141</v>
      </c>
      <c r="G457">
        <v>24</v>
      </c>
      <c r="H457">
        <v>144.5</v>
      </c>
      <c r="I457">
        <v>4291.6099999999997</v>
      </c>
      <c r="J457">
        <v>5.23</v>
      </c>
      <c r="K457">
        <v>17.02</v>
      </c>
      <c r="L457">
        <v>6.02</v>
      </c>
      <c r="M457">
        <v>29.7</v>
      </c>
      <c r="N457">
        <v>4147.1099999999997</v>
      </c>
    </row>
    <row r="458" spans="1:14" x14ac:dyDescent="0.2">
      <c r="A458" s="1">
        <v>45512</v>
      </c>
      <c r="B458" s="2" t="s">
        <v>14</v>
      </c>
      <c r="C458" s="2" t="s">
        <v>28</v>
      </c>
      <c r="D458" s="2" t="s">
        <v>25</v>
      </c>
      <c r="E458">
        <v>12359</v>
      </c>
      <c r="F458">
        <v>543</v>
      </c>
      <c r="G458">
        <v>44</v>
      </c>
      <c r="H458">
        <v>912.36</v>
      </c>
      <c r="I458">
        <v>7997.15</v>
      </c>
      <c r="J458">
        <v>4.3899999999999997</v>
      </c>
      <c r="K458">
        <v>8.1</v>
      </c>
      <c r="L458">
        <v>20.74</v>
      </c>
      <c r="M458">
        <v>8.77</v>
      </c>
      <c r="N458">
        <v>7084.79</v>
      </c>
    </row>
    <row r="459" spans="1:14" x14ac:dyDescent="0.2">
      <c r="A459" s="1">
        <v>45512</v>
      </c>
      <c r="B459" s="2" t="s">
        <v>17</v>
      </c>
      <c r="C459" s="2" t="s">
        <v>32</v>
      </c>
      <c r="D459" s="2" t="s">
        <v>25</v>
      </c>
      <c r="E459">
        <v>14314</v>
      </c>
      <c r="F459">
        <v>420</v>
      </c>
      <c r="G459">
        <v>26</v>
      </c>
      <c r="H459">
        <v>700.9</v>
      </c>
      <c r="I459">
        <v>2786.98</v>
      </c>
      <c r="J459">
        <v>2.93</v>
      </c>
      <c r="K459">
        <v>6.19</v>
      </c>
      <c r="L459">
        <v>26.96</v>
      </c>
      <c r="M459">
        <v>3.98</v>
      </c>
      <c r="N459">
        <v>2086.08</v>
      </c>
    </row>
    <row r="460" spans="1:14" x14ac:dyDescent="0.2">
      <c r="A460" s="1">
        <v>45512</v>
      </c>
      <c r="B460" s="2" t="s">
        <v>20</v>
      </c>
      <c r="C460" s="2" t="s">
        <v>21</v>
      </c>
      <c r="D460" s="2" t="s">
        <v>25</v>
      </c>
      <c r="E460">
        <v>13512</v>
      </c>
      <c r="F460">
        <v>513</v>
      </c>
      <c r="G460">
        <v>28</v>
      </c>
      <c r="H460">
        <v>833.81</v>
      </c>
      <c r="I460">
        <v>2385.2800000000002</v>
      </c>
      <c r="J460">
        <v>3.8</v>
      </c>
      <c r="K460">
        <v>5.46</v>
      </c>
      <c r="L460">
        <v>29.78</v>
      </c>
      <c r="M460">
        <v>2.86</v>
      </c>
      <c r="N460">
        <v>1551.47</v>
      </c>
    </row>
    <row r="461" spans="1:14" x14ac:dyDescent="0.2">
      <c r="A461" s="1">
        <v>45512</v>
      </c>
      <c r="B461" s="2" t="s">
        <v>23</v>
      </c>
      <c r="C461" s="2" t="s">
        <v>28</v>
      </c>
      <c r="D461" s="2" t="s">
        <v>36</v>
      </c>
      <c r="E461">
        <v>2674</v>
      </c>
      <c r="F461">
        <v>64</v>
      </c>
      <c r="G461">
        <v>8</v>
      </c>
      <c r="H461">
        <v>821.86</v>
      </c>
      <c r="I461">
        <v>1792.36</v>
      </c>
      <c r="J461">
        <v>2.39</v>
      </c>
      <c r="K461">
        <v>12.5</v>
      </c>
      <c r="L461">
        <v>102.73</v>
      </c>
      <c r="M461">
        <v>2.1800000000000002</v>
      </c>
      <c r="N461">
        <v>970.5</v>
      </c>
    </row>
    <row r="462" spans="1:14" x14ac:dyDescent="0.2">
      <c r="A462" s="1">
        <v>45512</v>
      </c>
      <c r="B462" s="2" t="s">
        <v>24</v>
      </c>
      <c r="C462" s="2" t="s">
        <v>28</v>
      </c>
      <c r="D462" s="2" t="s">
        <v>19</v>
      </c>
      <c r="E462">
        <v>20455</v>
      </c>
      <c r="F462">
        <v>4562</v>
      </c>
      <c r="G462">
        <v>592</v>
      </c>
      <c r="H462">
        <v>177.87</v>
      </c>
      <c r="I462">
        <v>77359.259999999995</v>
      </c>
      <c r="J462">
        <v>22.3</v>
      </c>
      <c r="K462">
        <v>12.98</v>
      </c>
      <c r="L462">
        <v>0.3</v>
      </c>
      <c r="M462">
        <v>434.92</v>
      </c>
      <c r="N462">
        <v>77181.39</v>
      </c>
    </row>
    <row r="463" spans="1:14" x14ac:dyDescent="0.2">
      <c r="A463" s="1">
        <v>45512</v>
      </c>
      <c r="B463" s="2" t="s">
        <v>26</v>
      </c>
      <c r="C463" s="2" t="s">
        <v>32</v>
      </c>
      <c r="D463" s="2" t="s">
        <v>36</v>
      </c>
      <c r="E463">
        <v>26922</v>
      </c>
      <c r="F463">
        <v>1240</v>
      </c>
      <c r="G463">
        <v>158</v>
      </c>
      <c r="H463">
        <v>0</v>
      </c>
      <c r="I463">
        <v>23399.82</v>
      </c>
      <c r="J463">
        <v>4.6100000000000003</v>
      </c>
      <c r="K463">
        <v>12.74</v>
      </c>
      <c r="L463">
        <v>0</v>
      </c>
      <c r="M463">
        <v>0</v>
      </c>
      <c r="N463">
        <v>23399.82</v>
      </c>
    </row>
    <row r="464" spans="1:14" x14ac:dyDescent="0.2">
      <c r="A464" s="1">
        <v>45512</v>
      </c>
      <c r="B464" s="2" t="s">
        <v>27</v>
      </c>
      <c r="C464" s="2" t="s">
        <v>35</v>
      </c>
      <c r="D464" s="2" t="s">
        <v>25</v>
      </c>
      <c r="E464">
        <v>30216</v>
      </c>
      <c r="F464">
        <v>559</v>
      </c>
      <c r="G464">
        <v>12</v>
      </c>
      <c r="H464">
        <v>1052.71</v>
      </c>
      <c r="I464">
        <v>1150.33</v>
      </c>
      <c r="J464">
        <v>1.85</v>
      </c>
      <c r="K464">
        <v>2.15</v>
      </c>
      <c r="L464">
        <v>87.73</v>
      </c>
      <c r="M464">
        <v>1.0900000000000001</v>
      </c>
      <c r="N464">
        <v>97.62</v>
      </c>
    </row>
    <row r="465" spans="1:14" x14ac:dyDescent="0.2">
      <c r="A465" s="1">
        <v>45512</v>
      </c>
      <c r="B465" s="2" t="s">
        <v>29</v>
      </c>
      <c r="C465" s="2" t="s">
        <v>32</v>
      </c>
      <c r="D465" s="2" t="s">
        <v>16</v>
      </c>
      <c r="E465">
        <v>17187</v>
      </c>
      <c r="F465">
        <v>465</v>
      </c>
      <c r="G465">
        <v>33</v>
      </c>
      <c r="H465">
        <v>933.77</v>
      </c>
      <c r="I465">
        <v>4027.65</v>
      </c>
      <c r="J465">
        <v>2.71</v>
      </c>
      <c r="K465">
        <v>7.1</v>
      </c>
      <c r="L465">
        <v>28.3</v>
      </c>
      <c r="M465">
        <v>4.3099999999999996</v>
      </c>
      <c r="N465">
        <v>3093.88</v>
      </c>
    </row>
    <row r="466" spans="1:14" x14ac:dyDescent="0.2">
      <c r="A466" s="1">
        <v>45512</v>
      </c>
      <c r="B466" s="2" t="s">
        <v>30</v>
      </c>
      <c r="C466" s="2" t="s">
        <v>32</v>
      </c>
      <c r="D466" s="2" t="s">
        <v>16</v>
      </c>
      <c r="E466">
        <v>10862</v>
      </c>
      <c r="F466">
        <v>269</v>
      </c>
      <c r="G466">
        <v>15</v>
      </c>
      <c r="H466">
        <v>562.05999999999995</v>
      </c>
      <c r="I466">
        <v>1805.42</v>
      </c>
      <c r="J466">
        <v>2.48</v>
      </c>
      <c r="K466">
        <v>5.58</v>
      </c>
      <c r="L466">
        <v>37.47</v>
      </c>
      <c r="M466">
        <v>3.21</v>
      </c>
      <c r="N466">
        <v>1243.3599999999999</v>
      </c>
    </row>
    <row r="467" spans="1:14" x14ac:dyDescent="0.2">
      <c r="A467" s="1">
        <v>45512</v>
      </c>
      <c r="B467" s="2" t="s">
        <v>31</v>
      </c>
      <c r="C467" s="2" t="s">
        <v>21</v>
      </c>
      <c r="D467" s="2" t="s">
        <v>22</v>
      </c>
      <c r="E467">
        <v>23754</v>
      </c>
      <c r="F467">
        <v>719</v>
      </c>
      <c r="G467">
        <v>34</v>
      </c>
      <c r="H467">
        <v>540.88</v>
      </c>
      <c r="I467">
        <v>3003.8</v>
      </c>
      <c r="J467">
        <v>3.03</v>
      </c>
      <c r="K467">
        <v>4.7300000000000004</v>
      </c>
      <c r="L467">
        <v>15.91</v>
      </c>
      <c r="M467">
        <v>5.55</v>
      </c>
      <c r="N467">
        <v>2462.92</v>
      </c>
    </row>
    <row r="468" spans="1:14" x14ac:dyDescent="0.2">
      <c r="A468" s="1">
        <v>45512</v>
      </c>
      <c r="B468" s="2" t="s">
        <v>33</v>
      </c>
      <c r="C468" s="2" t="s">
        <v>35</v>
      </c>
      <c r="D468" s="2" t="s">
        <v>16</v>
      </c>
      <c r="E468">
        <v>5030</v>
      </c>
      <c r="F468">
        <v>207</v>
      </c>
      <c r="G468">
        <v>18</v>
      </c>
      <c r="H468">
        <v>457.03</v>
      </c>
      <c r="I468">
        <v>2011.07</v>
      </c>
      <c r="J468">
        <v>4.12</v>
      </c>
      <c r="K468">
        <v>8.6999999999999993</v>
      </c>
      <c r="L468">
        <v>25.39</v>
      </c>
      <c r="M468">
        <v>4.4000000000000004</v>
      </c>
      <c r="N468">
        <v>1554.04</v>
      </c>
    </row>
    <row r="469" spans="1:14" x14ac:dyDescent="0.2">
      <c r="A469" s="1">
        <v>45512</v>
      </c>
      <c r="B469" s="2" t="s">
        <v>34</v>
      </c>
      <c r="C469" s="2" t="s">
        <v>21</v>
      </c>
      <c r="D469" s="2" t="s">
        <v>22</v>
      </c>
      <c r="E469">
        <v>3388</v>
      </c>
      <c r="F469">
        <v>334</v>
      </c>
      <c r="G469">
        <v>40</v>
      </c>
      <c r="H469">
        <v>68.010000000000005</v>
      </c>
      <c r="I469">
        <v>6058.76</v>
      </c>
      <c r="J469">
        <v>9.86</v>
      </c>
      <c r="K469">
        <v>11.98</v>
      </c>
      <c r="L469">
        <v>1.7</v>
      </c>
      <c r="M469">
        <v>89.09</v>
      </c>
      <c r="N469">
        <v>5990.75</v>
      </c>
    </row>
    <row r="470" spans="1:14" x14ac:dyDescent="0.2">
      <c r="A470" s="1">
        <v>45513</v>
      </c>
      <c r="B470" s="2" t="s">
        <v>14</v>
      </c>
      <c r="C470" s="2" t="s">
        <v>21</v>
      </c>
      <c r="D470" s="2" t="s">
        <v>25</v>
      </c>
      <c r="E470">
        <v>10304</v>
      </c>
      <c r="F470">
        <v>421</v>
      </c>
      <c r="G470">
        <v>37</v>
      </c>
      <c r="H470">
        <v>990.32</v>
      </c>
      <c r="I470">
        <v>4595.51</v>
      </c>
      <c r="J470">
        <v>4.09</v>
      </c>
      <c r="K470">
        <v>8.7899999999999991</v>
      </c>
      <c r="L470">
        <v>26.77</v>
      </c>
      <c r="M470">
        <v>4.6399999999999997</v>
      </c>
      <c r="N470">
        <v>3605.19</v>
      </c>
    </row>
    <row r="471" spans="1:14" x14ac:dyDescent="0.2">
      <c r="A471" s="1">
        <v>45513</v>
      </c>
      <c r="B471" s="2" t="s">
        <v>17</v>
      </c>
      <c r="C471" s="2" t="s">
        <v>18</v>
      </c>
      <c r="D471" s="2" t="s">
        <v>22</v>
      </c>
      <c r="E471">
        <v>15889</v>
      </c>
      <c r="F471">
        <v>537</v>
      </c>
      <c r="G471">
        <v>42</v>
      </c>
      <c r="H471">
        <v>579.54</v>
      </c>
      <c r="I471">
        <v>6384.69</v>
      </c>
      <c r="J471">
        <v>3.38</v>
      </c>
      <c r="K471">
        <v>7.82</v>
      </c>
      <c r="L471">
        <v>13.8</v>
      </c>
      <c r="M471">
        <v>11.02</v>
      </c>
      <c r="N471">
        <v>5805.15</v>
      </c>
    </row>
    <row r="472" spans="1:14" x14ac:dyDescent="0.2">
      <c r="A472" s="1">
        <v>45513</v>
      </c>
      <c r="B472" s="2" t="s">
        <v>20</v>
      </c>
      <c r="C472" s="2" t="s">
        <v>18</v>
      </c>
      <c r="D472" s="2" t="s">
        <v>36</v>
      </c>
      <c r="E472">
        <v>13715</v>
      </c>
      <c r="F472">
        <v>561</v>
      </c>
      <c r="G472">
        <v>22</v>
      </c>
      <c r="H472">
        <v>603.12</v>
      </c>
      <c r="I472">
        <v>2565.62</v>
      </c>
      <c r="J472">
        <v>4.09</v>
      </c>
      <c r="K472">
        <v>3.92</v>
      </c>
      <c r="L472">
        <v>27.41</v>
      </c>
      <c r="M472">
        <v>4.25</v>
      </c>
      <c r="N472">
        <v>1962.5</v>
      </c>
    </row>
    <row r="473" spans="1:14" x14ac:dyDescent="0.2">
      <c r="A473" s="1">
        <v>45513</v>
      </c>
      <c r="B473" s="2" t="s">
        <v>23</v>
      </c>
      <c r="C473" s="2" t="s">
        <v>28</v>
      </c>
      <c r="D473" s="2" t="s">
        <v>25</v>
      </c>
      <c r="E473">
        <v>3534</v>
      </c>
      <c r="F473">
        <v>96</v>
      </c>
      <c r="G473">
        <v>11</v>
      </c>
      <c r="H473">
        <v>1413.63</v>
      </c>
      <c r="I473">
        <v>3934.18</v>
      </c>
      <c r="J473">
        <v>2.72</v>
      </c>
      <c r="K473">
        <v>11.46</v>
      </c>
      <c r="L473">
        <v>128.51</v>
      </c>
      <c r="M473">
        <v>2.78</v>
      </c>
      <c r="N473">
        <v>2520.5500000000002</v>
      </c>
    </row>
    <row r="474" spans="1:14" x14ac:dyDescent="0.2">
      <c r="A474" s="1">
        <v>45513</v>
      </c>
      <c r="B474" s="2" t="s">
        <v>24</v>
      </c>
      <c r="C474" s="2" t="s">
        <v>28</v>
      </c>
      <c r="D474" s="2" t="s">
        <v>19</v>
      </c>
      <c r="E474">
        <v>19028</v>
      </c>
      <c r="F474">
        <v>2856</v>
      </c>
      <c r="G474">
        <v>263</v>
      </c>
      <c r="H474">
        <v>154.93</v>
      </c>
      <c r="I474">
        <v>30305.33</v>
      </c>
      <c r="J474">
        <v>15.01</v>
      </c>
      <c r="K474">
        <v>9.2100000000000009</v>
      </c>
      <c r="L474">
        <v>0.59</v>
      </c>
      <c r="M474">
        <v>195.61</v>
      </c>
      <c r="N474">
        <v>30150.400000000001</v>
      </c>
    </row>
    <row r="475" spans="1:14" x14ac:dyDescent="0.2">
      <c r="A475" s="1">
        <v>45513</v>
      </c>
      <c r="B475" s="2" t="s">
        <v>26</v>
      </c>
      <c r="C475" s="2" t="s">
        <v>18</v>
      </c>
      <c r="D475" s="2" t="s">
        <v>22</v>
      </c>
      <c r="E475">
        <v>24771</v>
      </c>
      <c r="F475">
        <v>1715</v>
      </c>
      <c r="G475">
        <v>215</v>
      </c>
      <c r="H475">
        <v>0</v>
      </c>
      <c r="I475">
        <v>31860.82</v>
      </c>
      <c r="J475">
        <v>6.92</v>
      </c>
      <c r="K475">
        <v>12.54</v>
      </c>
      <c r="L475">
        <v>0</v>
      </c>
      <c r="M475">
        <v>0</v>
      </c>
      <c r="N475">
        <v>31860.82</v>
      </c>
    </row>
    <row r="476" spans="1:14" x14ac:dyDescent="0.2">
      <c r="A476" s="1">
        <v>45513</v>
      </c>
      <c r="B476" s="2" t="s">
        <v>27</v>
      </c>
      <c r="C476" s="2" t="s">
        <v>35</v>
      </c>
      <c r="D476" s="2" t="s">
        <v>19</v>
      </c>
      <c r="E476">
        <v>30484</v>
      </c>
      <c r="F476">
        <v>481</v>
      </c>
      <c r="G476">
        <v>9</v>
      </c>
      <c r="H476">
        <v>1104.8</v>
      </c>
      <c r="I476">
        <v>734.8</v>
      </c>
      <c r="J476">
        <v>1.58</v>
      </c>
      <c r="K476">
        <v>1.87</v>
      </c>
      <c r="L476">
        <v>122.76</v>
      </c>
      <c r="M476">
        <v>0.67</v>
      </c>
      <c r="N476">
        <v>-370</v>
      </c>
    </row>
    <row r="477" spans="1:14" x14ac:dyDescent="0.2">
      <c r="A477" s="1">
        <v>45513</v>
      </c>
      <c r="B477" s="2" t="s">
        <v>29</v>
      </c>
      <c r="C477" s="2" t="s">
        <v>15</v>
      </c>
      <c r="D477" s="2" t="s">
        <v>36</v>
      </c>
      <c r="E477">
        <v>14064</v>
      </c>
      <c r="F477">
        <v>288</v>
      </c>
      <c r="G477">
        <v>21</v>
      </c>
      <c r="H477">
        <v>1062.3599999999999</v>
      </c>
      <c r="I477">
        <v>2398.5500000000002</v>
      </c>
      <c r="J477">
        <v>2.0499999999999998</v>
      </c>
      <c r="K477">
        <v>7.29</v>
      </c>
      <c r="L477">
        <v>50.59</v>
      </c>
      <c r="M477">
        <v>2.2599999999999998</v>
      </c>
      <c r="N477">
        <v>1336.19</v>
      </c>
    </row>
    <row r="478" spans="1:14" x14ac:dyDescent="0.2">
      <c r="A478" s="1">
        <v>45513</v>
      </c>
      <c r="B478" s="2" t="s">
        <v>30</v>
      </c>
      <c r="C478" s="2" t="s">
        <v>18</v>
      </c>
      <c r="D478" s="2" t="s">
        <v>22</v>
      </c>
      <c r="E478">
        <v>9960</v>
      </c>
      <c r="F478">
        <v>268</v>
      </c>
      <c r="G478">
        <v>13</v>
      </c>
      <c r="H478">
        <v>608.59</v>
      </c>
      <c r="I478">
        <v>1272.3900000000001</v>
      </c>
      <c r="J478">
        <v>2.69</v>
      </c>
      <c r="K478">
        <v>4.8499999999999996</v>
      </c>
      <c r="L478">
        <v>46.81</v>
      </c>
      <c r="M478">
        <v>2.09</v>
      </c>
      <c r="N478">
        <v>663.8</v>
      </c>
    </row>
    <row r="479" spans="1:14" x14ac:dyDescent="0.2">
      <c r="A479" s="1">
        <v>45513</v>
      </c>
      <c r="B479" s="2" t="s">
        <v>31</v>
      </c>
      <c r="C479" s="2" t="s">
        <v>35</v>
      </c>
      <c r="D479" s="2" t="s">
        <v>25</v>
      </c>
      <c r="E479">
        <v>22348</v>
      </c>
      <c r="F479">
        <v>757</v>
      </c>
      <c r="G479">
        <v>42</v>
      </c>
      <c r="H479">
        <v>830.61</v>
      </c>
      <c r="I479">
        <v>3911.06</v>
      </c>
      <c r="J479">
        <v>3.39</v>
      </c>
      <c r="K479">
        <v>5.55</v>
      </c>
      <c r="L479">
        <v>19.78</v>
      </c>
      <c r="M479">
        <v>4.71</v>
      </c>
      <c r="N479">
        <v>3080.45</v>
      </c>
    </row>
    <row r="480" spans="1:14" x14ac:dyDescent="0.2">
      <c r="A480" s="1">
        <v>45513</v>
      </c>
      <c r="B480" s="2" t="s">
        <v>33</v>
      </c>
      <c r="C480" s="2" t="s">
        <v>15</v>
      </c>
      <c r="D480" s="2" t="s">
        <v>22</v>
      </c>
      <c r="E480">
        <v>5183</v>
      </c>
      <c r="F480">
        <v>222</v>
      </c>
      <c r="G480">
        <v>25</v>
      </c>
      <c r="H480">
        <v>269.60000000000002</v>
      </c>
      <c r="I480">
        <v>3237.86</v>
      </c>
      <c r="J480">
        <v>4.28</v>
      </c>
      <c r="K480">
        <v>11.26</v>
      </c>
      <c r="L480">
        <v>10.78</v>
      </c>
      <c r="M480">
        <v>12.01</v>
      </c>
      <c r="N480">
        <v>2968.26</v>
      </c>
    </row>
    <row r="481" spans="1:14" x14ac:dyDescent="0.2">
      <c r="A481" s="1">
        <v>45513</v>
      </c>
      <c r="B481" s="2" t="s">
        <v>34</v>
      </c>
      <c r="C481" s="2" t="s">
        <v>28</v>
      </c>
      <c r="D481" s="2" t="s">
        <v>16</v>
      </c>
      <c r="E481">
        <v>2647</v>
      </c>
      <c r="F481">
        <v>238</v>
      </c>
      <c r="G481">
        <v>38</v>
      </c>
      <c r="H481">
        <v>119.57</v>
      </c>
      <c r="I481">
        <v>5803.64</v>
      </c>
      <c r="J481">
        <v>8.99</v>
      </c>
      <c r="K481">
        <v>15.97</v>
      </c>
      <c r="L481">
        <v>3.15</v>
      </c>
      <c r="M481">
        <v>48.54</v>
      </c>
      <c r="N481">
        <v>5684.07</v>
      </c>
    </row>
    <row r="482" spans="1:14" x14ac:dyDescent="0.2">
      <c r="A482" s="1">
        <v>45514</v>
      </c>
      <c r="B482" s="2" t="s">
        <v>14</v>
      </c>
      <c r="C482" s="2" t="s">
        <v>32</v>
      </c>
      <c r="D482" s="2" t="s">
        <v>22</v>
      </c>
      <c r="E482">
        <v>5165</v>
      </c>
      <c r="F482">
        <v>205</v>
      </c>
      <c r="G482">
        <v>19</v>
      </c>
      <c r="H482">
        <v>750.18</v>
      </c>
      <c r="I482">
        <v>3549.48</v>
      </c>
      <c r="J482">
        <v>3.97</v>
      </c>
      <c r="K482">
        <v>9.27</v>
      </c>
      <c r="L482">
        <v>39.479999999999997</v>
      </c>
      <c r="M482">
        <v>4.7300000000000004</v>
      </c>
      <c r="N482">
        <v>2799.3</v>
      </c>
    </row>
    <row r="483" spans="1:14" x14ac:dyDescent="0.2">
      <c r="A483" s="1">
        <v>45514</v>
      </c>
      <c r="B483" s="2" t="s">
        <v>17</v>
      </c>
      <c r="C483" s="2" t="s">
        <v>15</v>
      </c>
      <c r="D483" s="2" t="s">
        <v>22</v>
      </c>
      <c r="E483">
        <v>10846</v>
      </c>
      <c r="F483">
        <v>276</v>
      </c>
      <c r="G483">
        <v>22</v>
      </c>
      <c r="H483">
        <v>509.41</v>
      </c>
      <c r="I483">
        <v>2845.32</v>
      </c>
      <c r="J483">
        <v>2.54</v>
      </c>
      <c r="K483">
        <v>7.97</v>
      </c>
      <c r="L483">
        <v>23.16</v>
      </c>
      <c r="M483">
        <v>5.59</v>
      </c>
      <c r="N483">
        <v>2335.91</v>
      </c>
    </row>
    <row r="484" spans="1:14" x14ac:dyDescent="0.2">
      <c r="A484" s="1">
        <v>45514</v>
      </c>
      <c r="B484" s="2" t="s">
        <v>20</v>
      </c>
      <c r="C484" s="2" t="s">
        <v>35</v>
      </c>
      <c r="D484" s="2" t="s">
        <v>22</v>
      </c>
      <c r="E484">
        <v>9465</v>
      </c>
      <c r="F484">
        <v>406</v>
      </c>
      <c r="G484">
        <v>26</v>
      </c>
      <c r="H484">
        <v>571.79</v>
      </c>
      <c r="I484">
        <v>3132.67</v>
      </c>
      <c r="J484">
        <v>4.29</v>
      </c>
      <c r="K484">
        <v>6.4</v>
      </c>
      <c r="L484">
        <v>21.99</v>
      </c>
      <c r="M484">
        <v>5.48</v>
      </c>
      <c r="N484">
        <v>2560.88</v>
      </c>
    </row>
    <row r="485" spans="1:14" x14ac:dyDescent="0.2">
      <c r="A485" s="1">
        <v>45514</v>
      </c>
      <c r="B485" s="2" t="s">
        <v>23</v>
      </c>
      <c r="C485" s="2" t="s">
        <v>18</v>
      </c>
      <c r="D485" s="2" t="s">
        <v>16</v>
      </c>
      <c r="E485">
        <v>2300</v>
      </c>
      <c r="F485">
        <v>60</v>
      </c>
      <c r="G485">
        <v>5</v>
      </c>
      <c r="H485">
        <v>667.5</v>
      </c>
      <c r="I485">
        <v>1235.03</v>
      </c>
      <c r="J485">
        <v>2.61</v>
      </c>
      <c r="K485">
        <v>8.33</v>
      </c>
      <c r="L485">
        <v>133.5</v>
      </c>
      <c r="M485">
        <v>1.85</v>
      </c>
      <c r="N485">
        <v>567.53</v>
      </c>
    </row>
    <row r="486" spans="1:14" x14ac:dyDescent="0.2">
      <c r="A486" s="1">
        <v>45514</v>
      </c>
      <c r="B486" s="2" t="s">
        <v>24</v>
      </c>
      <c r="C486" s="2" t="s">
        <v>21</v>
      </c>
      <c r="D486" s="2" t="s">
        <v>19</v>
      </c>
      <c r="E486">
        <v>12383</v>
      </c>
      <c r="F486">
        <v>2299</v>
      </c>
      <c r="G486">
        <v>204</v>
      </c>
      <c r="H486">
        <v>155.29</v>
      </c>
      <c r="I486">
        <v>26872.720000000001</v>
      </c>
      <c r="J486">
        <v>18.57</v>
      </c>
      <c r="K486">
        <v>8.8699999999999992</v>
      </c>
      <c r="L486">
        <v>0.76</v>
      </c>
      <c r="M486">
        <v>173.05</v>
      </c>
      <c r="N486">
        <v>26717.43</v>
      </c>
    </row>
    <row r="487" spans="1:14" x14ac:dyDescent="0.2">
      <c r="A487" s="1">
        <v>45514</v>
      </c>
      <c r="B487" s="2" t="s">
        <v>26</v>
      </c>
      <c r="C487" s="2" t="s">
        <v>32</v>
      </c>
      <c r="D487" s="2" t="s">
        <v>25</v>
      </c>
      <c r="E487">
        <v>13272</v>
      </c>
      <c r="F487">
        <v>1023</v>
      </c>
      <c r="G487">
        <v>158</v>
      </c>
      <c r="H487">
        <v>0</v>
      </c>
      <c r="I487">
        <v>20412.29</v>
      </c>
      <c r="J487">
        <v>7.71</v>
      </c>
      <c r="K487">
        <v>15.44</v>
      </c>
      <c r="L487">
        <v>0</v>
      </c>
      <c r="M487">
        <v>0</v>
      </c>
      <c r="N487">
        <v>20412.29</v>
      </c>
    </row>
    <row r="488" spans="1:14" x14ac:dyDescent="0.2">
      <c r="A488" s="1">
        <v>45514</v>
      </c>
      <c r="B488" s="2" t="s">
        <v>27</v>
      </c>
      <c r="C488" s="2" t="s">
        <v>35</v>
      </c>
      <c r="D488" s="2" t="s">
        <v>36</v>
      </c>
      <c r="E488">
        <v>19170</v>
      </c>
      <c r="F488">
        <v>195</v>
      </c>
      <c r="G488">
        <v>8</v>
      </c>
      <c r="H488">
        <v>425.39</v>
      </c>
      <c r="I488">
        <v>752.1</v>
      </c>
      <c r="J488">
        <v>1.02</v>
      </c>
      <c r="K488">
        <v>4.0999999999999996</v>
      </c>
      <c r="L488">
        <v>53.17</v>
      </c>
      <c r="M488">
        <v>1.77</v>
      </c>
      <c r="N488">
        <v>326.70999999999998</v>
      </c>
    </row>
    <row r="489" spans="1:14" x14ac:dyDescent="0.2">
      <c r="A489" s="1">
        <v>45514</v>
      </c>
      <c r="B489" s="2" t="s">
        <v>29</v>
      </c>
      <c r="C489" s="2" t="s">
        <v>18</v>
      </c>
      <c r="D489" s="2" t="s">
        <v>36</v>
      </c>
      <c r="E489">
        <v>9719</v>
      </c>
      <c r="F489">
        <v>213</v>
      </c>
      <c r="G489">
        <v>11</v>
      </c>
      <c r="H489">
        <v>674.38</v>
      </c>
      <c r="I489">
        <v>1147.98</v>
      </c>
      <c r="J489">
        <v>2.19</v>
      </c>
      <c r="K489">
        <v>5.16</v>
      </c>
      <c r="L489">
        <v>61.31</v>
      </c>
      <c r="M489">
        <v>1.7</v>
      </c>
      <c r="N489">
        <v>473.6</v>
      </c>
    </row>
    <row r="490" spans="1:14" x14ac:dyDescent="0.2">
      <c r="A490" s="1">
        <v>45514</v>
      </c>
      <c r="B490" s="2" t="s">
        <v>30</v>
      </c>
      <c r="C490" s="2" t="s">
        <v>15</v>
      </c>
      <c r="D490" s="2" t="s">
        <v>19</v>
      </c>
      <c r="E490">
        <v>7415</v>
      </c>
      <c r="F490">
        <v>196</v>
      </c>
      <c r="G490">
        <v>9</v>
      </c>
      <c r="H490">
        <v>334.87</v>
      </c>
      <c r="I490">
        <v>717.87</v>
      </c>
      <c r="J490">
        <v>2.64</v>
      </c>
      <c r="K490">
        <v>4.59</v>
      </c>
      <c r="L490">
        <v>37.21</v>
      </c>
      <c r="M490">
        <v>2.14</v>
      </c>
      <c r="N490">
        <v>383</v>
      </c>
    </row>
    <row r="491" spans="1:14" x14ac:dyDescent="0.2">
      <c r="A491" s="1">
        <v>45514</v>
      </c>
      <c r="B491" s="2" t="s">
        <v>31</v>
      </c>
      <c r="C491" s="2" t="s">
        <v>15</v>
      </c>
      <c r="D491" s="2" t="s">
        <v>36</v>
      </c>
      <c r="E491">
        <v>16025</v>
      </c>
      <c r="F491">
        <v>552</v>
      </c>
      <c r="G491">
        <v>22</v>
      </c>
      <c r="H491">
        <v>407.56</v>
      </c>
      <c r="I491">
        <v>1791.98</v>
      </c>
      <c r="J491">
        <v>3.44</v>
      </c>
      <c r="K491">
        <v>3.99</v>
      </c>
      <c r="L491">
        <v>18.53</v>
      </c>
      <c r="M491">
        <v>4.4000000000000004</v>
      </c>
      <c r="N491">
        <v>1384.42</v>
      </c>
    </row>
    <row r="492" spans="1:14" x14ac:dyDescent="0.2">
      <c r="A492" s="1">
        <v>45514</v>
      </c>
      <c r="B492" s="2" t="s">
        <v>33</v>
      </c>
      <c r="C492" s="2" t="s">
        <v>35</v>
      </c>
      <c r="D492" s="2" t="s">
        <v>25</v>
      </c>
      <c r="E492">
        <v>3649</v>
      </c>
      <c r="F492">
        <v>198</v>
      </c>
      <c r="G492">
        <v>19</v>
      </c>
      <c r="H492">
        <v>407.84</v>
      </c>
      <c r="I492">
        <v>3012.31</v>
      </c>
      <c r="J492">
        <v>5.43</v>
      </c>
      <c r="K492">
        <v>9.6</v>
      </c>
      <c r="L492">
        <v>21.47</v>
      </c>
      <c r="M492">
        <v>7.39</v>
      </c>
      <c r="N492">
        <v>2604.4699999999998</v>
      </c>
    </row>
    <row r="493" spans="1:14" x14ac:dyDescent="0.2">
      <c r="A493" s="1">
        <v>45514</v>
      </c>
      <c r="B493" s="2" t="s">
        <v>34</v>
      </c>
      <c r="C493" s="2" t="s">
        <v>32</v>
      </c>
      <c r="D493" s="2" t="s">
        <v>36</v>
      </c>
      <c r="E493">
        <v>2856</v>
      </c>
      <c r="F493">
        <v>202</v>
      </c>
      <c r="G493">
        <v>24</v>
      </c>
      <c r="H493">
        <v>40.08</v>
      </c>
      <c r="I493">
        <v>4397.6899999999996</v>
      </c>
      <c r="J493">
        <v>7.07</v>
      </c>
      <c r="K493">
        <v>11.88</v>
      </c>
      <c r="L493">
        <v>1.67</v>
      </c>
      <c r="M493">
        <v>109.72</v>
      </c>
      <c r="N493">
        <v>4357.6099999999997</v>
      </c>
    </row>
    <row r="494" spans="1:14" x14ac:dyDescent="0.2">
      <c r="A494" s="1">
        <v>45515</v>
      </c>
      <c r="B494" s="2" t="s">
        <v>14</v>
      </c>
      <c r="C494" s="2" t="s">
        <v>28</v>
      </c>
      <c r="D494" s="2" t="s">
        <v>16</v>
      </c>
      <c r="E494">
        <v>5827</v>
      </c>
      <c r="F494">
        <v>282</v>
      </c>
      <c r="G494">
        <v>22</v>
      </c>
      <c r="H494">
        <v>762.93</v>
      </c>
      <c r="I494">
        <v>3649.85</v>
      </c>
      <c r="J494">
        <v>4.84</v>
      </c>
      <c r="K494">
        <v>7.8</v>
      </c>
      <c r="L494">
        <v>34.68</v>
      </c>
      <c r="M494">
        <v>4.78</v>
      </c>
      <c r="N494">
        <v>2886.92</v>
      </c>
    </row>
    <row r="495" spans="1:14" x14ac:dyDescent="0.2">
      <c r="A495" s="1">
        <v>45515</v>
      </c>
      <c r="B495" s="2" t="s">
        <v>17</v>
      </c>
      <c r="C495" s="2" t="s">
        <v>32</v>
      </c>
      <c r="D495" s="2" t="s">
        <v>16</v>
      </c>
      <c r="E495">
        <v>11294</v>
      </c>
      <c r="F495">
        <v>382</v>
      </c>
      <c r="G495">
        <v>27</v>
      </c>
      <c r="H495">
        <v>502.97</v>
      </c>
      <c r="I495">
        <v>3455.28</v>
      </c>
      <c r="J495">
        <v>3.38</v>
      </c>
      <c r="K495">
        <v>7.07</v>
      </c>
      <c r="L495">
        <v>18.63</v>
      </c>
      <c r="M495">
        <v>6.87</v>
      </c>
      <c r="N495">
        <v>2952.31</v>
      </c>
    </row>
    <row r="496" spans="1:14" x14ac:dyDescent="0.2">
      <c r="A496" s="1">
        <v>45515</v>
      </c>
      <c r="B496" s="2" t="s">
        <v>20</v>
      </c>
      <c r="C496" s="2" t="s">
        <v>28</v>
      </c>
      <c r="D496" s="2" t="s">
        <v>19</v>
      </c>
      <c r="E496">
        <v>9033</v>
      </c>
      <c r="F496">
        <v>304</v>
      </c>
      <c r="G496">
        <v>19</v>
      </c>
      <c r="H496">
        <v>577.64</v>
      </c>
      <c r="I496">
        <v>1923.59</v>
      </c>
      <c r="J496">
        <v>3.37</v>
      </c>
      <c r="K496">
        <v>6.25</v>
      </c>
      <c r="L496">
        <v>30.4</v>
      </c>
      <c r="M496">
        <v>3.33</v>
      </c>
      <c r="N496">
        <v>1345.95</v>
      </c>
    </row>
    <row r="497" spans="1:14" x14ac:dyDescent="0.2">
      <c r="A497" s="1">
        <v>45515</v>
      </c>
      <c r="B497" s="2" t="s">
        <v>23</v>
      </c>
      <c r="C497" s="2" t="s">
        <v>32</v>
      </c>
      <c r="D497" s="2" t="s">
        <v>19</v>
      </c>
      <c r="E497">
        <v>2350</v>
      </c>
      <c r="F497">
        <v>48</v>
      </c>
      <c r="G497">
        <v>5</v>
      </c>
      <c r="H497">
        <v>813.28</v>
      </c>
      <c r="I497">
        <v>1538.12</v>
      </c>
      <c r="J497">
        <v>2.04</v>
      </c>
      <c r="K497">
        <v>10.42</v>
      </c>
      <c r="L497">
        <v>162.66</v>
      </c>
      <c r="M497">
        <v>1.89</v>
      </c>
      <c r="N497">
        <v>724.84</v>
      </c>
    </row>
    <row r="498" spans="1:14" x14ac:dyDescent="0.2">
      <c r="A498" s="1">
        <v>45515</v>
      </c>
      <c r="B498" s="2" t="s">
        <v>24</v>
      </c>
      <c r="C498" s="2" t="s">
        <v>18</v>
      </c>
      <c r="D498" s="2" t="s">
        <v>16</v>
      </c>
      <c r="E498">
        <v>14538</v>
      </c>
      <c r="F498">
        <v>2598</v>
      </c>
      <c r="G498">
        <v>296</v>
      </c>
      <c r="H498">
        <v>97.41</v>
      </c>
      <c r="I498">
        <v>39376.57</v>
      </c>
      <c r="J498">
        <v>17.87</v>
      </c>
      <c r="K498">
        <v>11.39</v>
      </c>
      <c r="L498">
        <v>0.33</v>
      </c>
      <c r="M498">
        <v>404.24</v>
      </c>
      <c r="N498">
        <v>39279.160000000003</v>
      </c>
    </row>
    <row r="499" spans="1:14" x14ac:dyDescent="0.2">
      <c r="A499" s="1">
        <v>45515</v>
      </c>
      <c r="B499" s="2" t="s">
        <v>26</v>
      </c>
      <c r="C499" s="2" t="s">
        <v>21</v>
      </c>
      <c r="D499" s="2" t="s">
        <v>25</v>
      </c>
      <c r="E499">
        <v>15813</v>
      </c>
      <c r="F499">
        <v>787</v>
      </c>
      <c r="G499">
        <v>110</v>
      </c>
      <c r="H499">
        <v>0</v>
      </c>
      <c r="I499">
        <v>16227.49</v>
      </c>
      <c r="J499">
        <v>4.9800000000000004</v>
      </c>
      <c r="K499">
        <v>13.98</v>
      </c>
      <c r="L499">
        <v>0</v>
      </c>
      <c r="M499">
        <v>0</v>
      </c>
      <c r="N499">
        <v>16227.49</v>
      </c>
    </row>
    <row r="500" spans="1:14" x14ac:dyDescent="0.2">
      <c r="A500" s="1">
        <v>45515</v>
      </c>
      <c r="B500" s="2" t="s">
        <v>27</v>
      </c>
      <c r="C500" s="2" t="s">
        <v>32</v>
      </c>
      <c r="D500" s="2" t="s">
        <v>16</v>
      </c>
      <c r="E500">
        <v>21012</v>
      </c>
      <c r="F500">
        <v>395</v>
      </c>
      <c r="G500">
        <v>17</v>
      </c>
      <c r="H500">
        <v>444.98</v>
      </c>
      <c r="I500">
        <v>1554.94</v>
      </c>
      <c r="J500">
        <v>1.88</v>
      </c>
      <c r="K500">
        <v>4.3</v>
      </c>
      <c r="L500">
        <v>26.18</v>
      </c>
      <c r="M500">
        <v>3.49</v>
      </c>
      <c r="N500">
        <v>1109.96</v>
      </c>
    </row>
    <row r="501" spans="1:14" x14ac:dyDescent="0.2">
      <c r="A501" s="1">
        <v>45515</v>
      </c>
      <c r="B501" s="2" t="s">
        <v>29</v>
      </c>
      <c r="C501" s="2" t="s">
        <v>15</v>
      </c>
      <c r="D501" s="2" t="s">
        <v>19</v>
      </c>
      <c r="E501">
        <v>10232</v>
      </c>
      <c r="F501">
        <v>193</v>
      </c>
      <c r="G501">
        <v>7</v>
      </c>
      <c r="H501">
        <v>613.85</v>
      </c>
      <c r="I501">
        <v>915.1</v>
      </c>
      <c r="J501">
        <v>1.89</v>
      </c>
      <c r="K501">
        <v>3.63</v>
      </c>
      <c r="L501">
        <v>87.69</v>
      </c>
      <c r="M501">
        <v>1.49</v>
      </c>
      <c r="N501">
        <v>301.25</v>
      </c>
    </row>
    <row r="502" spans="1:14" x14ac:dyDescent="0.2">
      <c r="A502" s="1">
        <v>45515</v>
      </c>
      <c r="B502" s="2" t="s">
        <v>30</v>
      </c>
      <c r="C502" s="2" t="s">
        <v>32</v>
      </c>
      <c r="D502" s="2" t="s">
        <v>16</v>
      </c>
      <c r="E502">
        <v>7752</v>
      </c>
      <c r="F502">
        <v>220</v>
      </c>
      <c r="G502">
        <v>7</v>
      </c>
      <c r="H502">
        <v>447.48</v>
      </c>
      <c r="I502">
        <v>615.12</v>
      </c>
      <c r="J502">
        <v>2.84</v>
      </c>
      <c r="K502">
        <v>3.18</v>
      </c>
      <c r="L502">
        <v>63.93</v>
      </c>
      <c r="M502">
        <v>1.37</v>
      </c>
      <c r="N502">
        <v>167.64</v>
      </c>
    </row>
    <row r="503" spans="1:14" x14ac:dyDescent="0.2">
      <c r="A503" s="1">
        <v>45515</v>
      </c>
      <c r="B503" s="2" t="s">
        <v>31</v>
      </c>
      <c r="C503" s="2" t="s">
        <v>21</v>
      </c>
      <c r="D503" s="2" t="s">
        <v>36</v>
      </c>
      <c r="E503">
        <v>16468</v>
      </c>
      <c r="F503">
        <v>548</v>
      </c>
      <c r="G503">
        <v>24</v>
      </c>
      <c r="H503">
        <v>633.76</v>
      </c>
      <c r="I503">
        <v>2094.58</v>
      </c>
      <c r="J503">
        <v>3.33</v>
      </c>
      <c r="K503">
        <v>4.38</v>
      </c>
      <c r="L503">
        <v>26.41</v>
      </c>
      <c r="M503">
        <v>3.31</v>
      </c>
      <c r="N503">
        <v>1460.82</v>
      </c>
    </row>
    <row r="504" spans="1:14" x14ac:dyDescent="0.2">
      <c r="A504" s="1">
        <v>45515</v>
      </c>
      <c r="B504" s="2" t="s">
        <v>33</v>
      </c>
      <c r="C504" s="2" t="s">
        <v>32</v>
      </c>
      <c r="D504" s="2" t="s">
        <v>36</v>
      </c>
      <c r="E504">
        <v>4316</v>
      </c>
      <c r="F504">
        <v>231</v>
      </c>
      <c r="G504">
        <v>27</v>
      </c>
      <c r="H504">
        <v>252.59</v>
      </c>
      <c r="I504">
        <v>3717.53</v>
      </c>
      <c r="J504">
        <v>5.35</v>
      </c>
      <c r="K504">
        <v>11.69</v>
      </c>
      <c r="L504">
        <v>9.36</v>
      </c>
      <c r="M504">
        <v>14.72</v>
      </c>
      <c r="N504">
        <v>3464.94</v>
      </c>
    </row>
    <row r="505" spans="1:14" x14ac:dyDescent="0.2">
      <c r="A505" s="1">
        <v>45515</v>
      </c>
      <c r="B505" s="2" t="s">
        <v>34</v>
      </c>
      <c r="C505" s="2" t="s">
        <v>35</v>
      </c>
      <c r="D505" s="2" t="s">
        <v>22</v>
      </c>
      <c r="E505">
        <v>2065</v>
      </c>
      <c r="F505">
        <v>122</v>
      </c>
      <c r="G505">
        <v>15</v>
      </c>
      <c r="H505">
        <v>94.77</v>
      </c>
      <c r="I505">
        <v>2005.41</v>
      </c>
      <c r="J505">
        <v>5.91</v>
      </c>
      <c r="K505">
        <v>12.3</v>
      </c>
      <c r="L505">
        <v>6.32</v>
      </c>
      <c r="M505">
        <v>21.16</v>
      </c>
      <c r="N505">
        <v>1910.64</v>
      </c>
    </row>
    <row r="506" spans="1:14" x14ac:dyDescent="0.2">
      <c r="A506" s="1">
        <v>45516</v>
      </c>
      <c r="B506" s="2" t="s">
        <v>14</v>
      </c>
      <c r="C506" s="2" t="s">
        <v>32</v>
      </c>
      <c r="D506" s="2" t="s">
        <v>36</v>
      </c>
      <c r="E506">
        <v>9349</v>
      </c>
      <c r="F506">
        <v>427</v>
      </c>
      <c r="G506">
        <v>42</v>
      </c>
      <c r="H506">
        <v>683.22</v>
      </c>
      <c r="I506">
        <v>5755.47</v>
      </c>
      <c r="J506">
        <v>4.57</v>
      </c>
      <c r="K506">
        <v>9.84</v>
      </c>
      <c r="L506">
        <v>16.27</v>
      </c>
      <c r="M506">
        <v>8.42</v>
      </c>
      <c r="N506">
        <v>5072.25</v>
      </c>
    </row>
    <row r="507" spans="1:14" x14ac:dyDescent="0.2">
      <c r="A507" s="1">
        <v>45516</v>
      </c>
      <c r="B507" s="2" t="s">
        <v>17</v>
      </c>
      <c r="C507" s="2" t="s">
        <v>15</v>
      </c>
      <c r="D507" s="2" t="s">
        <v>36</v>
      </c>
      <c r="E507">
        <v>16172</v>
      </c>
      <c r="F507">
        <v>618</v>
      </c>
      <c r="G507">
        <v>52</v>
      </c>
      <c r="H507">
        <v>586.82000000000005</v>
      </c>
      <c r="I507">
        <v>6801.62</v>
      </c>
      <c r="J507">
        <v>3.82</v>
      </c>
      <c r="K507">
        <v>8.41</v>
      </c>
      <c r="L507">
        <v>11.28</v>
      </c>
      <c r="M507">
        <v>11.59</v>
      </c>
      <c r="N507">
        <v>6214.8</v>
      </c>
    </row>
    <row r="508" spans="1:14" x14ac:dyDescent="0.2">
      <c r="A508" s="1">
        <v>45516</v>
      </c>
      <c r="B508" s="2" t="s">
        <v>20</v>
      </c>
      <c r="C508" s="2" t="s">
        <v>18</v>
      </c>
      <c r="D508" s="2" t="s">
        <v>36</v>
      </c>
      <c r="E508">
        <v>8653</v>
      </c>
      <c r="F508">
        <v>270</v>
      </c>
      <c r="G508">
        <v>12</v>
      </c>
      <c r="H508">
        <v>802.43</v>
      </c>
      <c r="I508">
        <v>1408.39</v>
      </c>
      <c r="J508">
        <v>3.12</v>
      </c>
      <c r="K508">
        <v>4.4400000000000004</v>
      </c>
      <c r="L508">
        <v>66.87</v>
      </c>
      <c r="M508">
        <v>1.76</v>
      </c>
      <c r="N508">
        <v>605.96</v>
      </c>
    </row>
    <row r="509" spans="1:14" x14ac:dyDescent="0.2">
      <c r="A509" s="1">
        <v>45516</v>
      </c>
      <c r="B509" s="2" t="s">
        <v>23</v>
      </c>
      <c r="C509" s="2" t="s">
        <v>35</v>
      </c>
      <c r="D509" s="2" t="s">
        <v>36</v>
      </c>
      <c r="E509">
        <v>3470</v>
      </c>
      <c r="F509">
        <v>94</v>
      </c>
      <c r="G509">
        <v>11</v>
      </c>
      <c r="H509">
        <v>1223.6199999999999</v>
      </c>
      <c r="I509">
        <v>2823.2</v>
      </c>
      <c r="J509">
        <v>2.71</v>
      </c>
      <c r="K509">
        <v>11.7</v>
      </c>
      <c r="L509">
        <v>111.24</v>
      </c>
      <c r="M509">
        <v>2.31</v>
      </c>
      <c r="N509">
        <v>1599.58</v>
      </c>
    </row>
    <row r="510" spans="1:14" x14ac:dyDescent="0.2">
      <c r="A510" s="1">
        <v>45516</v>
      </c>
      <c r="B510" s="2" t="s">
        <v>24</v>
      </c>
      <c r="C510" s="2" t="s">
        <v>35</v>
      </c>
      <c r="D510" s="2" t="s">
        <v>19</v>
      </c>
      <c r="E510">
        <v>16050</v>
      </c>
      <c r="F510">
        <v>2793</v>
      </c>
      <c r="G510">
        <v>265</v>
      </c>
      <c r="H510">
        <v>150.09</v>
      </c>
      <c r="I510">
        <v>32121.21</v>
      </c>
      <c r="J510">
        <v>17.399999999999999</v>
      </c>
      <c r="K510">
        <v>9.49</v>
      </c>
      <c r="L510">
        <v>0.56999999999999995</v>
      </c>
      <c r="M510">
        <v>214.01</v>
      </c>
      <c r="N510">
        <v>31971.119999999999</v>
      </c>
    </row>
    <row r="511" spans="1:14" x14ac:dyDescent="0.2">
      <c r="A511" s="1">
        <v>45516</v>
      </c>
      <c r="B511" s="2" t="s">
        <v>26</v>
      </c>
      <c r="C511" s="2" t="s">
        <v>15</v>
      </c>
      <c r="D511" s="2" t="s">
        <v>16</v>
      </c>
      <c r="E511">
        <v>27132</v>
      </c>
      <c r="F511">
        <v>1306</v>
      </c>
      <c r="G511">
        <v>149</v>
      </c>
      <c r="H511">
        <v>0</v>
      </c>
      <c r="I511">
        <v>15019.36</v>
      </c>
      <c r="J511">
        <v>4.8099999999999996</v>
      </c>
      <c r="K511">
        <v>11.41</v>
      </c>
      <c r="L511">
        <v>0</v>
      </c>
      <c r="M511">
        <v>0</v>
      </c>
      <c r="N511">
        <v>15019.36</v>
      </c>
    </row>
    <row r="512" spans="1:14" x14ac:dyDescent="0.2">
      <c r="A512" s="1">
        <v>45516</v>
      </c>
      <c r="B512" s="2" t="s">
        <v>27</v>
      </c>
      <c r="C512" s="2" t="s">
        <v>21</v>
      </c>
      <c r="D512" s="2" t="s">
        <v>19</v>
      </c>
      <c r="E512">
        <v>30211</v>
      </c>
      <c r="F512">
        <v>439</v>
      </c>
      <c r="G512">
        <v>11</v>
      </c>
      <c r="H512">
        <v>671.51</v>
      </c>
      <c r="I512">
        <v>1022.68</v>
      </c>
      <c r="J512">
        <v>1.45</v>
      </c>
      <c r="K512">
        <v>2.5099999999999998</v>
      </c>
      <c r="L512">
        <v>61.05</v>
      </c>
      <c r="M512">
        <v>1.52</v>
      </c>
      <c r="N512">
        <v>351.17</v>
      </c>
    </row>
    <row r="513" spans="1:14" x14ac:dyDescent="0.2">
      <c r="A513" s="1">
        <v>45516</v>
      </c>
      <c r="B513" s="2" t="s">
        <v>29</v>
      </c>
      <c r="C513" s="2" t="s">
        <v>28</v>
      </c>
      <c r="D513" s="2" t="s">
        <v>36</v>
      </c>
      <c r="E513">
        <v>14691</v>
      </c>
      <c r="F513">
        <v>413</v>
      </c>
      <c r="G513">
        <v>19</v>
      </c>
      <c r="H513">
        <v>977.95</v>
      </c>
      <c r="I513">
        <v>1921.96</v>
      </c>
      <c r="J513">
        <v>2.81</v>
      </c>
      <c r="K513">
        <v>4.5999999999999996</v>
      </c>
      <c r="L513">
        <v>51.47</v>
      </c>
      <c r="M513">
        <v>1.97</v>
      </c>
      <c r="N513">
        <v>944.01</v>
      </c>
    </row>
    <row r="514" spans="1:14" x14ac:dyDescent="0.2">
      <c r="A514" s="1">
        <v>45516</v>
      </c>
      <c r="B514" s="2" t="s">
        <v>30</v>
      </c>
      <c r="C514" s="2" t="s">
        <v>35</v>
      </c>
      <c r="D514" s="2" t="s">
        <v>36</v>
      </c>
      <c r="E514">
        <v>11238</v>
      </c>
      <c r="F514">
        <v>319</v>
      </c>
      <c r="G514">
        <v>16</v>
      </c>
      <c r="H514">
        <v>509.25</v>
      </c>
      <c r="I514">
        <v>1531.74</v>
      </c>
      <c r="J514">
        <v>2.84</v>
      </c>
      <c r="K514">
        <v>5.0199999999999996</v>
      </c>
      <c r="L514">
        <v>31.83</v>
      </c>
      <c r="M514">
        <v>3.01</v>
      </c>
      <c r="N514">
        <v>1022.49</v>
      </c>
    </row>
    <row r="515" spans="1:14" x14ac:dyDescent="0.2">
      <c r="A515" s="1">
        <v>45516</v>
      </c>
      <c r="B515" s="2" t="s">
        <v>31</v>
      </c>
      <c r="C515" s="2" t="s">
        <v>32</v>
      </c>
      <c r="D515" s="2" t="s">
        <v>16</v>
      </c>
      <c r="E515">
        <v>20003</v>
      </c>
      <c r="F515">
        <v>569</v>
      </c>
      <c r="G515">
        <v>18</v>
      </c>
      <c r="H515">
        <v>807.33</v>
      </c>
      <c r="I515">
        <v>1910.7</v>
      </c>
      <c r="J515">
        <v>2.84</v>
      </c>
      <c r="K515">
        <v>3.16</v>
      </c>
      <c r="L515">
        <v>44.85</v>
      </c>
      <c r="M515">
        <v>2.37</v>
      </c>
      <c r="N515">
        <v>1103.3699999999999</v>
      </c>
    </row>
    <row r="516" spans="1:14" x14ac:dyDescent="0.2">
      <c r="A516" s="1">
        <v>45516</v>
      </c>
      <c r="B516" s="2" t="s">
        <v>33</v>
      </c>
      <c r="C516" s="2" t="s">
        <v>28</v>
      </c>
      <c r="D516" s="2" t="s">
        <v>16</v>
      </c>
      <c r="E516">
        <v>4403</v>
      </c>
      <c r="F516">
        <v>204</v>
      </c>
      <c r="G516">
        <v>24</v>
      </c>
      <c r="H516">
        <v>296.51</v>
      </c>
      <c r="I516">
        <v>2927.69</v>
      </c>
      <c r="J516">
        <v>4.63</v>
      </c>
      <c r="K516">
        <v>11.76</v>
      </c>
      <c r="L516">
        <v>12.35</v>
      </c>
      <c r="M516">
        <v>9.8699999999999992</v>
      </c>
      <c r="N516">
        <v>2631.18</v>
      </c>
    </row>
    <row r="517" spans="1:14" x14ac:dyDescent="0.2">
      <c r="A517" s="1">
        <v>45516</v>
      </c>
      <c r="B517" s="2" t="s">
        <v>34</v>
      </c>
      <c r="C517" s="2" t="s">
        <v>35</v>
      </c>
      <c r="D517" s="2" t="s">
        <v>19</v>
      </c>
      <c r="E517">
        <v>5094</v>
      </c>
      <c r="F517">
        <v>492</v>
      </c>
      <c r="G517">
        <v>58</v>
      </c>
      <c r="H517">
        <v>52.7</v>
      </c>
      <c r="I517">
        <v>9994.3799999999992</v>
      </c>
      <c r="J517">
        <v>9.66</v>
      </c>
      <c r="K517">
        <v>11.79</v>
      </c>
      <c r="L517">
        <v>0.91</v>
      </c>
      <c r="M517">
        <v>189.65</v>
      </c>
      <c r="N517">
        <v>9941.68</v>
      </c>
    </row>
    <row r="518" spans="1:14" x14ac:dyDescent="0.2">
      <c r="A518" s="1">
        <v>45517</v>
      </c>
      <c r="B518" s="2" t="s">
        <v>14</v>
      </c>
      <c r="C518" s="2" t="s">
        <v>35</v>
      </c>
      <c r="D518" s="2" t="s">
        <v>16</v>
      </c>
      <c r="E518">
        <v>7947</v>
      </c>
      <c r="F518">
        <v>315</v>
      </c>
      <c r="G518">
        <v>34</v>
      </c>
      <c r="H518">
        <v>895.37</v>
      </c>
      <c r="I518">
        <v>5089.26</v>
      </c>
      <c r="J518">
        <v>3.96</v>
      </c>
      <c r="K518">
        <v>10.79</v>
      </c>
      <c r="L518">
        <v>26.33</v>
      </c>
      <c r="M518">
        <v>5.68</v>
      </c>
      <c r="N518">
        <v>4193.8900000000003</v>
      </c>
    </row>
    <row r="519" spans="1:14" x14ac:dyDescent="0.2">
      <c r="A519" s="1">
        <v>45517</v>
      </c>
      <c r="B519" s="2" t="s">
        <v>17</v>
      </c>
      <c r="C519" s="2" t="s">
        <v>28</v>
      </c>
      <c r="D519" s="2" t="s">
        <v>25</v>
      </c>
      <c r="E519">
        <v>14357</v>
      </c>
      <c r="F519">
        <v>351</v>
      </c>
      <c r="G519">
        <v>24</v>
      </c>
      <c r="H519">
        <v>963.64</v>
      </c>
      <c r="I519">
        <v>2960.19</v>
      </c>
      <c r="J519">
        <v>2.44</v>
      </c>
      <c r="K519">
        <v>6.84</v>
      </c>
      <c r="L519">
        <v>40.15</v>
      </c>
      <c r="M519">
        <v>3.07</v>
      </c>
      <c r="N519">
        <v>1996.55</v>
      </c>
    </row>
    <row r="520" spans="1:14" x14ac:dyDescent="0.2">
      <c r="A520" s="1">
        <v>45517</v>
      </c>
      <c r="B520" s="2" t="s">
        <v>20</v>
      </c>
      <c r="C520" s="2" t="s">
        <v>18</v>
      </c>
      <c r="D520" s="2" t="s">
        <v>25</v>
      </c>
      <c r="E520">
        <v>12891</v>
      </c>
      <c r="F520">
        <v>339</v>
      </c>
      <c r="G520">
        <v>21</v>
      </c>
      <c r="H520">
        <v>678.96</v>
      </c>
      <c r="I520">
        <v>1816.61</v>
      </c>
      <c r="J520">
        <v>2.63</v>
      </c>
      <c r="K520">
        <v>6.19</v>
      </c>
      <c r="L520">
        <v>32.33</v>
      </c>
      <c r="M520">
        <v>2.68</v>
      </c>
      <c r="N520">
        <v>1137.6500000000001</v>
      </c>
    </row>
    <row r="521" spans="1:14" x14ac:dyDescent="0.2">
      <c r="A521" s="1">
        <v>45517</v>
      </c>
      <c r="B521" s="2" t="s">
        <v>23</v>
      </c>
      <c r="C521" s="2" t="s">
        <v>28</v>
      </c>
      <c r="D521" s="2" t="s">
        <v>36</v>
      </c>
      <c r="E521">
        <v>4938</v>
      </c>
      <c r="F521">
        <v>121</v>
      </c>
      <c r="G521">
        <v>17</v>
      </c>
      <c r="H521">
        <v>1402.29</v>
      </c>
      <c r="I521">
        <v>5621.86</v>
      </c>
      <c r="J521">
        <v>2.4500000000000002</v>
      </c>
      <c r="K521">
        <v>14.05</v>
      </c>
      <c r="L521">
        <v>82.49</v>
      </c>
      <c r="M521">
        <v>4.01</v>
      </c>
      <c r="N521">
        <v>4219.57</v>
      </c>
    </row>
    <row r="522" spans="1:14" x14ac:dyDescent="0.2">
      <c r="A522" s="1">
        <v>45517</v>
      </c>
      <c r="B522" s="2" t="s">
        <v>24</v>
      </c>
      <c r="C522" s="2" t="s">
        <v>18</v>
      </c>
      <c r="D522" s="2" t="s">
        <v>22</v>
      </c>
      <c r="E522">
        <v>14114</v>
      </c>
      <c r="F522">
        <v>3499</v>
      </c>
      <c r="G522">
        <v>345</v>
      </c>
      <c r="H522">
        <v>247.58</v>
      </c>
      <c r="I522">
        <v>39215.29</v>
      </c>
      <c r="J522">
        <v>24.79</v>
      </c>
      <c r="K522">
        <v>9.86</v>
      </c>
      <c r="L522">
        <v>0.72</v>
      </c>
      <c r="M522">
        <v>158.38999999999999</v>
      </c>
      <c r="N522">
        <v>38967.71</v>
      </c>
    </row>
    <row r="523" spans="1:14" x14ac:dyDescent="0.2">
      <c r="A523" s="1">
        <v>45517</v>
      </c>
      <c r="B523" s="2" t="s">
        <v>26</v>
      </c>
      <c r="C523" s="2" t="s">
        <v>32</v>
      </c>
      <c r="D523" s="2" t="s">
        <v>19</v>
      </c>
      <c r="E523">
        <v>21740</v>
      </c>
      <c r="F523">
        <v>1169</v>
      </c>
      <c r="G523">
        <v>146</v>
      </c>
      <c r="H523">
        <v>0</v>
      </c>
      <c r="I523">
        <v>20887</v>
      </c>
      <c r="J523">
        <v>5.38</v>
      </c>
      <c r="K523">
        <v>12.49</v>
      </c>
      <c r="L523">
        <v>0</v>
      </c>
      <c r="M523">
        <v>0</v>
      </c>
      <c r="N523">
        <v>20887</v>
      </c>
    </row>
    <row r="524" spans="1:14" x14ac:dyDescent="0.2">
      <c r="A524" s="1">
        <v>45517</v>
      </c>
      <c r="B524" s="2" t="s">
        <v>27</v>
      </c>
      <c r="C524" s="2" t="s">
        <v>32</v>
      </c>
      <c r="D524" s="2" t="s">
        <v>36</v>
      </c>
      <c r="E524">
        <v>33168</v>
      </c>
      <c r="F524">
        <v>440</v>
      </c>
      <c r="G524">
        <v>14</v>
      </c>
      <c r="H524">
        <v>1027.03</v>
      </c>
      <c r="I524">
        <v>1614.12</v>
      </c>
      <c r="J524">
        <v>1.33</v>
      </c>
      <c r="K524">
        <v>3.18</v>
      </c>
      <c r="L524">
        <v>73.36</v>
      </c>
      <c r="M524">
        <v>1.57</v>
      </c>
      <c r="N524">
        <v>587.09</v>
      </c>
    </row>
    <row r="525" spans="1:14" x14ac:dyDescent="0.2">
      <c r="A525" s="1">
        <v>45517</v>
      </c>
      <c r="B525" s="2" t="s">
        <v>29</v>
      </c>
      <c r="C525" s="2" t="s">
        <v>15</v>
      </c>
      <c r="D525" s="2" t="s">
        <v>36</v>
      </c>
      <c r="E525">
        <v>13221</v>
      </c>
      <c r="F525">
        <v>301</v>
      </c>
      <c r="G525">
        <v>19</v>
      </c>
      <c r="H525">
        <v>1127.71</v>
      </c>
      <c r="I525">
        <v>2211.84</v>
      </c>
      <c r="J525">
        <v>2.2799999999999998</v>
      </c>
      <c r="K525">
        <v>6.31</v>
      </c>
      <c r="L525">
        <v>59.35</v>
      </c>
      <c r="M525">
        <v>1.96</v>
      </c>
      <c r="N525">
        <v>1084.1300000000001</v>
      </c>
    </row>
    <row r="526" spans="1:14" x14ac:dyDescent="0.2">
      <c r="A526" s="1">
        <v>45517</v>
      </c>
      <c r="B526" s="2" t="s">
        <v>30</v>
      </c>
      <c r="C526" s="2" t="s">
        <v>18</v>
      </c>
      <c r="D526" s="2" t="s">
        <v>22</v>
      </c>
      <c r="E526">
        <v>9848</v>
      </c>
      <c r="F526">
        <v>298</v>
      </c>
      <c r="G526">
        <v>8</v>
      </c>
      <c r="H526">
        <v>360.29</v>
      </c>
      <c r="I526">
        <v>716.45</v>
      </c>
      <c r="J526">
        <v>3.03</v>
      </c>
      <c r="K526">
        <v>2.68</v>
      </c>
      <c r="L526">
        <v>45.04</v>
      </c>
      <c r="M526">
        <v>1.99</v>
      </c>
      <c r="N526">
        <v>356.16</v>
      </c>
    </row>
    <row r="527" spans="1:14" x14ac:dyDescent="0.2">
      <c r="A527" s="1">
        <v>45517</v>
      </c>
      <c r="B527" s="2" t="s">
        <v>31</v>
      </c>
      <c r="C527" s="2" t="s">
        <v>35</v>
      </c>
      <c r="D527" s="2" t="s">
        <v>25</v>
      </c>
      <c r="E527">
        <v>24163</v>
      </c>
      <c r="F527">
        <v>883</v>
      </c>
      <c r="G527">
        <v>56</v>
      </c>
      <c r="H527">
        <v>543.08000000000004</v>
      </c>
      <c r="I527">
        <v>5411.84</v>
      </c>
      <c r="J527">
        <v>3.65</v>
      </c>
      <c r="K527">
        <v>6.34</v>
      </c>
      <c r="L527">
        <v>9.6999999999999993</v>
      </c>
      <c r="M527">
        <v>9.9700000000000006</v>
      </c>
      <c r="N527">
        <v>4868.76</v>
      </c>
    </row>
    <row r="528" spans="1:14" x14ac:dyDescent="0.2">
      <c r="A528" s="1">
        <v>45517</v>
      </c>
      <c r="B528" s="2" t="s">
        <v>33</v>
      </c>
      <c r="C528" s="2" t="s">
        <v>21</v>
      </c>
      <c r="D528" s="2" t="s">
        <v>19</v>
      </c>
      <c r="E528">
        <v>5405</v>
      </c>
      <c r="F528">
        <v>300</v>
      </c>
      <c r="G528">
        <v>33</v>
      </c>
      <c r="H528">
        <v>376.62</v>
      </c>
      <c r="I528">
        <v>3848.9</v>
      </c>
      <c r="J528">
        <v>5.55</v>
      </c>
      <c r="K528">
        <v>11</v>
      </c>
      <c r="L528">
        <v>11.41</v>
      </c>
      <c r="M528">
        <v>10.220000000000001</v>
      </c>
      <c r="N528">
        <v>3472.28</v>
      </c>
    </row>
    <row r="529" spans="1:14" x14ac:dyDescent="0.2">
      <c r="A529" s="1">
        <v>45517</v>
      </c>
      <c r="B529" s="2" t="s">
        <v>34</v>
      </c>
      <c r="C529" s="2" t="s">
        <v>28</v>
      </c>
      <c r="D529" s="2" t="s">
        <v>36</v>
      </c>
      <c r="E529">
        <v>5755</v>
      </c>
      <c r="F529">
        <v>575</v>
      </c>
      <c r="G529">
        <v>93</v>
      </c>
      <c r="H529">
        <v>128.94999999999999</v>
      </c>
      <c r="I529">
        <v>15390.05</v>
      </c>
      <c r="J529">
        <v>9.99</v>
      </c>
      <c r="K529">
        <v>16.170000000000002</v>
      </c>
      <c r="L529">
        <v>1.39</v>
      </c>
      <c r="M529">
        <v>119.35</v>
      </c>
      <c r="N529">
        <v>15261.1</v>
      </c>
    </row>
    <row r="530" spans="1:14" x14ac:dyDescent="0.2">
      <c r="A530" s="1">
        <v>45518</v>
      </c>
      <c r="B530" s="2" t="s">
        <v>14</v>
      </c>
      <c r="C530" s="2" t="s">
        <v>18</v>
      </c>
      <c r="D530" s="2" t="s">
        <v>16</v>
      </c>
      <c r="E530">
        <v>10034</v>
      </c>
      <c r="F530">
        <v>320</v>
      </c>
      <c r="G530">
        <v>31</v>
      </c>
      <c r="H530">
        <v>934.41</v>
      </c>
      <c r="I530">
        <v>4073.93</v>
      </c>
      <c r="J530">
        <v>3.19</v>
      </c>
      <c r="K530">
        <v>9.69</v>
      </c>
      <c r="L530">
        <v>30.14</v>
      </c>
      <c r="M530">
        <v>4.3600000000000003</v>
      </c>
      <c r="N530">
        <v>3139.52</v>
      </c>
    </row>
    <row r="531" spans="1:14" x14ac:dyDescent="0.2">
      <c r="A531" s="1">
        <v>45518</v>
      </c>
      <c r="B531" s="2" t="s">
        <v>17</v>
      </c>
      <c r="C531" s="2" t="s">
        <v>15</v>
      </c>
      <c r="D531" s="2" t="s">
        <v>25</v>
      </c>
      <c r="E531">
        <v>11064</v>
      </c>
      <c r="F531">
        <v>398</v>
      </c>
      <c r="G531">
        <v>23</v>
      </c>
      <c r="H531">
        <v>739.04</v>
      </c>
      <c r="I531">
        <v>1938.57</v>
      </c>
      <c r="J531">
        <v>3.6</v>
      </c>
      <c r="K531">
        <v>5.78</v>
      </c>
      <c r="L531">
        <v>32.130000000000003</v>
      </c>
      <c r="M531">
        <v>2.62</v>
      </c>
      <c r="N531">
        <v>1199.53</v>
      </c>
    </row>
    <row r="532" spans="1:14" x14ac:dyDescent="0.2">
      <c r="A532" s="1">
        <v>45518</v>
      </c>
      <c r="B532" s="2" t="s">
        <v>20</v>
      </c>
      <c r="C532" s="2" t="s">
        <v>21</v>
      </c>
      <c r="D532" s="2" t="s">
        <v>22</v>
      </c>
      <c r="E532">
        <v>10193</v>
      </c>
      <c r="F532">
        <v>363</v>
      </c>
      <c r="G532">
        <v>26</v>
      </c>
      <c r="H532">
        <v>500</v>
      </c>
      <c r="I532">
        <v>2183.65</v>
      </c>
      <c r="J532">
        <v>3.56</v>
      </c>
      <c r="K532">
        <v>7.16</v>
      </c>
      <c r="L532">
        <v>19.23</v>
      </c>
      <c r="M532">
        <v>4.37</v>
      </c>
      <c r="N532">
        <v>1683.65</v>
      </c>
    </row>
    <row r="533" spans="1:14" x14ac:dyDescent="0.2">
      <c r="A533" s="1">
        <v>45518</v>
      </c>
      <c r="B533" s="2" t="s">
        <v>23</v>
      </c>
      <c r="C533" s="2" t="s">
        <v>35</v>
      </c>
      <c r="D533" s="2" t="s">
        <v>25</v>
      </c>
      <c r="E533">
        <v>3992</v>
      </c>
      <c r="F533">
        <v>90</v>
      </c>
      <c r="G533">
        <v>12</v>
      </c>
      <c r="H533">
        <v>1150.0999999999999</v>
      </c>
      <c r="I533">
        <v>4140.66</v>
      </c>
      <c r="J533">
        <v>2.25</v>
      </c>
      <c r="K533">
        <v>13.33</v>
      </c>
      <c r="L533">
        <v>95.84</v>
      </c>
      <c r="M533">
        <v>3.6</v>
      </c>
      <c r="N533">
        <v>2990.56</v>
      </c>
    </row>
    <row r="534" spans="1:14" x14ac:dyDescent="0.2">
      <c r="A534" s="1">
        <v>45518</v>
      </c>
      <c r="B534" s="2" t="s">
        <v>24</v>
      </c>
      <c r="C534" s="2" t="s">
        <v>18</v>
      </c>
      <c r="D534" s="2" t="s">
        <v>25</v>
      </c>
      <c r="E534">
        <v>12995</v>
      </c>
      <c r="F534">
        <v>2974</v>
      </c>
      <c r="G534">
        <v>385</v>
      </c>
      <c r="H534">
        <v>153.19999999999999</v>
      </c>
      <c r="I534">
        <v>54883.76</v>
      </c>
      <c r="J534">
        <v>22.89</v>
      </c>
      <c r="K534">
        <v>12.95</v>
      </c>
      <c r="L534">
        <v>0.4</v>
      </c>
      <c r="M534">
        <v>358.25</v>
      </c>
      <c r="N534">
        <v>54730.559999999998</v>
      </c>
    </row>
    <row r="535" spans="1:14" x14ac:dyDescent="0.2">
      <c r="A535" s="1">
        <v>45518</v>
      </c>
      <c r="B535" s="2" t="s">
        <v>26</v>
      </c>
      <c r="C535" s="2" t="s">
        <v>28</v>
      </c>
      <c r="D535" s="2" t="s">
        <v>16</v>
      </c>
      <c r="E535">
        <v>26423</v>
      </c>
      <c r="F535">
        <v>1794</v>
      </c>
      <c r="G535">
        <v>192</v>
      </c>
      <c r="H535">
        <v>0</v>
      </c>
      <c r="I535">
        <v>23688.3</v>
      </c>
      <c r="J535">
        <v>6.79</v>
      </c>
      <c r="K535">
        <v>10.7</v>
      </c>
      <c r="L535">
        <v>0</v>
      </c>
      <c r="M535">
        <v>0</v>
      </c>
      <c r="N535">
        <v>23688.3</v>
      </c>
    </row>
    <row r="536" spans="1:14" x14ac:dyDescent="0.2">
      <c r="A536" s="1">
        <v>45518</v>
      </c>
      <c r="B536" s="2" t="s">
        <v>27</v>
      </c>
      <c r="C536" s="2" t="s">
        <v>21</v>
      </c>
      <c r="D536" s="2" t="s">
        <v>16</v>
      </c>
      <c r="E536">
        <v>31296</v>
      </c>
      <c r="F536">
        <v>379</v>
      </c>
      <c r="G536">
        <v>17</v>
      </c>
      <c r="H536">
        <v>606.66999999999996</v>
      </c>
      <c r="I536">
        <v>2077.02</v>
      </c>
      <c r="J536">
        <v>1.21</v>
      </c>
      <c r="K536">
        <v>4.49</v>
      </c>
      <c r="L536">
        <v>35.69</v>
      </c>
      <c r="M536">
        <v>3.42</v>
      </c>
      <c r="N536">
        <v>1470.35</v>
      </c>
    </row>
    <row r="537" spans="1:14" x14ac:dyDescent="0.2">
      <c r="A537" s="1">
        <v>45518</v>
      </c>
      <c r="B537" s="2" t="s">
        <v>29</v>
      </c>
      <c r="C537" s="2" t="s">
        <v>28</v>
      </c>
      <c r="D537" s="2" t="s">
        <v>16</v>
      </c>
      <c r="E537">
        <v>12938</v>
      </c>
      <c r="F537">
        <v>378</v>
      </c>
      <c r="G537">
        <v>17</v>
      </c>
      <c r="H537">
        <v>891.32</v>
      </c>
      <c r="I537">
        <v>1712.59</v>
      </c>
      <c r="J537">
        <v>2.92</v>
      </c>
      <c r="K537">
        <v>4.5</v>
      </c>
      <c r="L537">
        <v>52.43</v>
      </c>
      <c r="M537">
        <v>1.92</v>
      </c>
      <c r="N537">
        <v>821.27</v>
      </c>
    </row>
    <row r="538" spans="1:14" x14ac:dyDescent="0.2">
      <c r="A538" s="1">
        <v>45518</v>
      </c>
      <c r="B538" s="2" t="s">
        <v>30</v>
      </c>
      <c r="C538" s="2" t="s">
        <v>15</v>
      </c>
      <c r="D538" s="2" t="s">
        <v>22</v>
      </c>
      <c r="E538">
        <v>8001</v>
      </c>
      <c r="F538">
        <v>212</v>
      </c>
      <c r="G538">
        <v>10</v>
      </c>
      <c r="H538">
        <v>528.53</v>
      </c>
      <c r="I538">
        <v>1085.1099999999999</v>
      </c>
      <c r="J538">
        <v>2.65</v>
      </c>
      <c r="K538">
        <v>4.72</v>
      </c>
      <c r="L538">
        <v>52.85</v>
      </c>
      <c r="M538">
        <v>2.0499999999999998</v>
      </c>
      <c r="N538">
        <v>556.58000000000004</v>
      </c>
    </row>
    <row r="539" spans="1:14" x14ac:dyDescent="0.2">
      <c r="A539" s="1">
        <v>45518</v>
      </c>
      <c r="B539" s="2" t="s">
        <v>31</v>
      </c>
      <c r="C539" s="2" t="s">
        <v>28</v>
      </c>
      <c r="D539" s="2" t="s">
        <v>19</v>
      </c>
      <c r="E539">
        <v>25081</v>
      </c>
      <c r="F539">
        <v>1091</v>
      </c>
      <c r="G539">
        <v>61</v>
      </c>
      <c r="H539">
        <v>513.75</v>
      </c>
      <c r="I539">
        <v>5096.8500000000004</v>
      </c>
      <c r="J539">
        <v>4.3499999999999996</v>
      </c>
      <c r="K539">
        <v>5.59</v>
      </c>
      <c r="L539">
        <v>8.42</v>
      </c>
      <c r="M539">
        <v>9.92</v>
      </c>
      <c r="N539">
        <v>4583.1000000000004</v>
      </c>
    </row>
    <row r="540" spans="1:14" x14ac:dyDescent="0.2">
      <c r="A540" s="1">
        <v>45518</v>
      </c>
      <c r="B540" s="2" t="s">
        <v>33</v>
      </c>
      <c r="C540" s="2" t="s">
        <v>32</v>
      </c>
      <c r="D540" s="2" t="s">
        <v>19</v>
      </c>
      <c r="E540">
        <v>5270</v>
      </c>
      <c r="F540">
        <v>253</v>
      </c>
      <c r="G540">
        <v>32</v>
      </c>
      <c r="H540">
        <v>509.26</v>
      </c>
      <c r="I540">
        <v>3338.78</v>
      </c>
      <c r="J540">
        <v>4.8</v>
      </c>
      <c r="K540">
        <v>12.65</v>
      </c>
      <c r="L540">
        <v>15.91</v>
      </c>
      <c r="M540">
        <v>6.56</v>
      </c>
      <c r="N540">
        <v>2829.52</v>
      </c>
    </row>
    <row r="541" spans="1:14" x14ac:dyDescent="0.2">
      <c r="A541" s="1">
        <v>45518</v>
      </c>
      <c r="B541" s="2" t="s">
        <v>34</v>
      </c>
      <c r="C541" s="2" t="s">
        <v>28</v>
      </c>
      <c r="D541" s="2" t="s">
        <v>36</v>
      </c>
      <c r="E541">
        <v>4137</v>
      </c>
      <c r="F541">
        <v>357</v>
      </c>
      <c r="G541">
        <v>59</v>
      </c>
      <c r="H541">
        <v>49.28</v>
      </c>
      <c r="I541">
        <v>9680.8700000000008</v>
      </c>
      <c r="J541">
        <v>8.6300000000000008</v>
      </c>
      <c r="K541">
        <v>16.53</v>
      </c>
      <c r="L541">
        <v>0.84</v>
      </c>
      <c r="M541">
        <v>196.45</v>
      </c>
      <c r="N541">
        <v>9631.59</v>
      </c>
    </row>
    <row r="542" spans="1:14" x14ac:dyDescent="0.2">
      <c r="A542" s="1">
        <v>45519</v>
      </c>
      <c r="B542" s="2" t="s">
        <v>14</v>
      </c>
      <c r="C542" s="2" t="s">
        <v>28</v>
      </c>
      <c r="D542" s="2" t="s">
        <v>22</v>
      </c>
      <c r="E542">
        <v>7729</v>
      </c>
      <c r="F542">
        <v>241</v>
      </c>
      <c r="G542">
        <v>25</v>
      </c>
      <c r="H542">
        <v>716.06</v>
      </c>
      <c r="I542">
        <v>4228.76</v>
      </c>
      <c r="J542">
        <v>3.12</v>
      </c>
      <c r="K542">
        <v>10.37</v>
      </c>
      <c r="L542">
        <v>28.64</v>
      </c>
      <c r="M542">
        <v>5.91</v>
      </c>
      <c r="N542">
        <v>3512.7</v>
      </c>
    </row>
    <row r="543" spans="1:14" x14ac:dyDescent="0.2">
      <c r="A543" s="1">
        <v>45519</v>
      </c>
      <c r="B543" s="2" t="s">
        <v>17</v>
      </c>
      <c r="C543" s="2" t="s">
        <v>28</v>
      </c>
      <c r="D543" s="2" t="s">
        <v>25</v>
      </c>
      <c r="E543">
        <v>13804</v>
      </c>
      <c r="F543">
        <v>447</v>
      </c>
      <c r="G543">
        <v>37</v>
      </c>
      <c r="H543">
        <v>974.11</v>
      </c>
      <c r="I543">
        <v>4025.9</v>
      </c>
      <c r="J543">
        <v>3.24</v>
      </c>
      <c r="K543">
        <v>8.2799999999999994</v>
      </c>
      <c r="L543">
        <v>26.33</v>
      </c>
      <c r="M543">
        <v>4.13</v>
      </c>
      <c r="N543">
        <v>3051.79</v>
      </c>
    </row>
    <row r="544" spans="1:14" x14ac:dyDescent="0.2">
      <c r="A544" s="1">
        <v>45519</v>
      </c>
      <c r="B544" s="2" t="s">
        <v>20</v>
      </c>
      <c r="C544" s="2" t="s">
        <v>21</v>
      </c>
      <c r="D544" s="2" t="s">
        <v>36</v>
      </c>
      <c r="E544">
        <v>14100</v>
      </c>
      <c r="F544">
        <v>419</v>
      </c>
      <c r="G544">
        <v>17</v>
      </c>
      <c r="H544">
        <v>502.36</v>
      </c>
      <c r="I544">
        <v>1705.01</v>
      </c>
      <c r="J544">
        <v>2.97</v>
      </c>
      <c r="K544">
        <v>4.0599999999999996</v>
      </c>
      <c r="L544">
        <v>29.55</v>
      </c>
      <c r="M544">
        <v>3.39</v>
      </c>
      <c r="N544">
        <v>1202.6500000000001</v>
      </c>
    </row>
    <row r="545" spans="1:14" x14ac:dyDescent="0.2">
      <c r="A545" s="1">
        <v>45519</v>
      </c>
      <c r="B545" s="2" t="s">
        <v>23</v>
      </c>
      <c r="C545" s="2" t="s">
        <v>21</v>
      </c>
      <c r="D545" s="2" t="s">
        <v>25</v>
      </c>
      <c r="E545">
        <v>2952</v>
      </c>
      <c r="F545">
        <v>59</v>
      </c>
      <c r="G545">
        <v>8</v>
      </c>
      <c r="H545">
        <v>1499.15</v>
      </c>
      <c r="I545">
        <v>2628.97</v>
      </c>
      <c r="J545">
        <v>2</v>
      </c>
      <c r="K545">
        <v>13.56</v>
      </c>
      <c r="L545">
        <v>187.39</v>
      </c>
      <c r="M545">
        <v>1.75</v>
      </c>
      <c r="N545">
        <v>1129.82</v>
      </c>
    </row>
    <row r="546" spans="1:14" x14ac:dyDescent="0.2">
      <c r="A546" s="1">
        <v>45519</v>
      </c>
      <c r="B546" s="2" t="s">
        <v>24</v>
      </c>
      <c r="C546" s="2" t="s">
        <v>32</v>
      </c>
      <c r="D546" s="2" t="s">
        <v>22</v>
      </c>
      <c r="E546">
        <v>15408</v>
      </c>
      <c r="F546">
        <v>2429</v>
      </c>
      <c r="G546">
        <v>246</v>
      </c>
      <c r="H546">
        <v>254.9</v>
      </c>
      <c r="I546">
        <v>30398.7</v>
      </c>
      <c r="J546">
        <v>15.76</v>
      </c>
      <c r="K546">
        <v>10.130000000000001</v>
      </c>
      <c r="L546">
        <v>1.04</v>
      </c>
      <c r="M546">
        <v>119.26</v>
      </c>
      <c r="N546">
        <v>30143.8</v>
      </c>
    </row>
    <row r="547" spans="1:14" x14ac:dyDescent="0.2">
      <c r="A547" s="1">
        <v>45519</v>
      </c>
      <c r="B547" s="2" t="s">
        <v>26</v>
      </c>
      <c r="C547" s="2" t="s">
        <v>18</v>
      </c>
      <c r="D547" s="2" t="s">
        <v>19</v>
      </c>
      <c r="E547">
        <v>22462</v>
      </c>
      <c r="F547">
        <v>1041</v>
      </c>
      <c r="G547">
        <v>127</v>
      </c>
      <c r="H547">
        <v>0</v>
      </c>
      <c r="I547">
        <v>13696.62</v>
      </c>
      <c r="J547">
        <v>4.63</v>
      </c>
      <c r="K547">
        <v>12.2</v>
      </c>
      <c r="L547">
        <v>0</v>
      </c>
      <c r="M547">
        <v>0</v>
      </c>
      <c r="N547">
        <v>13696.62</v>
      </c>
    </row>
    <row r="548" spans="1:14" x14ac:dyDescent="0.2">
      <c r="A548" s="1">
        <v>45519</v>
      </c>
      <c r="B548" s="2" t="s">
        <v>27</v>
      </c>
      <c r="C548" s="2" t="s">
        <v>28</v>
      </c>
      <c r="D548" s="2" t="s">
        <v>19</v>
      </c>
      <c r="E548">
        <v>31043</v>
      </c>
      <c r="F548">
        <v>558</v>
      </c>
      <c r="G548">
        <v>11</v>
      </c>
      <c r="H548">
        <v>972.91</v>
      </c>
      <c r="I548">
        <v>1432.7</v>
      </c>
      <c r="J548">
        <v>1.8</v>
      </c>
      <c r="K548">
        <v>1.97</v>
      </c>
      <c r="L548">
        <v>88.45</v>
      </c>
      <c r="M548">
        <v>1.47</v>
      </c>
      <c r="N548">
        <v>459.79</v>
      </c>
    </row>
    <row r="549" spans="1:14" x14ac:dyDescent="0.2">
      <c r="A549" s="1">
        <v>45519</v>
      </c>
      <c r="B549" s="2" t="s">
        <v>29</v>
      </c>
      <c r="C549" s="2" t="s">
        <v>32</v>
      </c>
      <c r="D549" s="2" t="s">
        <v>19</v>
      </c>
      <c r="E549">
        <v>16423</v>
      </c>
      <c r="F549">
        <v>263</v>
      </c>
      <c r="G549">
        <v>18</v>
      </c>
      <c r="H549">
        <v>1102.95</v>
      </c>
      <c r="I549">
        <v>2072.29</v>
      </c>
      <c r="J549">
        <v>1.6</v>
      </c>
      <c r="K549">
        <v>6.84</v>
      </c>
      <c r="L549">
        <v>61.28</v>
      </c>
      <c r="M549">
        <v>1.88</v>
      </c>
      <c r="N549">
        <v>969.34</v>
      </c>
    </row>
    <row r="550" spans="1:14" x14ac:dyDescent="0.2">
      <c r="A550" s="1">
        <v>45519</v>
      </c>
      <c r="B550" s="2" t="s">
        <v>30</v>
      </c>
      <c r="C550" s="2" t="s">
        <v>18</v>
      </c>
      <c r="D550" s="2" t="s">
        <v>19</v>
      </c>
      <c r="E550">
        <v>9443</v>
      </c>
      <c r="F550">
        <v>312</v>
      </c>
      <c r="G550">
        <v>11</v>
      </c>
      <c r="H550">
        <v>621.84</v>
      </c>
      <c r="I550">
        <v>903.85</v>
      </c>
      <c r="J550">
        <v>3.3</v>
      </c>
      <c r="K550">
        <v>3.53</v>
      </c>
      <c r="L550">
        <v>56.53</v>
      </c>
      <c r="M550">
        <v>1.45</v>
      </c>
      <c r="N550">
        <v>282.01</v>
      </c>
    </row>
    <row r="551" spans="1:14" x14ac:dyDescent="0.2">
      <c r="A551" s="1">
        <v>45519</v>
      </c>
      <c r="B551" s="2" t="s">
        <v>31</v>
      </c>
      <c r="C551" s="2" t="s">
        <v>15</v>
      </c>
      <c r="D551" s="2" t="s">
        <v>19</v>
      </c>
      <c r="E551">
        <v>22430</v>
      </c>
      <c r="F551">
        <v>578</v>
      </c>
      <c r="G551">
        <v>28</v>
      </c>
      <c r="H551">
        <v>868.48</v>
      </c>
      <c r="I551">
        <v>3078.05</v>
      </c>
      <c r="J551">
        <v>2.58</v>
      </c>
      <c r="K551">
        <v>4.84</v>
      </c>
      <c r="L551">
        <v>31.02</v>
      </c>
      <c r="M551">
        <v>3.54</v>
      </c>
      <c r="N551">
        <v>2209.5700000000002</v>
      </c>
    </row>
    <row r="552" spans="1:14" x14ac:dyDescent="0.2">
      <c r="A552" s="1">
        <v>45519</v>
      </c>
      <c r="B552" s="2" t="s">
        <v>33</v>
      </c>
      <c r="C552" s="2" t="s">
        <v>32</v>
      </c>
      <c r="D552" s="2" t="s">
        <v>25</v>
      </c>
      <c r="E552">
        <v>6500</v>
      </c>
      <c r="F552">
        <v>294</v>
      </c>
      <c r="G552">
        <v>27</v>
      </c>
      <c r="H552">
        <v>338.24</v>
      </c>
      <c r="I552">
        <v>3395.81</v>
      </c>
      <c r="J552">
        <v>4.5199999999999996</v>
      </c>
      <c r="K552">
        <v>9.18</v>
      </c>
      <c r="L552">
        <v>12.53</v>
      </c>
      <c r="M552">
        <v>10.039999999999999</v>
      </c>
      <c r="N552">
        <v>3057.57</v>
      </c>
    </row>
    <row r="553" spans="1:14" x14ac:dyDescent="0.2">
      <c r="A553" s="1">
        <v>45519</v>
      </c>
      <c r="B553" s="2" t="s">
        <v>34</v>
      </c>
      <c r="C553" s="2" t="s">
        <v>15</v>
      </c>
      <c r="D553" s="2" t="s">
        <v>36</v>
      </c>
      <c r="E553">
        <v>3448</v>
      </c>
      <c r="F553">
        <v>188</v>
      </c>
      <c r="G553">
        <v>22</v>
      </c>
      <c r="H553">
        <v>112.46</v>
      </c>
      <c r="I553">
        <v>2688.9</v>
      </c>
      <c r="J553">
        <v>5.45</v>
      </c>
      <c r="K553">
        <v>11.7</v>
      </c>
      <c r="L553">
        <v>5.1100000000000003</v>
      </c>
      <c r="M553">
        <v>23.91</v>
      </c>
      <c r="N553">
        <v>2576.44</v>
      </c>
    </row>
    <row r="554" spans="1:14" x14ac:dyDescent="0.2">
      <c r="A554" s="1">
        <v>45520</v>
      </c>
      <c r="B554" s="2" t="s">
        <v>14</v>
      </c>
      <c r="C554" s="2" t="s">
        <v>21</v>
      </c>
      <c r="D554" s="2" t="s">
        <v>36</v>
      </c>
      <c r="E554">
        <v>8363</v>
      </c>
      <c r="F554">
        <v>415</v>
      </c>
      <c r="G554">
        <v>46</v>
      </c>
      <c r="H554">
        <v>840.34</v>
      </c>
      <c r="I554">
        <v>6842.2</v>
      </c>
      <c r="J554">
        <v>4.96</v>
      </c>
      <c r="K554">
        <v>11.08</v>
      </c>
      <c r="L554">
        <v>18.27</v>
      </c>
      <c r="M554">
        <v>8.14</v>
      </c>
      <c r="N554">
        <v>6001.86</v>
      </c>
    </row>
    <row r="555" spans="1:14" x14ac:dyDescent="0.2">
      <c r="A555" s="1">
        <v>45520</v>
      </c>
      <c r="B555" s="2" t="s">
        <v>17</v>
      </c>
      <c r="C555" s="2" t="s">
        <v>32</v>
      </c>
      <c r="D555" s="2" t="s">
        <v>36</v>
      </c>
      <c r="E555">
        <v>13474</v>
      </c>
      <c r="F555">
        <v>418</v>
      </c>
      <c r="G555">
        <v>26</v>
      </c>
      <c r="H555">
        <v>898.42</v>
      </c>
      <c r="I555">
        <v>2675.94</v>
      </c>
      <c r="J555">
        <v>3.1</v>
      </c>
      <c r="K555">
        <v>6.22</v>
      </c>
      <c r="L555">
        <v>34.549999999999997</v>
      </c>
      <c r="M555">
        <v>2.98</v>
      </c>
      <c r="N555">
        <v>1777.52</v>
      </c>
    </row>
    <row r="556" spans="1:14" x14ac:dyDescent="0.2">
      <c r="A556" s="1">
        <v>45520</v>
      </c>
      <c r="B556" s="2" t="s">
        <v>20</v>
      </c>
      <c r="C556" s="2" t="s">
        <v>35</v>
      </c>
      <c r="D556" s="2" t="s">
        <v>19</v>
      </c>
      <c r="E556">
        <v>11744</v>
      </c>
      <c r="F556">
        <v>403</v>
      </c>
      <c r="G556">
        <v>23</v>
      </c>
      <c r="H556">
        <v>513.51</v>
      </c>
      <c r="I556">
        <v>2355.0300000000002</v>
      </c>
      <c r="J556">
        <v>3.43</v>
      </c>
      <c r="K556">
        <v>5.71</v>
      </c>
      <c r="L556">
        <v>22.33</v>
      </c>
      <c r="M556">
        <v>4.59</v>
      </c>
      <c r="N556">
        <v>1841.52</v>
      </c>
    </row>
    <row r="557" spans="1:14" x14ac:dyDescent="0.2">
      <c r="A557" s="1">
        <v>45520</v>
      </c>
      <c r="B557" s="2" t="s">
        <v>23</v>
      </c>
      <c r="C557" s="2" t="s">
        <v>32</v>
      </c>
      <c r="D557" s="2" t="s">
        <v>25</v>
      </c>
      <c r="E557">
        <v>3714</v>
      </c>
      <c r="F557">
        <v>94</v>
      </c>
      <c r="G557">
        <v>10</v>
      </c>
      <c r="H557">
        <v>1079.93</v>
      </c>
      <c r="I557">
        <v>2689.89</v>
      </c>
      <c r="J557">
        <v>2.5299999999999998</v>
      </c>
      <c r="K557">
        <v>10.64</v>
      </c>
      <c r="L557">
        <v>107.99</v>
      </c>
      <c r="M557">
        <v>2.4900000000000002</v>
      </c>
      <c r="N557">
        <v>1609.96</v>
      </c>
    </row>
    <row r="558" spans="1:14" x14ac:dyDescent="0.2">
      <c r="A558" s="1">
        <v>45520</v>
      </c>
      <c r="B558" s="2" t="s">
        <v>24</v>
      </c>
      <c r="C558" s="2" t="s">
        <v>28</v>
      </c>
      <c r="D558" s="2" t="s">
        <v>36</v>
      </c>
      <c r="E558">
        <v>18243</v>
      </c>
      <c r="F558">
        <v>3012</v>
      </c>
      <c r="G558">
        <v>362</v>
      </c>
      <c r="H558">
        <v>208.81</v>
      </c>
      <c r="I558">
        <v>46351.26</v>
      </c>
      <c r="J558">
        <v>16.510000000000002</v>
      </c>
      <c r="K558">
        <v>12.02</v>
      </c>
      <c r="L558">
        <v>0.57999999999999996</v>
      </c>
      <c r="M558">
        <v>221.98</v>
      </c>
      <c r="N558">
        <v>46142.45</v>
      </c>
    </row>
    <row r="559" spans="1:14" x14ac:dyDescent="0.2">
      <c r="A559" s="1">
        <v>45520</v>
      </c>
      <c r="B559" s="2" t="s">
        <v>26</v>
      </c>
      <c r="C559" s="2" t="s">
        <v>35</v>
      </c>
      <c r="D559" s="2" t="s">
        <v>22</v>
      </c>
      <c r="E559">
        <v>25994</v>
      </c>
      <c r="F559">
        <v>1698</v>
      </c>
      <c r="G559">
        <v>212</v>
      </c>
      <c r="H559">
        <v>0</v>
      </c>
      <c r="I559">
        <v>28022.11</v>
      </c>
      <c r="J559">
        <v>6.53</v>
      </c>
      <c r="K559">
        <v>12.49</v>
      </c>
      <c r="L559">
        <v>0</v>
      </c>
      <c r="M559">
        <v>0</v>
      </c>
      <c r="N559">
        <v>28022.11</v>
      </c>
    </row>
    <row r="560" spans="1:14" x14ac:dyDescent="0.2">
      <c r="A560" s="1">
        <v>45520</v>
      </c>
      <c r="B560" s="2" t="s">
        <v>27</v>
      </c>
      <c r="C560" s="2" t="s">
        <v>15</v>
      </c>
      <c r="D560" s="2" t="s">
        <v>22</v>
      </c>
      <c r="E560">
        <v>23689</v>
      </c>
      <c r="F560">
        <v>435</v>
      </c>
      <c r="G560">
        <v>11</v>
      </c>
      <c r="H560">
        <v>1094.3699999999999</v>
      </c>
      <c r="I560">
        <v>1188.53</v>
      </c>
      <c r="J560">
        <v>1.84</v>
      </c>
      <c r="K560">
        <v>2.5299999999999998</v>
      </c>
      <c r="L560">
        <v>99.49</v>
      </c>
      <c r="M560">
        <v>1.0900000000000001</v>
      </c>
      <c r="N560">
        <v>94.16</v>
      </c>
    </row>
    <row r="561" spans="1:14" x14ac:dyDescent="0.2">
      <c r="A561" s="1">
        <v>45520</v>
      </c>
      <c r="B561" s="2" t="s">
        <v>29</v>
      </c>
      <c r="C561" s="2" t="s">
        <v>32</v>
      </c>
      <c r="D561" s="2" t="s">
        <v>36</v>
      </c>
      <c r="E561">
        <v>16104</v>
      </c>
      <c r="F561">
        <v>355</v>
      </c>
      <c r="G561">
        <v>14</v>
      </c>
      <c r="H561">
        <v>706.32</v>
      </c>
      <c r="I561">
        <v>1337.86</v>
      </c>
      <c r="J561">
        <v>2.2000000000000002</v>
      </c>
      <c r="K561">
        <v>3.94</v>
      </c>
      <c r="L561">
        <v>50.45</v>
      </c>
      <c r="M561">
        <v>1.89</v>
      </c>
      <c r="N561">
        <v>631.54</v>
      </c>
    </row>
    <row r="562" spans="1:14" x14ac:dyDescent="0.2">
      <c r="A562" s="1">
        <v>45520</v>
      </c>
      <c r="B562" s="2" t="s">
        <v>30</v>
      </c>
      <c r="C562" s="2" t="s">
        <v>21</v>
      </c>
      <c r="D562" s="2" t="s">
        <v>36</v>
      </c>
      <c r="E562">
        <v>7666</v>
      </c>
      <c r="F562">
        <v>166</v>
      </c>
      <c r="G562">
        <v>5</v>
      </c>
      <c r="H562">
        <v>470.87</v>
      </c>
      <c r="I562">
        <v>466.33</v>
      </c>
      <c r="J562">
        <v>2.17</v>
      </c>
      <c r="K562">
        <v>3.01</v>
      </c>
      <c r="L562">
        <v>94.17</v>
      </c>
      <c r="M562">
        <v>0.99</v>
      </c>
      <c r="N562">
        <v>-4.54</v>
      </c>
    </row>
    <row r="563" spans="1:14" x14ac:dyDescent="0.2">
      <c r="A563" s="1">
        <v>45520</v>
      </c>
      <c r="B563" s="2" t="s">
        <v>31</v>
      </c>
      <c r="C563" s="2" t="s">
        <v>18</v>
      </c>
      <c r="D563" s="2" t="s">
        <v>19</v>
      </c>
      <c r="E563">
        <v>16830</v>
      </c>
      <c r="F563">
        <v>537</v>
      </c>
      <c r="G563">
        <v>23</v>
      </c>
      <c r="H563">
        <v>822.56</v>
      </c>
      <c r="I563">
        <v>1661.55</v>
      </c>
      <c r="J563">
        <v>3.19</v>
      </c>
      <c r="K563">
        <v>4.28</v>
      </c>
      <c r="L563">
        <v>35.76</v>
      </c>
      <c r="M563">
        <v>2.02</v>
      </c>
      <c r="N563">
        <v>838.99</v>
      </c>
    </row>
    <row r="564" spans="1:14" x14ac:dyDescent="0.2">
      <c r="A564" s="1">
        <v>45520</v>
      </c>
      <c r="B564" s="2" t="s">
        <v>33</v>
      </c>
      <c r="C564" s="2" t="s">
        <v>15</v>
      </c>
      <c r="D564" s="2" t="s">
        <v>36</v>
      </c>
      <c r="E564">
        <v>5812</v>
      </c>
      <c r="F564">
        <v>306</v>
      </c>
      <c r="G564">
        <v>37</v>
      </c>
      <c r="H564">
        <v>264.63</v>
      </c>
      <c r="I564">
        <v>4194.6899999999996</v>
      </c>
      <c r="J564">
        <v>5.26</v>
      </c>
      <c r="K564">
        <v>12.09</v>
      </c>
      <c r="L564">
        <v>7.15</v>
      </c>
      <c r="M564">
        <v>15.85</v>
      </c>
      <c r="N564">
        <v>3930.06</v>
      </c>
    </row>
    <row r="565" spans="1:14" x14ac:dyDescent="0.2">
      <c r="A565" s="1">
        <v>45520</v>
      </c>
      <c r="B565" s="2" t="s">
        <v>34</v>
      </c>
      <c r="C565" s="2" t="s">
        <v>15</v>
      </c>
      <c r="D565" s="2" t="s">
        <v>36</v>
      </c>
      <c r="E565">
        <v>4955</v>
      </c>
      <c r="F565">
        <v>413</v>
      </c>
      <c r="G565">
        <v>73</v>
      </c>
      <c r="H565">
        <v>131.38999999999999</v>
      </c>
      <c r="I565">
        <v>12088.84</v>
      </c>
      <c r="J565">
        <v>8.34</v>
      </c>
      <c r="K565">
        <v>17.68</v>
      </c>
      <c r="L565">
        <v>1.8</v>
      </c>
      <c r="M565">
        <v>92.01</v>
      </c>
      <c r="N565">
        <v>11957.45</v>
      </c>
    </row>
    <row r="566" spans="1:14" x14ac:dyDescent="0.2">
      <c r="A566" s="1">
        <v>45521</v>
      </c>
      <c r="B566" s="2" t="s">
        <v>14</v>
      </c>
      <c r="C566" s="2" t="s">
        <v>28</v>
      </c>
      <c r="D566" s="2" t="s">
        <v>22</v>
      </c>
      <c r="E566">
        <v>7078</v>
      </c>
      <c r="F566">
        <v>266</v>
      </c>
      <c r="G566">
        <v>30</v>
      </c>
      <c r="H566">
        <v>732.17</v>
      </c>
      <c r="I566">
        <v>4923.45</v>
      </c>
      <c r="J566">
        <v>3.76</v>
      </c>
      <c r="K566">
        <v>11.28</v>
      </c>
      <c r="L566">
        <v>24.41</v>
      </c>
      <c r="M566">
        <v>6.72</v>
      </c>
      <c r="N566">
        <v>4191.28</v>
      </c>
    </row>
    <row r="567" spans="1:14" x14ac:dyDescent="0.2">
      <c r="A567" s="1">
        <v>45521</v>
      </c>
      <c r="B567" s="2" t="s">
        <v>17</v>
      </c>
      <c r="C567" s="2" t="s">
        <v>28</v>
      </c>
      <c r="D567" s="2" t="s">
        <v>16</v>
      </c>
      <c r="E567">
        <v>7596</v>
      </c>
      <c r="F567">
        <v>260</v>
      </c>
      <c r="G567">
        <v>16</v>
      </c>
      <c r="H567">
        <v>371.25</v>
      </c>
      <c r="I567">
        <v>1582.02</v>
      </c>
      <c r="J567">
        <v>3.42</v>
      </c>
      <c r="K567">
        <v>6.15</v>
      </c>
      <c r="L567">
        <v>23.2</v>
      </c>
      <c r="M567">
        <v>4.26</v>
      </c>
      <c r="N567">
        <v>1210.77</v>
      </c>
    </row>
    <row r="568" spans="1:14" x14ac:dyDescent="0.2">
      <c r="A568" s="1">
        <v>45521</v>
      </c>
      <c r="B568" s="2" t="s">
        <v>20</v>
      </c>
      <c r="C568" s="2" t="s">
        <v>21</v>
      </c>
      <c r="D568" s="2" t="s">
        <v>25</v>
      </c>
      <c r="E568">
        <v>10046</v>
      </c>
      <c r="F568">
        <v>333</v>
      </c>
      <c r="G568">
        <v>22</v>
      </c>
      <c r="H568">
        <v>336.58</v>
      </c>
      <c r="I568">
        <v>2172.62</v>
      </c>
      <c r="J568">
        <v>3.31</v>
      </c>
      <c r="K568">
        <v>6.61</v>
      </c>
      <c r="L568">
        <v>15.3</v>
      </c>
      <c r="M568">
        <v>6.45</v>
      </c>
      <c r="N568">
        <v>1836.04</v>
      </c>
    </row>
    <row r="569" spans="1:14" x14ac:dyDescent="0.2">
      <c r="A569" s="1">
        <v>45521</v>
      </c>
      <c r="B569" s="2" t="s">
        <v>23</v>
      </c>
      <c r="C569" s="2" t="s">
        <v>32</v>
      </c>
      <c r="D569" s="2" t="s">
        <v>19</v>
      </c>
      <c r="E569">
        <v>3464</v>
      </c>
      <c r="F569">
        <v>89</v>
      </c>
      <c r="G569">
        <v>11</v>
      </c>
      <c r="H569">
        <v>758.79</v>
      </c>
      <c r="I569">
        <v>3265.41</v>
      </c>
      <c r="J569">
        <v>2.57</v>
      </c>
      <c r="K569">
        <v>12.36</v>
      </c>
      <c r="L569">
        <v>68.98</v>
      </c>
      <c r="M569">
        <v>4.3</v>
      </c>
      <c r="N569">
        <v>2506.62</v>
      </c>
    </row>
    <row r="570" spans="1:14" x14ac:dyDescent="0.2">
      <c r="A570" s="1">
        <v>45521</v>
      </c>
      <c r="B570" s="2" t="s">
        <v>24</v>
      </c>
      <c r="C570" s="2" t="s">
        <v>18</v>
      </c>
      <c r="D570" s="2" t="s">
        <v>36</v>
      </c>
      <c r="E570">
        <v>11514</v>
      </c>
      <c r="F570">
        <v>1961</v>
      </c>
      <c r="G570">
        <v>262</v>
      </c>
      <c r="H570">
        <v>97.18</v>
      </c>
      <c r="I570">
        <v>36179.74</v>
      </c>
      <c r="J570">
        <v>17.03</v>
      </c>
      <c r="K570">
        <v>13.36</v>
      </c>
      <c r="L570">
        <v>0.37</v>
      </c>
      <c r="M570">
        <v>372.3</v>
      </c>
      <c r="N570">
        <v>36082.559999999998</v>
      </c>
    </row>
    <row r="571" spans="1:14" x14ac:dyDescent="0.2">
      <c r="A571" s="1">
        <v>45521</v>
      </c>
      <c r="B571" s="2" t="s">
        <v>26</v>
      </c>
      <c r="C571" s="2" t="s">
        <v>18</v>
      </c>
      <c r="D571" s="2" t="s">
        <v>25</v>
      </c>
      <c r="E571">
        <v>17505</v>
      </c>
      <c r="F571">
        <v>1281</v>
      </c>
      <c r="G571">
        <v>140</v>
      </c>
      <c r="H571">
        <v>0</v>
      </c>
      <c r="I571">
        <v>13674.52</v>
      </c>
      <c r="J571">
        <v>7.32</v>
      </c>
      <c r="K571">
        <v>10.93</v>
      </c>
      <c r="L571">
        <v>0</v>
      </c>
      <c r="M571">
        <v>0</v>
      </c>
      <c r="N571">
        <v>13674.52</v>
      </c>
    </row>
    <row r="572" spans="1:14" x14ac:dyDescent="0.2">
      <c r="A572" s="1">
        <v>45521</v>
      </c>
      <c r="B572" s="2" t="s">
        <v>27</v>
      </c>
      <c r="C572" s="2" t="s">
        <v>28</v>
      </c>
      <c r="D572" s="2" t="s">
        <v>16</v>
      </c>
      <c r="E572">
        <v>18766</v>
      </c>
      <c r="F572">
        <v>345</v>
      </c>
      <c r="G572">
        <v>11</v>
      </c>
      <c r="H572">
        <v>446.18</v>
      </c>
      <c r="I572">
        <v>1240.8599999999999</v>
      </c>
      <c r="J572">
        <v>1.84</v>
      </c>
      <c r="K572">
        <v>3.19</v>
      </c>
      <c r="L572">
        <v>40.56</v>
      </c>
      <c r="M572">
        <v>2.78</v>
      </c>
      <c r="N572">
        <v>794.68</v>
      </c>
    </row>
    <row r="573" spans="1:14" x14ac:dyDescent="0.2">
      <c r="A573" s="1">
        <v>45521</v>
      </c>
      <c r="B573" s="2" t="s">
        <v>29</v>
      </c>
      <c r="C573" s="2" t="s">
        <v>15</v>
      </c>
      <c r="D573" s="2" t="s">
        <v>22</v>
      </c>
      <c r="E573">
        <v>13642</v>
      </c>
      <c r="F573">
        <v>332</v>
      </c>
      <c r="G573">
        <v>26</v>
      </c>
      <c r="H573">
        <v>662.67</v>
      </c>
      <c r="I573">
        <v>2443.17</v>
      </c>
      <c r="J573">
        <v>2.4300000000000002</v>
      </c>
      <c r="K573">
        <v>7.83</v>
      </c>
      <c r="L573">
        <v>25.49</v>
      </c>
      <c r="M573">
        <v>3.69</v>
      </c>
      <c r="N573">
        <v>1780.5</v>
      </c>
    </row>
    <row r="574" spans="1:14" x14ac:dyDescent="0.2">
      <c r="A574" s="1">
        <v>45521</v>
      </c>
      <c r="B574" s="2" t="s">
        <v>30</v>
      </c>
      <c r="C574" s="2" t="s">
        <v>28</v>
      </c>
      <c r="D574" s="2" t="s">
        <v>22</v>
      </c>
      <c r="E574">
        <v>8224</v>
      </c>
      <c r="F574">
        <v>250</v>
      </c>
      <c r="G574">
        <v>7</v>
      </c>
      <c r="H574">
        <v>244.61</v>
      </c>
      <c r="I574">
        <v>676.12</v>
      </c>
      <c r="J574">
        <v>3.04</v>
      </c>
      <c r="K574">
        <v>2.8</v>
      </c>
      <c r="L574">
        <v>34.94</v>
      </c>
      <c r="M574">
        <v>2.76</v>
      </c>
      <c r="N574">
        <v>431.51</v>
      </c>
    </row>
    <row r="575" spans="1:14" x14ac:dyDescent="0.2">
      <c r="A575" s="1">
        <v>45521</v>
      </c>
      <c r="B575" s="2" t="s">
        <v>31</v>
      </c>
      <c r="C575" s="2" t="s">
        <v>18</v>
      </c>
      <c r="D575" s="2" t="s">
        <v>36</v>
      </c>
      <c r="E575">
        <v>13218</v>
      </c>
      <c r="F575">
        <v>424</v>
      </c>
      <c r="G575">
        <v>29</v>
      </c>
      <c r="H575">
        <v>440.19</v>
      </c>
      <c r="I575">
        <v>2883.79</v>
      </c>
      <c r="J575">
        <v>3.21</v>
      </c>
      <c r="K575">
        <v>6.84</v>
      </c>
      <c r="L575">
        <v>15.18</v>
      </c>
      <c r="M575">
        <v>6.55</v>
      </c>
      <c r="N575">
        <v>2443.6</v>
      </c>
    </row>
    <row r="576" spans="1:14" x14ac:dyDescent="0.2">
      <c r="A576" s="1">
        <v>45521</v>
      </c>
      <c r="B576" s="2" t="s">
        <v>33</v>
      </c>
      <c r="C576" s="2" t="s">
        <v>35</v>
      </c>
      <c r="D576" s="2" t="s">
        <v>19</v>
      </c>
      <c r="E576">
        <v>4568</v>
      </c>
      <c r="F576">
        <v>220</v>
      </c>
      <c r="G576">
        <v>20</v>
      </c>
      <c r="H576">
        <v>346.46</v>
      </c>
      <c r="I576">
        <v>2798.07</v>
      </c>
      <c r="J576">
        <v>4.82</v>
      </c>
      <c r="K576">
        <v>9.09</v>
      </c>
      <c r="L576">
        <v>17.32</v>
      </c>
      <c r="M576">
        <v>8.08</v>
      </c>
      <c r="N576">
        <v>2451.61</v>
      </c>
    </row>
    <row r="577" spans="1:14" x14ac:dyDescent="0.2">
      <c r="A577" s="1">
        <v>45521</v>
      </c>
      <c r="B577" s="2" t="s">
        <v>34</v>
      </c>
      <c r="C577" s="2" t="s">
        <v>32</v>
      </c>
      <c r="D577" s="2" t="s">
        <v>36</v>
      </c>
      <c r="E577">
        <v>3733</v>
      </c>
      <c r="F577">
        <v>223</v>
      </c>
      <c r="G577">
        <v>32</v>
      </c>
      <c r="H577">
        <v>89.18</v>
      </c>
      <c r="I577">
        <v>3799.15</v>
      </c>
      <c r="J577">
        <v>5.97</v>
      </c>
      <c r="K577">
        <v>14.35</v>
      </c>
      <c r="L577">
        <v>2.79</v>
      </c>
      <c r="M577">
        <v>42.6</v>
      </c>
      <c r="N577">
        <v>3709.97</v>
      </c>
    </row>
    <row r="578" spans="1:14" x14ac:dyDescent="0.2">
      <c r="A578" s="1">
        <v>45522</v>
      </c>
      <c r="B578" s="2" t="s">
        <v>14</v>
      </c>
      <c r="C578" s="2" t="s">
        <v>15</v>
      </c>
      <c r="D578" s="2" t="s">
        <v>16</v>
      </c>
      <c r="E578">
        <v>4825</v>
      </c>
      <c r="F578">
        <v>203</v>
      </c>
      <c r="G578">
        <v>20</v>
      </c>
      <c r="H578">
        <v>673.52</v>
      </c>
      <c r="I578">
        <v>3263.59</v>
      </c>
      <c r="J578">
        <v>4.21</v>
      </c>
      <c r="K578">
        <v>9.85</v>
      </c>
      <c r="L578">
        <v>33.68</v>
      </c>
      <c r="M578">
        <v>4.8499999999999996</v>
      </c>
      <c r="N578">
        <v>2590.0700000000002</v>
      </c>
    </row>
    <row r="579" spans="1:14" x14ac:dyDescent="0.2">
      <c r="A579" s="1">
        <v>45522</v>
      </c>
      <c r="B579" s="2" t="s">
        <v>17</v>
      </c>
      <c r="C579" s="2" t="s">
        <v>35</v>
      </c>
      <c r="D579" s="2" t="s">
        <v>25</v>
      </c>
      <c r="E579">
        <v>8149</v>
      </c>
      <c r="F579">
        <v>277</v>
      </c>
      <c r="G579">
        <v>22</v>
      </c>
      <c r="H579">
        <v>586.66</v>
      </c>
      <c r="I579">
        <v>2618.5100000000002</v>
      </c>
      <c r="J579">
        <v>3.4</v>
      </c>
      <c r="K579">
        <v>7.94</v>
      </c>
      <c r="L579">
        <v>26.67</v>
      </c>
      <c r="M579">
        <v>4.46</v>
      </c>
      <c r="N579">
        <v>2031.85</v>
      </c>
    </row>
    <row r="580" spans="1:14" x14ac:dyDescent="0.2">
      <c r="A580" s="1">
        <v>45522</v>
      </c>
      <c r="B580" s="2" t="s">
        <v>20</v>
      </c>
      <c r="C580" s="2" t="s">
        <v>28</v>
      </c>
      <c r="D580" s="2" t="s">
        <v>19</v>
      </c>
      <c r="E580">
        <v>8442</v>
      </c>
      <c r="F580">
        <v>263</v>
      </c>
      <c r="G580">
        <v>17</v>
      </c>
      <c r="H580">
        <v>374.91</v>
      </c>
      <c r="I580">
        <v>1722.01</v>
      </c>
      <c r="J580">
        <v>3.12</v>
      </c>
      <c r="K580">
        <v>6.46</v>
      </c>
      <c r="L580">
        <v>22.05</v>
      </c>
      <c r="M580">
        <v>4.59</v>
      </c>
      <c r="N580">
        <v>1347.1</v>
      </c>
    </row>
    <row r="581" spans="1:14" x14ac:dyDescent="0.2">
      <c r="A581" s="1">
        <v>45522</v>
      </c>
      <c r="B581" s="2" t="s">
        <v>23</v>
      </c>
      <c r="C581" s="2" t="s">
        <v>15</v>
      </c>
      <c r="D581" s="2" t="s">
        <v>36</v>
      </c>
      <c r="E581">
        <v>2441</v>
      </c>
      <c r="F581">
        <v>60</v>
      </c>
      <c r="G581">
        <v>8</v>
      </c>
      <c r="H581">
        <v>909.16</v>
      </c>
      <c r="I581">
        <v>1866.03</v>
      </c>
      <c r="J581">
        <v>2.46</v>
      </c>
      <c r="K581">
        <v>13.33</v>
      </c>
      <c r="L581">
        <v>113.64</v>
      </c>
      <c r="M581">
        <v>2.0499999999999998</v>
      </c>
      <c r="N581">
        <v>956.87</v>
      </c>
    </row>
    <row r="582" spans="1:14" x14ac:dyDescent="0.2">
      <c r="A582" s="1">
        <v>45522</v>
      </c>
      <c r="B582" s="2" t="s">
        <v>24</v>
      </c>
      <c r="C582" s="2" t="s">
        <v>32</v>
      </c>
      <c r="D582" s="2" t="s">
        <v>16</v>
      </c>
      <c r="E582">
        <v>11566</v>
      </c>
      <c r="F582">
        <v>2532</v>
      </c>
      <c r="G582">
        <v>289</v>
      </c>
      <c r="H582">
        <v>141.53</v>
      </c>
      <c r="I582">
        <v>41593</v>
      </c>
      <c r="J582">
        <v>21.89</v>
      </c>
      <c r="K582">
        <v>11.41</v>
      </c>
      <c r="L582">
        <v>0.49</v>
      </c>
      <c r="M582">
        <v>293.88</v>
      </c>
      <c r="N582">
        <v>41451.47</v>
      </c>
    </row>
    <row r="583" spans="1:14" x14ac:dyDescent="0.2">
      <c r="A583" s="1">
        <v>45522</v>
      </c>
      <c r="B583" s="2" t="s">
        <v>26</v>
      </c>
      <c r="C583" s="2" t="s">
        <v>32</v>
      </c>
      <c r="D583" s="2" t="s">
        <v>16</v>
      </c>
      <c r="E583">
        <v>18396</v>
      </c>
      <c r="F583">
        <v>1027</v>
      </c>
      <c r="G583">
        <v>142</v>
      </c>
      <c r="H583">
        <v>0</v>
      </c>
      <c r="I583">
        <v>15637.78</v>
      </c>
      <c r="J583">
        <v>5.58</v>
      </c>
      <c r="K583">
        <v>13.83</v>
      </c>
      <c r="L583">
        <v>0</v>
      </c>
      <c r="M583">
        <v>0</v>
      </c>
      <c r="N583">
        <v>15637.78</v>
      </c>
    </row>
    <row r="584" spans="1:14" x14ac:dyDescent="0.2">
      <c r="A584" s="1">
        <v>45522</v>
      </c>
      <c r="B584" s="2" t="s">
        <v>27</v>
      </c>
      <c r="C584" s="2" t="s">
        <v>21</v>
      </c>
      <c r="D584" s="2" t="s">
        <v>19</v>
      </c>
      <c r="E584">
        <v>17951</v>
      </c>
      <c r="F584">
        <v>312</v>
      </c>
      <c r="G584">
        <v>12</v>
      </c>
      <c r="H584">
        <v>463.09</v>
      </c>
      <c r="I584">
        <v>1270.83</v>
      </c>
      <c r="J584">
        <v>1.74</v>
      </c>
      <c r="K584">
        <v>3.85</v>
      </c>
      <c r="L584">
        <v>38.590000000000003</v>
      </c>
      <c r="M584">
        <v>2.74</v>
      </c>
      <c r="N584">
        <v>807.74</v>
      </c>
    </row>
    <row r="585" spans="1:14" x14ac:dyDescent="0.2">
      <c r="A585" s="1">
        <v>45522</v>
      </c>
      <c r="B585" s="2" t="s">
        <v>29</v>
      </c>
      <c r="C585" s="2" t="s">
        <v>21</v>
      </c>
      <c r="D585" s="2" t="s">
        <v>16</v>
      </c>
      <c r="E585">
        <v>13366</v>
      </c>
      <c r="F585">
        <v>316</v>
      </c>
      <c r="G585">
        <v>23</v>
      </c>
      <c r="H585">
        <v>484.24</v>
      </c>
      <c r="I585">
        <v>2847.23</v>
      </c>
      <c r="J585">
        <v>2.36</v>
      </c>
      <c r="K585">
        <v>7.28</v>
      </c>
      <c r="L585">
        <v>21.05</v>
      </c>
      <c r="M585">
        <v>5.88</v>
      </c>
      <c r="N585">
        <v>2362.9899999999998</v>
      </c>
    </row>
    <row r="586" spans="1:14" x14ac:dyDescent="0.2">
      <c r="A586" s="1">
        <v>45522</v>
      </c>
      <c r="B586" s="2" t="s">
        <v>30</v>
      </c>
      <c r="C586" s="2" t="s">
        <v>28</v>
      </c>
      <c r="D586" s="2" t="s">
        <v>16</v>
      </c>
      <c r="E586">
        <v>5125</v>
      </c>
      <c r="F586">
        <v>171</v>
      </c>
      <c r="G586">
        <v>7</v>
      </c>
      <c r="H586">
        <v>364.74</v>
      </c>
      <c r="I586">
        <v>655.13</v>
      </c>
      <c r="J586">
        <v>3.34</v>
      </c>
      <c r="K586">
        <v>4.09</v>
      </c>
      <c r="L586">
        <v>52.11</v>
      </c>
      <c r="M586">
        <v>1.8</v>
      </c>
      <c r="N586">
        <v>290.39</v>
      </c>
    </row>
    <row r="587" spans="1:14" x14ac:dyDescent="0.2">
      <c r="A587" s="1">
        <v>45522</v>
      </c>
      <c r="B587" s="2" t="s">
        <v>31</v>
      </c>
      <c r="C587" s="2" t="s">
        <v>15</v>
      </c>
      <c r="D587" s="2" t="s">
        <v>16</v>
      </c>
      <c r="E587">
        <v>15901</v>
      </c>
      <c r="F587">
        <v>696</v>
      </c>
      <c r="G587">
        <v>23</v>
      </c>
      <c r="H587">
        <v>557.20000000000005</v>
      </c>
      <c r="I587">
        <v>1604.35</v>
      </c>
      <c r="J587">
        <v>4.38</v>
      </c>
      <c r="K587">
        <v>3.3</v>
      </c>
      <c r="L587">
        <v>24.23</v>
      </c>
      <c r="M587">
        <v>2.88</v>
      </c>
      <c r="N587">
        <v>1047.1500000000001</v>
      </c>
    </row>
    <row r="588" spans="1:14" x14ac:dyDescent="0.2">
      <c r="A588" s="1">
        <v>45522</v>
      </c>
      <c r="B588" s="2" t="s">
        <v>33</v>
      </c>
      <c r="C588" s="2" t="s">
        <v>28</v>
      </c>
      <c r="D588" s="2" t="s">
        <v>22</v>
      </c>
      <c r="E588">
        <v>5221</v>
      </c>
      <c r="F588">
        <v>321</v>
      </c>
      <c r="G588">
        <v>26</v>
      </c>
      <c r="H588">
        <v>388.5</v>
      </c>
      <c r="I588">
        <v>2791.97</v>
      </c>
      <c r="J588">
        <v>6.15</v>
      </c>
      <c r="K588">
        <v>8.1</v>
      </c>
      <c r="L588">
        <v>14.94</v>
      </c>
      <c r="M588">
        <v>7.19</v>
      </c>
      <c r="N588">
        <v>2403.4699999999998</v>
      </c>
    </row>
    <row r="589" spans="1:14" x14ac:dyDescent="0.2">
      <c r="A589" s="1">
        <v>45522</v>
      </c>
      <c r="B589" s="2" t="s">
        <v>34</v>
      </c>
      <c r="C589" s="2" t="s">
        <v>15</v>
      </c>
      <c r="D589" s="2" t="s">
        <v>19</v>
      </c>
      <c r="E589">
        <v>2266</v>
      </c>
      <c r="F589">
        <v>161</v>
      </c>
      <c r="G589">
        <v>23</v>
      </c>
      <c r="H589">
        <v>82.98</v>
      </c>
      <c r="I589">
        <v>3247.77</v>
      </c>
      <c r="J589">
        <v>7.11</v>
      </c>
      <c r="K589">
        <v>14.29</v>
      </c>
      <c r="L589">
        <v>3.61</v>
      </c>
      <c r="M589">
        <v>39.14</v>
      </c>
      <c r="N589">
        <v>3164.79</v>
      </c>
    </row>
    <row r="590" spans="1:14" x14ac:dyDescent="0.2">
      <c r="A590" s="1">
        <v>45523</v>
      </c>
      <c r="B590" s="2" t="s">
        <v>14</v>
      </c>
      <c r="C590" s="2" t="s">
        <v>18</v>
      </c>
      <c r="D590" s="2" t="s">
        <v>16</v>
      </c>
      <c r="E590">
        <v>9819</v>
      </c>
      <c r="F590">
        <v>480</v>
      </c>
      <c r="G590">
        <v>42</v>
      </c>
      <c r="H590">
        <v>868.73</v>
      </c>
      <c r="I590">
        <v>7140.54</v>
      </c>
      <c r="J590">
        <v>4.8899999999999997</v>
      </c>
      <c r="K590">
        <v>8.75</v>
      </c>
      <c r="L590">
        <v>20.68</v>
      </c>
      <c r="M590">
        <v>8.2200000000000006</v>
      </c>
      <c r="N590">
        <v>6271.81</v>
      </c>
    </row>
    <row r="591" spans="1:14" x14ac:dyDescent="0.2">
      <c r="A591" s="1">
        <v>45523</v>
      </c>
      <c r="B591" s="2" t="s">
        <v>17</v>
      </c>
      <c r="C591" s="2" t="s">
        <v>35</v>
      </c>
      <c r="D591" s="2" t="s">
        <v>16</v>
      </c>
      <c r="E591">
        <v>15548</v>
      </c>
      <c r="F591">
        <v>312</v>
      </c>
      <c r="G591">
        <v>17</v>
      </c>
      <c r="H591">
        <v>571.08000000000004</v>
      </c>
      <c r="I591">
        <v>2091.96</v>
      </c>
      <c r="J591">
        <v>2.0099999999999998</v>
      </c>
      <c r="K591">
        <v>5.45</v>
      </c>
      <c r="L591">
        <v>33.590000000000003</v>
      </c>
      <c r="M591">
        <v>3.66</v>
      </c>
      <c r="N591">
        <v>1520.88</v>
      </c>
    </row>
    <row r="592" spans="1:14" x14ac:dyDescent="0.2">
      <c r="A592" s="1">
        <v>45523</v>
      </c>
      <c r="B592" s="2" t="s">
        <v>20</v>
      </c>
      <c r="C592" s="2" t="s">
        <v>35</v>
      </c>
      <c r="D592" s="2" t="s">
        <v>19</v>
      </c>
      <c r="E592">
        <v>11759</v>
      </c>
      <c r="F592">
        <v>514</v>
      </c>
      <c r="G592">
        <v>39</v>
      </c>
      <c r="H592">
        <v>452.16</v>
      </c>
      <c r="I592">
        <v>3644.09</v>
      </c>
      <c r="J592">
        <v>4.37</v>
      </c>
      <c r="K592">
        <v>7.59</v>
      </c>
      <c r="L592">
        <v>11.59</v>
      </c>
      <c r="M592">
        <v>8.06</v>
      </c>
      <c r="N592">
        <v>3191.93</v>
      </c>
    </row>
    <row r="593" spans="1:14" x14ac:dyDescent="0.2">
      <c r="A593" s="1">
        <v>45523</v>
      </c>
      <c r="B593" s="2" t="s">
        <v>23</v>
      </c>
      <c r="C593" s="2" t="s">
        <v>35</v>
      </c>
      <c r="D593" s="2" t="s">
        <v>36</v>
      </c>
      <c r="E593">
        <v>3411</v>
      </c>
      <c r="F593">
        <v>86</v>
      </c>
      <c r="G593">
        <v>11</v>
      </c>
      <c r="H593">
        <v>1154.24</v>
      </c>
      <c r="I593">
        <v>3691.3</v>
      </c>
      <c r="J593">
        <v>2.52</v>
      </c>
      <c r="K593">
        <v>12.79</v>
      </c>
      <c r="L593">
        <v>104.93</v>
      </c>
      <c r="M593">
        <v>3.2</v>
      </c>
      <c r="N593">
        <v>2537.06</v>
      </c>
    </row>
    <row r="594" spans="1:14" x14ac:dyDescent="0.2">
      <c r="A594" s="1">
        <v>45523</v>
      </c>
      <c r="B594" s="2" t="s">
        <v>24</v>
      </c>
      <c r="C594" s="2" t="s">
        <v>21</v>
      </c>
      <c r="D594" s="2" t="s">
        <v>22</v>
      </c>
      <c r="E594">
        <v>16661</v>
      </c>
      <c r="F594">
        <v>4055</v>
      </c>
      <c r="G594">
        <v>544</v>
      </c>
      <c r="H594">
        <v>223.48</v>
      </c>
      <c r="I594">
        <v>81662.75</v>
      </c>
      <c r="J594">
        <v>24.34</v>
      </c>
      <c r="K594">
        <v>13.42</v>
      </c>
      <c r="L594">
        <v>0.41</v>
      </c>
      <c r="M594">
        <v>365.41</v>
      </c>
      <c r="N594">
        <v>81439.27</v>
      </c>
    </row>
    <row r="595" spans="1:14" x14ac:dyDescent="0.2">
      <c r="A595" s="1">
        <v>45523</v>
      </c>
      <c r="B595" s="2" t="s">
        <v>26</v>
      </c>
      <c r="C595" s="2" t="s">
        <v>32</v>
      </c>
      <c r="D595" s="2" t="s">
        <v>36</v>
      </c>
      <c r="E595">
        <v>27596</v>
      </c>
      <c r="F595">
        <v>1944</v>
      </c>
      <c r="G595">
        <v>248</v>
      </c>
      <c r="H595">
        <v>0</v>
      </c>
      <c r="I595">
        <v>29936.31</v>
      </c>
      <c r="J595">
        <v>7.04</v>
      </c>
      <c r="K595">
        <v>12.76</v>
      </c>
      <c r="L595">
        <v>0</v>
      </c>
      <c r="M595">
        <v>0</v>
      </c>
      <c r="N595">
        <v>29936.31</v>
      </c>
    </row>
    <row r="596" spans="1:14" x14ac:dyDescent="0.2">
      <c r="A596" s="1">
        <v>45523</v>
      </c>
      <c r="B596" s="2" t="s">
        <v>27</v>
      </c>
      <c r="C596" s="2" t="s">
        <v>32</v>
      </c>
      <c r="D596" s="2" t="s">
        <v>22</v>
      </c>
      <c r="E596">
        <v>29538</v>
      </c>
      <c r="F596">
        <v>413</v>
      </c>
      <c r="G596">
        <v>17</v>
      </c>
      <c r="H596">
        <v>945.22</v>
      </c>
      <c r="I596">
        <v>2151.91</v>
      </c>
      <c r="J596">
        <v>1.4</v>
      </c>
      <c r="K596">
        <v>4.12</v>
      </c>
      <c r="L596">
        <v>55.6</v>
      </c>
      <c r="M596">
        <v>2.2799999999999998</v>
      </c>
      <c r="N596">
        <v>1206.69</v>
      </c>
    </row>
    <row r="597" spans="1:14" x14ac:dyDescent="0.2">
      <c r="A597" s="1">
        <v>45523</v>
      </c>
      <c r="B597" s="2" t="s">
        <v>29</v>
      </c>
      <c r="C597" s="2" t="s">
        <v>21</v>
      </c>
      <c r="D597" s="2" t="s">
        <v>22</v>
      </c>
      <c r="E597">
        <v>16042</v>
      </c>
      <c r="F597">
        <v>302</v>
      </c>
      <c r="G597">
        <v>22</v>
      </c>
      <c r="H597">
        <v>827.94</v>
      </c>
      <c r="I597">
        <v>2326.4499999999998</v>
      </c>
      <c r="J597">
        <v>1.88</v>
      </c>
      <c r="K597">
        <v>7.28</v>
      </c>
      <c r="L597">
        <v>37.630000000000003</v>
      </c>
      <c r="M597">
        <v>2.81</v>
      </c>
      <c r="N597">
        <v>1498.51</v>
      </c>
    </row>
    <row r="598" spans="1:14" x14ac:dyDescent="0.2">
      <c r="A598" s="1">
        <v>45523</v>
      </c>
      <c r="B598" s="2" t="s">
        <v>30</v>
      </c>
      <c r="C598" s="2" t="s">
        <v>18</v>
      </c>
      <c r="D598" s="2" t="s">
        <v>25</v>
      </c>
      <c r="E598">
        <v>11819</v>
      </c>
      <c r="F598">
        <v>361</v>
      </c>
      <c r="G598">
        <v>21</v>
      </c>
      <c r="H598">
        <v>370.67</v>
      </c>
      <c r="I598">
        <v>2071.23</v>
      </c>
      <c r="J598">
        <v>3.05</v>
      </c>
      <c r="K598">
        <v>5.82</v>
      </c>
      <c r="L598">
        <v>17.649999999999999</v>
      </c>
      <c r="M598">
        <v>5.59</v>
      </c>
      <c r="N598">
        <v>1700.56</v>
      </c>
    </row>
    <row r="599" spans="1:14" x14ac:dyDescent="0.2">
      <c r="A599" s="1">
        <v>45523</v>
      </c>
      <c r="B599" s="2" t="s">
        <v>31</v>
      </c>
      <c r="C599" s="2" t="s">
        <v>28</v>
      </c>
      <c r="D599" s="2" t="s">
        <v>25</v>
      </c>
      <c r="E599">
        <v>23377</v>
      </c>
      <c r="F599">
        <v>889</v>
      </c>
      <c r="G599">
        <v>59</v>
      </c>
      <c r="H599">
        <v>830.83</v>
      </c>
      <c r="I599">
        <v>4959.5600000000004</v>
      </c>
      <c r="J599">
        <v>3.8</v>
      </c>
      <c r="K599">
        <v>6.64</v>
      </c>
      <c r="L599">
        <v>14.08</v>
      </c>
      <c r="M599">
        <v>5.97</v>
      </c>
      <c r="N599">
        <v>4128.7299999999996</v>
      </c>
    </row>
    <row r="600" spans="1:14" x14ac:dyDescent="0.2">
      <c r="A600" s="1">
        <v>45523</v>
      </c>
      <c r="B600" s="2" t="s">
        <v>33</v>
      </c>
      <c r="C600" s="2" t="s">
        <v>15</v>
      </c>
      <c r="D600" s="2" t="s">
        <v>22</v>
      </c>
      <c r="E600">
        <v>6552</v>
      </c>
      <c r="F600">
        <v>370</v>
      </c>
      <c r="G600">
        <v>41</v>
      </c>
      <c r="H600">
        <v>488.85</v>
      </c>
      <c r="I600">
        <v>5363.11</v>
      </c>
      <c r="J600">
        <v>5.65</v>
      </c>
      <c r="K600">
        <v>11.08</v>
      </c>
      <c r="L600">
        <v>11.92</v>
      </c>
      <c r="M600">
        <v>10.97</v>
      </c>
      <c r="N600">
        <v>4874.26</v>
      </c>
    </row>
    <row r="601" spans="1:14" x14ac:dyDescent="0.2">
      <c r="A601" s="1">
        <v>45523</v>
      </c>
      <c r="B601" s="2" t="s">
        <v>34</v>
      </c>
      <c r="C601" s="2" t="s">
        <v>28</v>
      </c>
      <c r="D601" s="2" t="s">
        <v>25</v>
      </c>
      <c r="E601">
        <v>5622</v>
      </c>
      <c r="F601">
        <v>483</v>
      </c>
      <c r="G601">
        <v>78</v>
      </c>
      <c r="H601">
        <v>134.69999999999999</v>
      </c>
      <c r="I601">
        <v>9777.57</v>
      </c>
      <c r="J601">
        <v>8.59</v>
      </c>
      <c r="K601">
        <v>16.149999999999999</v>
      </c>
      <c r="L601">
        <v>1.73</v>
      </c>
      <c r="M601">
        <v>72.59</v>
      </c>
      <c r="N601">
        <v>9642.8700000000008</v>
      </c>
    </row>
    <row r="602" spans="1:14" x14ac:dyDescent="0.2">
      <c r="A602" s="1">
        <v>45524</v>
      </c>
      <c r="B602" s="2" t="s">
        <v>14</v>
      </c>
      <c r="C602" s="2" t="s">
        <v>21</v>
      </c>
      <c r="D602" s="2" t="s">
        <v>22</v>
      </c>
      <c r="E602">
        <v>11415</v>
      </c>
      <c r="F602">
        <v>442</v>
      </c>
      <c r="G602">
        <v>45</v>
      </c>
      <c r="H602">
        <v>702.36</v>
      </c>
      <c r="I602">
        <v>5991.24</v>
      </c>
      <c r="J602">
        <v>3.87</v>
      </c>
      <c r="K602">
        <v>10.18</v>
      </c>
      <c r="L602">
        <v>15.61</v>
      </c>
      <c r="M602">
        <v>8.5299999999999994</v>
      </c>
      <c r="N602">
        <v>5288.88</v>
      </c>
    </row>
    <row r="603" spans="1:14" x14ac:dyDescent="0.2">
      <c r="A603" s="1">
        <v>45524</v>
      </c>
      <c r="B603" s="2" t="s">
        <v>17</v>
      </c>
      <c r="C603" s="2" t="s">
        <v>28</v>
      </c>
      <c r="D603" s="2" t="s">
        <v>19</v>
      </c>
      <c r="E603">
        <v>13479</v>
      </c>
      <c r="F603">
        <v>440</v>
      </c>
      <c r="G603">
        <v>24</v>
      </c>
      <c r="H603">
        <v>965.47</v>
      </c>
      <c r="I603">
        <v>2596.27</v>
      </c>
      <c r="J603">
        <v>3.26</v>
      </c>
      <c r="K603">
        <v>5.45</v>
      </c>
      <c r="L603">
        <v>40.229999999999997</v>
      </c>
      <c r="M603">
        <v>2.69</v>
      </c>
      <c r="N603">
        <v>1630.8</v>
      </c>
    </row>
    <row r="604" spans="1:14" x14ac:dyDescent="0.2">
      <c r="A604" s="1">
        <v>45524</v>
      </c>
      <c r="B604" s="2" t="s">
        <v>20</v>
      </c>
      <c r="C604" s="2" t="s">
        <v>28</v>
      </c>
      <c r="D604" s="2" t="s">
        <v>19</v>
      </c>
      <c r="E604">
        <v>10320</v>
      </c>
      <c r="F604">
        <v>412</v>
      </c>
      <c r="G604">
        <v>32</v>
      </c>
      <c r="H604">
        <v>481.52</v>
      </c>
      <c r="I604">
        <v>3745.52</v>
      </c>
      <c r="J604">
        <v>3.99</v>
      </c>
      <c r="K604">
        <v>7.77</v>
      </c>
      <c r="L604">
        <v>15.05</v>
      </c>
      <c r="M604">
        <v>7.78</v>
      </c>
      <c r="N604">
        <v>3264</v>
      </c>
    </row>
    <row r="605" spans="1:14" x14ac:dyDescent="0.2">
      <c r="A605" s="1">
        <v>45524</v>
      </c>
      <c r="B605" s="2" t="s">
        <v>23</v>
      </c>
      <c r="C605" s="2" t="s">
        <v>15</v>
      </c>
      <c r="D605" s="2" t="s">
        <v>16</v>
      </c>
      <c r="E605">
        <v>3116</v>
      </c>
      <c r="F605">
        <v>90</v>
      </c>
      <c r="G605">
        <v>10</v>
      </c>
      <c r="H605">
        <v>1002.46</v>
      </c>
      <c r="I605">
        <v>2397.21</v>
      </c>
      <c r="J605">
        <v>2.89</v>
      </c>
      <c r="K605">
        <v>11.11</v>
      </c>
      <c r="L605">
        <v>100.25</v>
      </c>
      <c r="M605">
        <v>2.39</v>
      </c>
      <c r="N605">
        <v>1394.75</v>
      </c>
    </row>
    <row r="606" spans="1:14" x14ac:dyDescent="0.2">
      <c r="A606" s="1">
        <v>45524</v>
      </c>
      <c r="B606" s="2" t="s">
        <v>24</v>
      </c>
      <c r="C606" s="2" t="s">
        <v>28</v>
      </c>
      <c r="D606" s="2" t="s">
        <v>19</v>
      </c>
      <c r="E606">
        <v>12801</v>
      </c>
      <c r="F606">
        <v>1992</v>
      </c>
      <c r="G606">
        <v>255</v>
      </c>
      <c r="H606">
        <v>114</v>
      </c>
      <c r="I606">
        <v>33002.629999999997</v>
      </c>
      <c r="J606">
        <v>15.56</v>
      </c>
      <c r="K606">
        <v>12.8</v>
      </c>
      <c r="L606">
        <v>0.45</v>
      </c>
      <c r="M606">
        <v>289.5</v>
      </c>
      <c r="N606">
        <v>32888.629999999997</v>
      </c>
    </row>
    <row r="607" spans="1:14" x14ac:dyDescent="0.2">
      <c r="A607" s="1">
        <v>45524</v>
      </c>
      <c r="B607" s="2" t="s">
        <v>26</v>
      </c>
      <c r="C607" s="2" t="s">
        <v>15</v>
      </c>
      <c r="D607" s="2" t="s">
        <v>25</v>
      </c>
      <c r="E607">
        <v>24223</v>
      </c>
      <c r="F607">
        <v>1552</v>
      </c>
      <c r="G607">
        <v>183</v>
      </c>
      <c r="H607">
        <v>0</v>
      </c>
      <c r="I607">
        <v>21941.38</v>
      </c>
      <c r="J607">
        <v>6.41</v>
      </c>
      <c r="K607">
        <v>11.79</v>
      </c>
      <c r="L607">
        <v>0</v>
      </c>
      <c r="M607">
        <v>0</v>
      </c>
      <c r="N607">
        <v>21941.38</v>
      </c>
    </row>
    <row r="608" spans="1:14" x14ac:dyDescent="0.2">
      <c r="A608" s="1">
        <v>45524</v>
      </c>
      <c r="B608" s="2" t="s">
        <v>27</v>
      </c>
      <c r="C608" s="2" t="s">
        <v>21</v>
      </c>
      <c r="D608" s="2" t="s">
        <v>16</v>
      </c>
      <c r="E608">
        <v>22634</v>
      </c>
      <c r="F608">
        <v>256</v>
      </c>
      <c r="G608">
        <v>6</v>
      </c>
      <c r="H608">
        <v>857.06</v>
      </c>
      <c r="I608">
        <v>558.63</v>
      </c>
      <c r="J608">
        <v>1.1299999999999999</v>
      </c>
      <c r="K608">
        <v>2.34</v>
      </c>
      <c r="L608">
        <v>142.84</v>
      </c>
      <c r="M608">
        <v>0.65</v>
      </c>
      <c r="N608">
        <v>-298.43</v>
      </c>
    </row>
    <row r="609" spans="1:14" x14ac:dyDescent="0.2">
      <c r="A609" s="1">
        <v>45524</v>
      </c>
      <c r="B609" s="2" t="s">
        <v>29</v>
      </c>
      <c r="C609" s="2" t="s">
        <v>28</v>
      </c>
      <c r="D609" s="2" t="s">
        <v>19</v>
      </c>
      <c r="E609">
        <v>19804</v>
      </c>
      <c r="F609">
        <v>357</v>
      </c>
      <c r="G609">
        <v>27</v>
      </c>
      <c r="H609">
        <v>908.72</v>
      </c>
      <c r="I609">
        <v>4021.46</v>
      </c>
      <c r="J609">
        <v>1.8</v>
      </c>
      <c r="K609">
        <v>7.56</v>
      </c>
      <c r="L609">
        <v>33.659999999999997</v>
      </c>
      <c r="M609">
        <v>4.43</v>
      </c>
      <c r="N609">
        <v>3112.74</v>
      </c>
    </row>
    <row r="610" spans="1:14" x14ac:dyDescent="0.2">
      <c r="A610" s="1">
        <v>45524</v>
      </c>
      <c r="B610" s="2" t="s">
        <v>30</v>
      </c>
      <c r="C610" s="2" t="s">
        <v>32</v>
      </c>
      <c r="D610" s="2" t="s">
        <v>19</v>
      </c>
      <c r="E610">
        <v>10498</v>
      </c>
      <c r="F610">
        <v>354</v>
      </c>
      <c r="G610">
        <v>14</v>
      </c>
      <c r="H610">
        <v>524.79</v>
      </c>
      <c r="I610">
        <v>1631.24</v>
      </c>
      <c r="J610">
        <v>3.37</v>
      </c>
      <c r="K610">
        <v>3.95</v>
      </c>
      <c r="L610">
        <v>37.479999999999997</v>
      </c>
      <c r="M610">
        <v>3.11</v>
      </c>
      <c r="N610">
        <v>1106.45</v>
      </c>
    </row>
    <row r="611" spans="1:14" x14ac:dyDescent="0.2">
      <c r="A611" s="1">
        <v>45524</v>
      </c>
      <c r="B611" s="2" t="s">
        <v>31</v>
      </c>
      <c r="C611" s="2" t="s">
        <v>15</v>
      </c>
      <c r="D611" s="2" t="s">
        <v>36</v>
      </c>
      <c r="E611">
        <v>22643</v>
      </c>
      <c r="F611">
        <v>605</v>
      </c>
      <c r="G611">
        <v>41</v>
      </c>
      <c r="H611">
        <v>588.20000000000005</v>
      </c>
      <c r="I611">
        <v>3212.75</v>
      </c>
      <c r="J611">
        <v>2.67</v>
      </c>
      <c r="K611">
        <v>6.78</v>
      </c>
      <c r="L611">
        <v>14.35</v>
      </c>
      <c r="M611">
        <v>5.46</v>
      </c>
      <c r="N611">
        <v>2624.55</v>
      </c>
    </row>
    <row r="612" spans="1:14" x14ac:dyDescent="0.2">
      <c r="A612" s="1">
        <v>45524</v>
      </c>
      <c r="B612" s="2" t="s">
        <v>33</v>
      </c>
      <c r="C612" s="2" t="s">
        <v>15</v>
      </c>
      <c r="D612" s="2" t="s">
        <v>19</v>
      </c>
      <c r="E612">
        <v>8078</v>
      </c>
      <c r="F612">
        <v>350</v>
      </c>
      <c r="G612">
        <v>31</v>
      </c>
      <c r="H612">
        <v>593.55999999999995</v>
      </c>
      <c r="I612">
        <v>3296.06</v>
      </c>
      <c r="J612">
        <v>4.33</v>
      </c>
      <c r="K612">
        <v>8.86</v>
      </c>
      <c r="L612">
        <v>19.149999999999999</v>
      </c>
      <c r="M612">
        <v>5.55</v>
      </c>
      <c r="N612">
        <v>2702.5</v>
      </c>
    </row>
    <row r="613" spans="1:14" x14ac:dyDescent="0.2">
      <c r="A613" s="1">
        <v>45524</v>
      </c>
      <c r="B613" s="2" t="s">
        <v>34</v>
      </c>
      <c r="C613" s="2" t="s">
        <v>28</v>
      </c>
      <c r="D613" s="2" t="s">
        <v>19</v>
      </c>
      <c r="E613">
        <v>5303</v>
      </c>
      <c r="F613">
        <v>351</v>
      </c>
      <c r="G613">
        <v>45</v>
      </c>
      <c r="H613">
        <v>144.1</v>
      </c>
      <c r="I613">
        <v>7088.59</v>
      </c>
      <c r="J613">
        <v>6.62</v>
      </c>
      <c r="K613">
        <v>12.82</v>
      </c>
      <c r="L613">
        <v>3.2</v>
      </c>
      <c r="M613">
        <v>49.19</v>
      </c>
      <c r="N613">
        <v>6944.49</v>
      </c>
    </row>
    <row r="614" spans="1:14" x14ac:dyDescent="0.2">
      <c r="A614" s="1">
        <v>45525</v>
      </c>
      <c r="B614" s="2" t="s">
        <v>14</v>
      </c>
      <c r="C614" s="2" t="s">
        <v>21</v>
      </c>
      <c r="D614" s="2" t="s">
        <v>36</v>
      </c>
      <c r="E614">
        <v>9877</v>
      </c>
      <c r="F614">
        <v>488</v>
      </c>
      <c r="G614">
        <v>56</v>
      </c>
      <c r="H614">
        <v>744.01</v>
      </c>
      <c r="I614">
        <v>8860.7999999999993</v>
      </c>
      <c r="J614">
        <v>4.9400000000000004</v>
      </c>
      <c r="K614">
        <v>11.48</v>
      </c>
      <c r="L614">
        <v>13.29</v>
      </c>
      <c r="M614">
        <v>11.91</v>
      </c>
      <c r="N614">
        <v>8116.79</v>
      </c>
    </row>
    <row r="615" spans="1:14" x14ac:dyDescent="0.2">
      <c r="A615" s="1">
        <v>45525</v>
      </c>
      <c r="B615" s="2" t="s">
        <v>17</v>
      </c>
      <c r="C615" s="2" t="s">
        <v>28</v>
      </c>
      <c r="D615" s="2" t="s">
        <v>16</v>
      </c>
      <c r="E615">
        <v>15686</v>
      </c>
      <c r="F615">
        <v>556</v>
      </c>
      <c r="G615">
        <v>49</v>
      </c>
      <c r="H615">
        <v>902.1</v>
      </c>
      <c r="I615">
        <v>4915.05</v>
      </c>
      <c r="J615">
        <v>3.54</v>
      </c>
      <c r="K615">
        <v>8.81</v>
      </c>
      <c r="L615">
        <v>18.41</v>
      </c>
      <c r="M615">
        <v>5.45</v>
      </c>
      <c r="N615">
        <v>4012.95</v>
      </c>
    </row>
    <row r="616" spans="1:14" x14ac:dyDescent="0.2">
      <c r="A616" s="1">
        <v>45525</v>
      </c>
      <c r="B616" s="2" t="s">
        <v>20</v>
      </c>
      <c r="C616" s="2" t="s">
        <v>21</v>
      </c>
      <c r="D616" s="2" t="s">
        <v>36</v>
      </c>
      <c r="E616">
        <v>12702</v>
      </c>
      <c r="F616">
        <v>466</v>
      </c>
      <c r="G616">
        <v>32</v>
      </c>
      <c r="H616">
        <v>564.96</v>
      </c>
      <c r="I616">
        <v>3393.34</v>
      </c>
      <c r="J616">
        <v>3.67</v>
      </c>
      <c r="K616">
        <v>6.87</v>
      </c>
      <c r="L616">
        <v>17.66</v>
      </c>
      <c r="M616">
        <v>6.01</v>
      </c>
      <c r="N616">
        <v>2828.38</v>
      </c>
    </row>
    <row r="617" spans="1:14" x14ac:dyDescent="0.2">
      <c r="A617" s="1">
        <v>45525</v>
      </c>
      <c r="B617" s="2" t="s">
        <v>23</v>
      </c>
      <c r="C617" s="2" t="s">
        <v>32</v>
      </c>
      <c r="D617" s="2" t="s">
        <v>19</v>
      </c>
      <c r="E617">
        <v>3071</v>
      </c>
      <c r="F617">
        <v>63</v>
      </c>
      <c r="G617">
        <v>6</v>
      </c>
      <c r="H617">
        <v>983.79</v>
      </c>
      <c r="I617">
        <v>2042.73</v>
      </c>
      <c r="J617">
        <v>2.0499999999999998</v>
      </c>
      <c r="K617">
        <v>9.52</v>
      </c>
      <c r="L617">
        <v>163.96</v>
      </c>
      <c r="M617">
        <v>2.08</v>
      </c>
      <c r="N617">
        <v>1058.94</v>
      </c>
    </row>
    <row r="618" spans="1:14" x14ac:dyDescent="0.2">
      <c r="A618" s="1">
        <v>45525</v>
      </c>
      <c r="B618" s="2" t="s">
        <v>24</v>
      </c>
      <c r="C618" s="2" t="s">
        <v>32</v>
      </c>
      <c r="D618" s="2" t="s">
        <v>19</v>
      </c>
      <c r="E618">
        <v>16515</v>
      </c>
      <c r="F618">
        <v>3472</v>
      </c>
      <c r="G618">
        <v>281</v>
      </c>
      <c r="H618">
        <v>85.69</v>
      </c>
      <c r="I618">
        <v>37999.47</v>
      </c>
      <c r="J618">
        <v>21.02</v>
      </c>
      <c r="K618">
        <v>8.09</v>
      </c>
      <c r="L618">
        <v>0.3</v>
      </c>
      <c r="M618">
        <v>443.45</v>
      </c>
      <c r="N618">
        <v>37913.78</v>
      </c>
    </row>
    <row r="619" spans="1:14" x14ac:dyDescent="0.2">
      <c r="A619" s="1">
        <v>45525</v>
      </c>
      <c r="B619" s="2" t="s">
        <v>26</v>
      </c>
      <c r="C619" s="2" t="s">
        <v>15</v>
      </c>
      <c r="D619" s="2" t="s">
        <v>19</v>
      </c>
      <c r="E619">
        <v>28950</v>
      </c>
      <c r="F619">
        <v>1547</v>
      </c>
      <c r="G619">
        <v>160</v>
      </c>
      <c r="H619">
        <v>0</v>
      </c>
      <c r="I619">
        <v>24105.46</v>
      </c>
      <c r="J619">
        <v>5.34</v>
      </c>
      <c r="K619">
        <v>10.34</v>
      </c>
      <c r="L619">
        <v>0</v>
      </c>
      <c r="M619">
        <v>0</v>
      </c>
      <c r="N619">
        <v>24105.46</v>
      </c>
    </row>
    <row r="620" spans="1:14" x14ac:dyDescent="0.2">
      <c r="A620" s="1">
        <v>45525</v>
      </c>
      <c r="B620" s="2" t="s">
        <v>27</v>
      </c>
      <c r="C620" s="2" t="s">
        <v>18</v>
      </c>
      <c r="D620" s="2" t="s">
        <v>36</v>
      </c>
      <c r="E620">
        <v>26583</v>
      </c>
      <c r="F620">
        <v>368</v>
      </c>
      <c r="G620">
        <v>10</v>
      </c>
      <c r="H620">
        <v>1056.28</v>
      </c>
      <c r="I620">
        <v>958.28</v>
      </c>
      <c r="J620">
        <v>1.38</v>
      </c>
      <c r="K620">
        <v>2.72</v>
      </c>
      <c r="L620">
        <v>105.63</v>
      </c>
      <c r="M620">
        <v>0.91</v>
      </c>
      <c r="N620">
        <v>-98</v>
      </c>
    </row>
    <row r="621" spans="1:14" x14ac:dyDescent="0.2">
      <c r="A621" s="1">
        <v>45525</v>
      </c>
      <c r="B621" s="2" t="s">
        <v>29</v>
      </c>
      <c r="C621" s="2" t="s">
        <v>35</v>
      </c>
      <c r="D621" s="2" t="s">
        <v>16</v>
      </c>
      <c r="E621">
        <v>13267</v>
      </c>
      <c r="F621">
        <v>243</v>
      </c>
      <c r="G621">
        <v>17</v>
      </c>
      <c r="H621">
        <v>1023.9</v>
      </c>
      <c r="I621">
        <v>2157.36</v>
      </c>
      <c r="J621">
        <v>1.83</v>
      </c>
      <c r="K621">
        <v>7</v>
      </c>
      <c r="L621">
        <v>60.23</v>
      </c>
      <c r="M621">
        <v>2.11</v>
      </c>
      <c r="N621">
        <v>1133.46</v>
      </c>
    </row>
    <row r="622" spans="1:14" x14ac:dyDescent="0.2">
      <c r="A622" s="1">
        <v>45525</v>
      </c>
      <c r="B622" s="2" t="s">
        <v>30</v>
      </c>
      <c r="C622" s="2" t="s">
        <v>32</v>
      </c>
      <c r="D622" s="2" t="s">
        <v>16</v>
      </c>
      <c r="E622">
        <v>7582</v>
      </c>
      <c r="F622">
        <v>241</v>
      </c>
      <c r="G622">
        <v>13</v>
      </c>
      <c r="H622">
        <v>501.92</v>
      </c>
      <c r="I622">
        <v>1500.07</v>
      </c>
      <c r="J622">
        <v>3.18</v>
      </c>
      <c r="K622">
        <v>5.39</v>
      </c>
      <c r="L622">
        <v>38.61</v>
      </c>
      <c r="M622">
        <v>2.99</v>
      </c>
      <c r="N622">
        <v>998.15</v>
      </c>
    </row>
    <row r="623" spans="1:14" x14ac:dyDescent="0.2">
      <c r="A623" s="1">
        <v>45525</v>
      </c>
      <c r="B623" s="2" t="s">
        <v>31</v>
      </c>
      <c r="C623" s="2" t="s">
        <v>32</v>
      </c>
      <c r="D623" s="2" t="s">
        <v>36</v>
      </c>
      <c r="E623">
        <v>22417</v>
      </c>
      <c r="F623">
        <v>866</v>
      </c>
      <c r="G623">
        <v>30</v>
      </c>
      <c r="H623">
        <v>634.85</v>
      </c>
      <c r="I623">
        <v>2683.3</v>
      </c>
      <c r="J623">
        <v>3.86</v>
      </c>
      <c r="K623">
        <v>3.46</v>
      </c>
      <c r="L623">
        <v>21.16</v>
      </c>
      <c r="M623">
        <v>4.2300000000000004</v>
      </c>
      <c r="N623">
        <v>2048.4499999999998</v>
      </c>
    </row>
    <row r="624" spans="1:14" x14ac:dyDescent="0.2">
      <c r="A624" s="1">
        <v>45525</v>
      </c>
      <c r="B624" s="2" t="s">
        <v>33</v>
      </c>
      <c r="C624" s="2" t="s">
        <v>35</v>
      </c>
      <c r="D624" s="2" t="s">
        <v>22</v>
      </c>
      <c r="E624">
        <v>8041</v>
      </c>
      <c r="F624">
        <v>409</v>
      </c>
      <c r="G624">
        <v>37</v>
      </c>
      <c r="H624">
        <v>306</v>
      </c>
      <c r="I624">
        <v>4360.5</v>
      </c>
      <c r="J624">
        <v>5.09</v>
      </c>
      <c r="K624">
        <v>9.0500000000000007</v>
      </c>
      <c r="L624">
        <v>8.27</v>
      </c>
      <c r="M624">
        <v>14.25</v>
      </c>
      <c r="N624">
        <v>4054.5</v>
      </c>
    </row>
    <row r="625" spans="1:14" x14ac:dyDescent="0.2">
      <c r="A625" s="1">
        <v>45525</v>
      </c>
      <c r="B625" s="2" t="s">
        <v>34</v>
      </c>
      <c r="C625" s="2" t="s">
        <v>32</v>
      </c>
      <c r="D625" s="2" t="s">
        <v>19</v>
      </c>
      <c r="E625">
        <v>3284</v>
      </c>
      <c r="F625">
        <v>259</v>
      </c>
      <c r="G625">
        <v>32</v>
      </c>
      <c r="H625">
        <v>84.87</v>
      </c>
      <c r="I625">
        <v>5772.15</v>
      </c>
      <c r="J625">
        <v>7.89</v>
      </c>
      <c r="K625">
        <v>12.36</v>
      </c>
      <c r="L625">
        <v>2.65</v>
      </c>
      <c r="M625">
        <v>68.010000000000005</v>
      </c>
      <c r="N625">
        <v>5687.28</v>
      </c>
    </row>
    <row r="626" spans="1:14" x14ac:dyDescent="0.2">
      <c r="A626" s="1">
        <v>45526</v>
      </c>
      <c r="B626" s="2" t="s">
        <v>14</v>
      </c>
      <c r="C626" s="2" t="s">
        <v>21</v>
      </c>
      <c r="D626" s="2" t="s">
        <v>22</v>
      </c>
      <c r="E626">
        <v>6999</v>
      </c>
      <c r="F626">
        <v>225</v>
      </c>
      <c r="G626">
        <v>22</v>
      </c>
      <c r="H626">
        <v>1097.98</v>
      </c>
      <c r="I626">
        <v>2493.5300000000002</v>
      </c>
      <c r="J626">
        <v>3.21</v>
      </c>
      <c r="K626">
        <v>9.7799999999999994</v>
      </c>
      <c r="L626">
        <v>49.91</v>
      </c>
      <c r="M626">
        <v>2.27</v>
      </c>
      <c r="N626">
        <v>1395.55</v>
      </c>
    </row>
    <row r="627" spans="1:14" x14ac:dyDescent="0.2">
      <c r="A627" s="1">
        <v>45526</v>
      </c>
      <c r="B627" s="2" t="s">
        <v>17</v>
      </c>
      <c r="C627" s="2" t="s">
        <v>32</v>
      </c>
      <c r="D627" s="2" t="s">
        <v>19</v>
      </c>
      <c r="E627">
        <v>10332</v>
      </c>
      <c r="F627">
        <v>303</v>
      </c>
      <c r="G627">
        <v>23</v>
      </c>
      <c r="H627">
        <v>1013.42</v>
      </c>
      <c r="I627">
        <v>2373.15</v>
      </c>
      <c r="J627">
        <v>2.93</v>
      </c>
      <c r="K627">
        <v>7.59</v>
      </c>
      <c r="L627">
        <v>44.06</v>
      </c>
      <c r="M627">
        <v>2.34</v>
      </c>
      <c r="N627">
        <v>1359.73</v>
      </c>
    </row>
    <row r="628" spans="1:14" x14ac:dyDescent="0.2">
      <c r="A628" s="1">
        <v>45526</v>
      </c>
      <c r="B628" s="2" t="s">
        <v>20</v>
      </c>
      <c r="C628" s="2" t="s">
        <v>15</v>
      </c>
      <c r="D628" s="2" t="s">
        <v>22</v>
      </c>
      <c r="E628">
        <v>10681</v>
      </c>
      <c r="F628">
        <v>450</v>
      </c>
      <c r="G628">
        <v>19</v>
      </c>
      <c r="H628">
        <v>462.48</v>
      </c>
      <c r="I628">
        <v>1559.53</v>
      </c>
      <c r="J628">
        <v>4.21</v>
      </c>
      <c r="K628">
        <v>4.22</v>
      </c>
      <c r="L628">
        <v>24.34</v>
      </c>
      <c r="M628">
        <v>3.37</v>
      </c>
      <c r="N628">
        <v>1097.05</v>
      </c>
    </row>
    <row r="629" spans="1:14" x14ac:dyDescent="0.2">
      <c r="A629" s="1">
        <v>45526</v>
      </c>
      <c r="B629" s="2" t="s">
        <v>23</v>
      </c>
      <c r="C629" s="2" t="s">
        <v>15</v>
      </c>
      <c r="D629" s="2" t="s">
        <v>16</v>
      </c>
      <c r="E629">
        <v>2671</v>
      </c>
      <c r="F629">
        <v>58</v>
      </c>
      <c r="G629">
        <v>7</v>
      </c>
      <c r="H629">
        <v>1283.6400000000001</v>
      </c>
      <c r="I629">
        <v>1962.19</v>
      </c>
      <c r="J629">
        <v>2.17</v>
      </c>
      <c r="K629">
        <v>12.07</v>
      </c>
      <c r="L629">
        <v>183.38</v>
      </c>
      <c r="M629">
        <v>1.53</v>
      </c>
      <c r="N629">
        <v>678.55</v>
      </c>
    </row>
    <row r="630" spans="1:14" x14ac:dyDescent="0.2">
      <c r="A630" s="1">
        <v>45526</v>
      </c>
      <c r="B630" s="2" t="s">
        <v>24</v>
      </c>
      <c r="C630" s="2" t="s">
        <v>15</v>
      </c>
      <c r="D630" s="2" t="s">
        <v>16</v>
      </c>
      <c r="E630">
        <v>17260</v>
      </c>
      <c r="F630">
        <v>3383</v>
      </c>
      <c r="G630">
        <v>403</v>
      </c>
      <c r="H630">
        <v>216.83</v>
      </c>
      <c r="I630">
        <v>60845.77</v>
      </c>
      <c r="J630">
        <v>19.600000000000001</v>
      </c>
      <c r="K630">
        <v>11.91</v>
      </c>
      <c r="L630">
        <v>0.54</v>
      </c>
      <c r="M630">
        <v>280.62</v>
      </c>
      <c r="N630">
        <v>60628.94</v>
      </c>
    </row>
    <row r="631" spans="1:14" x14ac:dyDescent="0.2">
      <c r="A631" s="1">
        <v>45526</v>
      </c>
      <c r="B631" s="2" t="s">
        <v>26</v>
      </c>
      <c r="C631" s="2" t="s">
        <v>35</v>
      </c>
      <c r="D631" s="2" t="s">
        <v>36</v>
      </c>
      <c r="E631">
        <v>28720</v>
      </c>
      <c r="F631">
        <v>2293</v>
      </c>
      <c r="G631">
        <v>280</v>
      </c>
      <c r="H631">
        <v>0</v>
      </c>
      <c r="I631">
        <v>38581.01</v>
      </c>
      <c r="J631">
        <v>7.98</v>
      </c>
      <c r="K631">
        <v>12.21</v>
      </c>
      <c r="L631">
        <v>0</v>
      </c>
      <c r="M631">
        <v>0</v>
      </c>
      <c r="N631">
        <v>38581.01</v>
      </c>
    </row>
    <row r="632" spans="1:14" x14ac:dyDescent="0.2">
      <c r="A632" s="1">
        <v>45526</v>
      </c>
      <c r="B632" s="2" t="s">
        <v>27</v>
      </c>
      <c r="C632" s="2" t="s">
        <v>18</v>
      </c>
      <c r="D632" s="2" t="s">
        <v>25</v>
      </c>
      <c r="E632">
        <v>27228</v>
      </c>
      <c r="F632">
        <v>333</v>
      </c>
      <c r="G632">
        <v>11</v>
      </c>
      <c r="H632">
        <v>780.59</v>
      </c>
      <c r="I632">
        <v>961.51</v>
      </c>
      <c r="J632">
        <v>1.22</v>
      </c>
      <c r="K632">
        <v>3.3</v>
      </c>
      <c r="L632">
        <v>70.959999999999994</v>
      </c>
      <c r="M632">
        <v>1.23</v>
      </c>
      <c r="N632">
        <v>180.92</v>
      </c>
    </row>
    <row r="633" spans="1:14" x14ac:dyDescent="0.2">
      <c r="A633" s="1">
        <v>45526</v>
      </c>
      <c r="B633" s="2" t="s">
        <v>29</v>
      </c>
      <c r="C633" s="2" t="s">
        <v>35</v>
      </c>
      <c r="D633" s="2" t="s">
        <v>22</v>
      </c>
      <c r="E633">
        <v>13791</v>
      </c>
      <c r="F633">
        <v>354</v>
      </c>
      <c r="G633">
        <v>22</v>
      </c>
      <c r="H633">
        <v>796.24</v>
      </c>
      <c r="I633">
        <v>3172.85</v>
      </c>
      <c r="J633">
        <v>2.57</v>
      </c>
      <c r="K633">
        <v>6.21</v>
      </c>
      <c r="L633">
        <v>36.19</v>
      </c>
      <c r="M633">
        <v>3.98</v>
      </c>
      <c r="N633">
        <v>2376.61</v>
      </c>
    </row>
    <row r="634" spans="1:14" x14ac:dyDescent="0.2">
      <c r="A634" s="1">
        <v>45526</v>
      </c>
      <c r="B634" s="2" t="s">
        <v>30</v>
      </c>
      <c r="C634" s="2" t="s">
        <v>18</v>
      </c>
      <c r="D634" s="2" t="s">
        <v>19</v>
      </c>
      <c r="E634">
        <v>7007</v>
      </c>
      <c r="F634">
        <v>169</v>
      </c>
      <c r="G634">
        <v>9</v>
      </c>
      <c r="H634">
        <v>481.73</v>
      </c>
      <c r="I634">
        <v>882.42</v>
      </c>
      <c r="J634">
        <v>2.41</v>
      </c>
      <c r="K634">
        <v>5.33</v>
      </c>
      <c r="L634">
        <v>53.53</v>
      </c>
      <c r="M634">
        <v>1.83</v>
      </c>
      <c r="N634">
        <v>400.69</v>
      </c>
    </row>
    <row r="635" spans="1:14" x14ac:dyDescent="0.2">
      <c r="A635" s="1">
        <v>45526</v>
      </c>
      <c r="B635" s="2" t="s">
        <v>31</v>
      </c>
      <c r="C635" s="2" t="s">
        <v>35</v>
      </c>
      <c r="D635" s="2" t="s">
        <v>36</v>
      </c>
      <c r="E635">
        <v>25360</v>
      </c>
      <c r="F635">
        <v>1056</v>
      </c>
      <c r="G635">
        <v>49</v>
      </c>
      <c r="H635">
        <v>785.26</v>
      </c>
      <c r="I635">
        <v>3806.16</v>
      </c>
      <c r="J635">
        <v>4.16</v>
      </c>
      <c r="K635">
        <v>4.6399999999999997</v>
      </c>
      <c r="L635">
        <v>16.03</v>
      </c>
      <c r="M635">
        <v>4.8499999999999996</v>
      </c>
      <c r="N635">
        <v>3020.9</v>
      </c>
    </row>
    <row r="636" spans="1:14" x14ac:dyDescent="0.2">
      <c r="A636" s="1">
        <v>45526</v>
      </c>
      <c r="B636" s="2" t="s">
        <v>33</v>
      </c>
      <c r="C636" s="2" t="s">
        <v>21</v>
      </c>
      <c r="D636" s="2" t="s">
        <v>22</v>
      </c>
      <c r="E636">
        <v>5621</v>
      </c>
      <c r="F636">
        <v>316</v>
      </c>
      <c r="G636">
        <v>28</v>
      </c>
      <c r="H636">
        <v>470.98</v>
      </c>
      <c r="I636">
        <v>3031.15</v>
      </c>
      <c r="J636">
        <v>5.62</v>
      </c>
      <c r="K636">
        <v>8.86</v>
      </c>
      <c r="L636">
        <v>16.82</v>
      </c>
      <c r="M636">
        <v>6.44</v>
      </c>
      <c r="N636">
        <v>2560.17</v>
      </c>
    </row>
    <row r="637" spans="1:14" x14ac:dyDescent="0.2">
      <c r="A637" s="1">
        <v>45526</v>
      </c>
      <c r="B637" s="2" t="s">
        <v>34</v>
      </c>
      <c r="C637" s="2" t="s">
        <v>21</v>
      </c>
      <c r="D637" s="2" t="s">
        <v>25</v>
      </c>
      <c r="E637">
        <v>3400</v>
      </c>
      <c r="F637">
        <v>264</v>
      </c>
      <c r="G637">
        <v>46</v>
      </c>
      <c r="H637">
        <v>63.17</v>
      </c>
      <c r="I637">
        <v>7292.91</v>
      </c>
      <c r="J637">
        <v>7.76</v>
      </c>
      <c r="K637">
        <v>17.420000000000002</v>
      </c>
      <c r="L637">
        <v>1.37</v>
      </c>
      <c r="M637">
        <v>115.45</v>
      </c>
      <c r="N637">
        <v>7229.74</v>
      </c>
    </row>
    <row r="638" spans="1:14" x14ac:dyDescent="0.2">
      <c r="A638" s="1">
        <v>45527</v>
      </c>
      <c r="B638" s="2" t="s">
        <v>14</v>
      </c>
      <c r="C638" s="2" t="s">
        <v>35</v>
      </c>
      <c r="D638" s="2" t="s">
        <v>25</v>
      </c>
      <c r="E638">
        <v>10254</v>
      </c>
      <c r="F638">
        <v>334</v>
      </c>
      <c r="G638">
        <v>28</v>
      </c>
      <c r="H638">
        <v>964.02</v>
      </c>
      <c r="I638">
        <v>4323.42</v>
      </c>
      <c r="J638">
        <v>3.26</v>
      </c>
      <c r="K638">
        <v>8.3800000000000008</v>
      </c>
      <c r="L638">
        <v>34.43</v>
      </c>
      <c r="M638">
        <v>4.4800000000000004</v>
      </c>
      <c r="N638">
        <v>3359.4</v>
      </c>
    </row>
    <row r="639" spans="1:14" x14ac:dyDescent="0.2">
      <c r="A639" s="1">
        <v>45527</v>
      </c>
      <c r="B639" s="2" t="s">
        <v>17</v>
      </c>
      <c r="C639" s="2" t="s">
        <v>32</v>
      </c>
      <c r="D639" s="2" t="s">
        <v>19</v>
      </c>
      <c r="E639">
        <v>16625</v>
      </c>
      <c r="F639">
        <v>544</v>
      </c>
      <c r="G639">
        <v>33</v>
      </c>
      <c r="H639">
        <v>928.25</v>
      </c>
      <c r="I639">
        <v>4384.1499999999996</v>
      </c>
      <c r="J639">
        <v>3.27</v>
      </c>
      <c r="K639">
        <v>6.07</v>
      </c>
      <c r="L639">
        <v>28.13</v>
      </c>
      <c r="M639">
        <v>4.72</v>
      </c>
      <c r="N639">
        <v>3455.9</v>
      </c>
    </row>
    <row r="640" spans="1:14" x14ac:dyDescent="0.2">
      <c r="A640" s="1">
        <v>45527</v>
      </c>
      <c r="B640" s="2" t="s">
        <v>20</v>
      </c>
      <c r="C640" s="2" t="s">
        <v>21</v>
      </c>
      <c r="D640" s="2" t="s">
        <v>19</v>
      </c>
      <c r="E640">
        <v>12682</v>
      </c>
      <c r="F640">
        <v>464</v>
      </c>
      <c r="G640">
        <v>27</v>
      </c>
      <c r="H640">
        <v>444.4</v>
      </c>
      <c r="I640">
        <v>2735.77</v>
      </c>
      <c r="J640">
        <v>3.66</v>
      </c>
      <c r="K640">
        <v>5.82</v>
      </c>
      <c r="L640">
        <v>16.46</v>
      </c>
      <c r="M640">
        <v>6.16</v>
      </c>
      <c r="N640">
        <v>2291.37</v>
      </c>
    </row>
    <row r="641" spans="1:14" x14ac:dyDescent="0.2">
      <c r="A641" s="1">
        <v>45527</v>
      </c>
      <c r="B641" s="2" t="s">
        <v>23</v>
      </c>
      <c r="C641" s="2" t="s">
        <v>28</v>
      </c>
      <c r="D641" s="2" t="s">
        <v>19</v>
      </c>
      <c r="E641">
        <v>3789</v>
      </c>
      <c r="F641">
        <v>107</v>
      </c>
      <c r="G641">
        <v>13</v>
      </c>
      <c r="H641">
        <v>765.95</v>
      </c>
      <c r="I641">
        <v>3773.01</v>
      </c>
      <c r="J641">
        <v>2.82</v>
      </c>
      <c r="K641">
        <v>12.15</v>
      </c>
      <c r="L641">
        <v>58.92</v>
      </c>
      <c r="M641">
        <v>4.93</v>
      </c>
      <c r="N641">
        <v>3007.06</v>
      </c>
    </row>
    <row r="642" spans="1:14" x14ac:dyDescent="0.2">
      <c r="A642" s="1">
        <v>45527</v>
      </c>
      <c r="B642" s="2" t="s">
        <v>24</v>
      </c>
      <c r="C642" s="2" t="s">
        <v>15</v>
      </c>
      <c r="D642" s="2" t="s">
        <v>19</v>
      </c>
      <c r="E642">
        <v>16433</v>
      </c>
      <c r="F642">
        <v>3558</v>
      </c>
      <c r="G642">
        <v>342</v>
      </c>
      <c r="H642">
        <v>150</v>
      </c>
      <c r="I642">
        <v>45020.65</v>
      </c>
      <c r="J642">
        <v>21.65</v>
      </c>
      <c r="K642">
        <v>9.61</v>
      </c>
      <c r="L642">
        <v>0.44</v>
      </c>
      <c r="M642">
        <v>300.14</v>
      </c>
      <c r="N642">
        <v>44870.65</v>
      </c>
    </row>
    <row r="643" spans="1:14" x14ac:dyDescent="0.2">
      <c r="A643" s="1">
        <v>45527</v>
      </c>
      <c r="B643" s="2" t="s">
        <v>26</v>
      </c>
      <c r="C643" s="2" t="s">
        <v>18</v>
      </c>
      <c r="D643" s="2" t="s">
        <v>36</v>
      </c>
      <c r="E643">
        <v>22364</v>
      </c>
      <c r="F643">
        <v>1105</v>
      </c>
      <c r="G643">
        <v>112</v>
      </c>
      <c r="H643">
        <v>0</v>
      </c>
      <c r="I643">
        <v>12674.97</v>
      </c>
      <c r="J643">
        <v>4.9400000000000004</v>
      </c>
      <c r="K643">
        <v>10.14</v>
      </c>
      <c r="L643">
        <v>0</v>
      </c>
      <c r="M643">
        <v>0</v>
      </c>
      <c r="N643">
        <v>12674.97</v>
      </c>
    </row>
    <row r="644" spans="1:14" x14ac:dyDescent="0.2">
      <c r="A644" s="1">
        <v>45527</v>
      </c>
      <c r="B644" s="2" t="s">
        <v>27</v>
      </c>
      <c r="C644" s="2" t="s">
        <v>18</v>
      </c>
      <c r="D644" s="2" t="s">
        <v>22</v>
      </c>
      <c r="E644">
        <v>31877</v>
      </c>
      <c r="F644">
        <v>419</v>
      </c>
      <c r="G644">
        <v>13</v>
      </c>
      <c r="H644">
        <v>705.4</v>
      </c>
      <c r="I644">
        <v>1119.68</v>
      </c>
      <c r="J644">
        <v>1.31</v>
      </c>
      <c r="K644">
        <v>3.1</v>
      </c>
      <c r="L644">
        <v>54.26</v>
      </c>
      <c r="M644">
        <v>1.59</v>
      </c>
      <c r="N644">
        <v>414.28</v>
      </c>
    </row>
    <row r="645" spans="1:14" x14ac:dyDescent="0.2">
      <c r="A645" s="1">
        <v>45527</v>
      </c>
      <c r="B645" s="2" t="s">
        <v>29</v>
      </c>
      <c r="C645" s="2" t="s">
        <v>21</v>
      </c>
      <c r="D645" s="2" t="s">
        <v>36</v>
      </c>
      <c r="E645">
        <v>12835</v>
      </c>
      <c r="F645">
        <v>207</v>
      </c>
      <c r="G645">
        <v>15</v>
      </c>
      <c r="H645">
        <v>818.45</v>
      </c>
      <c r="I645">
        <v>1607.43</v>
      </c>
      <c r="J645">
        <v>1.61</v>
      </c>
      <c r="K645">
        <v>7.25</v>
      </c>
      <c r="L645">
        <v>54.56</v>
      </c>
      <c r="M645">
        <v>1.96</v>
      </c>
      <c r="N645">
        <v>788.98</v>
      </c>
    </row>
    <row r="646" spans="1:14" x14ac:dyDescent="0.2">
      <c r="A646" s="1">
        <v>45527</v>
      </c>
      <c r="B646" s="2" t="s">
        <v>30</v>
      </c>
      <c r="C646" s="2" t="s">
        <v>32</v>
      </c>
      <c r="D646" s="2" t="s">
        <v>19</v>
      </c>
      <c r="E646">
        <v>9564</v>
      </c>
      <c r="F646">
        <v>298</v>
      </c>
      <c r="G646">
        <v>12</v>
      </c>
      <c r="H646">
        <v>345.86</v>
      </c>
      <c r="I646">
        <v>1164.07</v>
      </c>
      <c r="J646">
        <v>3.12</v>
      </c>
      <c r="K646">
        <v>4.03</v>
      </c>
      <c r="L646">
        <v>28.82</v>
      </c>
      <c r="M646">
        <v>3.37</v>
      </c>
      <c r="N646">
        <v>818.21</v>
      </c>
    </row>
    <row r="647" spans="1:14" x14ac:dyDescent="0.2">
      <c r="A647" s="1">
        <v>45527</v>
      </c>
      <c r="B647" s="2" t="s">
        <v>31</v>
      </c>
      <c r="C647" s="2" t="s">
        <v>18</v>
      </c>
      <c r="D647" s="2" t="s">
        <v>36</v>
      </c>
      <c r="E647">
        <v>21254</v>
      </c>
      <c r="F647">
        <v>556</v>
      </c>
      <c r="G647">
        <v>19</v>
      </c>
      <c r="H647">
        <v>588.26</v>
      </c>
      <c r="I647">
        <v>1327.15</v>
      </c>
      <c r="J647">
        <v>2.62</v>
      </c>
      <c r="K647">
        <v>3.42</v>
      </c>
      <c r="L647">
        <v>30.96</v>
      </c>
      <c r="M647">
        <v>2.2599999999999998</v>
      </c>
      <c r="N647">
        <v>738.89</v>
      </c>
    </row>
    <row r="648" spans="1:14" x14ac:dyDescent="0.2">
      <c r="A648" s="1">
        <v>45527</v>
      </c>
      <c r="B648" s="2" t="s">
        <v>33</v>
      </c>
      <c r="C648" s="2" t="s">
        <v>18</v>
      </c>
      <c r="D648" s="2" t="s">
        <v>19</v>
      </c>
      <c r="E648">
        <v>5204</v>
      </c>
      <c r="F648">
        <v>293</v>
      </c>
      <c r="G648">
        <v>27</v>
      </c>
      <c r="H648">
        <v>456.88</v>
      </c>
      <c r="I648">
        <v>3011.72</v>
      </c>
      <c r="J648">
        <v>5.63</v>
      </c>
      <c r="K648">
        <v>9.2200000000000006</v>
      </c>
      <c r="L648">
        <v>16.920000000000002</v>
      </c>
      <c r="M648">
        <v>6.59</v>
      </c>
      <c r="N648">
        <v>2554.84</v>
      </c>
    </row>
    <row r="649" spans="1:14" x14ac:dyDescent="0.2">
      <c r="A649" s="1">
        <v>45527</v>
      </c>
      <c r="B649" s="2" t="s">
        <v>34</v>
      </c>
      <c r="C649" s="2" t="s">
        <v>32</v>
      </c>
      <c r="D649" s="2" t="s">
        <v>16</v>
      </c>
      <c r="E649">
        <v>4159</v>
      </c>
      <c r="F649">
        <v>283</v>
      </c>
      <c r="G649">
        <v>38</v>
      </c>
      <c r="H649">
        <v>119.15</v>
      </c>
      <c r="I649">
        <v>5120.82</v>
      </c>
      <c r="J649">
        <v>6.8</v>
      </c>
      <c r="K649">
        <v>13.43</v>
      </c>
      <c r="L649">
        <v>3.14</v>
      </c>
      <c r="M649">
        <v>42.98</v>
      </c>
      <c r="N649">
        <v>5001.67</v>
      </c>
    </row>
    <row r="650" spans="1:14" x14ac:dyDescent="0.2">
      <c r="A650" s="1">
        <v>45528</v>
      </c>
      <c r="B650" s="2" t="s">
        <v>14</v>
      </c>
      <c r="C650" s="2" t="s">
        <v>28</v>
      </c>
      <c r="D650" s="2" t="s">
        <v>19</v>
      </c>
      <c r="E650">
        <v>7107</v>
      </c>
      <c r="F650">
        <v>249</v>
      </c>
      <c r="G650">
        <v>19</v>
      </c>
      <c r="H650">
        <v>652.33000000000004</v>
      </c>
      <c r="I650">
        <v>3340.11</v>
      </c>
      <c r="J650">
        <v>3.5</v>
      </c>
      <c r="K650">
        <v>7.63</v>
      </c>
      <c r="L650">
        <v>34.33</v>
      </c>
      <c r="M650">
        <v>5.12</v>
      </c>
      <c r="N650">
        <v>2687.78</v>
      </c>
    </row>
    <row r="651" spans="1:14" x14ac:dyDescent="0.2">
      <c r="A651" s="1">
        <v>45528</v>
      </c>
      <c r="B651" s="2" t="s">
        <v>17</v>
      </c>
      <c r="C651" s="2" t="s">
        <v>15</v>
      </c>
      <c r="D651" s="2" t="s">
        <v>19</v>
      </c>
      <c r="E651">
        <v>8272</v>
      </c>
      <c r="F651">
        <v>177</v>
      </c>
      <c r="G651">
        <v>13</v>
      </c>
      <c r="H651">
        <v>460.05</v>
      </c>
      <c r="I651">
        <v>1871.08</v>
      </c>
      <c r="J651">
        <v>2.14</v>
      </c>
      <c r="K651">
        <v>7.34</v>
      </c>
      <c r="L651">
        <v>35.39</v>
      </c>
      <c r="M651">
        <v>4.07</v>
      </c>
      <c r="N651">
        <v>1411.03</v>
      </c>
    </row>
    <row r="652" spans="1:14" x14ac:dyDescent="0.2">
      <c r="A652" s="1">
        <v>45528</v>
      </c>
      <c r="B652" s="2" t="s">
        <v>20</v>
      </c>
      <c r="C652" s="2" t="s">
        <v>32</v>
      </c>
      <c r="D652" s="2" t="s">
        <v>36</v>
      </c>
      <c r="E652">
        <v>10649</v>
      </c>
      <c r="F652">
        <v>465</v>
      </c>
      <c r="G652">
        <v>35</v>
      </c>
      <c r="H652">
        <v>373.2</v>
      </c>
      <c r="I652">
        <v>3651.79</v>
      </c>
      <c r="J652">
        <v>4.37</v>
      </c>
      <c r="K652">
        <v>7.53</v>
      </c>
      <c r="L652">
        <v>10.66</v>
      </c>
      <c r="M652">
        <v>9.7899999999999991</v>
      </c>
      <c r="N652">
        <v>3278.59</v>
      </c>
    </row>
    <row r="653" spans="1:14" x14ac:dyDescent="0.2">
      <c r="A653" s="1">
        <v>45528</v>
      </c>
      <c r="B653" s="2" t="s">
        <v>23</v>
      </c>
      <c r="C653" s="2" t="s">
        <v>15</v>
      </c>
      <c r="D653" s="2" t="s">
        <v>19</v>
      </c>
      <c r="E653">
        <v>3172</v>
      </c>
      <c r="F653">
        <v>89</v>
      </c>
      <c r="G653">
        <v>12</v>
      </c>
      <c r="H653">
        <v>654.26</v>
      </c>
      <c r="I653">
        <v>3899.68</v>
      </c>
      <c r="J653">
        <v>2.81</v>
      </c>
      <c r="K653">
        <v>13.48</v>
      </c>
      <c r="L653">
        <v>54.52</v>
      </c>
      <c r="M653">
        <v>5.96</v>
      </c>
      <c r="N653">
        <v>3245.42</v>
      </c>
    </row>
    <row r="654" spans="1:14" x14ac:dyDescent="0.2">
      <c r="A654" s="1">
        <v>45528</v>
      </c>
      <c r="B654" s="2" t="s">
        <v>24</v>
      </c>
      <c r="C654" s="2" t="s">
        <v>18</v>
      </c>
      <c r="D654" s="2" t="s">
        <v>22</v>
      </c>
      <c r="E654">
        <v>10309</v>
      </c>
      <c r="F654">
        <v>2496</v>
      </c>
      <c r="G654">
        <v>307</v>
      </c>
      <c r="H654">
        <v>98.42</v>
      </c>
      <c r="I654">
        <v>41236.269999999997</v>
      </c>
      <c r="J654">
        <v>24.21</v>
      </c>
      <c r="K654">
        <v>12.3</v>
      </c>
      <c r="L654">
        <v>0.32</v>
      </c>
      <c r="M654">
        <v>418.98</v>
      </c>
      <c r="N654">
        <v>41137.85</v>
      </c>
    </row>
    <row r="655" spans="1:14" x14ac:dyDescent="0.2">
      <c r="A655" s="1">
        <v>45528</v>
      </c>
      <c r="B655" s="2" t="s">
        <v>26</v>
      </c>
      <c r="C655" s="2" t="s">
        <v>28</v>
      </c>
      <c r="D655" s="2" t="s">
        <v>16</v>
      </c>
      <c r="E655">
        <v>14621</v>
      </c>
      <c r="F655">
        <v>1016</v>
      </c>
      <c r="G655">
        <v>104</v>
      </c>
      <c r="H655">
        <v>0</v>
      </c>
      <c r="I655">
        <v>11582.68</v>
      </c>
      <c r="J655">
        <v>6.95</v>
      </c>
      <c r="K655">
        <v>10.24</v>
      </c>
      <c r="L655">
        <v>0</v>
      </c>
      <c r="M655">
        <v>0</v>
      </c>
      <c r="N655">
        <v>11582.68</v>
      </c>
    </row>
    <row r="656" spans="1:14" x14ac:dyDescent="0.2">
      <c r="A656" s="1">
        <v>45528</v>
      </c>
      <c r="B656" s="2" t="s">
        <v>27</v>
      </c>
      <c r="C656" s="2" t="s">
        <v>32</v>
      </c>
      <c r="D656" s="2" t="s">
        <v>25</v>
      </c>
      <c r="E656">
        <v>17555</v>
      </c>
      <c r="F656">
        <v>307</v>
      </c>
      <c r="G656">
        <v>11</v>
      </c>
      <c r="H656">
        <v>430.17</v>
      </c>
      <c r="I656">
        <v>1084.6199999999999</v>
      </c>
      <c r="J656">
        <v>1.75</v>
      </c>
      <c r="K656">
        <v>3.58</v>
      </c>
      <c r="L656">
        <v>39.11</v>
      </c>
      <c r="M656">
        <v>2.52</v>
      </c>
      <c r="N656">
        <v>654.45000000000005</v>
      </c>
    </row>
    <row r="657" spans="1:14" x14ac:dyDescent="0.2">
      <c r="A657" s="1">
        <v>45528</v>
      </c>
      <c r="B657" s="2" t="s">
        <v>29</v>
      </c>
      <c r="C657" s="2" t="s">
        <v>35</v>
      </c>
      <c r="D657" s="2" t="s">
        <v>25</v>
      </c>
      <c r="E657">
        <v>12181</v>
      </c>
      <c r="F657">
        <v>285</v>
      </c>
      <c r="G657">
        <v>13</v>
      </c>
      <c r="H657">
        <v>623.16</v>
      </c>
      <c r="I657">
        <v>1582.01</v>
      </c>
      <c r="J657">
        <v>2.34</v>
      </c>
      <c r="K657">
        <v>4.5599999999999996</v>
      </c>
      <c r="L657">
        <v>47.94</v>
      </c>
      <c r="M657">
        <v>2.54</v>
      </c>
      <c r="N657">
        <v>958.85</v>
      </c>
    </row>
    <row r="658" spans="1:14" x14ac:dyDescent="0.2">
      <c r="A658" s="1">
        <v>45528</v>
      </c>
      <c r="B658" s="2" t="s">
        <v>30</v>
      </c>
      <c r="C658" s="2" t="s">
        <v>21</v>
      </c>
      <c r="D658" s="2" t="s">
        <v>16</v>
      </c>
      <c r="E658">
        <v>5355</v>
      </c>
      <c r="F658">
        <v>124</v>
      </c>
      <c r="G658">
        <v>7</v>
      </c>
      <c r="H658">
        <v>455.19</v>
      </c>
      <c r="I658">
        <v>609.84</v>
      </c>
      <c r="J658">
        <v>2.3199999999999998</v>
      </c>
      <c r="K658">
        <v>5.65</v>
      </c>
      <c r="L658">
        <v>65.03</v>
      </c>
      <c r="M658">
        <v>1.34</v>
      </c>
      <c r="N658">
        <v>154.65</v>
      </c>
    </row>
    <row r="659" spans="1:14" x14ac:dyDescent="0.2">
      <c r="A659" s="1">
        <v>45528</v>
      </c>
      <c r="B659" s="2" t="s">
        <v>31</v>
      </c>
      <c r="C659" s="2" t="s">
        <v>15</v>
      </c>
      <c r="D659" s="2" t="s">
        <v>36</v>
      </c>
      <c r="E659">
        <v>13781</v>
      </c>
      <c r="F659">
        <v>494</v>
      </c>
      <c r="G659">
        <v>33</v>
      </c>
      <c r="H659">
        <v>621.49</v>
      </c>
      <c r="I659">
        <v>3074.59</v>
      </c>
      <c r="J659">
        <v>3.58</v>
      </c>
      <c r="K659">
        <v>6.68</v>
      </c>
      <c r="L659">
        <v>18.829999999999998</v>
      </c>
      <c r="M659">
        <v>4.95</v>
      </c>
      <c r="N659">
        <v>2453.1</v>
      </c>
    </row>
    <row r="660" spans="1:14" x14ac:dyDescent="0.2">
      <c r="A660" s="1">
        <v>45528</v>
      </c>
      <c r="B660" s="2" t="s">
        <v>33</v>
      </c>
      <c r="C660" s="2" t="s">
        <v>15</v>
      </c>
      <c r="D660" s="2" t="s">
        <v>19</v>
      </c>
      <c r="E660">
        <v>4715</v>
      </c>
      <c r="F660">
        <v>301</v>
      </c>
      <c r="G660">
        <v>30</v>
      </c>
      <c r="H660">
        <v>331.39</v>
      </c>
      <c r="I660">
        <v>3369.37</v>
      </c>
      <c r="J660">
        <v>6.38</v>
      </c>
      <c r="K660">
        <v>9.9700000000000006</v>
      </c>
      <c r="L660">
        <v>11.05</v>
      </c>
      <c r="M660">
        <v>10.17</v>
      </c>
      <c r="N660">
        <v>3037.98</v>
      </c>
    </row>
    <row r="661" spans="1:14" x14ac:dyDescent="0.2">
      <c r="A661" s="1">
        <v>45528</v>
      </c>
      <c r="B661" s="2" t="s">
        <v>34</v>
      </c>
      <c r="C661" s="2" t="s">
        <v>15</v>
      </c>
      <c r="D661" s="2" t="s">
        <v>36</v>
      </c>
      <c r="E661">
        <v>2193</v>
      </c>
      <c r="F661">
        <v>205</v>
      </c>
      <c r="G661">
        <v>24</v>
      </c>
      <c r="H661">
        <v>57.79</v>
      </c>
      <c r="I661">
        <v>3707.86</v>
      </c>
      <c r="J661">
        <v>9.35</v>
      </c>
      <c r="K661">
        <v>11.71</v>
      </c>
      <c r="L661">
        <v>2.41</v>
      </c>
      <c r="M661">
        <v>64.16</v>
      </c>
      <c r="N661">
        <v>3650.07</v>
      </c>
    </row>
    <row r="662" spans="1:14" x14ac:dyDescent="0.2">
      <c r="A662" s="1">
        <v>45529</v>
      </c>
      <c r="B662" s="2" t="s">
        <v>14</v>
      </c>
      <c r="C662" s="2" t="s">
        <v>18</v>
      </c>
      <c r="D662" s="2" t="s">
        <v>22</v>
      </c>
      <c r="E662">
        <v>7878</v>
      </c>
      <c r="F662">
        <v>371</v>
      </c>
      <c r="G662">
        <v>38</v>
      </c>
      <c r="H662">
        <v>887.93</v>
      </c>
      <c r="I662">
        <v>4461.88</v>
      </c>
      <c r="J662">
        <v>4.71</v>
      </c>
      <c r="K662">
        <v>10.24</v>
      </c>
      <c r="L662">
        <v>23.37</v>
      </c>
      <c r="M662">
        <v>5.03</v>
      </c>
      <c r="N662">
        <v>3573.95</v>
      </c>
    </row>
    <row r="663" spans="1:14" x14ac:dyDescent="0.2">
      <c r="A663" s="1">
        <v>45529</v>
      </c>
      <c r="B663" s="2" t="s">
        <v>17</v>
      </c>
      <c r="C663" s="2" t="s">
        <v>18</v>
      </c>
      <c r="D663" s="2" t="s">
        <v>16</v>
      </c>
      <c r="E663">
        <v>11342</v>
      </c>
      <c r="F663">
        <v>246</v>
      </c>
      <c r="G663">
        <v>18</v>
      </c>
      <c r="H663">
        <v>630.87</v>
      </c>
      <c r="I663">
        <v>1759.17</v>
      </c>
      <c r="J663">
        <v>2.17</v>
      </c>
      <c r="K663">
        <v>7.32</v>
      </c>
      <c r="L663">
        <v>35.049999999999997</v>
      </c>
      <c r="M663">
        <v>2.79</v>
      </c>
      <c r="N663">
        <v>1128.3</v>
      </c>
    </row>
    <row r="664" spans="1:14" x14ac:dyDescent="0.2">
      <c r="A664" s="1">
        <v>45529</v>
      </c>
      <c r="B664" s="2" t="s">
        <v>20</v>
      </c>
      <c r="C664" s="2" t="s">
        <v>35</v>
      </c>
      <c r="D664" s="2" t="s">
        <v>36</v>
      </c>
      <c r="E664">
        <v>6747</v>
      </c>
      <c r="F664">
        <v>246</v>
      </c>
      <c r="G664">
        <v>12</v>
      </c>
      <c r="H664">
        <v>560.13</v>
      </c>
      <c r="I664">
        <v>1335.13</v>
      </c>
      <c r="J664">
        <v>3.65</v>
      </c>
      <c r="K664">
        <v>4.88</v>
      </c>
      <c r="L664">
        <v>46.68</v>
      </c>
      <c r="M664">
        <v>2.38</v>
      </c>
      <c r="N664">
        <v>775</v>
      </c>
    </row>
    <row r="665" spans="1:14" x14ac:dyDescent="0.2">
      <c r="A665" s="1">
        <v>45529</v>
      </c>
      <c r="B665" s="2" t="s">
        <v>23</v>
      </c>
      <c r="C665" s="2" t="s">
        <v>18</v>
      </c>
      <c r="D665" s="2" t="s">
        <v>16</v>
      </c>
      <c r="E665">
        <v>2704</v>
      </c>
      <c r="F665">
        <v>48</v>
      </c>
      <c r="G665">
        <v>5</v>
      </c>
      <c r="H665">
        <v>631.67999999999995</v>
      </c>
      <c r="I665">
        <v>1319.23</v>
      </c>
      <c r="J665">
        <v>1.78</v>
      </c>
      <c r="K665">
        <v>10.42</v>
      </c>
      <c r="L665">
        <v>126.34</v>
      </c>
      <c r="M665">
        <v>2.09</v>
      </c>
      <c r="N665">
        <v>687.55</v>
      </c>
    </row>
    <row r="666" spans="1:14" x14ac:dyDescent="0.2">
      <c r="A666" s="1">
        <v>45529</v>
      </c>
      <c r="B666" s="2" t="s">
        <v>24</v>
      </c>
      <c r="C666" s="2" t="s">
        <v>21</v>
      </c>
      <c r="D666" s="2" t="s">
        <v>25</v>
      </c>
      <c r="E666">
        <v>11194</v>
      </c>
      <c r="F666">
        <v>2653</v>
      </c>
      <c r="G666">
        <v>345</v>
      </c>
      <c r="H666">
        <v>65.31</v>
      </c>
      <c r="I666">
        <v>37029</v>
      </c>
      <c r="J666">
        <v>23.7</v>
      </c>
      <c r="K666">
        <v>13</v>
      </c>
      <c r="L666">
        <v>0.19</v>
      </c>
      <c r="M666">
        <v>566.97</v>
      </c>
      <c r="N666">
        <v>36963.69</v>
      </c>
    </row>
    <row r="667" spans="1:14" x14ac:dyDescent="0.2">
      <c r="A667" s="1">
        <v>45529</v>
      </c>
      <c r="B667" s="2" t="s">
        <v>26</v>
      </c>
      <c r="C667" s="2" t="s">
        <v>21</v>
      </c>
      <c r="D667" s="2" t="s">
        <v>36</v>
      </c>
      <c r="E667">
        <v>15870</v>
      </c>
      <c r="F667">
        <v>1018</v>
      </c>
      <c r="G667">
        <v>104</v>
      </c>
      <c r="H667">
        <v>0</v>
      </c>
      <c r="I667">
        <v>14180.57</v>
      </c>
      <c r="J667">
        <v>6.41</v>
      </c>
      <c r="K667">
        <v>10.220000000000001</v>
      </c>
      <c r="L667">
        <v>0</v>
      </c>
      <c r="M667">
        <v>0</v>
      </c>
      <c r="N667">
        <v>14180.57</v>
      </c>
    </row>
    <row r="668" spans="1:14" x14ac:dyDescent="0.2">
      <c r="A668" s="1">
        <v>45529</v>
      </c>
      <c r="B668" s="2" t="s">
        <v>27</v>
      </c>
      <c r="C668" s="2" t="s">
        <v>28</v>
      </c>
      <c r="D668" s="2" t="s">
        <v>19</v>
      </c>
      <c r="E668">
        <v>22548</v>
      </c>
      <c r="F668">
        <v>293</v>
      </c>
      <c r="G668">
        <v>13</v>
      </c>
      <c r="H668">
        <v>493.88</v>
      </c>
      <c r="I668">
        <v>1767.38</v>
      </c>
      <c r="J668">
        <v>1.3</v>
      </c>
      <c r="K668">
        <v>4.4400000000000004</v>
      </c>
      <c r="L668">
        <v>37.99</v>
      </c>
      <c r="M668">
        <v>3.58</v>
      </c>
      <c r="N668">
        <v>1273.5</v>
      </c>
    </row>
    <row r="669" spans="1:14" x14ac:dyDescent="0.2">
      <c r="A669" s="1">
        <v>45529</v>
      </c>
      <c r="B669" s="2" t="s">
        <v>29</v>
      </c>
      <c r="C669" s="2" t="s">
        <v>15</v>
      </c>
      <c r="D669" s="2" t="s">
        <v>25</v>
      </c>
      <c r="E669">
        <v>9935</v>
      </c>
      <c r="F669">
        <v>229</v>
      </c>
      <c r="G669">
        <v>11</v>
      </c>
      <c r="H669">
        <v>762.18</v>
      </c>
      <c r="I669">
        <v>1061.8900000000001</v>
      </c>
      <c r="J669">
        <v>2.2999999999999998</v>
      </c>
      <c r="K669">
        <v>4.8</v>
      </c>
      <c r="L669">
        <v>69.290000000000006</v>
      </c>
      <c r="M669">
        <v>1.39</v>
      </c>
      <c r="N669">
        <v>299.70999999999998</v>
      </c>
    </row>
    <row r="670" spans="1:14" x14ac:dyDescent="0.2">
      <c r="A670" s="1">
        <v>45529</v>
      </c>
      <c r="B670" s="2" t="s">
        <v>30</v>
      </c>
      <c r="C670" s="2" t="s">
        <v>28</v>
      </c>
      <c r="D670" s="2" t="s">
        <v>25</v>
      </c>
      <c r="E670">
        <v>6030</v>
      </c>
      <c r="F670">
        <v>196</v>
      </c>
      <c r="G670">
        <v>8</v>
      </c>
      <c r="H670">
        <v>443.21</v>
      </c>
      <c r="I670">
        <v>835.4</v>
      </c>
      <c r="J670">
        <v>3.25</v>
      </c>
      <c r="K670">
        <v>4.08</v>
      </c>
      <c r="L670">
        <v>55.4</v>
      </c>
      <c r="M670">
        <v>1.88</v>
      </c>
      <c r="N670">
        <v>392.19</v>
      </c>
    </row>
    <row r="671" spans="1:14" x14ac:dyDescent="0.2">
      <c r="A671" s="1">
        <v>45529</v>
      </c>
      <c r="B671" s="2" t="s">
        <v>31</v>
      </c>
      <c r="C671" s="2" t="s">
        <v>15</v>
      </c>
      <c r="D671" s="2" t="s">
        <v>22</v>
      </c>
      <c r="E671">
        <v>11855</v>
      </c>
      <c r="F671">
        <v>499</v>
      </c>
      <c r="G671">
        <v>16</v>
      </c>
      <c r="H671">
        <v>469.2</v>
      </c>
      <c r="I671">
        <v>1089.1500000000001</v>
      </c>
      <c r="J671">
        <v>4.21</v>
      </c>
      <c r="K671">
        <v>3.21</v>
      </c>
      <c r="L671">
        <v>29.32</v>
      </c>
      <c r="M671">
        <v>2.3199999999999998</v>
      </c>
      <c r="N671">
        <v>619.95000000000005</v>
      </c>
    </row>
    <row r="672" spans="1:14" x14ac:dyDescent="0.2">
      <c r="A672" s="1">
        <v>45529</v>
      </c>
      <c r="B672" s="2" t="s">
        <v>33</v>
      </c>
      <c r="C672" s="2" t="s">
        <v>28</v>
      </c>
      <c r="D672" s="2" t="s">
        <v>16</v>
      </c>
      <c r="E672">
        <v>4044</v>
      </c>
      <c r="F672">
        <v>195</v>
      </c>
      <c r="G672">
        <v>17</v>
      </c>
      <c r="H672">
        <v>415.61</v>
      </c>
      <c r="I672">
        <v>1805.62</v>
      </c>
      <c r="J672">
        <v>4.82</v>
      </c>
      <c r="K672">
        <v>8.7200000000000006</v>
      </c>
      <c r="L672">
        <v>24.45</v>
      </c>
      <c r="M672">
        <v>4.34</v>
      </c>
      <c r="N672">
        <v>1390.01</v>
      </c>
    </row>
    <row r="673" spans="1:14" x14ac:dyDescent="0.2">
      <c r="A673" s="1">
        <v>45529</v>
      </c>
      <c r="B673" s="2" t="s">
        <v>34</v>
      </c>
      <c r="C673" s="2" t="s">
        <v>28</v>
      </c>
      <c r="D673" s="2" t="s">
        <v>25</v>
      </c>
      <c r="E673">
        <v>2937</v>
      </c>
      <c r="F673">
        <v>166</v>
      </c>
      <c r="G673">
        <v>24</v>
      </c>
      <c r="H673">
        <v>64.819999999999993</v>
      </c>
      <c r="I673">
        <v>4698.55</v>
      </c>
      <c r="J673">
        <v>5.65</v>
      </c>
      <c r="K673">
        <v>14.46</v>
      </c>
      <c r="L673">
        <v>2.7</v>
      </c>
      <c r="M673">
        <v>72.489999999999995</v>
      </c>
      <c r="N673">
        <v>4633.7299999999996</v>
      </c>
    </row>
    <row r="674" spans="1:14" x14ac:dyDescent="0.2">
      <c r="A674" s="1">
        <v>45530</v>
      </c>
      <c r="B674" s="2" t="s">
        <v>14</v>
      </c>
      <c r="C674" s="2" t="s">
        <v>28</v>
      </c>
      <c r="D674" s="2" t="s">
        <v>19</v>
      </c>
      <c r="E674">
        <v>11033</v>
      </c>
      <c r="F674">
        <v>490</v>
      </c>
      <c r="G674">
        <v>43</v>
      </c>
      <c r="H674">
        <v>1184.6600000000001</v>
      </c>
      <c r="I674">
        <v>6331.93</v>
      </c>
      <c r="J674">
        <v>4.4400000000000004</v>
      </c>
      <c r="K674">
        <v>8.7799999999999994</v>
      </c>
      <c r="L674">
        <v>27.55</v>
      </c>
      <c r="M674">
        <v>5.34</v>
      </c>
      <c r="N674">
        <v>5147.2700000000004</v>
      </c>
    </row>
    <row r="675" spans="1:14" x14ac:dyDescent="0.2">
      <c r="A675" s="1">
        <v>45530</v>
      </c>
      <c r="B675" s="2" t="s">
        <v>17</v>
      </c>
      <c r="C675" s="2" t="s">
        <v>18</v>
      </c>
      <c r="D675" s="2" t="s">
        <v>19</v>
      </c>
      <c r="E675">
        <v>13416</v>
      </c>
      <c r="F675">
        <v>410</v>
      </c>
      <c r="G675">
        <v>29</v>
      </c>
      <c r="H675">
        <v>936.45</v>
      </c>
      <c r="I675">
        <v>3396.69</v>
      </c>
      <c r="J675">
        <v>3.06</v>
      </c>
      <c r="K675">
        <v>7.07</v>
      </c>
      <c r="L675">
        <v>32.29</v>
      </c>
      <c r="M675">
        <v>3.63</v>
      </c>
      <c r="N675">
        <v>2460.2399999999998</v>
      </c>
    </row>
    <row r="676" spans="1:14" x14ac:dyDescent="0.2">
      <c r="A676" s="1">
        <v>45530</v>
      </c>
      <c r="B676" s="2" t="s">
        <v>20</v>
      </c>
      <c r="C676" s="2" t="s">
        <v>21</v>
      </c>
      <c r="D676" s="2" t="s">
        <v>36</v>
      </c>
      <c r="E676">
        <v>12205</v>
      </c>
      <c r="F676">
        <v>356</v>
      </c>
      <c r="G676">
        <v>19</v>
      </c>
      <c r="H676">
        <v>430.24</v>
      </c>
      <c r="I676">
        <v>2407.58</v>
      </c>
      <c r="J676">
        <v>2.92</v>
      </c>
      <c r="K676">
        <v>5.34</v>
      </c>
      <c r="L676">
        <v>22.64</v>
      </c>
      <c r="M676">
        <v>5.6</v>
      </c>
      <c r="N676">
        <v>1977.34</v>
      </c>
    </row>
    <row r="677" spans="1:14" x14ac:dyDescent="0.2">
      <c r="A677" s="1">
        <v>45530</v>
      </c>
      <c r="B677" s="2" t="s">
        <v>23</v>
      </c>
      <c r="C677" s="2" t="s">
        <v>28</v>
      </c>
      <c r="D677" s="2" t="s">
        <v>22</v>
      </c>
      <c r="E677">
        <v>2708</v>
      </c>
      <c r="F677">
        <v>43</v>
      </c>
      <c r="G677">
        <v>5</v>
      </c>
      <c r="H677">
        <v>1219.22</v>
      </c>
      <c r="I677">
        <v>1663.61</v>
      </c>
      <c r="J677">
        <v>1.59</v>
      </c>
      <c r="K677">
        <v>11.63</v>
      </c>
      <c r="L677">
        <v>243.84</v>
      </c>
      <c r="M677">
        <v>1.36</v>
      </c>
      <c r="N677">
        <v>444.39</v>
      </c>
    </row>
    <row r="678" spans="1:14" x14ac:dyDescent="0.2">
      <c r="A678" s="1">
        <v>45530</v>
      </c>
      <c r="B678" s="2" t="s">
        <v>24</v>
      </c>
      <c r="C678" s="2" t="s">
        <v>35</v>
      </c>
      <c r="D678" s="2" t="s">
        <v>16</v>
      </c>
      <c r="E678">
        <v>17918</v>
      </c>
      <c r="F678">
        <v>4424</v>
      </c>
      <c r="G678">
        <v>566</v>
      </c>
      <c r="H678">
        <v>192.21</v>
      </c>
      <c r="I678">
        <v>77423.789999999994</v>
      </c>
      <c r="J678">
        <v>24.69</v>
      </c>
      <c r="K678">
        <v>12.79</v>
      </c>
      <c r="L678">
        <v>0.34</v>
      </c>
      <c r="M678">
        <v>402.81</v>
      </c>
      <c r="N678">
        <v>77231.58</v>
      </c>
    </row>
    <row r="679" spans="1:14" x14ac:dyDescent="0.2">
      <c r="A679" s="1">
        <v>45530</v>
      </c>
      <c r="B679" s="2" t="s">
        <v>26</v>
      </c>
      <c r="C679" s="2" t="s">
        <v>15</v>
      </c>
      <c r="D679" s="2" t="s">
        <v>19</v>
      </c>
      <c r="E679">
        <v>26696</v>
      </c>
      <c r="F679">
        <v>1521</v>
      </c>
      <c r="G679">
        <v>190</v>
      </c>
      <c r="H679">
        <v>0</v>
      </c>
      <c r="I679">
        <v>21193.59</v>
      </c>
      <c r="J679">
        <v>5.7</v>
      </c>
      <c r="K679">
        <v>12.49</v>
      </c>
      <c r="L679">
        <v>0</v>
      </c>
      <c r="M679">
        <v>0</v>
      </c>
      <c r="N679">
        <v>21193.59</v>
      </c>
    </row>
    <row r="680" spans="1:14" x14ac:dyDescent="0.2">
      <c r="A680" s="1">
        <v>45530</v>
      </c>
      <c r="B680" s="2" t="s">
        <v>27</v>
      </c>
      <c r="C680" s="2" t="s">
        <v>32</v>
      </c>
      <c r="D680" s="2" t="s">
        <v>19</v>
      </c>
      <c r="E680">
        <v>29585</v>
      </c>
      <c r="F680">
        <v>298</v>
      </c>
      <c r="G680">
        <v>9</v>
      </c>
      <c r="H680">
        <v>706.7</v>
      </c>
      <c r="I680">
        <v>983.45</v>
      </c>
      <c r="J680">
        <v>1.01</v>
      </c>
      <c r="K680">
        <v>3.02</v>
      </c>
      <c r="L680">
        <v>78.52</v>
      </c>
      <c r="M680">
        <v>1.39</v>
      </c>
      <c r="N680">
        <v>276.75</v>
      </c>
    </row>
    <row r="681" spans="1:14" x14ac:dyDescent="0.2">
      <c r="A681" s="1">
        <v>45530</v>
      </c>
      <c r="B681" s="2" t="s">
        <v>29</v>
      </c>
      <c r="C681" s="2" t="s">
        <v>18</v>
      </c>
      <c r="D681" s="2" t="s">
        <v>36</v>
      </c>
      <c r="E681">
        <v>19301</v>
      </c>
      <c r="F681">
        <v>311</v>
      </c>
      <c r="G681">
        <v>18</v>
      </c>
      <c r="H681">
        <v>825.38</v>
      </c>
      <c r="I681">
        <v>2176.0700000000002</v>
      </c>
      <c r="J681">
        <v>1.61</v>
      </c>
      <c r="K681">
        <v>5.79</v>
      </c>
      <c r="L681">
        <v>45.85</v>
      </c>
      <c r="M681">
        <v>2.64</v>
      </c>
      <c r="N681">
        <v>1350.69</v>
      </c>
    </row>
    <row r="682" spans="1:14" x14ac:dyDescent="0.2">
      <c r="A682" s="1">
        <v>45530</v>
      </c>
      <c r="B682" s="2" t="s">
        <v>30</v>
      </c>
      <c r="C682" s="2" t="s">
        <v>35</v>
      </c>
      <c r="D682" s="2" t="s">
        <v>22</v>
      </c>
      <c r="E682">
        <v>10582</v>
      </c>
      <c r="F682">
        <v>357</v>
      </c>
      <c r="G682">
        <v>11</v>
      </c>
      <c r="H682">
        <v>676.93</v>
      </c>
      <c r="I682">
        <v>980.8</v>
      </c>
      <c r="J682">
        <v>3.37</v>
      </c>
      <c r="K682">
        <v>3.08</v>
      </c>
      <c r="L682">
        <v>61.54</v>
      </c>
      <c r="M682">
        <v>1.45</v>
      </c>
      <c r="N682">
        <v>303.87</v>
      </c>
    </row>
    <row r="683" spans="1:14" x14ac:dyDescent="0.2">
      <c r="A683" s="1">
        <v>45530</v>
      </c>
      <c r="B683" s="2" t="s">
        <v>31</v>
      </c>
      <c r="C683" s="2" t="s">
        <v>18</v>
      </c>
      <c r="D683" s="2" t="s">
        <v>36</v>
      </c>
      <c r="E683">
        <v>23760</v>
      </c>
      <c r="F683">
        <v>845</v>
      </c>
      <c r="G683">
        <v>56</v>
      </c>
      <c r="H683">
        <v>601.67999999999995</v>
      </c>
      <c r="I683">
        <v>5167.63</v>
      </c>
      <c r="J683">
        <v>3.56</v>
      </c>
      <c r="K683">
        <v>6.63</v>
      </c>
      <c r="L683">
        <v>10.74</v>
      </c>
      <c r="M683">
        <v>8.59</v>
      </c>
      <c r="N683">
        <v>4565.95</v>
      </c>
    </row>
    <row r="684" spans="1:14" x14ac:dyDescent="0.2">
      <c r="A684" s="1">
        <v>45530</v>
      </c>
      <c r="B684" s="2" t="s">
        <v>33</v>
      </c>
      <c r="C684" s="2" t="s">
        <v>18</v>
      </c>
      <c r="D684" s="2" t="s">
        <v>22</v>
      </c>
      <c r="E684">
        <v>6811</v>
      </c>
      <c r="F684">
        <v>358</v>
      </c>
      <c r="G684">
        <v>44</v>
      </c>
      <c r="H684">
        <v>487.25</v>
      </c>
      <c r="I684">
        <v>5891.13</v>
      </c>
      <c r="J684">
        <v>5.26</v>
      </c>
      <c r="K684">
        <v>12.29</v>
      </c>
      <c r="L684">
        <v>11.07</v>
      </c>
      <c r="M684">
        <v>12.09</v>
      </c>
      <c r="N684">
        <v>5403.88</v>
      </c>
    </row>
    <row r="685" spans="1:14" x14ac:dyDescent="0.2">
      <c r="A685" s="1">
        <v>45530</v>
      </c>
      <c r="B685" s="2" t="s">
        <v>34</v>
      </c>
      <c r="C685" s="2" t="s">
        <v>15</v>
      </c>
      <c r="D685" s="2" t="s">
        <v>25</v>
      </c>
      <c r="E685">
        <v>3046</v>
      </c>
      <c r="F685">
        <v>243</v>
      </c>
      <c r="G685">
        <v>39</v>
      </c>
      <c r="H685">
        <v>157.53</v>
      </c>
      <c r="I685">
        <v>6402.23</v>
      </c>
      <c r="J685">
        <v>7.98</v>
      </c>
      <c r="K685">
        <v>16.05</v>
      </c>
      <c r="L685">
        <v>4.04</v>
      </c>
      <c r="M685">
        <v>40.64</v>
      </c>
      <c r="N685">
        <v>6244.7</v>
      </c>
    </row>
    <row r="686" spans="1:14" x14ac:dyDescent="0.2">
      <c r="A686" s="1">
        <v>45531</v>
      </c>
      <c r="B686" s="2" t="s">
        <v>14</v>
      </c>
      <c r="C686" s="2" t="s">
        <v>18</v>
      </c>
      <c r="D686" s="2" t="s">
        <v>16</v>
      </c>
      <c r="E686">
        <v>8224</v>
      </c>
      <c r="F686">
        <v>328</v>
      </c>
      <c r="G686">
        <v>34</v>
      </c>
      <c r="H686">
        <v>793.25</v>
      </c>
      <c r="I686">
        <v>5684.1</v>
      </c>
      <c r="J686">
        <v>3.99</v>
      </c>
      <c r="K686">
        <v>10.37</v>
      </c>
      <c r="L686">
        <v>23.33</v>
      </c>
      <c r="M686">
        <v>7.17</v>
      </c>
      <c r="N686">
        <v>4890.8500000000004</v>
      </c>
    </row>
    <row r="687" spans="1:14" x14ac:dyDescent="0.2">
      <c r="A687" s="1">
        <v>45531</v>
      </c>
      <c r="B687" s="2" t="s">
        <v>17</v>
      </c>
      <c r="C687" s="2" t="s">
        <v>35</v>
      </c>
      <c r="D687" s="2" t="s">
        <v>22</v>
      </c>
      <c r="E687">
        <v>11471</v>
      </c>
      <c r="F687">
        <v>231</v>
      </c>
      <c r="G687">
        <v>11</v>
      </c>
      <c r="H687">
        <v>814.5</v>
      </c>
      <c r="I687">
        <v>1002.19</v>
      </c>
      <c r="J687">
        <v>2.0099999999999998</v>
      </c>
      <c r="K687">
        <v>4.76</v>
      </c>
      <c r="L687">
        <v>74.05</v>
      </c>
      <c r="M687">
        <v>1.23</v>
      </c>
      <c r="N687">
        <v>187.69</v>
      </c>
    </row>
    <row r="688" spans="1:14" x14ac:dyDescent="0.2">
      <c r="A688" s="1">
        <v>45531</v>
      </c>
      <c r="B688" s="2" t="s">
        <v>20</v>
      </c>
      <c r="C688" s="2" t="s">
        <v>21</v>
      </c>
      <c r="D688" s="2" t="s">
        <v>25</v>
      </c>
      <c r="E688">
        <v>14211</v>
      </c>
      <c r="F688">
        <v>626</v>
      </c>
      <c r="G688">
        <v>39</v>
      </c>
      <c r="H688">
        <v>786.1</v>
      </c>
      <c r="I688">
        <v>4357.2299999999996</v>
      </c>
      <c r="J688">
        <v>4.41</v>
      </c>
      <c r="K688">
        <v>6.23</v>
      </c>
      <c r="L688">
        <v>20.16</v>
      </c>
      <c r="M688">
        <v>5.54</v>
      </c>
      <c r="N688">
        <v>3571.13</v>
      </c>
    </row>
    <row r="689" spans="1:14" x14ac:dyDescent="0.2">
      <c r="A689" s="1">
        <v>45531</v>
      </c>
      <c r="B689" s="2" t="s">
        <v>23</v>
      </c>
      <c r="C689" s="2" t="s">
        <v>21</v>
      </c>
      <c r="D689" s="2" t="s">
        <v>16</v>
      </c>
      <c r="E689">
        <v>4388</v>
      </c>
      <c r="F689">
        <v>69</v>
      </c>
      <c r="G689">
        <v>8</v>
      </c>
      <c r="H689">
        <v>864.65</v>
      </c>
      <c r="I689">
        <v>2403.9299999999998</v>
      </c>
      <c r="J689">
        <v>1.57</v>
      </c>
      <c r="K689">
        <v>11.59</v>
      </c>
      <c r="L689">
        <v>108.08</v>
      </c>
      <c r="M689">
        <v>2.78</v>
      </c>
      <c r="N689">
        <v>1539.28</v>
      </c>
    </row>
    <row r="690" spans="1:14" x14ac:dyDescent="0.2">
      <c r="A690" s="1">
        <v>45531</v>
      </c>
      <c r="B690" s="2" t="s">
        <v>24</v>
      </c>
      <c r="C690" s="2" t="s">
        <v>32</v>
      </c>
      <c r="D690" s="2" t="s">
        <v>22</v>
      </c>
      <c r="E690">
        <v>16144</v>
      </c>
      <c r="F690">
        <v>3400</v>
      </c>
      <c r="G690">
        <v>448</v>
      </c>
      <c r="H690">
        <v>206.5</v>
      </c>
      <c r="I690">
        <v>58181.43</v>
      </c>
      <c r="J690">
        <v>21.06</v>
      </c>
      <c r="K690">
        <v>13.18</v>
      </c>
      <c r="L690">
        <v>0.46</v>
      </c>
      <c r="M690">
        <v>281.75</v>
      </c>
      <c r="N690">
        <v>57974.93</v>
      </c>
    </row>
    <row r="691" spans="1:14" x14ac:dyDescent="0.2">
      <c r="A691" s="1">
        <v>45531</v>
      </c>
      <c r="B691" s="2" t="s">
        <v>26</v>
      </c>
      <c r="C691" s="2" t="s">
        <v>32</v>
      </c>
      <c r="D691" s="2" t="s">
        <v>22</v>
      </c>
      <c r="E691">
        <v>27585</v>
      </c>
      <c r="F691">
        <v>1196</v>
      </c>
      <c r="G691">
        <v>167</v>
      </c>
      <c r="H691">
        <v>0</v>
      </c>
      <c r="I691">
        <v>18528.78</v>
      </c>
      <c r="J691">
        <v>4.34</v>
      </c>
      <c r="K691">
        <v>13.96</v>
      </c>
      <c r="L691">
        <v>0</v>
      </c>
      <c r="M691">
        <v>0</v>
      </c>
      <c r="N691">
        <v>18528.78</v>
      </c>
    </row>
    <row r="692" spans="1:14" x14ac:dyDescent="0.2">
      <c r="A692" s="1">
        <v>45531</v>
      </c>
      <c r="B692" s="2" t="s">
        <v>27</v>
      </c>
      <c r="C692" s="2" t="s">
        <v>21</v>
      </c>
      <c r="D692" s="2" t="s">
        <v>19</v>
      </c>
      <c r="E692">
        <v>28140</v>
      </c>
      <c r="F692">
        <v>399</v>
      </c>
      <c r="G692">
        <v>17</v>
      </c>
      <c r="H692">
        <v>815.1</v>
      </c>
      <c r="I692">
        <v>1767.55</v>
      </c>
      <c r="J692">
        <v>1.42</v>
      </c>
      <c r="K692">
        <v>4.26</v>
      </c>
      <c r="L692">
        <v>47.95</v>
      </c>
      <c r="M692">
        <v>2.17</v>
      </c>
      <c r="N692">
        <v>952.45</v>
      </c>
    </row>
    <row r="693" spans="1:14" x14ac:dyDescent="0.2">
      <c r="A693" s="1">
        <v>45531</v>
      </c>
      <c r="B693" s="2" t="s">
        <v>29</v>
      </c>
      <c r="C693" s="2" t="s">
        <v>21</v>
      </c>
      <c r="D693" s="2" t="s">
        <v>25</v>
      </c>
      <c r="E693">
        <v>15309</v>
      </c>
      <c r="F693">
        <v>321</v>
      </c>
      <c r="G693">
        <v>22</v>
      </c>
      <c r="H693">
        <v>1109.6099999999999</v>
      </c>
      <c r="I693">
        <v>3275.84</v>
      </c>
      <c r="J693">
        <v>2.1</v>
      </c>
      <c r="K693">
        <v>6.85</v>
      </c>
      <c r="L693">
        <v>50.44</v>
      </c>
      <c r="M693">
        <v>2.95</v>
      </c>
      <c r="N693">
        <v>2166.23</v>
      </c>
    </row>
    <row r="694" spans="1:14" x14ac:dyDescent="0.2">
      <c r="A694" s="1">
        <v>45531</v>
      </c>
      <c r="B694" s="2" t="s">
        <v>30</v>
      </c>
      <c r="C694" s="2" t="s">
        <v>18</v>
      </c>
      <c r="D694" s="2" t="s">
        <v>19</v>
      </c>
      <c r="E694">
        <v>7655</v>
      </c>
      <c r="F694">
        <v>158</v>
      </c>
      <c r="G694">
        <v>5</v>
      </c>
      <c r="H694">
        <v>384.3</v>
      </c>
      <c r="I694">
        <v>504.72</v>
      </c>
      <c r="J694">
        <v>2.06</v>
      </c>
      <c r="K694">
        <v>3.16</v>
      </c>
      <c r="L694">
        <v>76.86</v>
      </c>
      <c r="M694">
        <v>1.31</v>
      </c>
      <c r="N694">
        <v>120.42</v>
      </c>
    </row>
    <row r="695" spans="1:14" x14ac:dyDescent="0.2">
      <c r="A695" s="1">
        <v>45531</v>
      </c>
      <c r="B695" s="2" t="s">
        <v>31</v>
      </c>
      <c r="C695" s="2" t="s">
        <v>21</v>
      </c>
      <c r="D695" s="2" t="s">
        <v>22</v>
      </c>
      <c r="E695">
        <v>19196</v>
      </c>
      <c r="F695">
        <v>628</v>
      </c>
      <c r="G695">
        <v>31</v>
      </c>
      <c r="H695">
        <v>724.1</v>
      </c>
      <c r="I695">
        <v>3432.07</v>
      </c>
      <c r="J695">
        <v>3.27</v>
      </c>
      <c r="K695">
        <v>4.9400000000000004</v>
      </c>
      <c r="L695">
        <v>23.36</v>
      </c>
      <c r="M695">
        <v>4.74</v>
      </c>
      <c r="N695">
        <v>2707.97</v>
      </c>
    </row>
    <row r="696" spans="1:14" x14ac:dyDescent="0.2">
      <c r="A696" s="1">
        <v>45531</v>
      </c>
      <c r="B696" s="2" t="s">
        <v>33</v>
      </c>
      <c r="C696" s="2" t="s">
        <v>32</v>
      </c>
      <c r="D696" s="2" t="s">
        <v>19</v>
      </c>
      <c r="E696">
        <v>5446</v>
      </c>
      <c r="F696">
        <v>289</v>
      </c>
      <c r="G696">
        <v>32</v>
      </c>
      <c r="H696">
        <v>393.26</v>
      </c>
      <c r="I696">
        <v>4305.75</v>
      </c>
      <c r="J696">
        <v>5.31</v>
      </c>
      <c r="K696">
        <v>11.07</v>
      </c>
      <c r="L696">
        <v>12.29</v>
      </c>
      <c r="M696">
        <v>10.95</v>
      </c>
      <c r="N696">
        <v>3912.49</v>
      </c>
    </row>
    <row r="697" spans="1:14" x14ac:dyDescent="0.2">
      <c r="A697" s="1">
        <v>45531</v>
      </c>
      <c r="B697" s="2" t="s">
        <v>34</v>
      </c>
      <c r="C697" s="2" t="s">
        <v>21</v>
      </c>
      <c r="D697" s="2" t="s">
        <v>16</v>
      </c>
      <c r="E697">
        <v>3606</v>
      </c>
      <c r="F697">
        <v>305</v>
      </c>
      <c r="G697">
        <v>45</v>
      </c>
      <c r="H697">
        <v>128.56</v>
      </c>
      <c r="I697">
        <v>5982.09</v>
      </c>
      <c r="J697">
        <v>8.4600000000000009</v>
      </c>
      <c r="K697">
        <v>14.75</v>
      </c>
      <c r="L697">
        <v>2.86</v>
      </c>
      <c r="M697">
        <v>46.53</v>
      </c>
      <c r="N697">
        <v>5853.53</v>
      </c>
    </row>
    <row r="698" spans="1:14" x14ac:dyDescent="0.2">
      <c r="A698" s="1">
        <v>45532</v>
      </c>
      <c r="B698" s="2" t="s">
        <v>14</v>
      </c>
      <c r="C698" s="2" t="s">
        <v>15</v>
      </c>
      <c r="D698" s="2" t="s">
        <v>16</v>
      </c>
      <c r="E698">
        <v>10579</v>
      </c>
      <c r="F698">
        <v>463</v>
      </c>
      <c r="G698">
        <v>48</v>
      </c>
      <c r="H698">
        <v>942.32</v>
      </c>
      <c r="I698">
        <v>7665.01</v>
      </c>
      <c r="J698">
        <v>4.38</v>
      </c>
      <c r="K698">
        <v>10.37</v>
      </c>
      <c r="L698">
        <v>19.63</v>
      </c>
      <c r="M698">
        <v>8.1300000000000008</v>
      </c>
      <c r="N698">
        <v>6722.69</v>
      </c>
    </row>
    <row r="699" spans="1:14" x14ac:dyDescent="0.2">
      <c r="A699" s="1">
        <v>45532</v>
      </c>
      <c r="B699" s="2" t="s">
        <v>17</v>
      </c>
      <c r="C699" s="2" t="s">
        <v>21</v>
      </c>
      <c r="D699" s="2" t="s">
        <v>16</v>
      </c>
      <c r="E699">
        <v>11726</v>
      </c>
      <c r="F699">
        <v>388</v>
      </c>
      <c r="G699">
        <v>32</v>
      </c>
      <c r="H699">
        <v>650.78</v>
      </c>
      <c r="I699">
        <v>4175.5600000000004</v>
      </c>
      <c r="J699">
        <v>3.31</v>
      </c>
      <c r="K699">
        <v>8.25</v>
      </c>
      <c r="L699">
        <v>20.34</v>
      </c>
      <c r="M699">
        <v>6.42</v>
      </c>
      <c r="N699">
        <v>3524.78</v>
      </c>
    </row>
    <row r="700" spans="1:14" x14ac:dyDescent="0.2">
      <c r="A700" s="1">
        <v>45532</v>
      </c>
      <c r="B700" s="2" t="s">
        <v>20</v>
      </c>
      <c r="C700" s="2" t="s">
        <v>35</v>
      </c>
      <c r="D700" s="2" t="s">
        <v>22</v>
      </c>
      <c r="E700">
        <v>8720</v>
      </c>
      <c r="F700">
        <v>230</v>
      </c>
      <c r="G700">
        <v>16</v>
      </c>
      <c r="H700">
        <v>466.72</v>
      </c>
      <c r="I700">
        <v>1768.03</v>
      </c>
      <c r="J700">
        <v>2.64</v>
      </c>
      <c r="K700">
        <v>6.96</v>
      </c>
      <c r="L700">
        <v>29.17</v>
      </c>
      <c r="M700">
        <v>3.79</v>
      </c>
      <c r="N700">
        <v>1301.31</v>
      </c>
    </row>
    <row r="701" spans="1:14" x14ac:dyDescent="0.2">
      <c r="A701" s="1">
        <v>45532</v>
      </c>
      <c r="B701" s="2" t="s">
        <v>23</v>
      </c>
      <c r="C701" s="2" t="s">
        <v>32</v>
      </c>
      <c r="D701" s="2" t="s">
        <v>19</v>
      </c>
      <c r="E701">
        <v>3590</v>
      </c>
      <c r="F701">
        <v>58</v>
      </c>
      <c r="G701">
        <v>7</v>
      </c>
      <c r="H701">
        <v>977.24</v>
      </c>
      <c r="I701">
        <v>1686.61</v>
      </c>
      <c r="J701">
        <v>1.62</v>
      </c>
      <c r="K701">
        <v>12.07</v>
      </c>
      <c r="L701">
        <v>139.61000000000001</v>
      </c>
      <c r="M701">
        <v>1.73</v>
      </c>
      <c r="N701">
        <v>709.37</v>
      </c>
    </row>
    <row r="702" spans="1:14" x14ac:dyDescent="0.2">
      <c r="A702" s="1">
        <v>45532</v>
      </c>
      <c r="B702" s="2" t="s">
        <v>24</v>
      </c>
      <c r="C702" s="2" t="s">
        <v>18</v>
      </c>
      <c r="D702" s="2" t="s">
        <v>22</v>
      </c>
      <c r="E702">
        <v>18581</v>
      </c>
      <c r="F702">
        <v>3163</v>
      </c>
      <c r="G702">
        <v>425</v>
      </c>
      <c r="H702">
        <v>213.44</v>
      </c>
      <c r="I702">
        <v>51481.279999999999</v>
      </c>
      <c r="J702">
        <v>17.02</v>
      </c>
      <c r="K702">
        <v>13.44</v>
      </c>
      <c r="L702">
        <v>0.5</v>
      </c>
      <c r="M702">
        <v>241.2</v>
      </c>
      <c r="N702">
        <v>51267.839999999997</v>
      </c>
    </row>
    <row r="703" spans="1:14" x14ac:dyDescent="0.2">
      <c r="A703" s="1">
        <v>45532</v>
      </c>
      <c r="B703" s="2" t="s">
        <v>26</v>
      </c>
      <c r="C703" s="2" t="s">
        <v>35</v>
      </c>
      <c r="D703" s="2" t="s">
        <v>16</v>
      </c>
      <c r="E703">
        <v>20199</v>
      </c>
      <c r="F703">
        <v>1356</v>
      </c>
      <c r="G703">
        <v>152</v>
      </c>
      <c r="H703">
        <v>0</v>
      </c>
      <c r="I703">
        <v>23345.919999999998</v>
      </c>
      <c r="J703">
        <v>6.71</v>
      </c>
      <c r="K703">
        <v>11.21</v>
      </c>
      <c r="L703">
        <v>0</v>
      </c>
      <c r="M703">
        <v>0</v>
      </c>
      <c r="N703">
        <v>23345.919999999998</v>
      </c>
    </row>
    <row r="704" spans="1:14" x14ac:dyDescent="0.2">
      <c r="A704" s="1">
        <v>45532</v>
      </c>
      <c r="B704" s="2" t="s">
        <v>27</v>
      </c>
      <c r="C704" s="2" t="s">
        <v>21</v>
      </c>
      <c r="D704" s="2" t="s">
        <v>36</v>
      </c>
      <c r="E704">
        <v>33966</v>
      </c>
      <c r="F704">
        <v>390</v>
      </c>
      <c r="G704">
        <v>16</v>
      </c>
      <c r="H704">
        <v>778.32</v>
      </c>
      <c r="I704">
        <v>2246.09</v>
      </c>
      <c r="J704">
        <v>1.1499999999999999</v>
      </c>
      <c r="K704">
        <v>4.0999999999999996</v>
      </c>
      <c r="L704">
        <v>48.64</v>
      </c>
      <c r="M704">
        <v>2.89</v>
      </c>
      <c r="N704">
        <v>1467.77</v>
      </c>
    </row>
    <row r="705" spans="1:14" x14ac:dyDescent="0.2">
      <c r="A705" s="1">
        <v>45532</v>
      </c>
      <c r="B705" s="2" t="s">
        <v>29</v>
      </c>
      <c r="C705" s="2" t="s">
        <v>32</v>
      </c>
      <c r="D705" s="2" t="s">
        <v>16</v>
      </c>
      <c r="E705">
        <v>14308</v>
      </c>
      <c r="F705">
        <v>421</v>
      </c>
      <c r="G705">
        <v>23</v>
      </c>
      <c r="H705">
        <v>680.81</v>
      </c>
      <c r="I705">
        <v>3354.7</v>
      </c>
      <c r="J705">
        <v>2.94</v>
      </c>
      <c r="K705">
        <v>5.46</v>
      </c>
      <c r="L705">
        <v>29.6</v>
      </c>
      <c r="M705">
        <v>4.93</v>
      </c>
      <c r="N705">
        <v>2673.89</v>
      </c>
    </row>
    <row r="706" spans="1:14" x14ac:dyDescent="0.2">
      <c r="A706" s="1">
        <v>45532</v>
      </c>
      <c r="B706" s="2" t="s">
        <v>30</v>
      </c>
      <c r="C706" s="2" t="s">
        <v>15</v>
      </c>
      <c r="D706" s="2" t="s">
        <v>16</v>
      </c>
      <c r="E706">
        <v>10428</v>
      </c>
      <c r="F706">
        <v>228</v>
      </c>
      <c r="G706">
        <v>12</v>
      </c>
      <c r="H706">
        <v>643.79999999999995</v>
      </c>
      <c r="I706">
        <v>1132.2</v>
      </c>
      <c r="J706">
        <v>2.19</v>
      </c>
      <c r="K706">
        <v>5.26</v>
      </c>
      <c r="L706">
        <v>53.65</v>
      </c>
      <c r="M706">
        <v>1.76</v>
      </c>
      <c r="N706">
        <v>488.4</v>
      </c>
    </row>
    <row r="707" spans="1:14" x14ac:dyDescent="0.2">
      <c r="A707" s="1">
        <v>45532</v>
      </c>
      <c r="B707" s="2" t="s">
        <v>31</v>
      </c>
      <c r="C707" s="2" t="s">
        <v>28</v>
      </c>
      <c r="D707" s="2" t="s">
        <v>36</v>
      </c>
      <c r="E707">
        <v>21412</v>
      </c>
      <c r="F707">
        <v>599</v>
      </c>
      <c r="G707">
        <v>34</v>
      </c>
      <c r="H707">
        <v>595.05999999999995</v>
      </c>
      <c r="I707">
        <v>2428.38</v>
      </c>
      <c r="J707">
        <v>2.8</v>
      </c>
      <c r="K707">
        <v>5.68</v>
      </c>
      <c r="L707">
        <v>17.5</v>
      </c>
      <c r="M707">
        <v>4.08</v>
      </c>
      <c r="N707">
        <v>1833.32</v>
      </c>
    </row>
    <row r="708" spans="1:14" x14ac:dyDescent="0.2">
      <c r="A708" s="1">
        <v>45532</v>
      </c>
      <c r="B708" s="2" t="s">
        <v>33</v>
      </c>
      <c r="C708" s="2" t="s">
        <v>35</v>
      </c>
      <c r="D708" s="2" t="s">
        <v>25</v>
      </c>
      <c r="E708">
        <v>7355</v>
      </c>
      <c r="F708">
        <v>399</v>
      </c>
      <c r="G708">
        <v>39</v>
      </c>
      <c r="H708">
        <v>371.81</v>
      </c>
      <c r="I708">
        <v>5655.72</v>
      </c>
      <c r="J708">
        <v>5.42</v>
      </c>
      <c r="K708">
        <v>9.77</v>
      </c>
      <c r="L708">
        <v>9.5299999999999994</v>
      </c>
      <c r="M708">
        <v>15.21</v>
      </c>
      <c r="N708">
        <v>5283.91</v>
      </c>
    </row>
    <row r="709" spans="1:14" x14ac:dyDescent="0.2">
      <c r="A709" s="1">
        <v>45532</v>
      </c>
      <c r="B709" s="2" t="s">
        <v>34</v>
      </c>
      <c r="C709" s="2" t="s">
        <v>32</v>
      </c>
      <c r="D709" s="2" t="s">
        <v>16</v>
      </c>
      <c r="E709">
        <v>3541</v>
      </c>
      <c r="F709">
        <v>213</v>
      </c>
      <c r="G709">
        <v>28</v>
      </c>
      <c r="H709">
        <v>119.11</v>
      </c>
      <c r="I709">
        <v>3561.23</v>
      </c>
      <c r="J709">
        <v>6.02</v>
      </c>
      <c r="K709">
        <v>13.15</v>
      </c>
      <c r="L709">
        <v>4.25</v>
      </c>
      <c r="M709">
        <v>29.9</v>
      </c>
      <c r="N709">
        <v>3442.12</v>
      </c>
    </row>
    <row r="710" spans="1:14" x14ac:dyDescent="0.2">
      <c r="A710" s="1">
        <v>45533</v>
      </c>
      <c r="B710" s="2" t="s">
        <v>14</v>
      </c>
      <c r="C710" s="2" t="s">
        <v>28</v>
      </c>
      <c r="D710" s="2" t="s">
        <v>25</v>
      </c>
      <c r="E710">
        <v>11344</v>
      </c>
      <c r="F710">
        <v>380</v>
      </c>
      <c r="G710">
        <v>30</v>
      </c>
      <c r="H710">
        <v>1123.2</v>
      </c>
      <c r="I710">
        <v>3680.99</v>
      </c>
      <c r="J710">
        <v>3.35</v>
      </c>
      <c r="K710">
        <v>7.89</v>
      </c>
      <c r="L710">
        <v>37.44</v>
      </c>
      <c r="M710">
        <v>3.28</v>
      </c>
      <c r="N710">
        <v>2557.79</v>
      </c>
    </row>
    <row r="711" spans="1:14" x14ac:dyDescent="0.2">
      <c r="A711" s="1">
        <v>45533</v>
      </c>
      <c r="B711" s="2" t="s">
        <v>17</v>
      </c>
      <c r="C711" s="2" t="s">
        <v>21</v>
      </c>
      <c r="D711" s="2" t="s">
        <v>25</v>
      </c>
      <c r="E711">
        <v>11672</v>
      </c>
      <c r="F711">
        <v>368</v>
      </c>
      <c r="G711">
        <v>25</v>
      </c>
      <c r="H711">
        <v>546.75</v>
      </c>
      <c r="I711">
        <v>2492.9299999999998</v>
      </c>
      <c r="J711">
        <v>3.15</v>
      </c>
      <c r="K711">
        <v>6.79</v>
      </c>
      <c r="L711">
        <v>21.87</v>
      </c>
      <c r="M711">
        <v>4.5599999999999996</v>
      </c>
      <c r="N711">
        <v>1946.18</v>
      </c>
    </row>
    <row r="712" spans="1:14" x14ac:dyDescent="0.2">
      <c r="A712" s="1">
        <v>45533</v>
      </c>
      <c r="B712" s="2" t="s">
        <v>20</v>
      </c>
      <c r="C712" s="2" t="s">
        <v>18</v>
      </c>
      <c r="D712" s="2" t="s">
        <v>25</v>
      </c>
      <c r="E712">
        <v>14404</v>
      </c>
      <c r="F712">
        <v>604</v>
      </c>
      <c r="G712">
        <v>23</v>
      </c>
      <c r="H712">
        <v>475.41</v>
      </c>
      <c r="I712">
        <v>2336.8200000000002</v>
      </c>
      <c r="J712">
        <v>4.1900000000000004</v>
      </c>
      <c r="K712">
        <v>3.81</v>
      </c>
      <c r="L712">
        <v>20.67</v>
      </c>
      <c r="M712">
        <v>4.92</v>
      </c>
      <c r="N712">
        <v>1861.41</v>
      </c>
    </row>
    <row r="713" spans="1:14" x14ac:dyDescent="0.2">
      <c r="A713" s="1">
        <v>45533</v>
      </c>
      <c r="B713" s="2" t="s">
        <v>23</v>
      </c>
      <c r="C713" s="2" t="s">
        <v>35</v>
      </c>
      <c r="D713" s="2" t="s">
        <v>36</v>
      </c>
      <c r="E713">
        <v>3631</v>
      </c>
      <c r="F713">
        <v>55</v>
      </c>
      <c r="G713">
        <v>7</v>
      </c>
      <c r="H713">
        <v>1074.25</v>
      </c>
      <c r="I713">
        <v>1544.91</v>
      </c>
      <c r="J713">
        <v>1.51</v>
      </c>
      <c r="K713">
        <v>12.73</v>
      </c>
      <c r="L713">
        <v>153.46</v>
      </c>
      <c r="M713">
        <v>1.44</v>
      </c>
      <c r="N713">
        <v>470.66</v>
      </c>
    </row>
    <row r="714" spans="1:14" x14ac:dyDescent="0.2">
      <c r="A714" s="1">
        <v>45533</v>
      </c>
      <c r="B714" s="2" t="s">
        <v>24</v>
      </c>
      <c r="C714" s="2" t="s">
        <v>15</v>
      </c>
      <c r="D714" s="2" t="s">
        <v>16</v>
      </c>
      <c r="E714">
        <v>20638</v>
      </c>
      <c r="F714">
        <v>3483</v>
      </c>
      <c r="G714">
        <v>452</v>
      </c>
      <c r="H714">
        <v>117.88</v>
      </c>
      <c r="I714">
        <v>50971.59</v>
      </c>
      <c r="J714">
        <v>16.88</v>
      </c>
      <c r="K714">
        <v>12.98</v>
      </c>
      <c r="L714">
        <v>0.26</v>
      </c>
      <c r="M714">
        <v>432.4</v>
      </c>
      <c r="N714">
        <v>50853.71</v>
      </c>
    </row>
    <row r="715" spans="1:14" x14ac:dyDescent="0.2">
      <c r="A715" s="1">
        <v>45533</v>
      </c>
      <c r="B715" s="2" t="s">
        <v>26</v>
      </c>
      <c r="C715" s="2" t="s">
        <v>18</v>
      </c>
      <c r="D715" s="2" t="s">
        <v>36</v>
      </c>
      <c r="E715">
        <v>29052</v>
      </c>
      <c r="F715">
        <v>1862</v>
      </c>
      <c r="G715">
        <v>210</v>
      </c>
      <c r="H715">
        <v>0</v>
      </c>
      <c r="I715">
        <v>25246.87</v>
      </c>
      <c r="J715">
        <v>6.41</v>
      </c>
      <c r="K715">
        <v>11.28</v>
      </c>
      <c r="L715">
        <v>0</v>
      </c>
      <c r="M715">
        <v>0</v>
      </c>
      <c r="N715">
        <v>25246.87</v>
      </c>
    </row>
    <row r="716" spans="1:14" x14ac:dyDescent="0.2">
      <c r="A716" s="1">
        <v>45533</v>
      </c>
      <c r="B716" s="2" t="s">
        <v>27</v>
      </c>
      <c r="C716" s="2" t="s">
        <v>28</v>
      </c>
      <c r="D716" s="2" t="s">
        <v>36</v>
      </c>
      <c r="E716">
        <v>27445</v>
      </c>
      <c r="F716">
        <v>412</v>
      </c>
      <c r="G716">
        <v>8</v>
      </c>
      <c r="H716">
        <v>914.77</v>
      </c>
      <c r="I716">
        <v>949.56</v>
      </c>
      <c r="J716">
        <v>1.5</v>
      </c>
      <c r="K716">
        <v>1.94</v>
      </c>
      <c r="L716">
        <v>114.35</v>
      </c>
      <c r="M716">
        <v>1.04</v>
      </c>
      <c r="N716">
        <v>34.79</v>
      </c>
    </row>
    <row r="717" spans="1:14" x14ac:dyDescent="0.2">
      <c r="A717" s="1">
        <v>45533</v>
      </c>
      <c r="B717" s="2" t="s">
        <v>29</v>
      </c>
      <c r="C717" s="2" t="s">
        <v>15</v>
      </c>
      <c r="D717" s="2" t="s">
        <v>16</v>
      </c>
      <c r="E717">
        <v>13401</v>
      </c>
      <c r="F717">
        <v>277</v>
      </c>
      <c r="G717">
        <v>17</v>
      </c>
      <c r="H717">
        <v>800.51</v>
      </c>
      <c r="I717">
        <v>2410.5300000000002</v>
      </c>
      <c r="J717">
        <v>2.0699999999999998</v>
      </c>
      <c r="K717">
        <v>6.14</v>
      </c>
      <c r="L717">
        <v>47.09</v>
      </c>
      <c r="M717">
        <v>3.01</v>
      </c>
      <c r="N717">
        <v>1610.02</v>
      </c>
    </row>
    <row r="718" spans="1:14" x14ac:dyDescent="0.2">
      <c r="A718" s="1">
        <v>45533</v>
      </c>
      <c r="B718" s="2" t="s">
        <v>30</v>
      </c>
      <c r="C718" s="2" t="s">
        <v>28</v>
      </c>
      <c r="D718" s="2" t="s">
        <v>36</v>
      </c>
      <c r="E718">
        <v>11050</v>
      </c>
      <c r="F718">
        <v>333</v>
      </c>
      <c r="G718">
        <v>10</v>
      </c>
      <c r="H718">
        <v>604.05999999999995</v>
      </c>
      <c r="I718">
        <v>815.89</v>
      </c>
      <c r="J718">
        <v>3.01</v>
      </c>
      <c r="K718">
        <v>3</v>
      </c>
      <c r="L718">
        <v>60.41</v>
      </c>
      <c r="M718">
        <v>1.35</v>
      </c>
      <c r="N718">
        <v>211.83</v>
      </c>
    </row>
    <row r="719" spans="1:14" x14ac:dyDescent="0.2">
      <c r="A719" s="1">
        <v>45533</v>
      </c>
      <c r="B719" s="2" t="s">
        <v>31</v>
      </c>
      <c r="C719" s="2" t="s">
        <v>18</v>
      </c>
      <c r="D719" s="2" t="s">
        <v>16</v>
      </c>
      <c r="E719">
        <v>23172</v>
      </c>
      <c r="F719">
        <v>667</v>
      </c>
      <c r="G719">
        <v>32</v>
      </c>
      <c r="H719">
        <v>882.33</v>
      </c>
      <c r="I719">
        <v>2342.89</v>
      </c>
      <c r="J719">
        <v>2.88</v>
      </c>
      <c r="K719">
        <v>4.8</v>
      </c>
      <c r="L719">
        <v>27.57</v>
      </c>
      <c r="M719">
        <v>2.66</v>
      </c>
      <c r="N719">
        <v>1460.56</v>
      </c>
    </row>
    <row r="720" spans="1:14" x14ac:dyDescent="0.2">
      <c r="A720" s="1">
        <v>45533</v>
      </c>
      <c r="B720" s="2" t="s">
        <v>33</v>
      </c>
      <c r="C720" s="2" t="s">
        <v>35</v>
      </c>
      <c r="D720" s="2" t="s">
        <v>25</v>
      </c>
      <c r="E720">
        <v>5089</v>
      </c>
      <c r="F720">
        <v>241</v>
      </c>
      <c r="G720">
        <v>28</v>
      </c>
      <c r="H720">
        <v>384.42</v>
      </c>
      <c r="I720">
        <v>3362.03</v>
      </c>
      <c r="J720">
        <v>4.74</v>
      </c>
      <c r="K720">
        <v>11.62</v>
      </c>
      <c r="L720">
        <v>13.73</v>
      </c>
      <c r="M720">
        <v>8.75</v>
      </c>
      <c r="N720">
        <v>2977.61</v>
      </c>
    </row>
    <row r="721" spans="1:14" x14ac:dyDescent="0.2">
      <c r="A721" s="1">
        <v>45533</v>
      </c>
      <c r="B721" s="2" t="s">
        <v>34</v>
      </c>
      <c r="C721" s="2" t="s">
        <v>21</v>
      </c>
      <c r="D721" s="2" t="s">
        <v>16</v>
      </c>
      <c r="E721">
        <v>3352</v>
      </c>
      <c r="F721">
        <v>244</v>
      </c>
      <c r="G721">
        <v>39</v>
      </c>
      <c r="H721">
        <v>80.900000000000006</v>
      </c>
      <c r="I721">
        <v>5439.37</v>
      </c>
      <c r="J721">
        <v>7.28</v>
      </c>
      <c r="K721">
        <v>15.98</v>
      </c>
      <c r="L721">
        <v>2.0699999999999998</v>
      </c>
      <c r="M721">
        <v>67.239999999999995</v>
      </c>
      <c r="N721">
        <v>5358.47</v>
      </c>
    </row>
    <row r="722" spans="1:14" x14ac:dyDescent="0.2">
      <c r="A722" s="1">
        <v>45534</v>
      </c>
      <c r="B722" s="2" t="s">
        <v>14</v>
      </c>
      <c r="C722" s="2" t="s">
        <v>21</v>
      </c>
      <c r="D722" s="2" t="s">
        <v>19</v>
      </c>
      <c r="E722">
        <v>9399</v>
      </c>
      <c r="F722">
        <v>380</v>
      </c>
      <c r="G722">
        <v>34</v>
      </c>
      <c r="H722">
        <v>687.06</v>
      </c>
      <c r="I722">
        <v>5353.56</v>
      </c>
      <c r="J722">
        <v>4.04</v>
      </c>
      <c r="K722">
        <v>8.9499999999999993</v>
      </c>
      <c r="L722">
        <v>20.21</v>
      </c>
      <c r="M722">
        <v>7.79</v>
      </c>
      <c r="N722">
        <v>4666.5</v>
      </c>
    </row>
    <row r="723" spans="1:14" x14ac:dyDescent="0.2">
      <c r="A723" s="1">
        <v>45534</v>
      </c>
      <c r="B723" s="2" t="s">
        <v>17</v>
      </c>
      <c r="C723" s="2" t="s">
        <v>32</v>
      </c>
      <c r="D723" s="2" t="s">
        <v>25</v>
      </c>
      <c r="E723">
        <v>16756</v>
      </c>
      <c r="F723">
        <v>379</v>
      </c>
      <c r="G723">
        <v>28</v>
      </c>
      <c r="H723">
        <v>858.6</v>
      </c>
      <c r="I723">
        <v>3180.85</v>
      </c>
      <c r="J723">
        <v>2.2599999999999998</v>
      </c>
      <c r="K723">
        <v>7.39</v>
      </c>
      <c r="L723">
        <v>30.66</v>
      </c>
      <c r="M723">
        <v>3.7</v>
      </c>
      <c r="N723">
        <v>2322.25</v>
      </c>
    </row>
    <row r="724" spans="1:14" x14ac:dyDescent="0.2">
      <c r="A724" s="1">
        <v>45534</v>
      </c>
      <c r="B724" s="2" t="s">
        <v>20</v>
      </c>
      <c r="C724" s="2" t="s">
        <v>32</v>
      </c>
      <c r="D724" s="2" t="s">
        <v>19</v>
      </c>
      <c r="E724">
        <v>12898</v>
      </c>
      <c r="F724">
        <v>391</v>
      </c>
      <c r="G724">
        <v>22</v>
      </c>
      <c r="H724">
        <v>690.54</v>
      </c>
      <c r="I724">
        <v>1750.92</v>
      </c>
      <c r="J724">
        <v>3.03</v>
      </c>
      <c r="K724">
        <v>5.63</v>
      </c>
      <c r="L724">
        <v>31.39</v>
      </c>
      <c r="M724">
        <v>2.54</v>
      </c>
      <c r="N724">
        <v>1060.3800000000001</v>
      </c>
    </row>
    <row r="725" spans="1:14" x14ac:dyDescent="0.2">
      <c r="A725" s="1">
        <v>45534</v>
      </c>
      <c r="B725" s="2" t="s">
        <v>23</v>
      </c>
      <c r="C725" s="2" t="s">
        <v>28</v>
      </c>
      <c r="D725" s="2" t="s">
        <v>25</v>
      </c>
      <c r="E725">
        <v>4653</v>
      </c>
      <c r="F725">
        <v>132</v>
      </c>
      <c r="G725">
        <v>12</v>
      </c>
      <c r="H725">
        <v>851.26</v>
      </c>
      <c r="I725">
        <v>3204.9</v>
      </c>
      <c r="J725">
        <v>2.84</v>
      </c>
      <c r="K725">
        <v>9.09</v>
      </c>
      <c r="L725">
        <v>70.94</v>
      </c>
      <c r="M725">
        <v>3.76</v>
      </c>
      <c r="N725">
        <v>2353.64</v>
      </c>
    </row>
    <row r="726" spans="1:14" x14ac:dyDescent="0.2">
      <c r="A726" s="1">
        <v>45534</v>
      </c>
      <c r="B726" s="2" t="s">
        <v>24</v>
      </c>
      <c r="C726" s="2" t="s">
        <v>32</v>
      </c>
      <c r="D726" s="2" t="s">
        <v>19</v>
      </c>
      <c r="E726">
        <v>18832</v>
      </c>
      <c r="F726">
        <v>2924</v>
      </c>
      <c r="G726">
        <v>408</v>
      </c>
      <c r="H726">
        <v>157.09</v>
      </c>
      <c r="I726">
        <v>60912.160000000003</v>
      </c>
      <c r="J726">
        <v>15.53</v>
      </c>
      <c r="K726">
        <v>13.95</v>
      </c>
      <c r="L726">
        <v>0.39</v>
      </c>
      <c r="M726">
        <v>387.75</v>
      </c>
      <c r="N726">
        <v>60755.07</v>
      </c>
    </row>
    <row r="727" spans="1:14" x14ac:dyDescent="0.2">
      <c r="A727" s="1">
        <v>45534</v>
      </c>
      <c r="B727" s="2" t="s">
        <v>26</v>
      </c>
      <c r="C727" s="2" t="s">
        <v>28</v>
      </c>
      <c r="D727" s="2" t="s">
        <v>25</v>
      </c>
      <c r="E727">
        <v>21917</v>
      </c>
      <c r="F727">
        <v>895</v>
      </c>
      <c r="G727">
        <v>129</v>
      </c>
      <c r="H727">
        <v>0</v>
      </c>
      <c r="I727">
        <v>12942.08</v>
      </c>
      <c r="J727">
        <v>4.08</v>
      </c>
      <c r="K727">
        <v>14.41</v>
      </c>
      <c r="L727">
        <v>0</v>
      </c>
      <c r="M727">
        <v>0</v>
      </c>
      <c r="N727">
        <v>12942.08</v>
      </c>
    </row>
    <row r="728" spans="1:14" x14ac:dyDescent="0.2">
      <c r="A728" s="1">
        <v>45534</v>
      </c>
      <c r="B728" s="2" t="s">
        <v>27</v>
      </c>
      <c r="C728" s="2" t="s">
        <v>32</v>
      </c>
      <c r="D728" s="2" t="s">
        <v>36</v>
      </c>
      <c r="E728">
        <v>32532</v>
      </c>
      <c r="F728">
        <v>449</v>
      </c>
      <c r="G728">
        <v>11</v>
      </c>
      <c r="H728">
        <v>972.2</v>
      </c>
      <c r="I728">
        <v>1142.8800000000001</v>
      </c>
      <c r="J728">
        <v>1.38</v>
      </c>
      <c r="K728">
        <v>2.4500000000000002</v>
      </c>
      <c r="L728">
        <v>88.38</v>
      </c>
      <c r="M728">
        <v>1.18</v>
      </c>
      <c r="N728">
        <v>170.68</v>
      </c>
    </row>
    <row r="729" spans="1:14" x14ac:dyDescent="0.2">
      <c r="A729" s="1">
        <v>45534</v>
      </c>
      <c r="B729" s="2" t="s">
        <v>29</v>
      </c>
      <c r="C729" s="2" t="s">
        <v>18</v>
      </c>
      <c r="D729" s="2" t="s">
        <v>16</v>
      </c>
      <c r="E729">
        <v>15053</v>
      </c>
      <c r="F729">
        <v>396</v>
      </c>
      <c r="G729">
        <v>24</v>
      </c>
      <c r="H729">
        <v>1052.6300000000001</v>
      </c>
      <c r="I729">
        <v>3221.73</v>
      </c>
      <c r="J729">
        <v>2.63</v>
      </c>
      <c r="K729">
        <v>6.06</v>
      </c>
      <c r="L729">
        <v>43.86</v>
      </c>
      <c r="M729">
        <v>3.06</v>
      </c>
      <c r="N729">
        <v>2169.1</v>
      </c>
    </row>
    <row r="730" spans="1:14" x14ac:dyDescent="0.2">
      <c r="A730" s="1">
        <v>45534</v>
      </c>
      <c r="B730" s="2" t="s">
        <v>30</v>
      </c>
      <c r="C730" s="2" t="s">
        <v>15</v>
      </c>
      <c r="D730" s="2" t="s">
        <v>25</v>
      </c>
      <c r="E730">
        <v>11590</v>
      </c>
      <c r="F730">
        <v>260</v>
      </c>
      <c r="G730">
        <v>11</v>
      </c>
      <c r="H730">
        <v>535.66999999999996</v>
      </c>
      <c r="I730">
        <v>1008.9</v>
      </c>
      <c r="J730">
        <v>2.2400000000000002</v>
      </c>
      <c r="K730">
        <v>4.2300000000000004</v>
      </c>
      <c r="L730">
        <v>48.7</v>
      </c>
      <c r="M730">
        <v>1.88</v>
      </c>
      <c r="N730">
        <v>473.23</v>
      </c>
    </row>
    <row r="731" spans="1:14" x14ac:dyDescent="0.2">
      <c r="A731" s="1">
        <v>45534</v>
      </c>
      <c r="B731" s="2" t="s">
        <v>31</v>
      </c>
      <c r="C731" s="2" t="s">
        <v>15</v>
      </c>
      <c r="D731" s="2" t="s">
        <v>22</v>
      </c>
      <c r="E731">
        <v>17836</v>
      </c>
      <c r="F731">
        <v>589</v>
      </c>
      <c r="G731">
        <v>40</v>
      </c>
      <c r="H731">
        <v>517.94000000000005</v>
      </c>
      <c r="I731">
        <v>3709.66</v>
      </c>
      <c r="J731">
        <v>3.3</v>
      </c>
      <c r="K731">
        <v>6.79</v>
      </c>
      <c r="L731">
        <v>12.95</v>
      </c>
      <c r="M731">
        <v>7.16</v>
      </c>
      <c r="N731">
        <v>3191.72</v>
      </c>
    </row>
    <row r="732" spans="1:14" x14ac:dyDescent="0.2">
      <c r="A732" s="1">
        <v>45534</v>
      </c>
      <c r="B732" s="2" t="s">
        <v>33</v>
      </c>
      <c r="C732" s="2" t="s">
        <v>28</v>
      </c>
      <c r="D732" s="2" t="s">
        <v>36</v>
      </c>
      <c r="E732">
        <v>5958</v>
      </c>
      <c r="F732">
        <v>404</v>
      </c>
      <c r="G732">
        <v>51</v>
      </c>
      <c r="H732">
        <v>411.94</v>
      </c>
      <c r="I732">
        <v>6174.6</v>
      </c>
      <c r="J732">
        <v>6.78</v>
      </c>
      <c r="K732">
        <v>12.62</v>
      </c>
      <c r="L732">
        <v>8.08</v>
      </c>
      <c r="M732">
        <v>14.99</v>
      </c>
      <c r="N732">
        <v>5762.66</v>
      </c>
    </row>
    <row r="733" spans="1:14" x14ac:dyDescent="0.2">
      <c r="A733" s="1">
        <v>45534</v>
      </c>
      <c r="B733" s="2" t="s">
        <v>34</v>
      </c>
      <c r="C733" s="2" t="s">
        <v>21</v>
      </c>
      <c r="D733" s="2" t="s">
        <v>36</v>
      </c>
      <c r="E733">
        <v>5385</v>
      </c>
      <c r="F733">
        <v>510</v>
      </c>
      <c r="G733">
        <v>89</v>
      </c>
      <c r="H733">
        <v>135.16999999999999</v>
      </c>
      <c r="I733">
        <v>12511.57</v>
      </c>
      <c r="J733">
        <v>9.4700000000000006</v>
      </c>
      <c r="K733">
        <v>17.45</v>
      </c>
      <c r="L733">
        <v>1.52</v>
      </c>
      <c r="M733">
        <v>92.56</v>
      </c>
      <c r="N733">
        <v>12376.4</v>
      </c>
    </row>
    <row r="734" spans="1:14" x14ac:dyDescent="0.2">
      <c r="A734" s="1">
        <v>45535</v>
      </c>
      <c r="B734" s="2" t="s">
        <v>14</v>
      </c>
      <c r="C734" s="2" t="s">
        <v>35</v>
      </c>
      <c r="D734" s="2" t="s">
        <v>36</v>
      </c>
      <c r="E734">
        <v>6525</v>
      </c>
      <c r="F734">
        <v>225</v>
      </c>
      <c r="G734">
        <v>20</v>
      </c>
      <c r="H734">
        <v>542.04999999999995</v>
      </c>
      <c r="I734">
        <v>3341.97</v>
      </c>
      <c r="J734">
        <v>3.45</v>
      </c>
      <c r="K734">
        <v>8.89</v>
      </c>
      <c r="L734">
        <v>27.1</v>
      </c>
      <c r="M734">
        <v>6.17</v>
      </c>
      <c r="N734">
        <v>2799.92</v>
      </c>
    </row>
    <row r="735" spans="1:14" x14ac:dyDescent="0.2">
      <c r="A735" s="1">
        <v>45535</v>
      </c>
      <c r="B735" s="2" t="s">
        <v>17</v>
      </c>
      <c r="C735" s="2" t="s">
        <v>28</v>
      </c>
      <c r="D735" s="2" t="s">
        <v>36</v>
      </c>
      <c r="E735">
        <v>8756</v>
      </c>
      <c r="F735">
        <v>185</v>
      </c>
      <c r="G735">
        <v>11</v>
      </c>
      <c r="H735">
        <v>562.54</v>
      </c>
      <c r="I735">
        <v>1346.87</v>
      </c>
      <c r="J735">
        <v>2.11</v>
      </c>
      <c r="K735">
        <v>5.95</v>
      </c>
      <c r="L735">
        <v>51.14</v>
      </c>
      <c r="M735">
        <v>2.39</v>
      </c>
      <c r="N735">
        <v>784.33</v>
      </c>
    </row>
    <row r="736" spans="1:14" x14ac:dyDescent="0.2">
      <c r="A736" s="1">
        <v>45535</v>
      </c>
      <c r="B736" s="2" t="s">
        <v>20</v>
      </c>
      <c r="C736" s="2" t="s">
        <v>15</v>
      </c>
      <c r="D736" s="2" t="s">
        <v>16</v>
      </c>
      <c r="E736">
        <v>10031</v>
      </c>
      <c r="F736">
        <v>294</v>
      </c>
      <c r="G736">
        <v>17</v>
      </c>
      <c r="H736">
        <v>530.11</v>
      </c>
      <c r="I736">
        <v>1857.47</v>
      </c>
      <c r="J736">
        <v>2.93</v>
      </c>
      <c r="K736">
        <v>5.78</v>
      </c>
      <c r="L736">
        <v>31.18</v>
      </c>
      <c r="M736">
        <v>3.5</v>
      </c>
      <c r="N736">
        <v>1327.36</v>
      </c>
    </row>
    <row r="737" spans="1:14" x14ac:dyDescent="0.2">
      <c r="A737" s="1">
        <v>45535</v>
      </c>
      <c r="B737" s="2" t="s">
        <v>23</v>
      </c>
      <c r="C737" s="2" t="s">
        <v>35</v>
      </c>
      <c r="D737" s="2" t="s">
        <v>36</v>
      </c>
      <c r="E737">
        <v>3418</v>
      </c>
      <c r="F737">
        <v>60</v>
      </c>
      <c r="G737">
        <v>6</v>
      </c>
      <c r="H737">
        <v>912.3</v>
      </c>
      <c r="I737">
        <v>1439.63</v>
      </c>
      <c r="J737">
        <v>1.76</v>
      </c>
      <c r="K737">
        <v>10</v>
      </c>
      <c r="L737">
        <v>152.05000000000001</v>
      </c>
      <c r="M737">
        <v>1.58</v>
      </c>
      <c r="N737">
        <v>527.33000000000004</v>
      </c>
    </row>
    <row r="738" spans="1:14" x14ac:dyDescent="0.2">
      <c r="A738" s="1">
        <v>45535</v>
      </c>
      <c r="B738" s="2" t="s">
        <v>24</v>
      </c>
      <c r="C738" s="2" t="s">
        <v>35</v>
      </c>
      <c r="D738" s="2" t="s">
        <v>19</v>
      </c>
      <c r="E738">
        <v>9536</v>
      </c>
      <c r="F738">
        <v>2293</v>
      </c>
      <c r="G738">
        <v>258</v>
      </c>
      <c r="H738">
        <v>143.21</v>
      </c>
      <c r="I738">
        <v>38762.82</v>
      </c>
      <c r="J738">
        <v>24.05</v>
      </c>
      <c r="K738">
        <v>11.25</v>
      </c>
      <c r="L738">
        <v>0.56000000000000005</v>
      </c>
      <c r="M738">
        <v>270.67</v>
      </c>
      <c r="N738">
        <v>38619.61</v>
      </c>
    </row>
    <row r="739" spans="1:14" x14ac:dyDescent="0.2">
      <c r="A739" s="1">
        <v>45535</v>
      </c>
      <c r="B739" s="2" t="s">
        <v>26</v>
      </c>
      <c r="C739" s="2" t="s">
        <v>35</v>
      </c>
      <c r="D739" s="2" t="s">
        <v>22</v>
      </c>
      <c r="E739">
        <v>13685</v>
      </c>
      <c r="F739">
        <v>708</v>
      </c>
      <c r="G739">
        <v>86</v>
      </c>
      <c r="H739">
        <v>0</v>
      </c>
      <c r="I739">
        <v>11077.02</v>
      </c>
      <c r="J739">
        <v>5.17</v>
      </c>
      <c r="K739">
        <v>12.15</v>
      </c>
      <c r="L739">
        <v>0</v>
      </c>
      <c r="M739">
        <v>0</v>
      </c>
      <c r="N739">
        <v>11077.02</v>
      </c>
    </row>
    <row r="740" spans="1:14" x14ac:dyDescent="0.2">
      <c r="A740" s="1">
        <v>45535</v>
      </c>
      <c r="B740" s="2" t="s">
        <v>27</v>
      </c>
      <c r="C740" s="2" t="s">
        <v>15</v>
      </c>
      <c r="D740" s="2" t="s">
        <v>36</v>
      </c>
      <c r="E740">
        <v>23793</v>
      </c>
      <c r="F740">
        <v>327</v>
      </c>
      <c r="G740">
        <v>6</v>
      </c>
      <c r="H740">
        <v>533.83000000000004</v>
      </c>
      <c r="I740">
        <v>577.70000000000005</v>
      </c>
      <c r="J740">
        <v>1.37</v>
      </c>
      <c r="K740">
        <v>1.83</v>
      </c>
      <c r="L740">
        <v>88.97</v>
      </c>
      <c r="M740">
        <v>1.08</v>
      </c>
      <c r="N740">
        <v>43.87</v>
      </c>
    </row>
    <row r="741" spans="1:14" x14ac:dyDescent="0.2">
      <c r="A741" s="1">
        <v>45535</v>
      </c>
      <c r="B741" s="2" t="s">
        <v>29</v>
      </c>
      <c r="C741" s="2" t="s">
        <v>18</v>
      </c>
      <c r="D741" s="2" t="s">
        <v>16</v>
      </c>
      <c r="E741">
        <v>9175</v>
      </c>
      <c r="F741">
        <v>171</v>
      </c>
      <c r="G741">
        <v>8</v>
      </c>
      <c r="H741">
        <v>737.29</v>
      </c>
      <c r="I741">
        <v>908.58</v>
      </c>
      <c r="J741">
        <v>1.86</v>
      </c>
      <c r="K741">
        <v>4.68</v>
      </c>
      <c r="L741">
        <v>92.16</v>
      </c>
      <c r="M741">
        <v>1.23</v>
      </c>
      <c r="N741">
        <v>171.29</v>
      </c>
    </row>
    <row r="742" spans="1:14" x14ac:dyDescent="0.2">
      <c r="A742" s="1">
        <v>45535</v>
      </c>
      <c r="B742" s="2" t="s">
        <v>30</v>
      </c>
      <c r="C742" s="2" t="s">
        <v>18</v>
      </c>
      <c r="D742" s="2" t="s">
        <v>16</v>
      </c>
      <c r="E742">
        <v>7814</v>
      </c>
      <c r="F742">
        <v>189</v>
      </c>
      <c r="G742">
        <v>6</v>
      </c>
      <c r="H742">
        <v>344.52</v>
      </c>
      <c r="I742">
        <v>660.51</v>
      </c>
      <c r="J742">
        <v>2.42</v>
      </c>
      <c r="K742">
        <v>3.17</v>
      </c>
      <c r="L742">
        <v>57.42</v>
      </c>
      <c r="M742">
        <v>1.92</v>
      </c>
      <c r="N742">
        <v>315.99</v>
      </c>
    </row>
    <row r="743" spans="1:14" x14ac:dyDescent="0.2">
      <c r="A743" s="1">
        <v>45535</v>
      </c>
      <c r="B743" s="2" t="s">
        <v>31</v>
      </c>
      <c r="C743" s="2" t="s">
        <v>28</v>
      </c>
      <c r="D743" s="2" t="s">
        <v>16</v>
      </c>
      <c r="E743">
        <v>13488</v>
      </c>
      <c r="F743">
        <v>508</v>
      </c>
      <c r="G743">
        <v>19</v>
      </c>
      <c r="H743">
        <v>634.03</v>
      </c>
      <c r="I743">
        <v>1488.77</v>
      </c>
      <c r="J743">
        <v>3.77</v>
      </c>
      <c r="K743">
        <v>3.74</v>
      </c>
      <c r="L743">
        <v>33.369999999999997</v>
      </c>
      <c r="M743">
        <v>2.35</v>
      </c>
      <c r="N743">
        <v>854.74</v>
      </c>
    </row>
    <row r="744" spans="1:14" x14ac:dyDescent="0.2">
      <c r="A744" s="1">
        <v>45535</v>
      </c>
      <c r="B744" s="2" t="s">
        <v>33</v>
      </c>
      <c r="C744" s="2" t="s">
        <v>15</v>
      </c>
      <c r="D744" s="2" t="s">
        <v>19</v>
      </c>
      <c r="E744">
        <v>5057</v>
      </c>
      <c r="F744">
        <v>265</v>
      </c>
      <c r="G744">
        <v>25</v>
      </c>
      <c r="H744">
        <v>243.48</v>
      </c>
      <c r="I744">
        <v>2682.36</v>
      </c>
      <c r="J744">
        <v>5.24</v>
      </c>
      <c r="K744">
        <v>9.43</v>
      </c>
      <c r="L744">
        <v>9.74</v>
      </c>
      <c r="M744">
        <v>11.02</v>
      </c>
      <c r="N744">
        <v>2438.88</v>
      </c>
    </row>
    <row r="745" spans="1:14" x14ac:dyDescent="0.2">
      <c r="A745" s="1">
        <v>45535</v>
      </c>
      <c r="B745" s="2" t="s">
        <v>34</v>
      </c>
      <c r="C745" s="2" t="s">
        <v>21</v>
      </c>
      <c r="D745" s="2" t="s">
        <v>25</v>
      </c>
      <c r="E745">
        <v>1908</v>
      </c>
      <c r="F745">
        <v>161</v>
      </c>
      <c r="G745">
        <v>20</v>
      </c>
      <c r="H745">
        <v>93.63</v>
      </c>
      <c r="I745">
        <v>2635.56</v>
      </c>
      <c r="J745">
        <v>8.44</v>
      </c>
      <c r="K745">
        <v>12.42</v>
      </c>
      <c r="L745">
        <v>4.68</v>
      </c>
      <c r="M745">
        <v>28.15</v>
      </c>
      <c r="N745">
        <v>2541.9299999999998</v>
      </c>
    </row>
    <row r="746" spans="1:14" x14ac:dyDescent="0.2">
      <c r="A746" s="1">
        <v>45536</v>
      </c>
      <c r="B746" s="2" t="s">
        <v>14</v>
      </c>
      <c r="C746" s="2" t="s">
        <v>18</v>
      </c>
      <c r="D746" s="2" t="s">
        <v>25</v>
      </c>
      <c r="E746">
        <v>8024</v>
      </c>
      <c r="F746">
        <v>259</v>
      </c>
      <c r="G746">
        <v>25</v>
      </c>
      <c r="H746">
        <v>658.42</v>
      </c>
      <c r="I746">
        <v>3825.67</v>
      </c>
      <c r="J746">
        <v>3.23</v>
      </c>
      <c r="K746">
        <v>9.65</v>
      </c>
      <c r="L746">
        <v>26.34</v>
      </c>
      <c r="M746">
        <v>5.81</v>
      </c>
      <c r="N746">
        <v>3167.25</v>
      </c>
    </row>
    <row r="747" spans="1:14" x14ac:dyDescent="0.2">
      <c r="A747" s="1">
        <v>45536</v>
      </c>
      <c r="B747" s="2" t="s">
        <v>17</v>
      </c>
      <c r="C747" s="2" t="s">
        <v>32</v>
      </c>
      <c r="D747" s="2" t="s">
        <v>25</v>
      </c>
      <c r="E747">
        <v>11678</v>
      </c>
      <c r="F747">
        <v>293</v>
      </c>
      <c r="G747">
        <v>18</v>
      </c>
      <c r="H747">
        <v>676.16</v>
      </c>
      <c r="I747">
        <v>2220.7199999999998</v>
      </c>
      <c r="J747">
        <v>2.5099999999999998</v>
      </c>
      <c r="K747">
        <v>6.14</v>
      </c>
      <c r="L747">
        <v>37.56</v>
      </c>
      <c r="M747">
        <v>3.28</v>
      </c>
      <c r="N747">
        <v>1544.56</v>
      </c>
    </row>
    <row r="748" spans="1:14" x14ac:dyDescent="0.2">
      <c r="A748" s="1">
        <v>45536</v>
      </c>
      <c r="B748" s="2" t="s">
        <v>20</v>
      </c>
      <c r="C748" s="2" t="s">
        <v>35</v>
      </c>
      <c r="D748" s="2" t="s">
        <v>16</v>
      </c>
      <c r="E748">
        <v>10298</v>
      </c>
      <c r="F748">
        <v>313</v>
      </c>
      <c r="G748">
        <v>16</v>
      </c>
      <c r="H748">
        <v>435.39</v>
      </c>
      <c r="I748">
        <v>1199.81</v>
      </c>
      <c r="J748">
        <v>3.04</v>
      </c>
      <c r="K748">
        <v>5.1100000000000003</v>
      </c>
      <c r="L748">
        <v>27.21</v>
      </c>
      <c r="M748">
        <v>2.76</v>
      </c>
      <c r="N748">
        <v>764.42</v>
      </c>
    </row>
    <row r="749" spans="1:14" x14ac:dyDescent="0.2">
      <c r="A749" s="1">
        <v>45536</v>
      </c>
      <c r="B749" s="2" t="s">
        <v>23</v>
      </c>
      <c r="C749" s="2" t="s">
        <v>28</v>
      </c>
      <c r="D749" s="2" t="s">
        <v>19</v>
      </c>
      <c r="E749">
        <v>2748</v>
      </c>
      <c r="F749">
        <v>59</v>
      </c>
      <c r="G749">
        <v>7</v>
      </c>
      <c r="H749">
        <v>1117.07</v>
      </c>
      <c r="I749">
        <v>2298.06</v>
      </c>
      <c r="J749">
        <v>2.15</v>
      </c>
      <c r="K749">
        <v>11.86</v>
      </c>
      <c r="L749">
        <v>159.58000000000001</v>
      </c>
      <c r="M749">
        <v>2.06</v>
      </c>
      <c r="N749">
        <v>1180.99</v>
      </c>
    </row>
    <row r="750" spans="1:14" x14ac:dyDescent="0.2">
      <c r="A750" s="1">
        <v>45536</v>
      </c>
      <c r="B750" s="2" t="s">
        <v>24</v>
      </c>
      <c r="C750" s="2" t="s">
        <v>15</v>
      </c>
      <c r="D750" s="2" t="s">
        <v>36</v>
      </c>
      <c r="E750">
        <v>14204</v>
      </c>
      <c r="F750">
        <v>3337</v>
      </c>
      <c r="G750">
        <v>305</v>
      </c>
      <c r="H750">
        <v>183.32</v>
      </c>
      <c r="I750">
        <v>45954.15</v>
      </c>
      <c r="J750">
        <v>23.49</v>
      </c>
      <c r="K750">
        <v>9.14</v>
      </c>
      <c r="L750">
        <v>0.6</v>
      </c>
      <c r="M750">
        <v>250.68</v>
      </c>
      <c r="N750">
        <v>45770.83</v>
      </c>
    </row>
    <row r="751" spans="1:14" x14ac:dyDescent="0.2">
      <c r="A751" s="1">
        <v>45536</v>
      </c>
      <c r="B751" s="2" t="s">
        <v>26</v>
      </c>
      <c r="C751" s="2" t="s">
        <v>15</v>
      </c>
      <c r="D751" s="2" t="s">
        <v>16</v>
      </c>
      <c r="E751">
        <v>23095</v>
      </c>
      <c r="F751">
        <v>947</v>
      </c>
      <c r="G751">
        <v>138</v>
      </c>
      <c r="H751">
        <v>0</v>
      </c>
      <c r="I751">
        <v>13438.81</v>
      </c>
      <c r="J751">
        <v>4.0999999999999996</v>
      </c>
      <c r="K751">
        <v>14.57</v>
      </c>
      <c r="L751">
        <v>0</v>
      </c>
      <c r="M751">
        <v>0</v>
      </c>
      <c r="N751">
        <v>13438.81</v>
      </c>
    </row>
    <row r="752" spans="1:14" x14ac:dyDescent="0.2">
      <c r="A752" s="1">
        <v>45536</v>
      </c>
      <c r="B752" s="2" t="s">
        <v>27</v>
      </c>
      <c r="C752" s="2" t="s">
        <v>35</v>
      </c>
      <c r="D752" s="2" t="s">
        <v>25</v>
      </c>
      <c r="E752">
        <v>21792</v>
      </c>
      <c r="F752">
        <v>357</v>
      </c>
      <c r="G752">
        <v>16</v>
      </c>
      <c r="H752">
        <v>514.53</v>
      </c>
      <c r="I752">
        <v>1359.02</v>
      </c>
      <c r="J752">
        <v>1.64</v>
      </c>
      <c r="K752">
        <v>4.4800000000000004</v>
      </c>
      <c r="L752">
        <v>32.159999999999997</v>
      </c>
      <c r="M752">
        <v>2.64</v>
      </c>
      <c r="N752">
        <v>844.49</v>
      </c>
    </row>
    <row r="753" spans="1:14" x14ac:dyDescent="0.2">
      <c r="A753" s="1">
        <v>45536</v>
      </c>
      <c r="B753" s="2" t="s">
        <v>29</v>
      </c>
      <c r="C753" s="2" t="s">
        <v>35</v>
      </c>
      <c r="D753" s="2" t="s">
        <v>19</v>
      </c>
      <c r="E753">
        <v>14267</v>
      </c>
      <c r="F753">
        <v>304</v>
      </c>
      <c r="G753">
        <v>18</v>
      </c>
      <c r="H753">
        <v>680.17</v>
      </c>
      <c r="I753">
        <v>1944.71</v>
      </c>
      <c r="J753">
        <v>2.13</v>
      </c>
      <c r="K753">
        <v>5.92</v>
      </c>
      <c r="L753">
        <v>37.79</v>
      </c>
      <c r="M753">
        <v>2.86</v>
      </c>
      <c r="N753">
        <v>1264.54</v>
      </c>
    </row>
    <row r="754" spans="1:14" x14ac:dyDescent="0.2">
      <c r="A754" s="1">
        <v>45536</v>
      </c>
      <c r="B754" s="2" t="s">
        <v>30</v>
      </c>
      <c r="C754" s="2" t="s">
        <v>18</v>
      </c>
      <c r="D754" s="2" t="s">
        <v>25</v>
      </c>
      <c r="E754">
        <v>8926</v>
      </c>
      <c r="F754">
        <v>278</v>
      </c>
      <c r="G754">
        <v>10</v>
      </c>
      <c r="H754">
        <v>341.47</v>
      </c>
      <c r="I754">
        <v>975.7</v>
      </c>
      <c r="J754">
        <v>3.11</v>
      </c>
      <c r="K754">
        <v>3.6</v>
      </c>
      <c r="L754">
        <v>34.15</v>
      </c>
      <c r="M754">
        <v>2.86</v>
      </c>
      <c r="N754">
        <v>634.23</v>
      </c>
    </row>
    <row r="755" spans="1:14" x14ac:dyDescent="0.2">
      <c r="A755" s="1">
        <v>45536</v>
      </c>
      <c r="B755" s="2" t="s">
        <v>31</v>
      </c>
      <c r="C755" s="2" t="s">
        <v>32</v>
      </c>
      <c r="D755" s="2" t="s">
        <v>22</v>
      </c>
      <c r="E755">
        <v>13657</v>
      </c>
      <c r="F755">
        <v>376</v>
      </c>
      <c r="G755">
        <v>11</v>
      </c>
      <c r="H755">
        <v>661.25</v>
      </c>
      <c r="I755">
        <v>837.23</v>
      </c>
      <c r="J755">
        <v>2.75</v>
      </c>
      <c r="K755">
        <v>2.93</v>
      </c>
      <c r="L755">
        <v>60.11</v>
      </c>
      <c r="M755">
        <v>1.27</v>
      </c>
      <c r="N755">
        <v>175.98</v>
      </c>
    </row>
    <row r="756" spans="1:14" x14ac:dyDescent="0.2">
      <c r="A756" s="1">
        <v>45536</v>
      </c>
      <c r="B756" s="2" t="s">
        <v>33</v>
      </c>
      <c r="C756" s="2" t="s">
        <v>21</v>
      </c>
      <c r="D756" s="2" t="s">
        <v>36</v>
      </c>
      <c r="E756">
        <v>6021</v>
      </c>
      <c r="F756">
        <v>339</v>
      </c>
      <c r="G756">
        <v>42</v>
      </c>
      <c r="H756">
        <v>402.7</v>
      </c>
      <c r="I756">
        <v>4120.5600000000004</v>
      </c>
      <c r="J756">
        <v>5.63</v>
      </c>
      <c r="K756">
        <v>12.39</v>
      </c>
      <c r="L756">
        <v>9.59</v>
      </c>
      <c r="M756">
        <v>10.23</v>
      </c>
      <c r="N756">
        <v>3717.86</v>
      </c>
    </row>
    <row r="757" spans="1:14" x14ac:dyDescent="0.2">
      <c r="A757" s="1">
        <v>45536</v>
      </c>
      <c r="B757" s="2" t="s">
        <v>34</v>
      </c>
      <c r="C757" s="2" t="s">
        <v>21</v>
      </c>
      <c r="D757" s="2" t="s">
        <v>16</v>
      </c>
      <c r="E757">
        <v>4291</v>
      </c>
      <c r="F757">
        <v>368</v>
      </c>
      <c r="G757">
        <v>62</v>
      </c>
      <c r="H757">
        <v>78.400000000000006</v>
      </c>
      <c r="I757">
        <v>8540.08</v>
      </c>
      <c r="J757">
        <v>8.58</v>
      </c>
      <c r="K757">
        <v>16.850000000000001</v>
      </c>
      <c r="L757">
        <v>1.26</v>
      </c>
      <c r="M757">
        <v>108.93</v>
      </c>
      <c r="N757">
        <v>8461.68</v>
      </c>
    </row>
    <row r="758" spans="1:14" x14ac:dyDescent="0.2">
      <c r="A758" s="1">
        <v>45537</v>
      </c>
      <c r="B758" s="2" t="s">
        <v>14</v>
      </c>
      <c r="C758" s="2" t="s">
        <v>35</v>
      </c>
      <c r="D758" s="2" t="s">
        <v>25</v>
      </c>
      <c r="E758">
        <v>12650</v>
      </c>
      <c r="F758">
        <v>542</v>
      </c>
      <c r="G758">
        <v>55</v>
      </c>
      <c r="H758">
        <v>938.13</v>
      </c>
      <c r="I758">
        <v>7210.59</v>
      </c>
      <c r="J758">
        <v>4.28</v>
      </c>
      <c r="K758">
        <v>10.15</v>
      </c>
      <c r="L758">
        <v>17.059999999999999</v>
      </c>
      <c r="M758">
        <v>7.69</v>
      </c>
      <c r="N758">
        <v>6272.46</v>
      </c>
    </row>
    <row r="759" spans="1:14" x14ac:dyDescent="0.2">
      <c r="A759" s="1">
        <v>45537</v>
      </c>
      <c r="B759" s="2" t="s">
        <v>17</v>
      </c>
      <c r="C759" s="2" t="s">
        <v>35</v>
      </c>
      <c r="D759" s="2" t="s">
        <v>16</v>
      </c>
      <c r="E759">
        <v>12037</v>
      </c>
      <c r="F759">
        <v>269</v>
      </c>
      <c r="G759">
        <v>14</v>
      </c>
      <c r="H759">
        <v>720.24</v>
      </c>
      <c r="I759">
        <v>2052.65</v>
      </c>
      <c r="J759">
        <v>2.23</v>
      </c>
      <c r="K759">
        <v>5.2</v>
      </c>
      <c r="L759">
        <v>51.45</v>
      </c>
      <c r="M759">
        <v>2.85</v>
      </c>
      <c r="N759">
        <v>1332.41</v>
      </c>
    </row>
    <row r="760" spans="1:14" x14ac:dyDescent="0.2">
      <c r="A760" s="1">
        <v>45537</v>
      </c>
      <c r="B760" s="2" t="s">
        <v>20</v>
      </c>
      <c r="C760" s="2" t="s">
        <v>35</v>
      </c>
      <c r="D760" s="2" t="s">
        <v>25</v>
      </c>
      <c r="E760">
        <v>10066</v>
      </c>
      <c r="F760">
        <v>422</v>
      </c>
      <c r="G760">
        <v>28</v>
      </c>
      <c r="H760">
        <v>770.03</v>
      </c>
      <c r="I760">
        <v>2848.94</v>
      </c>
      <c r="J760">
        <v>4.1900000000000004</v>
      </c>
      <c r="K760">
        <v>6.64</v>
      </c>
      <c r="L760">
        <v>27.5</v>
      </c>
      <c r="M760">
        <v>3.7</v>
      </c>
      <c r="N760">
        <v>2078.91</v>
      </c>
    </row>
    <row r="761" spans="1:14" x14ac:dyDescent="0.2">
      <c r="A761" s="1">
        <v>45537</v>
      </c>
      <c r="B761" s="2" t="s">
        <v>23</v>
      </c>
      <c r="C761" s="2" t="s">
        <v>21</v>
      </c>
      <c r="D761" s="2" t="s">
        <v>36</v>
      </c>
      <c r="E761">
        <v>5709</v>
      </c>
      <c r="F761">
        <v>87</v>
      </c>
      <c r="G761">
        <v>9</v>
      </c>
      <c r="H761">
        <v>1248.68</v>
      </c>
      <c r="I761">
        <v>2597.7399999999998</v>
      </c>
      <c r="J761">
        <v>1.52</v>
      </c>
      <c r="K761">
        <v>10.34</v>
      </c>
      <c r="L761">
        <v>138.74</v>
      </c>
      <c r="M761">
        <v>2.08</v>
      </c>
      <c r="N761">
        <v>1349.06</v>
      </c>
    </row>
    <row r="762" spans="1:14" x14ac:dyDescent="0.2">
      <c r="A762" s="1">
        <v>45537</v>
      </c>
      <c r="B762" s="2" t="s">
        <v>24</v>
      </c>
      <c r="C762" s="2" t="s">
        <v>32</v>
      </c>
      <c r="D762" s="2" t="s">
        <v>25</v>
      </c>
      <c r="E762">
        <v>17426</v>
      </c>
      <c r="F762">
        <v>3512</v>
      </c>
      <c r="G762">
        <v>369</v>
      </c>
      <c r="H762">
        <v>272.43</v>
      </c>
      <c r="I762">
        <v>51106.6</v>
      </c>
      <c r="J762">
        <v>20.149999999999999</v>
      </c>
      <c r="K762">
        <v>10.51</v>
      </c>
      <c r="L762">
        <v>0.74</v>
      </c>
      <c r="M762">
        <v>187.6</v>
      </c>
      <c r="N762">
        <v>50834.17</v>
      </c>
    </row>
    <row r="763" spans="1:14" x14ac:dyDescent="0.2">
      <c r="A763" s="1">
        <v>45537</v>
      </c>
      <c r="B763" s="2" t="s">
        <v>26</v>
      </c>
      <c r="C763" s="2" t="s">
        <v>32</v>
      </c>
      <c r="D763" s="2" t="s">
        <v>25</v>
      </c>
      <c r="E763">
        <v>34424</v>
      </c>
      <c r="F763">
        <v>2300</v>
      </c>
      <c r="G763">
        <v>245</v>
      </c>
      <c r="H763">
        <v>0</v>
      </c>
      <c r="I763">
        <v>38162.99</v>
      </c>
      <c r="J763">
        <v>6.68</v>
      </c>
      <c r="K763">
        <v>10.65</v>
      </c>
      <c r="L763">
        <v>0</v>
      </c>
      <c r="M763">
        <v>0</v>
      </c>
      <c r="N763">
        <v>38162.99</v>
      </c>
    </row>
    <row r="764" spans="1:14" x14ac:dyDescent="0.2">
      <c r="A764" s="1">
        <v>45537</v>
      </c>
      <c r="B764" s="2" t="s">
        <v>27</v>
      </c>
      <c r="C764" s="2" t="s">
        <v>18</v>
      </c>
      <c r="D764" s="2" t="s">
        <v>25</v>
      </c>
      <c r="E764">
        <v>33338</v>
      </c>
      <c r="F764">
        <v>343</v>
      </c>
      <c r="G764">
        <v>16</v>
      </c>
      <c r="H764">
        <v>841.68</v>
      </c>
      <c r="I764">
        <v>1596.53</v>
      </c>
      <c r="J764">
        <v>1.03</v>
      </c>
      <c r="K764">
        <v>4.66</v>
      </c>
      <c r="L764">
        <v>52.6</v>
      </c>
      <c r="M764">
        <v>1.9</v>
      </c>
      <c r="N764">
        <v>754.85</v>
      </c>
    </row>
    <row r="765" spans="1:14" x14ac:dyDescent="0.2">
      <c r="A765" s="1">
        <v>45537</v>
      </c>
      <c r="B765" s="2" t="s">
        <v>29</v>
      </c>
      <c r="C765" s="2" t="s">
        <v>15</v>
      </c>
      <c r="D765" s="2" t="s">
        <v>19</v>
      </c>
      <c r="E765">
        <v>23877</v>
      </c>
      <c r="F765">
        <v>636</v>
      </c>
      <c r="G765">
        <v>49</v>
      </c>
      <c r="H765">
        <v>1068.0899999999999</v>
      </c>
      <c r="I765">
        <v>5120.7299999999996</v>
      </c>
      <c r="J765">
        <v>2.66</v>
      </c>
      <c r="K765">
        <v>7.7</v>
      </c>
      <c r="L765">
        <v>21.8</v>
      </c>
      <c r="M765">
        <v>4.79</v>
      </c>
      <c r="N765">
        <v>4052.64</v>
      </c>
    </row>
    <row r="766" spans="1:14" x14ac:dyDescent="0.2">
      <c r="A766" s="1">
        <v>45537</v>
      </c>
      <c r="B766" s="2" t="s">
        <v>30</v>
      </c>
      <c r="C766" s="2" t="s">
        <v>18</v>
      </c>
      <c r="D766" s="2" t="s">
        <v>22</v>
      </c>
      <c r="E766">
        <v>10459</v>
      </c>
      <c r="F766">
        <v>313</v>
      </c>
      <c r="G766">
        <v>18</v>
      </c>
      <c r="H766">
        <v>559.01</v>
      </c>
      <c r="I766">
        <v>1739.23</v>
      </c>
      <c r="J766">
        <v>2.99</v>
      </c>
      <c r="K766">
        <v>5.75</v>
      </c>
      <c r="L766">
        <v>31.06</v>
      </c>
      <c r="M766">
        <v>3.11</v>
      </c>
      <c r="N766">
        <v>1180.22</v>
      </c>
    </row>
    <row r="767" spans="1:14" x14ac:dyDescent="0.2">
      <c r="A767" s="1">
        <v>45537</v>
      </c>
      <c r="B767" s="2" t="s">
        <v>31</v>
      </c>
      <c r="C767" s="2" t="s">
        <v>35</v>
      </c>
      <c r="D767" s="2" t="s">
        <v>19</v>
      </c>
      <c r="E767">
        <v>19790</v>
      </c>
      <c r="F767">
        <v>510</v>
      </c>
      <c r="G767">
        <v>26</v>
      </c>
      <c r="H767">
        <v>773.81</v>
      </c>
      <c r="I767">
        <v>2857.29</v>
      </c>
      <c r="J767">
        <v>2.58</v>
      </c>
      <c r="K767">
        <v>5.0999999999999996</v>
      </c>
      <c r="L767">
        <v>29.76</v>
      </c>
      <c r="M767">
        <v>3.69</v>
      </c>
      <c r="N767">
        <v>2083.48</v>
      </c>
    </row>
    <row r="768" spans="1:14" x14ac:dyDescent="0.2">
      <c r="A768" s="1">
        <v>45537</v>
      </c>
      <c r="B768" s="2" t="s">
        <v>33</v>
      </c>
      <c r="C768" s="2" t="s">
        <v>35</v>
      </c>
      <c r="D768" s="2" t="s">
        <v>19</v>
      </c>
      <c r="E768">
        <v>5996</v>
      </c>
      <c r="F768">
        <v>338</v>
      </c>
      <c r="G768">
        <v>37</v>
      </c>
      <c r="H768">
        <v>341.32</v>
      </c>
      <c r="I768">
        <v>5043.37</v>
      </c>
      <c r="J768">
        <v>5.64</v>
      </c>
      <c r="K768">
        <v>10.95</v>
      </c>
      <c r="L768">
        <v>9.2200000000000006</v>
      </c>
      <c r="M768">
        <v>14.78</v>
      </c>
      <c r="N768">
        <v>4702.05</v>
      </c>
    </row>
    <row r="769" spans="1:14" x14ac:dyDescent="0.2">
      <c r="A769" s="1">
        <v>45537</v>
      </c>
      <c r="B769" s="2" t="s">
        <v>34</v>
      </c>
      <c r="C769" s="2" t="s">
        <v>18</v>
      </c>
      <c r="D769" s="2" t="s">
        <v>22</v>
      </c>
      <c r="E769">
        <v>4815</v>
      </c>
      <c r="F769">
        <v>265</v>
      </c>
      <c r="G769">
        <v>42</v>
      </c>
      <c r="H769">
        <v>75.5</v>
      </c>
      <c r="I769">
        <v>4785.74</v>
      </c>
      <c r="J769">
        <v>5.5</v>
      </c>
      <c r="K769">
        <v>15.85</v>
      </c>
      <c r="L769">
        <v>1.8</v>
      </c>
      <c r="M769">
        <v>63.39</v>
      </c>
      <c r="N769">
        <v>4710.24</v>
      </c>
    </row>
    <row r="770" spans="1:14" x14ac:dyDescent="0.2">
      <c r="A770" s="1">
        <v>45538</v>
      </c>
      <c r="B770" s="2" t="s">
        <v>14</v>
      </c>
      <c r="C770" s="2" t="s">
        <v>21</v>
      </c>
      <c r="D770" s="2" t="s">
        <v>25</v>
      </c>
      <c r="E770">
        <v>13593</v>
      </c>
      <c r="F770">
        <v>427</v>
      </c>
      <c r="G770">
        <v>44</v>
      </c>
      <c r="H770">
        <v>1134.52</v>
      </c>
      <c r="I770">
        <v>6531.81</v>
      </c>
      <c r="J770">
        <v>3.14</v>
      </c>
      <c r="K770">
        <v>10.3</v>
      </c>
      <c r="L770">
        <v>25.78</v>
      </c>
      <c r="M770">
        <v>5.76</v>
      </c>
      <c r="N770">
        <v>5397.29</v>
      </c>
    </row>
    <row r="771" spans="1:14" x14ac:dyDescent="0.2">
      <c r="A771" s="1">
        <v>45538</v>
      </c>
      <c r="B771" s="2" t="s">
        <v>17</v>
      </c>
      <c r="C771" s="2" t="s">
        <v>15</v>
      </c>
      <c r="D771" s="2" t="s">
        <v>36</v>
      </c>
      <c r="E771">
        <v>17300</v>
      </c>
      <c r="F771">
        <v>497</v>
      </c>
      <c r="G771">
        <v>43</v>
      </c>
      <c r="H771">
        <v>1065.01</v>
      </c>
      <c r="I771">
        <v>5060.18</v>
      </c>
      <c r="J771">
        <v>2.87</v>
      </c>
      <c r="K771">
        <v>8.65</v>
      </c>
      <c r="L771">
        <v>24.77</v>
      </c>
      <c r="M771">
        <v>4.75</v>
      </c>
      <c r="N771">
        <v>3995.17</v>
      </c>
    </row>
    <row r="772" spans="1:14" x14ac:dyDescent="0.2">
      <c r="A772" s="1">
        <v>45538</v>
      </c>
      <c r="B772" s="2" t="s">
        <v>20</v>
      </c>
      <c r="C772" s="2" t="s">
        <v>18</v>
      </c>
      <c r="D772" s="2" t="s">
        <v>22</v>
      </c>
      <c r="E772">
        <v>10243</v>
      </c>
      <c r="F772">
        <v>380</v>
      </c>
      <c r="G772">
        <v>20</v>
      </c>
      <c r="H772">
        <v>553.01</v>
      </c>
      <c r="I772">
        <v>1654.65</v>
      </c>
      <c r="J772">
        <v>3.71</v>
      </c>
      <c r="K772">
        <v>5.26</v>
      </c>
      <c r="L772">
        <v>27.65</v>
      </c>
      <c r="M772">
        <v>2.99</v>
      </c>
      <c r="N772">
        <v>1101.6400000000001</v>
      </c>
    </row>
    <row r="773" spans="1:14" x14ac:dyDescent="0.2">
      <c r="A773" s="1">
        <v>45538</v>
      </c>
      <c r="B773" s="2" t="s">
        <v>23</v>
      </c>
      <c r="C773" s="2" t="s">
        <v>15</v>
      </c>
      <c r="D773" s="2" t="s">
        <v>16</v>
      </c>
      <c r="E773">
        <v>3617</v>
      </c>
      <c r="F773">
        <v>106</v>
      </c>
      <c r="G773">
        <v>14</v>
      </c>
      <c r="H773">
        <v>1669.82</v>
      </c>
      <c r="I773">
        <v>3643.8</v>
      </c>
      <c r="J773">
        <v>2.93</v>
      </c>
      <c r="K773">
        <v>13.21</v>
      </c>
      <c r="L773">
        <v>119.27</v>
      </c>
      <c r="M773">
        <v>2.1800000000000002</v>
      </c>
      <c r="N773">
        <v>1973.98</v>
      </c>
    </row>
    <row r="774" spans="1:14" x14ac:dyDescent="0.2">
      <c r="A774" s="1">
        <v>45538</v>
      </c>
      <c r="B774" s="2" t="s">
        <v>24</v>
      </c>
      <c r="C774" s="2" t="s">
        <v>18</v>
      </c>
      <c r="D774" s="2" t="s">
        <v>25</v>
      </c>
      <c r="E774">
        <v>18733</v>
      </c>
      <c r="F774">
        <v>2950</v>
      </c>
      <c r="G774">
        <v>302</v>
      </c>
      <c r="H774">
        <v>110.57</v>
      </c>
      <c r="I774">
        <v>45811.81</v>
      </c>
      <c r="J774">
        <v>15.75</v>
      </c>
      <c r="K774">
        <v>10.24</v>
      </c>
      <c r="L774">
        <v>0.37</v>
      </c>
      <c r="M774">
        <v>414.32</v>
      </c>
      <c r="N774">
        <v>45701.24</v>
      </c>
    </row>
    <row r="775" spans="1:14" x14ac:dyDescent="0.2">
      <c r="A775" s="1">
        <v>45538</v>
      </c>
      <c r="B775" s="2" t="s">
        <v>26</v>
      </c>
      <c r="C775" s="2" t="s">
        <v>21</v>
      </c>
      <c r="D775" s="2" t="s">
        <v>36</v>
      </c>
      <c r="E775">
        <v>33753</v>
      </c>
      <c r="F775">
        <v>2530</v>
      </c>
      <c r="G775">
        <v>338</v>
      </c>
      <c r="H775">
        <v>0</v>
      </c>
      <c r="I775">
        <v>38842.43</v>
      </c>
      <c r="J775">
        <v>7.5</v>
      </c>
      <c r="K775">
        <v>13.36</v>
      </c>
      <c r="L775">
        <v>0</v>
      </c>
      <c r="M775">
        <v>0</v>
      </c>
      <c r="N775">
        <v>38842.43</v>
      </c>
    </row>
    <row r="776" spans="1:14" x14ac:dyDescent="0.2">
      <c r="A776" s="1">
        <v>45538</v>
      </c>
      <c r="B776" s="2" t="s">
        <v>27</v>
      </c>
      <c r="C776" s="2" t="s">
        <v>28</v>
      </c>
      <c r="D776" s="2" t="s">
        <v>36</v>
      </c>
      <c r="E776">
        <v>28552</v>
      </c>
      <c r="F776">
        <v>380</v>
      </c>
      <c r="G776">
        <v>10</v>
      </c>
      <c r="H776">
        <v>991.73</v>
      </c>
      <c r="I776">
        <v>875.15</v>
      </c>
      <c r="J776">
        <v>1.33</v>
      </c>
      <c r="K776">
        <v>2.63</v>
      </c>
      <c r="L776">
        <v>99.17</v>
      </c>
      <c r="M776">
        <v>0.88</v>
      </c>
      <c r="N776">
        <v>-116.58</v>
      </c>
    </row>
    <row r="777" spans="1:14" x14ac:dyDescent="0.2">
      <c r="A777" s="1">
        <v>45538</v>
      </c>
      <c r="B777" s="2" t="s">
        <v>29</v>
      </c>
      <c r="C777" s="2" t="s">
        <v>35</v>
      </c>
      <c r="D777" s="2" t="s">
        <v>22</v>
      </c>
      <c r="E777">
        <v>23950</v>
      </c>
      <c r="F777">
        <v>668</v>
      </c>
      <c r="G777">
        <v>49</v>
      </c>
      <c r="H777">
        <v>1043.97</v>
      </c>
      <c r="I777">
        <v>4698.0600000000004</v>
      </c>
      <c r="J777">
        <v>2.79</v>
      </c>
      <c r="K777">
        <v>7.34</v>
      </c>
      <c r="L777">
        <v>21.31</v>
      </c>
      <c r="M777">
        <v>4.5</v>
      </c>
      <c r="N777">
        <v>3654.09</v>
      </c>
    </row>
    <row r="778" spans="1:14" x14ac:dyDescent="0.2">
      <c r="A778" s="1">
        <v>45538</v>
      </c>
      <c r="B778" s="2" t="s">
        <v>30</v>
      </c>
      <c r="C778" s="2" t="s">
        <v>35</v>
      </c>
      <c r="D778" s="2" t="s">
        <v>19</v>
      </c>
      <c r="E778">
        <v>8796</v>
      </c>
      <c r="F778">
        <v>222</v>
      </c>
      <c r="G778">
        <v>7</v>
      </c>
      <c r="H778">
        <v>773.91</v>
      </c>
      <c r="I778">
        <v>628.30999999999995</v>
      </c>
      <c r="J778">
        <v>2.52</v>
      </c>
      <c r="K778">
        <v>3.15</v>
      </c>
      <c r="L778">
        <v>110.56</v>
      </c>
      <c r="M778">
        <v>0.81</v>
      </c>
      <c r="N778">
        <v>-145.6</v>
      </c>
    </row>
    <row r="779" spans="1:14" x14ac:dyDescent="0.2">
      <c r="A779" s="1">
        <v>45538</v>
      </c>
      <c r="B779" s="2" t="s">
        <v>31</v>
      </c>
      <c r="C779" s="2" t="s">
        <v>15</v>
      </c>
      <c r="D779" s="2" t="s">
        <v>19</v>
      </c>
      <c r="E779">
        <v>24315</v>
      </c>
      <c r="F779">
        <v>664</v>
      </c>
      <c r="G779">
        <v>41</v>
      </c>
      <c r="H779">
        <v>882.08</v>
      </c>
      <c r="I779">
        <v>4036.67</v>
      </c>
      <c r="J779">
        <v>2.73</v>
      </c>
      <c r="K779">
        <v>6.17</v>
      </c>
      <c r="L779">
        <v>21.51</v>
      </c>
      <c r="M779">
        <v>4.58</v>
      </c>
      <c r="N779">
        <v>3154.59</v>
      </c>
    </row>
    <row r="780" spans="1:14" x14ac:dyDescent="0.2">
      <c r="A780" s="1">
        <v>45538</v>
      </c>
      <c r="B780" s="2" t="s">
        <v>33</v>
      </c>
      <c r="C780" s="2" t="s">
        <v>32</v>
      </c>
      <c r="D780" s="2" t="s">
        <v>25</v>
      </c>
      <c r="E780">
        <v>9214</v>
      </c>
      <c r="F780">
        <v>403</v>
      </c>
      <c r="G780">
        <v>46</v>
      </c>
      <c r="H780">
        <v>432.63</v>
      </c>
      <c r="I780">
        <v>5520.72</v>
      </c>
      <c r="J780">
        <v>4.37</v>
      </c>
      <c r="K780">
        <v>11.41</v>
      </c>
      <c r="L780">
        <v>9.4</v>
      </c>
      <c r="M780">
        <v>12.76</v>
      </c>
      <c r="N780">
        <v>5088.09</v>
      </c>
    </row>
    <row r="781" spans="1:14" x14ac:dyDescent="0.2">
      <c r="A781" s="1">
        <v>45538</v>
      </c>
      <c r="B781" s="2" t="s">
        <v>34</v>
      </c>
      <c r="C781" s="2" t="s">
        <v>18</v>
      </c>
      <c r="D781" s="2" t="s">
        <v>16</v>
      </c>
      <c r="E781">
        <v>4202</v>
      </c>
      <c r="F781">
        <v>218</v>
      </c>
      <c r="G781">
        <v>34</v>
      </c>
      <c r="H781">
        <v>120.59</v>
      </c>
      <c r="I781">
        <v>5077.95</v>
      </c>
      <c r="J781">
        <v>5.19</v>
      </c>
      <c r="K781">
        <v>15.6</v>
      </c>
      <c r="L781">
        <v>3.55</v>
      </c>
      <c r="M781">
        <v>42.11</v>
      </c>
      <c r="N781">
        <v>4957.3599999999997</v>
      </c>
    </row>
    <row r="782" spans="1:14" x14ac:dyDescent="0.2">
      <c r="A782" s="1">
        <v>45539</v>
      </c>
      <c r="B782" s="2" t="s">
        <v>14</v>
      </c>
      <c r="C782" s="2" t="s">
        <v>21</v>
      </c>
      <c r="D782" s="2" t="s">
        <v>22</v>
      </c>
      <c r="E782">
        <v>13599</v>
      </c>
      <c r="F782">
        <v>665</v>
      </c>
      <c r="G782">
        <v>57</v>
      </c>
      <c r="H782">
        <v>1063.8900000000001</v>
      </c>
      <c r="I782">
        <v>7937.81</v>
      </c>
      <c r="J782">
        <v>4.8899999999999997</v>
      </c>
      <c r="K782">
        <v>8.57</v>
      </c>
      <c r="L782">
        <v>18.66</v>
      </c>
      <c r="M782">
        <v>7.46</v>
      </c>
      <c r="N782">
        <v>6873.92</v>
      </c>
    </row>
    <row r="783" spans="1:14" x14ac:dyDescent="0.2">
      <c r="A783" s="1">
        <v>45539</v>
      </c>
      <c r="B783" s="2" t="s">
        <v>17</v>
      </c>
      <c r="C783" s="2" t="s">
        <v>32</v>
      </c>
      <c r="D783" s="2" t="s">
        <v>16</v>
      </c>
      <c r="E783">
        <v>18937</v>
      </c>
      <c r="F783">
        <v>384</v>
      </c>
      <c r="G783">
        <v>29</v>
      </c>
      <c r="H783">
        <v>779.39</v>
      </c>
      <c r="I783">
        <v>3677.32</v>
      </c>
      <c r="J783">
        <v>2.0299999999999998</v>
      </c>
      <c r="K783">
        <v>7.55</v>
      </c>
      <c r="L783">
        <v>26.88</v>
      </c>
      <c r="M783">
        <v>4.72</v>
      </c>
      <c r="N783">
        <v>2897.93</v>
      </c>
    </row>
    <row r="784" spans="1:14" x14ac:dyDescent="0.2">
      <c r="A784" s="1">
        <v>45539</v>
      </c>
      <c r="B784" s="2" t="s">
        <v>20</v>
      </c>
      <c r="C784" s="2" t="s">
        <v>15</v>
      </c>
      <c r="D784" s="2" t="s">
        <v>16</v>
      </c>
      <c r="E784">
        <v>17360</v>
      </c>
      <c r="F784">
        <v>485</v>
      </c>
      <c r="G784">
        <v>32</v>
      </c>
      <c r="H784">
        <v>952.79</v>
      </c>
      <c r="I784">
        <v>2782.98</v>
      </c>
      <c r="J784">
        <v>2.79</v>
      </c>
      <c r="K784">
        <v>6.6</v>
      </c>
      <c r="L784">
        <v>29.77</v>
      </c>
      <c r="M784">
        <v>2.92</v>
      </c>
      <c r="N784">
        <v>1830.19</v>
      </c>
    </row>
    <row r="785" spans="1:14" x14ac:dyDescent="0.2">
      <c r="A785" s="1">
        <v>45539</v>
      </c>
      <c r="B785" s="2" t="s">
        <v>23</v>
      </c>
      <c r="C785" s="2" t="s">
        <v>35</v>
      </c>
      <c r="D785" s="2" t="s">
        <v>36</v>
      </c>
      <c r="E785">
        <v>4472</v>
      </c>
      <c r="F785">
        <v>103</v>
      </c>
      <c r="G785">
        <v>11</v>
      </c>
      <c r="H785">
        <v>1640.33</v>
      </c>
      <c r="I785">
        <v>3742.07</v>
      </c>
      <c r="J785">
        <v>2.2999999999999998</v>
      </c>
      <c r="K785">
        <v>10.68</v>
      </c>
      <c r="L785">
        <v>149.12</v>
      </c>
      <c r="M785">
        <v>2.2799999999999998</v>
      </c>
      <c r="N785">
        <v>2101.7399999999998</v>
      </c>
    </row>
    <row r="786" spans="1:14" x14ac:dyDescent="0.2">
      <c r="A786" s="1">
        <v>45539</v>
      </c>
      <c r="B786" s="2" t="s">
        <v>24</v>
      </c>
      <c r="C786" s="2" t="s">
        <v>15</v>
      </c>
      <c r="D786" s="2" t="s">
        <v>36</v>
      </c>
      <c r="E786">
        <v>19865</v>
      </c>
      <c r="F786">
        <v>4632</v>
      </c>
      <c r="G786">
        <v>576</v>
      </c>
      <c r="H786">
        <v>251.95</v>
      </c>
      <c r="I786">
        <v>81233.91</v>
      </c>
      <c r="J786">
        <v>23.32</v>
      </c>
      <c r="K786">
        <v>12.44</v>
      </c>
      <c r="L786">
        <v>0.44</v>
      </c>
      <c r="M786">
        <v>322.42</v>
      </c>
      <c r="N786">
        <v>80981.960000000006</v>
      </c>
    </row>
    <row r="787" spans="1:14" x14ac:dyDescent="0.2">
      <c r="A787" s="1">
        <v>45539</v>
      </c>
      <c r="B787" s="2" t="s">
        <v>26</v>
      </c>
      <c r="C787" s="2" t="s">
        <v>28</v>
      </c>
      <c r="D787" s="2" t="s">
        <v>25</v>
      </c>
      <c r="E787">
        <v>24402</v>
      </c>
      <c r="F787">
        <v>987</v>
      </c>
      <c r="G787">
        <v>121</v>
      </c>
      <c r="H787">
        <v>0</v>
      </c>
      <c r="I787">
        <v>16742.080000000002</v>
      </c>
      <c r="J787">
        <v>4.04</v>
      </c>
      <c r="K787">
        <v>12.26</v>
      </c>
      <c r="L787">
        <v>0</v>
      </c>
      <c r="M787">
        <v>0</v>
      </c>
      <c r="N787">
        <v>16742.080000000002</v>
      </c>
    </row>
    <row r="788" spans="1:14" x14ac:dyDescent="0.2">
      <c r="A788" s="1">
        <v>45539</v>
      </c>
      <c r="B788" s="2" t="s">
        <v>27</v>
      </c>
      <c r="C788" s="2" t="s">
        <v>28</v>
      </c>
      <c r="D788" s="2" t="s">
        <v>36</v>
      </c>
      <c r="E788">
        <v>30197</v>
      </c>
      <c r="F788">
        <v>483</v>
      </c>
      <c r="G788">
        <v>10</v>
      </c>
      <c r="H788">
        <v>1025.08</v>
      </c>
      <c r="I788">
        <v>1221.68</v>
      </c>
      <c r="J788">
        <v>1.6</v>
      </c>
      <c r="K788">
        <v>2.0699999999999998</v>
      </c>
      <c r="L788">
        <v>102.51</v>
      </c>
      <c r="M788">
        <v>1.19</v>
      </c>
      <c r="N788">
        <v>196.6</v>
      </c>
    </row>
    <row r="789" spans="1:14" x14ac:dyDescent="0.2">
      <c r="A789" s="1">
        <v>45539</v>
      </c>
      <c r="B789" s="2" t="s">
        <v>29</v>
      </c>
      <c r="C789" s="2" t="s">
        <v>35</v>
      </c>
      <c r="D789" s="2" t="s">
        <v>22</v>
      </c>
      <c r="E789">
        <v>24957</v>
      </c>
      <c r="F789">
        <v>492</v>
      </c>
      <c r="G789">
        <v>28</v>
      </c>
      <c r="H789">
        <v>844.57</v>
      </c>
      <c r="I789">
        <v>3580.5</v>
      </c>
      <c r="J789">
        <v>1.97</v>
      </c>
      <c r="K789">
        <v>5.69</v>
      </c>
      <c r="L789">
        <v>30.16</v>
      </c>
      <c r="M789">
        <v>4.24</v>
      </c>
      <c r="N789">
        <v>2735.93</v>
      </c>
    </row>
    <row r="790" spans="1:14" x14ac:dyDescent="0.2">
      <c r="A790" s="1">
        <v>45539</v>
      </c>
      <c r="B790" s="2" t="s">
        <v>30</v>
      </c>
      <c r="C790" s="2" t="s">
        <v>32</v>
      </c>
      <c r="D790" s="2" t="s">
        <v>16</v>
      </c>
      <c r="E790">
        <v>9373</v>
      </c>
      <c r="F790">
        <v>202</v>
      </c>
      <c r="G790">
        <v>11</v>
      </c>
      <c r="H790">
        <v>607.20000000000005</v>
      </c>
      <c r="I790">
        <v>1055.3900000000001</v>
      </c>
      <c r="J790">
        <v>2.16</v>
      </c>
      <c r="K790">
        <v>5.45</v>
      </c>
      <c r="L790">
        <v>55.2</v>
      </c>
      <c r="M790">
        <v>1.74</v>
      </c>
      <c r="N790">
        <v>448.19</v>
      </c>
    </row>
    <row r="791" spans="1:14" x14ac:dyDescent="0.2">
      <c r="A791" s="1">
        <v>45539</v>
      </c>
      <c r="B791" s="2" t="s">
        <v>31</v>
      </c>
      <c r="C791" s="2" t="s">
        <v>35</v>
      </c>
      <c r="D791" s="2" t="s">
        <v>36</v>
      </c>
      <c r="E791">
        <v>26247</v>
      </c>
      <c r="F791">
        <v>831</v>
      </c>
      <c r="G791">
        <v>32</v>
      </c>
      <c r="H791">
        <v>659.88</v>
      </c>
      <c r="I791">
        <v>2671.64</v>
      </c>
      <c r="J791">
        <v>3.17</v>
      </c>
      <c r="K791">
        <v>3.85</v>
      </c>
      <c r="L791">
        <v>20.62</v>
      </c>
      <c r="M791">
        <v>4.05</v>
      </c>
      <c r="N791">
        <v>2011.76</v>
      </c>
    </row>
    <row r="792" spans="1:14" x14ac:dyDescent="0.2">
      <c r="A792" s="1">
        <v>45539</v>
      </c>
      <c r="B792" s="2" t="s">
        <v>33</v>
      </c>
      <c r="C792" s="2" t="s">
        <v>18</v>
      </c>
      <c r="D792" s="2" t="s">
        <v>19</v>
      </c>
      <c r="E792">
        <v>5397</v>
      </c>
      <c r="F792">
        <v>347</v>
      </c>
      <c r="G792">
        <v>37</v>
      </c>
      <c r="H792">
        <v>375.78</v>
      </c>
      <c r="I792">
        <v>4146.12</v>
      </c>
      <c r="J792">
        <v>6.43</v>
      </c>
      <c r="K792">
        <v>10.66</v>
      </c>
      <c r="L792">
        <v>10.16</v>
      </c>
      <c r="M792">
        <v>11.03</v>
      </c>
      <c r="N792">
        <v>3770.34</v>
      </c>
    </row>
    <row r="793" spans="1:14" x14ac:dyDescent="0.2">
      <c r="A793" s="1">
        <v>45539</v>
      </c>
      <c r="B793" s="2" t="s">
        <v>34</v>
      </c>
      <c r="C793" s="2" t="s">
        <v>15</v>
      </c>
      <c r="D793" s="2" t="s">
        <v>25</v>
      </c>
      <c r="E793">
        <v>3881</v>
      </c>
      <c r="F793">
        <v>216</v>
      </c>
      <c r="G793">
        <v>37</v>
      </c>
      <c r="H793">
        <v>86.75</v>
      </c>
      <c r="I793">
        <v>6493.8</v>
      </c>
      <c r="J793">
        <v>5.57</v>
      </c>
      <c r="K793">
        <v>17.13</v>
      </c>
      <c r="L793">
        <v>2.34</v>
      </c>
      <c r="M793">
        <v>74.86</v>
      </c>
      <c r="N793">
        <v>6407.05</v>
      </c>
    </row>
    <row r="794" spans="1:14" x14ac:dyDescent="0.2">
      <c r="A794" s="1">
        <v>45540</v>
      </c>
      <c r="B794" s="2" t="s">
        <v>14</v>
      </c>
      <c r="C794" s="2" t="s">
        <v>28</v>
      </c>
      <c r="D794" s="2" t="s">
        <v>25</v>
      </c>
      <c r="E794">
        <v>12627</v>
      </c>
      <c r="F794">
        <v>508</v>
      </c>
      <c r="G794">
        <v>48</v>
      </c>
      <c r="H794">
        <v>872.45</v>
      </c>
      <c r="I794">
        <v>6306.41</v>
      </c>
      <c r="J794">
        <v>4.0199999999999996</v>
      </c>
      <c r="K794">
        <v>9.4499999999999993</v>
      </c>
      <c r="L794">
        <v>18.18</v>
      </c>
      <c r="M794">
        <v>7.23</v>
      </c>
      <c r="N794">
        <v>5433.96</v>
      </c>
    </row>
    <row r="795" spans="1:14" x14ac:dyDescent="0.2">
      <c r="A795" s="1">
        <v>45540</v>
      </c>
      <c r="B795" s="2" t="s">
        <v>17</v>
      </c>
      <c r="C795" s="2" t="s">
        <v>15</v>
      </c>
      <c r="D795" s="2" t="s">
        <v>19</v>
      </c>
      <c r="E795">
        <v>17699</v>
      </c>
      <c r="F795">
        <v>465</v>
      </c>
      <c r="G795">
        <v>34</v>
      </c>
      <c r="H795">
        <v>666.45</v>
      </c>
      <c r="I795">
        <v>3423.75</v>
      </c>
      <c r="J795">
        <v>2.63</v>
      </c>
      <c r="K795">
        <v>7.31</v>
      </c>
      <c r="L795">
        <v>19.600000000000001</v>
      </c>
      <c r="M795">
        <v>5.14</v>
      </c>
      <c r="N795">
        <v>2757.3</v>
      </c>
    </row>
    <row r="796" spans="1:14" x14ac:dyDescent="0.2">
      <c r="A796" s="1">
        <v>45540</v>
      </c>
      <c r="B796" s="2" t="s">
        <v>20</v>
      </c>
      <c r="C796" s="2" t="s">
        <v>18</v>
      </c>
      <c r="D796" s="2" t="s">
        <v>22</v>
      </c>
      <c r="E796">
        <v>10954</v>
      </c>
      <c r="F796">
        <v>293</v>
      </c>
      <c r="G796">
        <v>21</v>
      </c>
      <c r="H796">
        <v>902.23</v>
      </c>
      <c r="I796">
        <v>1986.59</v>
      </c>
      <c r="J796">
        <v>2.67</v>
      </c>
      <c r="K796">
        <v>7.17</v>
      </c>
      <c r="L796">
        <v>42.96</v>
      </c>
      <c r="M796">
        <v>2.2000000000000002</v>
      </c>
      <c r="N796">
        <v>1084.3599999999999</v>
      </c>
    </row>
    <row r="797" spans="1:14" x14ac:dyDescent="0.2">
      <c r="A797" s="1">
        <v>45540</v>
      </c>
      <c r="B797" s="2" t="s">
        <v>23</v>
      </c>
      <c r="C797" s="2" t="s">
        <v>28</v>
      </c>
      <c r="D797" s="2" t="s">
        <v>25</v>
      </c>
      <c r="E797">
        <v>4294</v>
      </c>
      <c r="F797">
        <v>120</v>
      </c>
      <c r="G797">
        <v>13</v>
      </c>
      <c r="H797">
        <v>1344.69</v>
      </c>
      <c r="I797">
        <v>3754.63</v>
      </c>
      <c r="J797">
        <v>2.79</v>
      </c>
      <c r="K797">
        <v>10.83</v>
      </c>
      <c r="L797">
        <v>103.44</v>
      </c>
      <c r="M797">
        <v>2.79</v>
      </c>
      <c r="N797">
        <v>2409.94</v>
      </c>
    </row>
    <row r="798" spans="1:14" x14ac:dyDescent="0.2">
      <c r="A798" s="1">
        <v>45540</v>
      </c>
      <c r="B798" s="2" t="s">
        <v>24</v>
      </c>
      <c r="C798" s="2" t="s">
        <v>18</v>
      </c>
      <c r="D798" s="2" t="s">
        <v>16</v>
      </c>
      <c r="E798">
        <v>15900</v>
      </c>
      <c r="F798">
        <v>3737</v>
      </c>
      <c r="G798">
        <v>427</v>
      </c>
      <c r="H798">
        <v>124.12</v>
      </c>
      <c r="I798">
        <v>52019.61</v>
      </c>
      <c r="J798">
        <v>23.5</v>
      </c>
      <c r="K798">
        <v>11.43</v>
      </c>
      <c r="L798">
        <v>0.28999999999999998</v>
      </c>
      <c r="M798">
        <v>419.11</v>
      </c>
      <c r="N798">
        <v>51895.49</v>
      </c>
    </row>
    <row r="799" spans="1:14" x14ac:dyDescent="0.2">
      <c r="A799" s="1">
        <v>45540</v>
      </c>
      <c r="B799" s="2" t="s">
        <v>26</v>
      </c>
      <c r="C799" s="2" t="s">
        <v>21</v>
      </c>
      <c r="D799" s="2" t="s">
        <v>19</v>
      </c>
      <c r="E799">
        <v>26885</v>
      </c>
      <c r="F799">
        <v>1188</v>
      </c>
      <c r="G799">
        <v>176</v>
      </c>
      <c r="H799">
        <v>0</v>
      </c>
      <c r="I799">
        <v>21353.91</v>
      </c>
      <c r="J799">
        <v>4.42</v>
      </c>
      <c r="K799">
        <v>14.81</v>
      </c>
      <c r="L799">
        <v>0</v>
      </c>
      <c r="M799">
        <v>0</v>
      </c>
      <c r="N799">
        <v>21353.91</v>
      </c>
    </row>
    <row r="800" spans="1:14" x14ac:dyDescent="0.2">
      <c r="A800" s="1">
        <v>45540</v>
      </c>
      <c r="B800" s="2" t="s">
        <v>27</v>
      </c>
      <c r="C800" s="2" t="s">
        <v>21</v>
      </c>
      <c r="D800" s="2" t="s">
        <v>22</v>
      </c>
      <c r="E800">
        <v>30617</v>
      </c>
      <c r="F800">
        <v>495</v>
      </c>
      <c r="G800">
        <v>23</v>
      </c>
      <c r="H800">
        <v>751.49</v>
      </c>
      <c r="I800">
        <v>2492.88</v>
      </c>
      <c r="J800">
        <v>1.62</v>
      </c>
      <c r="K800">
        <v>4.6500000000000004</v>
      </c>
      <c r="L800">
        <v>32.67</v>
      </c>
      <c r="M800">
        <v>3.32</v>
      </c>
      <c r="N800">
        <v>1741.39</v>
      </c>
    </row>
    <row r="801" spans="1:14" x14ac:dyDescent="0.2">
      <c r="A801" s="1">
        <v>45540</v>
      </c>
      <c r="B801" s="2" t="s">
        <v>29</v>
      </c>
      <c r="C801" s="2" t="s">
        <v>35</v>
      </c>
      <c r="D801" s="2" t="s">
        <v>19</v>
      </c>
      <c r="E801">
        <v>15475</v>
      </c>
      <c r="F801">
        <v>291</v>
      </c>
      <c r="G801">
        <v>21</v>
      </c>
      <c r="H801">
        <v>954.4</v>
      </c>
      <c r="I801">
        <v>2327.5500000000002</v>
      </c>
      <c r="J801">
        <v>1.88</v>
      </c>
      <c r="K801">
        <v>7.22</v>
      </c>
      <c r="L801">
        <v>45.45</v>
      </c>
      <c r="M801">
        <v>2.44</v>
      </c>
      <c r="N801">
        <v>1373.15</v>
      </c>
    </row>
    <row r="802" spans="1:14" x14ac:dyDescent="0.2">
      <c r="A802" s="1">
        <v>45540</v>
      </c>
      <c r="B802" s="2" t="s">
        <v>30</v>
      </c>
      <c r="C802" s="2" t="s">
        <v>35</v>
      </c>
      <c r="D802" s="2" t="s">
        <v>16</v>
      </c>
      <c r="E802">
        <v>9482</v>
      </c>
      <c r="F802">
        <v>237</v>
      </c>
      <c r="G802">
        <v>7</v>
      </c>
      <c r="H802">
        <v>471.37</v>
      </c>
      <c r="I802">
        <v>683.96</v>
      </c>
      <c r="J802">
        <v>2.5</v>
      </c>
      <c r="K802">
        <v>2.95</v>
      </c>
      <c r="L802">
        <v>67.34</v>
      </c>
      <c r="M802">
        <v>1.45</v>
      </c>
      <c r="N802">
        <v>212.59</v>
      </c>
    </row>
    <row r="803" spans="1:14" x14ac:dyDescent="0.2">
      <c r="A803" s="1">
        <v>45540</v>
      </c>
      <c r="B803" s="2" t="s">
        <v>31</v>
      </c>
      <c r="C803" s="2" t="s">
        <v>18</v>
      </c>
      <c r="D803" s="2" t="s">
        <v>36</v>
      </c>
      <c r="E803">
        <v>22701</v>
      </c>
      <c r="F803">
        <v>743</v>
      </c>
      <c r="G803">
        <v>27</v>
      </c>
      <c r="H803">
        <v>645.95000000000005</v>
      </c>
      <c r="I803">
        <v>2659.43</v>
      </c>
      <c r="J803">
        <v>3.27</v>
      </c>
      <c r="K803">
        <v>3.63</v>
      </c>
      <c r="L803">
        <v>23.92</v>
      </c>
      <c r="M803">
        <v>4.12</v>
      </c>
      <c r="N803">
        <v>2013.48</v>
      </c>
    </row>
    <row r="804" spans="1:14" x14ac:dyDescent="0.2">
      <c r="A804" s="1">
        <v>45540</v>
      </c>
      <c r="B804" s="2" t="s">
        <v>33</v>
      </c>
      <c r="C804" s="2" t="s">
        <v>15</v>
      </c>
      <c r="D804" s="2" t="s">
        <v>36</v>
      </c>
      <c r="E804">
        <v>5518</v>
      </c>
      <c r="F804">
        <v>364</v>
      </c>
      <c r="G804">
        <v>37</v>
      </c>
      <c r="H804">
        <v>550.41999999999996</v>
      </c>
      <c r="I804">
        <v>5501.93</v>
      </c>
      <c r="J804">
        <v>6.6</v>
      </c>
      <c r="K804">
        <v>10.16</v>
      </c>
      <c r="L804">
        <v>14.88</v>
      </c>
      <c r="M804">
        <v>10</v>
      </c>
      <c r="N804">
        <v>4951.51</v>
      </c>
    </row>
    <row r="805" spans="1:14" x14ac:dyDescent="0.2">
      <c r="A805" s="1">
        <v>45540</v>
      </c>
      <c r="B805" s="2" t="s">
        <v>34</v>
      </c>
      <c r="C805" s="2" t="s">
        <v>21</v>
      </c>
      <c r="D805" s="2" t="s">
        <v>22</v>
      </c>
      <c r="E805">
        <v>3557</v>
      </c>
      <c r="F805">
        <v>338</v>
      </c>
      <c r="G805">
        <v>57</v>
      </c>
      <c r="H805">
        <v>156.44</v>
      </c>
      <c r="I805">
        <v>7661.44</v>
      </c>
      <c r="J805">
        <v>9.5</v>
      </c>
      <c r="K805">
        <v>16.86</v>
      </c>
      <c r="L805">
        <v>2.74</v>
      </c>
      <c r="M805">
        <v>48.97</v>
      </c>
      <c r="N805">
        <v>7505</v>
      </c>
    </row>
    <row r="806" spans="1:14" x14ac:dyDescent="0.2">
      <c r="A806" s="1">
        <v>45541</v>
      </c>
      <c r="B806" s="2" t="s">
        <v>14</v>
      </c>
      <c r="C806" s="2" t="s">
        <v>28</v>
      </c>
      <c r="D806" s="2" t="s">
        <v>25</v>
      </c>
      <c r="E806">
        <v>9059</v>
      </c>
      <c r="F806">
        <v>305</v>
      </c>
      <c r="G806">
        <v>30</v>
      </c>
      <c r="H806">
        <v>1316.41</v>
      </c>
      <c r="I806">
        <v>4894.93</v>
      </c>
      <c r="J806">
        <v>3.37</v>
      </c>
      <c r="K806">
        <v>9.84</v>
      </c>
      <c r="L806">
        <v>43.88</v>
      </c>
      <c r="M806">
        <v>3.72</v>
      </c>
      <c r="N806">
        <v>3578.52</v>
      </c>
    </row>
    <row r="807" spans="1:14" x14ac:dyDescent="0.2">
      <c r="A807" s="1">
        <v>45541</v>
      </c>
      <c r="B807" s="2" t="s">
        <v>17</v>
      </c>
      <c r="C807" s="2" t="s">
        <v>15</v>
      </c>
      <c r="D807" s="2" t="s">
        <v>22</v>
      </c>
      <c r="E807">
        <v>15344</v>
      </c>
      <c r="F807">
        <v>517</v>
      </c>
      <c r="G807">
        <v>30</v>
      </c>
      <c r="H807">
        <v>1098.3900000000001</v>
      </c>
      <c r="I807">
        <v>3425.93</v>
      </c>
      <c r="J807">
        <v>3.37</v>
      </c>
      <c r="K807">
        <v>5.8</v>
      </c>
      <c r="L807">
        <v>36.61</v>
      </c>
      <c r="M807">
        <v>3.12</v>
      </c>
      <c r="N807">
        <v>2327.54</v>
      </c>
    </row>
    <row r="808" spans="1:14" x14ac:dyDescent="0.2">
      <c r="A808" s="1">
        <v>45541</v>
      </c>
      <c r="B808" s="2" t="s">
        <v>20</v>
      </c>
      <c r="C808" s="2" t="s">
        <v>32</v>
      </c>
      <c r="D808" s="2" t="s">
        <v>25</v>
      </c>
      <c r="E808">
        <v>17024</v>
      </c>
      <c r="F808">
        <v>746</v>
      </c>
      <c r="G808">
        <v>55</v>
      </c>
      <c r="H808">
        <v>741.29</v>
      </c>
      <c r="I808">
        <v>4724.8100000000004</v>
      </c>
      <c r="J808">
        <v>4.38</v>
      </c>
      <c r="K808">
        <v>7.37</v>
      </c>
      <c r="L808">
        <v>13.48</v>
      </c>
      <c r="M808">
        <v>6.37</v>
      </c>
      <c r="N808">
        <v>3983.52</v>
      </c>
    </row>
    <row r="809" spans="1:14" x14ac:dyDescent="0.2">
      <c r="A809" s="1">
        <v>45541</v>
      </c>
      <c r="B809" s="2" t="s">
        <v>23</v>
      </c>
      <c r="C809" s="2" t="s">
        <v>15</v>
      </c>
      <c r="D809" s="2" t="s">
        <v>19</v>
      </c>
      <c r="E809">
        <v>4374</v>
      </c>
      <c r="F809">
        <v>120</v>
      </c>
      <c r="G809">
        <v>17</v>
      </c>
      <c r="H809">
        <v>1155.5</v>
      </c>
      <c r="I809">
        <v>3504.22</v>
      </c>
      <c r="J809">
        <v>2.74</v>
      </c>
      <c r="K809">
        <v>14.17</v>
      </c>
      <c r="L809">
        <v>67.97</v>
      </c>
      <c r="M809">
        <v>3.03</v>
      </c>
      <c r="N809">
        <v>2348.7199999999998</v>
      </c>
    </row>
    <row r="810" spans="1:14" x14ac:dyDescent="0.2">
      <c r="A810" s="1">
        <v>45541</v>
      </c>
      <c r="B810" s="2" t="s">
        <v>24</v>
      </c>
      <c r="C810" s="2" t="s">
        <v>18</v>
      </c>
      <c r="D810" s="2" t="s">
        <v>36</v>
      </c>
      <c r="E810">
        <v>23786</v>
      </c>
      <c r="F810">
        <v>3936</v>
      </c>
      <c r="G810">
        <v>368</v>
      </c>
      <c r="H810">
        <v>201.8</v>
      </c>
      <c r="I810">
        <v>53056.56</v>
      </c>
      <c r="J810">
        <v>16.55</v>
      </c>
      <c r="K810">
        <v>9.35</v>
      </c>
      <c r="L810">
        <v>0.55000000000000004</v>
      </c>
      <c r="M810">
        <v>262.92</v>
      </c>
      <c r="N810">
        <v>52854.76</v>
      </c>
    </row>
    <row r="811" spans="1:14" x14ac:dyDescent="0.2">
      <c r="A811" s="1">
        <v>45541</v>
      </c>
      <c r="B811" s="2" t="s">
        <v>26</v>
      </c>
      <c r="C811" s="2" t="s">
        <v>15</v>
      </c>
      <c r="D811" s="2" t="s">
        <v>16</v>
      </c>
      <c r="E811">
        <v>31127</v>
      </c>
      <c r="F811">
        <v>1420</v>
      </c>
      <c r="G811">
        <v>211</v>
      </c>
      <c r="H811">
        <v>0</v>
      </c>
      <c r="I811">
        <v>28666.959999999999</v>
      </c>
      <c r="J811">
        <v>4.5599999999999996</v>
      </c>
      <c r="K811">
        <v>14.86</v>
      </c>
      <c r="L811">
        <v>0</v>
      </c>
      <c r="M811">
        <v>0</v>
      </c>
      <c r="N811">
        <v>28666.959999999999</v>
      </c>
    </row>
    <row r="812" spans="1:14" x14ac:dyDescent="0.2">
      <c r="A812" s="1">
        <v>45541</v>
      </c>
      <c r="B812" s="2" t="s">
        <v>27</v>
      </c>
      <c r="C812" s="2" t="s">
        <v>28</v>
      </c>
      <c r="D812" s="2" t="s">
        <v>16</v>
      </c>
      <c r="E812">
        <v>27580</v>
      </c>
      <c r="F812">
        <v>502</v>
      </c>
      <c r="G812">
        <v>18</v>
      </c>
      <c r="H812">
        <v>896.76</v>
      </c>
      <c r="I812">
        <v>2384.7399999999998</v>
      </c>
      <c r="J812">
        <v>1.82</v>
      </c>
      <c r="K812">
        <v>3.59</v>
      </c>
      <c r="L812">
        <v>49.82</v>
      </c>
      <c r="M812">
        <v>2.66</v>
      </c>
      <c r="N812">
        <v>1487.98</v>
      </c>
    </row>
    <row r="813" spans="1:14" x14ac:dyDescent="0.2">
      <c r="A813" s="1">
        <v>45541</v>
      </c>
      <c r="B813" s="2" t="s">
        <v>29</v>
      </c>
      <c r="C813" s="2" t="s">
        <v>28</v>
      </c>
      <c r="D813" s="2" t="s">
        <v>16</v>
      </c>
      <c r="E813">
        <v>15658</v>
      </c>
      <c r="F813">
        <v>381</v>
      </c>
      <c r="G813">
        <v>27</v>
      </c>
      <c r="H813">
        <v>1397.77</v>
      </c>
      <c r="I813">
        <v>2732.34</v>
      </c>
      <c r="J813">
        <v>2.4300000000000002</v>
      </c>
      <c r="K813">
        <v>7.09</v>
      </c>
      <c r="L813">
        <v>51.77</v>
      </c>
      <c r="M813">
        <v>1.95</v>
      </c>
      <c r="N813">
        <v>1334.57</v>
      </c>
    </row>
    <row r="814" spans="1:14" x14ac:dyDescent="0.2">
      <c r="A814" s="1">
        <v>45541</v>
      </c>
      <c r="B814" s="2" t="s">
        <v>30</v>
      </c>
      <c r="C814" s="2" t="s">
        <v>35</v>
      </c>
      <c r="D814" s="2" t="s">
        <v>25</v>
      </c>
      <c r="E814">
        <v>11857</v>
      </c>
      <c r="F814">
        <v>398</v>
      </c>
      <c r="G814">
        <v>23</v>
      </c>
      <c r="H814">
        <v>791.91</v>
      </c>
      <c r="I814">
        <v>2767.47</v>
      </c>
      <c r="J814">
        <v>3.36</v>
      </c>
      <c r="K814">
        <v>5.78</v>
      </c>
      <c r="L814">
        <v>34.43</v>
      </c>
      <c r="M814">
        <v>3.49</v>
      </c>
      <c r="N814">
        <v>1975.56</v>
      </c>
    </row>
    <row r="815" spans="1:14" x14ac:dyDescent="0.2">
      <c r="A815" s="1">
        <v>45541</v>
      </c>
      <c r="B815" s="2" t="s">
        <v>31</v>
      </c>
      <c r="C815" s="2" t="s">
        <v>28</v>
      </c>
      <c r="D815" s="2" t="s">
        <v>25</v>
      </c>
      <c r="E815">
        <v>26689</v>
      </c>
      <c r="F815">
        <v>1160</v>
      </c>
      <c r="G815">
        <v>61</v>
      </c>
      <c r="H815">
        <v>692.25</v>
      </c>
      <c r="I815">
        <v>5412.13</v>
      </c>
      <c r="J815">
        <v>4.3499999999999996</v>
      </c>
      <c r="K815">
        <v>5.26</v>
      </c>
      <c r="L815">
        <v>11.35</v>
      </c>
      <c r="M815">
        <v>7.82</v>
      </c>
      <c r="N815">
        <v>4719.88</v>
      </c>
    </row>
    <row r="816" spans="1:14" x14ac:dyDescent="0.2">
      <c r="A816" s="1">
        <v>45541</v>
      </c>
      <c r="B816" s="2" t="s">
        <v>33</v>
      </c>
      <c r="C816" s="2" t="s">
        <v>28</v>
      </c>
      <c r="D816" s="2" t="s">
        <v>36</v>
      </c>
      <c r="E816">
        <v>5435</v>
      </c>
      <c r="F816">
        <v>310</v>
      </c>
      <c r="G816">
        <v>28</v>
      </c>
      <c r="H816">
        <v>636.48</v>
      </c>
      <c r="I816">
        <v>3032.63</v>
      </c>
      <c r="J816">
        <v>5.7</v>
      </c>
      <c r="K816">
        <v>9.0299999999999994</v>
      </c>
      <c r="L816">
        <v>22.73</v>
      </c>
      <c r="M816">
        <v>4.76</v>
      </c>
      <c r="N816">
        <v>2396.15</v>
      </c>
    </row>
    <row r="817" spans="1:14" x14ac:dyDescent="0.2">
      <c r="A817" s="1">
        <v>45541</v>
      </c>
      <c r="B817" s="2" t="s">
        <v>34</v>
      </c>
      <c r="C817" s="2" t="s">
        <v>35</v>
      </c>
      <c r="D817" s="2" t="s">
        <v>16</v>
      </c>
      <c r="E817">
        <v>6549</v>
      </c>
      <c r="F817">
        <v>447</v>
      </c>
      <c r="G817">
        <v>80</v>
      </c>
      <c r="H817">
        <v>65.489999999999995</v>
      </c>
      <c r="I817">
        <v>10694.27</v>
      </c>
      <c r="J817">
        <v>6.83</v>
      </c>
      <c r="K817">
        <v>17.899999999999999</v>
      </c>
      <c r="L817">
        <v>0.82</v>
      </c>
      <c r="M817">
        <v>163.30000000000001</v>
      </c>
      <c r="N817">
        <v>10628.78</v>
      </c>
    </row>
    <row r="818" spans="1:14" x14ac:dyDescent="0.2">
      <c r="A818" s="1">
        <v>45542</v>
      </c>
      <c r="B818" s="2" t="s">
        <v>14</v>
      </c>
      <c r="C818" s="2" t="s">
        <v>28</v>
      </c>
      <c r="D818" s="2" t="s">
        <v>16</v>
      </c>
      <c r="E818">
        <v>8760</v>
      </c>
      <c r="F818">
        <v>364</v>
      </c>
      <c r="G818">
        <v>31</v>
      </c>
      <c r="H818">
        <v>734.55</v>
      </c>
      <c r="I818">
        <v>5570.11</v>
      </c>
      <c r="J818">
        <v>4.16</v>
      </c>
      <c r="K818">
        <v>8.52</v>
      </c>
      <c r="L818">
        <v>23.7</v>
      </c>
      <c r="M818">
        <v>7.58</v>
      </c>
      <c r="N818">
        <v>4835.5600000000004</v>
      </c>
    </row>
    <row r="819" spans="1:14" x14ac:dyDescent="0.2">
      <c r="A819" s="1">
        <v>45542</v>
      </c>
      <c r="B819" s="2" t="s">
        <v>17</v>
      </c>
      <c r="C819" s="2" t="s">
        <v>35</v>
      </c>
      <c r="D819" s="2" t="s">
        <v>22</v>
      </c>
      <c r="E819">
        <v>13246</v>
      </c>
      <c r="F819">
        <v>403</v>
      </c>
      <c r="G819">
        <v>21</v>
      </c>
      <c r="H819">
        <v>620.97</v>
      </c>
      <c r="I819">
        <v>2452.67</v>
      </c>
      <c r="J819">
        <v>3.04</v>
      </c>
      <c r="K819">
        <v>5.21</v>
      </c>
      <c r="L819">
        <v>29.57</v>
      </c>
      <c r="M819">
        <v>3.95</v>
      </c>
      <c r="N819">
        <v>1831.7</v>
      </c>
    </row>
    <row r="820" spans="1:14" x14ac:dyDescent="0.2">
      <c r="A820" s="1">
        <v>45542</v>
      </c>
      <c r="B820" s="2" t="s">
        <v>20</v>
      </c>
      <c r="C820" s="2" t="s">
        <v>32</v>
      </c>
      <c r="D820" s="2" t="s">
        <v>36</v>
      </c>
      <c r="E820">
        <v>9896</v>
      </c>
      <c r="F820">
        <v>411</v>
      </c>
      <c r="G820">
        <v>20</v>
      </c>
      <c r="H820">
        <v>571.96</v>
      </c>
      <c r="I820">
        <v>2233.7800000000002</v>
      </c>
      <c r="J820">
        <v>4.1500000000000004</v>
      </c>
      <c r="K820">
        <v>4.87</v>
      </c>
      <c r="L820">
        <v>28.6</v>
      </c>
      <c r="M820">
        <v>3.91</v>
      </c>
      <c r="N820">
        <v>1661.82</v>
      </c>
    </row>
    <row r="821" spans="1:14" x14ac:dyDescent="0.2">
      <c r="A821" s="1">
        <v>45542</v>
      </c>
      <c r="B821" s="2" t="s">
        <v>23</v>
      </c>
      <c r="C821" s="2" t="s">
        <v>15</v>
      </c>
      <c r="D821" s="2" t="s">
        <v>19</v>
      </c>
      <c r="E821">
        <v>3909</v>
      </c>
      <c r="F821">
        <v>84</v>
      </c>
      <c r="G821">
        <v>11</v>
      </c>
      <c r="H821">
        <v>947.83</v>
      </c>
      <c r="I821">
        <v>2337.23</v>
      </c>
      <c r="J821">
        <v>2.15</v>
      </c>
      <c r="K821">
        <v>13.1</v>
      </c>
      <c r="L821">
        <v>86.17</v>
      </c>
      <c r="M821">
        <v>2.4700000000000002</v>
      </c>
      <c r="N821">
        <v>1389.4</v>
      </c>
    </row>
    <row r="822" spans="1:14" x14ac:dyDescent="0.2">
      <c r="A822" s="1">
        <v>45542</v>
      </c>
      <c r="B822" s="2" t="s">
        <v>24</v>
      </c>
      <c r="C822" s="2" t="s">
        <v>18</v>
      </c>
      <c r="D822" s="2" t="s">
        <v>36</v>
      </c>
      <c r="E822">
        <v>16868</v>
      </c>
      <c r="F822">
        <v>3430</v>
      </c>
      <c r="G822">
        <v>404</v>
      </c>
      <c r="H822">
        <v>127.08</v>
      </c>
      <c r="I822">
        <v>58152.13</v>
      </c>
      <c r="J822">
        <v>20.329999999999998</v>
      </c>
      <c r="K822">
        <v>11.78</v>
      </c>
      <c r="L822">
        <v>0.31</v>
      </c>
      <c r="M822">
        <v>457.6</v>
      </c>
      <c r="N822">
        <v>58025.05</v>
      </c>
    </row>
    <row r="823" spans="1:14" x14ac:dyDescent="0.2">
      <c r="A823" s="1">
        <v>45542</v>
      </c>
      <c r="B823" s="2" t="s">
        <v>26</v>
      </c>
      <c r="C823" s="2" t="s">
        <v>18</v>
      </c>
      <c r="D823" s="2" t="s">
        <v>22</v>
      </c>
      <c r="E823">
        <v>21277</v>
      </c>
      <c r="F823">
        <v>860</v>
      </c>
      <c r="G823">
        <v>105</v>
      </c>
      <c r="H823">
        <v>0</v>
      </c>
      <c r="I823">
        <v>10999.93</v>
      </c>
      <c r="J823">
        <v>4.04</v>
      </c>
      <c r="K823">
        <v>12.21</v>
      </c>
      <c r="L823">
        <v>0</v>
      </c>
      <c r="M823">
        <v>0</v>
      </c>
      <c r="N823">
        <v>10999.93</v>
      </c>
    </row>
    <row r="824" spans="1:14" x14ac:dyDescent="0.2">
      <c r="A824" s="1">
        <v>45542</v>
      </c>
      <c r="B824" s="2" t="s">
        <v>27</v>
      </c>
      <c r="C824" s="2" t="s">
        <v>28</v>
      </c>
      <c r="D824" s="2" t="s">
        <v>25</v>
      </c>
      <c r="E824">
        <v>17755</v>
      </c>
      <c r="F824">
        <v>316</v>
      </c>
      <c r="G824">
        <v>7</v>
      </c>
      <c r="H824">
        <v>716.46</v>
      </c>
      <c r="I824">
        <v>948.98</v>
      </c>
      <c r="J824">
        <v>1.78</v>
      </c>
      <c r="K824">
        <v>2.2200000000000002</v>
      </c>
      <c r="L824">
        <v>102.35</v>
      </c>
      <c r="M824">
        <v>1.32</v>
      </c>
      <c r="N824">
        <v>232.52</v>
      </c>
    </row>
    <row r="825" spans="1:14" x14ac:dyDescent="0.2">
      <c r="A825" s="1">
        <v>45542</v>
      </c>
      <c r="B825" s="2" t="s">
        <v>29</v>
      </c>
      <c r="C825" s="2" t="s">
        <v>28</v>
      </c>
      <c r="D825" s="2" t="s">
        <v>25</v>
      </c>
      <c r="E825">
        <v>11617</v>
      </c>
      <c r="F825">
        <v>293</v>
      </c>
      <c r="G825">
        <v>18</v>
      </c>
      <c r="H825">
        <v>896.46</v>
      </c>
      <c r="I825">
        <v>2037.1</v>
      </c>
      <c r="J825">
        <v>2.52</v>
      </c>
      <c r="K825">
        <v>6.14</v>
      </c>
      <c r="L825">
        <v>49.8</v>
      </c>
      <c r="M825">
        <v>2.27</v>
      </c>
      <c r="N825">
        <v>1140.6400000000001</v>
      </c>
    </row>
    <row r="826" spans="1:14" x14ac:dyDescent="0.2">
      <c r="A826" s="1">
        <v>45542</v>
      </c>
      <c r="B826" s="2" t="s">
        <v>30</v>
      </c>
      <c r="C826" s="2" t="s">
        <v>18</v>
      </c>
      <c r="D826" s="2" t="s">
        <v>36</v>
      </c>
      <c r="E826">
        <v>8493</v>
      </c>
      <c r="F826">
        <v>220</v>
      </c>
      <c r="G826">
        <v>6</v>
      </c>
      <c r="H826">
        <v>350.77</v>
      </c>
      <c r="I826">
        <v>529.66</v>
      </c>
      <c r="J826">
        <v>2.59</v>
      </c>
      <c r="K826">
        <v>2.73</v>
      </c>
      <c r="L826">
        <v>58.46</v>
      </c>
      <c r="M826">
        <v>1.51</v>
      </c>
      <c r="N826">
        <v>178.89</v>
      </c>
    </row>
    <row r="827" spans="1:14" x14ac:dyDescent="0.2">
      <c r="A827" s="1">
        <v>45542</v>
      </c>
      <c r="B827" s="2" t="s">
        <v>31</v>
      </c>
      <c r="C827" s="2" t="s">
        <v>35</v>
      </c>
      <c r="D827" s="2" t="s">
        <v>19</v>
      </c>
      <c r="E827">
        <v>20026</v>
      </c>
      <c r="F827">
        <v>877</v>
      </c>
      <c r="G827">
        <v>47</v>
      </c>
      <c r="H827">
        <v>669.82</v>
      </c>
      <c r="I827">
        <v>3348.93</v>
      </c>
      <c r="J827">
        <v>4.38</v>
      </c>
      <c r="K827">
        <v>5.36</v>
      </c>
      <c r="L827">
        <v>14.25</v>
      </c>
      <c r="M827">
        <v>5</v>
      </c>
      <c r="N827">
        <v>2679.11</v>
      </c>
    </row>
    <row r="828" spans="1:14" x14ac:dyDescent="0.2">
      <c r="A828" s="1">
        <v>45542</v>
      </c>
      <c r="B828" s="2" t="s">
        <v>33</v>
      </c>
      <c r="C828" s="2" t="s">
        <v>21</v>
      </c>
      <c r="D828" s="2" t="s">
        <v>19</v>
      </c>
      <c r="E828">
        <v>5567</v>
      </c>
      <c r="F828">
        <v>256</v>
      </c>
      <c r="G828">
        <v>28</v>
      </c>
      <c r="H828">
        <v>417.41</v>
      </c>
      <c r="I828">
        <v>3897.45</v>
      </c>
      <c r="J828">
        <v>4.5999999999999996</v>
      </c>
      <c r="K828">
        <v>10.94</v>
      </c>
      <c r="L828">
        <v>14.91</v>
      </c>
      <c r="M828">
        <v>9.34</v>
      </c>
      <c r="N828">
        <v>3480.04</v>
      </c>
    </row>
    <row r="829" spans="1:14" x14ac:dyDescent="0.2">
      <c r="A829" s="1">
        <v>45542</v>
      </c>
      <c r="B829" s="2" t="s">
        <v>34</v>
      </c>
      <c r="C829" s="2" t="s">
        <v>21</v>
      </c>
      <c r="D829" s="2" t="s">
        <v>16</v>
      </c>
      <c r="E829">
        <v>4812</v>
      </c>
      <c r="F829">
        <v>441</v>
      </c>
      <c r="G829">
        <v>59</v>
      </c>
      <c r="H829">
        <v>38.31</v>
      </c>
      <c r="I829">
        <v>10570.11</v>
      </c>
      <c r="J829">
        <v>9.16</v>
      </c>
      <c r="K829">
        <v>13.38</v>
      </c>
      <c r="L829">
        <v>0.65</v>
      </c>
      <c r="M829">
        <v>275.91000000000003</v>
      </c>
      <c r="N829">
        <v>10531.8</v>
      </c>
    </row>
    <row r="830" spans="1:14" x14ac:dyDescent="0.2">
      <c r="A830" s="1">
        <v>45543</v>
      </c>
      <c r="B830" s="2" t="s">
        <v>14</v>
      </c>
      <c r="C830" s="2" t="s">
        <v>32</v>
      </c>
      <c r="D830" s="2" t="s">
        <v>16</v>
      </c>
      <c r="E830">
        <v>7048</v>
      </c>
      <c r="F830">
        <v>304</v>
      </c>
      <c r="G830">
        <v>30</v>
      </c>
      <c r="H830">
        <v>759.77</v>
      </c>
      <c r="I830">
        <v>5455.07</v>
      </c>
      <c r="J830">
        <v>4.3099999999999996</v>
      </c>
      <c r="K830">
        <v>9.8699999999999992</v>
      </c>
      <c r="L830">
        <v>25.33</v>
      </c>
      <c r="M830">
        <v>7.18</v>
      </c>
      <c r="N830">
        <v>4695.3</v>
      </c>
    </row>
    <row r="831" spans="1:14" x14ac:dyDescent="0.2">
      <c r="A831" s="1">
        <v>45543</v>
      </c>
      <c r="B831" s="2" t="s">
        <v>17</v>
      </c>
      <c r="C831" s="2" t="s">
        <v>32</v>
      </c>
      <c r="D831" s="2" t="s">
        <v>25</v>
      </c>
      <c r="E831">
        <v>8443</v>
      </c>
      <c r="F831">
        <v>334</v>
      </c>
      <c r="G831">
        <v>22</v>
      </c>
      <c r="H831">
        <v>830.86</v>
      </c>
      <c r="I831">
        <v>2664.29</v>
      </c>
      <c r="J831">
        <v>3.96</v>
      </c>
      <c r="K831">
        <v>6.59</v>
      </c>
      <c r="L831">
        <v>37.770000000000003</v>
      </c>
      <c r="M831">
        <v>3.21</v>
      </c>
      <c r="N831">
        <v>1833.43</v>
      </c>
    </row>
    <row r="832" spans="1:14" x14ac:dyDescent="0.2">
      <c r="A832" s="1">
        <v>45543</v>
      </c>
      <c r="B832" s="2" t="s">
        <v>20</v>
      </c>
      <c r="C832" s="2" t="s">
        <v>21</v>
      </c>
      <c r="D832" s="2" t="s">
        <v>19</v>
      </c>
      <c r="E832">
        <v>7823</v>
      </c>
      <c r="F832">
        <v>268</v>
      </c>
      <c r="G832">
        <v>18</v>
      </c>
      <c r="H832">
        <v>694.06</v>
      </c>
      <c r="I832">
        <v>1792.81</v>
      </c>
      <c r="J832">
        <v>3.43</v>
      </c>
      <c r="K832">
        <v>6.72</v>
      </c>
      <c r="L832">
        <v>38.56</v>
      </c>
      <c r="M832">
        <v>2.58</v>
      </c>
      <c r="N832">
        <v>1098.75</v>
      </c>
    </row>
    <row r="833" spans="1:14" x14ac:dyDescent="0.2">
      <c r="A833" s="1">
        <v>45543</v>
      </c>
      <c r="B833" s="2" t="s">
        <v>23</v>
      </c>
      <c r="C833" s="2" t="s">
        <v>35</v>
      </c>
      <c r="D833" s="2" t="s">
        <v>22</v>
      </c>
      <c r="E833">
        <v>3257</v>
      </c>
      <c r="F833">
        <v>51</v>
      </c>
      <c r="G833">
        <v>6</v>
      </c>
      <c r="H833">
        <v>790.64</v>
      </c>
      <c r="I833">
        <v>1355.3</v>
      </c>
      <c r="J833">
        <v>1.57</v>
      </c>
      <c r="K833">
        <v>11.76</v>
      </c>
      <c r="L833">
        <v>131.77000000000001</v>
      </c>
      <c r="M833">
        <v>1.71</v>
      </c>
      <c r="N833">
        <v>564.66</v>
      </c>
    </row>
    <row r="834" spans="1:14" x14ac:dyDescent="0.2">
      <c r="A834" s="1">
        <v>45543</v>
      </c>
      <c r="B834" s="2" t="s">
        <v>24</v>
      </c>
      <c r="C834" s="2" t="s">
        <v>21</v>
      </c>
      <c r="D834" s="2" t="s">
        <v>16</v>
      </c>
      <c r="E834">
        <v>15357</v>
      </c>
      <c r="F834">
        <v>3399</v>
      </c>
      <c r="G834">
        <v>437</v>
      </c>
      <c r="H834">
        <v>200.91</v>
      </c>
      <c r="I834">
        <v>66793.740000000005</v>
      </c>
      <c r="J834">
        <v>22.13</v>
      </c>
      <c r="K834">
        <v>12.86</v>
      </c>
      <c r="L834">
        <v>0.46</v>
      </c>
      <c r="M834">
        <v>332.46</v>
      </c>
      <c r="N834">
        <v>66592.83</v>
      </c>
    </row>
    <row r="835" spans="1:14" x14ac:dyDescent="0.2">
      <c r="A835" s="1">
        <v>45543</v>
      </c>
      <c r="B835" s="2" t="s">
        <v>26</v>
      </c>
      <c r="C835" s="2" t="s">
        <v>21</v>
      </c>
      <c r="D835" s="2" t="s">
        <v>19</v>
      </c>
      <c r="E835">
        <v>24037</v>
      </c>
      <c r="F835">
        <v>1619</v>
      </c>
      <c r="G835">
        <v>189</v>
      </c>
      <c r="H835">
        <v>0</v>
      </c>
      <c r="I835">
        <v>19372.32</v>
      </c>
      <c r="J835">
        <v>6.74</v>
      </c>
      <c r="K835">
        <v>11.67</v>
      </c>
      <c r="L835">
        <v>0</v>
      </c>
      <c r="M835">
        <v>0</v>
      </c>
      <c r="N835">
        <v>19372.32</v>
      </c>
    </row>
    <row r="836" spans="1:14" x14ac:dyDescent="0.2">
      <c r="A836" s="1">
        <v>45543</v>
      </c>
      <c r="B836" s="2" t="s">
        <v>27</v>
      </c>
      <c r="C836" s="2" t="s">
        <v>21</v>
      </c>
      <c r="D836" s="2" t="s">
        <v>22</v>
      </c>
      <c r="E836">
        <v>19806</v>
      </c>
      <c r="F836">
        <v>296</v>
      </c>
      <c r="G836">
        <v>5</v>
      </c>
      <c r="H836">
        <v>872.12</v>
      </c>
      <c r="I836">
        <v>590.86</v>
      </c>
      <c r="J836">
        <v>1.49</v>
      </c>
      <c r="K836">
        <v>1.69</v>
      </c>
      <c r="L836">
        <v>174.42</v>
      </c>
      <c r="M836">
        <v>0.68</v>
      </c>
      <c r="N836">
        <v>-281.26</v>
      </c>
    </row>
    <row r="837" spans="1:14" x14ac:dyDescent="0.2">
      <c r="A837" s="1">
        <v>45543</v>
      </c>
      <c r="B837" s="2" t="s">
        <v>29</v>
      </c>
      <c r="C837" s="2" t="s">
        <v>32</v>
      </c>
      <c r="D837" s="2" t="s">
        <v>22</v>
      </c>
      <c r="E837">
        <v>12506</v>
      </c>
      <c r="F837">
        <v>360</v>
      </c>
      <c r="G837">
        <v>25</v>
      </c>
      <c r="H837">
        <v>706.53</v>
      </c>
      <c r="I837">
        <v>2783.95</v>
      </c>
      <c r="J837">
        <v>2.88</v>
      </c>
      <c r="K837">
        <v>6.94</v>
      </c>
      <c r="L837">
        <v>28.26</v>
      </c>
      <c r="M837">
        <v>3.94</v>
      </c>
      <c r="N837">
        <v>2077.42</v>
      </c>
    </row>
    <row r="838" spans="1:14" x14ac:dyDescent="0.2">
      <c r="A838" s="1">
        <v>45543</v>
      </c>
      <c r="B838" s="2" t="s">
        <v>30</v>
      </c>
      <c r="C838" s="2" t="s">
        <v>15</v>
      </c>
      <c r="D838" s="2" t="s">
        <v>16</v>
      </c>
      <c r="E838">
        <v>9653</v>
      </c>
      <c r="F838">
        <v>237</v>
      </c>
      <c r="G838">
        <v>7</v>
      </c>
      <c r="H838">
        <v>450.84</v>
      </c>
      <c r="I838">
        <v>649.48</v>
      </c>
      <c r="J838">
        <v>2.46</v>
      </c>
      <c r="K838">
        <v>2.95</v>
      </c>
      <c r="L838">
        <v>64.41</v>
      </c>
      <c r="M838">
        <v>1.44</v>
      </c>
      <c r="N838">
        <v>198.64</v>
      </c>
    </row>
    <row r="839" spans="1:14" x14ac:dyDescent="0.2">
      <c r="A839" s="1">
        <v>45543</v>
      </c>
      <c r="B839" s="2" t="s">
        <v>31</v>
      </c>
      <c r="C839" s="2" t="s">
        <v>21</v>
      </c>
      <c r="D839" s="2" t="s">
        <v>36</v>
      </c>
      <c r="E839">
        <v>19910</v>
      </c>
      <c r="F839">
        <v>735</v>
      </c>
      <c r="G839">
        <v>39</v>
      </c>
      <c r="H839">
        <v>563.02</v>
      </c>
      <c r="I839">
        <v>3428.45</v>
      </c>
      <c r="J839">
        <v>3.69</v>
      </c>
      <c r="K839">
        <v>5.31</v>
      </c>
      <c r="L839">
        <v>14.44</v>
      </c>
      <c r="M839">
        <v>6.09</v>
      </c>
      <c r="N839">
        <v>2865.43</v>
      </c>
    </row>
    <row r="840" spans="1:14" x14ac:dyDescent="0.2">
      <c r="A840" s="1">
        <v>45543</v>
      </c>
      <c r="B840" s="2" t="s">
        <v>33</v>
      </c>
      <c r="C840" s="2" t="s">
        <v>28</v>
      </c>
      <c r="D840" s="2" t="s">
        <v>25</v>
      </c>
      <c r="E840">
        <v>3680</v>
      </c>
      <c r="F840">
        <v>163</v>
      </c>
      <c r="G840">
        <v>17</v>
      </c>
      <c r="H840">
        <v>306.39999999999998</v>
      </c>
      <c r="I840">
        <v>1852.96</v>
      </c>
      <c r="J840">
        <v>4.43</v>
      </c>
      <c r="K840">
        <v>10.43</v>
      </c>
      <c r="L840">
        <v>18.02</v>
      </c>
      <c r="M840">
        <v>6.05</v>
      </c>
      <c r="N840">
        <v>1546.56</v>
      </c>
    </row>
    <row r="841" spans="1:14" x14ac:dyDescent="0.2">
      <c r="A841" s="1">
        <v>45543</v>
      </c>
      <c r="B841" s="2" t="s">
        <v>34</v>
      </c>
      <c r="C841" s="2" t="s">
        <v>32</v>
      </c>
      <c r="D841" s="2" t="s">
        <v>36</v>
      </c>
      <c r="E841">
        <v>2508</v>
      </c>
      <c r="F841">
        <v>143</v>
      </c>
      <c r="G841">
        <v>22</v>
      </c>
      <c r="H841">
        <v>48.46</v>
      </c>
      <c r="I841">
        <v>4009.33</v>
      </c>
      <c r="J841">
        <v>5.7</v>
      </c>
      <c r="K841">
        <v>15.38</v>
      </c>
      <c r="L841">
        <v>2.2000000000000002</v>
      </c>
      <c r="M841">
        <v>82.73</v>
      </c>
      <c r="N841">
        <v>3960.87</v>
      </c>
    </row>
    <row r="842" spans="1:14" x14ac:dyDescent="0.2">
      <c r="A842" s="1">
        <v>45544</v>
      </c>
      <c r="B842" s="2" t="s">
        <v>14</v>
      </c>
      <c r="C842" s="2" t="s">
        <v>15</v>
      </c>
      <c r="D842" s="2" t="s">
        <v>25</v>
      </c>
      <c r="E842">
        <v>12782</v>
      </c>
      <c r="F842">
        <v>555</v>
      </c>
      <c r="G842">
        <v>51</v>
      </c>
      <c r="H842">
        <v>1020.2</v>
      </c>
      <c r="I842">
        <v>8737.18</v>
      </c>
      <c r="J842">
        <v>4.34</v>
      </c>
      <c r="K842">
        <v>9.19</v>
      </c>
      <c r="L842">
        <v>20</v>
      </c>
      <c r="M842">
        <v>8.56</v>
      </c>
      <c r="N842">
        <v>7716.98</v>
      </c>
    </row>
    <row r="843" spans="1:14" x14ac:dyDescent="0.2">
      <c r="A843" s="1">
        <v>45544</v>
      </c>
      <c r="B843" s="2" t="s">
        <v>17</v>
      </c>
      <c r="C843" s="2" t="s">
        <v>15</v>
      </c>
      <c r="D843" s="2" t="s">
        <v>25</v>
      </c>
      <c r="E843">
        <v>14979</v>
      </c>
      <c r="F843">
        <v>503</v>
      </c>
      <c r="G843">
        <v>37</v>
      </c>
      <c r="H843">
        <v>1154.6600000000001</v>
      </c>
      <c r="I843">
        <v>4117.43</v>
      </c>
      <c r="J843">
        <v>3.36</v>
      </c>
      <c r="K843">
        <v>7.36</v>
      </c>
      <c r="L843">
        <v>31.21</v>
      </c>
      <c r="M843">
        <v>3.57</v>
      </c>
      <c r="N843">
        <v>2962.77</v>
      </c>
    </row>
    <row r="844" spans="1:14" x14ac:dyDescent="0.2">
      <c r="A844" s="1">
        <v>45544</v>
      </c>
      <c r="B844" s="2" t="s">
        <v>20</v>
      </c>
      <c r="C844" s="2" t="s">
        <v>35</v>
      </c>
      <c r="D844" s="2" t="s">
        <v>19</v>
      </c>
      <c r="E844">
        <v>15486</v>
      </c>
      <c r="F844">
        <v>448</v>
      </c>
      <c r="G844">
        <v>27</v>
      </c>
      <c r="H844">
        <v>974.04</v>
      </c>
      <c r="I844">
        <v>2561.4499999999998</v>
      </c>
      <c r="J844">
        <v>2.89</v>
      </c>
      <c r="K844">
        <v>6.03</v>
      </c>
      <c r="L844">
        <v>36.08</v>
      </c>
      <c r="M844">
        <v>2.63</v>
      </c>
      <c r="N844">
        <v>1587.41</v>
      </c>
    </row>
    <row r="845" spans="1:14" x14ac:dyDescent="0.2">
      <c r="A845" s="1">
        <v>45544</v>
      </c>
      <c r="B845" s="2" t="s">
        <v>23</v>
      </c>
      <c r="C845" s="2" t="s">
        <v>21</v>
      </c>
      <c r="D845" s="2" t="s">
        <v>36</v>
      </c>
      <c r="E845">
        <v>3557</v>
      </c>
      <c r="F845">
        <v>78</v>
      </c>
      <c r="G845">
        <v>9</v>
      </c>
      <c r="H845">
        <v>1511.04</v>
      </c>
      <c r="I845">
        <v>3141.45</v>
      </c>
      <c r="J845">
        <v>2.19</v>
      </c>
      <c r="K845">
        <v>11.54</v>
      </c>
      <c r="L845">
        <v>167.89</v>
      </c>
      <c r="M845">
        <v>2.08</v>
      </c>
      <c r="N845">
        <v>1630.41</v>
      </c>
    </row>
    <row r="846" spans="1:14" x14ac:dyDescent="0.2">
      <c r="A846" s="1">
        <v>45544</v>
      </c>
      <c r="B846" s="2" t="s">
        <v>24</v>
      </c>
      <c r="C846" s="2" t="s">
        <v>18</v>
      </c>
      <c r="D846" s="2" t="s">
        <v>36</v>
      </c>
      <c r="E846">
        <v>20964</v>
      </c>
      <c r="F846">
        <v>4269</v>
      </c>
      <c r="G846">
        <v>495</v>
      </c>
      <c r="H846">
        <v>173.38</v>
      </c>
      <c r="I846">
        <v>65990.17</v>
      </c>
      <c r="J846">
        <v>20.36</v>
      </c>
      <c r="K846">
        <v>11.6</v>
      </c>
      <c r="L846">
        <v>0.35</v>
      </c>
      <c r="M846">
        <v>380.61</v>
      </c>
      <c r="N846">
        <v>65816.789999999994</v>
      </c>
    </row>
    <row r="847" spans="1:14" x14ac:dyDescent="0.2">
      <c r="A847" s="1">
        <v>45544</v>
      </c>
      <c r="B847" s="2" t="s">
        <v>26</v>
      </c>
      <c r="C847" s="2" t="s">
        <v>28</v>
      </c>
      <c r="D847" s="2" t="s">
        <v>19</v>
      </c>
      <c r="E847">
        <v>22518</v>
      </c>
      <c r="F847">
        <v>1778</v>
      </c>
      <c r="G847">
        <v>181</v>
      </c>
      <c r="H847">
        <v>0</v>
      </c>
      <c r="I847">
        <v>20263.11</v>
      </c>
      <c r="J847">
        <v>7.9</v>
      </c>
      <c r="K847">
        <v>10.18</v>
      </c>
      <c r="L847">
        <v>0</v>
      </c>
      <c r="M847">
        <v>0</v>
      </c>
      <c r="N847">
        <v>20263.11</v>
      </c>
    </row>
    <row r="848" spans="1:14" x14ac:dyDescent="0.2">
      <c r="A848" s="1">
        <v>45544</v>
      </c>
      <c r="B848" s="2" t="s">
        <v>27</v>
      </c>
      <c r="C848" s="2" t="s">
        <v>35</v>
      </c>
      <c r="D848" s="2" t="s">
        <v>25</v>
      </c>
      <c r="E848">
        <v>33054</v>
      </c>
      <c r="F848">
        <v>457</v>
      </c>
      <c r="G848">
        <v>18</v>
      </c>
      <c r="H848">
        <v>807.32</v>
      </c>
      <c r="I848">
        <v>2132.58</v>
      </c>
      <c r="J848">
        <v>1.38</v>
      </c>
      <c r="K848">
        <v>3.94</v>
      </c>
      <c r="L848">
        <v>44.85</v>
      </c>
      <c r="M848">
        <v>2.64</v>
      </c>
      <c r="N848">
        <v>1325.26</v>
      </c>
    </row>
    <row r="849" spans="1:14" x14ac:dyDescent="0.2">
      <c r="A849" s="1">
        <v>45544</v>
      </c>
      <c r="B849" s="2" t="s">
        <v>29</v>
      </c>
      <c r="C849" s="2" t="s">
        <v>18</v>
      </c>
      <c r="D849" s="2" t="s">
        <v>19</v>
      </c>
      <c r="E849">
        <v>18538</v>
      </c>
      <c r="F849">
        <v>279</v>
      </c>
      <c r="G849">
        <v>15</v>
      </c>
      <c r="H849">
        <v>1282.78</v>
      </c>
      <c r="I849">
        <v>1920.69</v>
      </c>
      <c r="J849">
        <v>1.51</v>
      </c>
      <c r="K849">
        <v>5.38</v>
      </c>
      <c r="L849">
        <v>85.52</v>
      </c>
      <c r="M849">
        <v>1.5</v>
      </c>
      <c r="N849">
        <v>637.91</v>
      </c>
    </row>
    <row r="850" spans="1:14" x14ac:dyDescent="0.2">
      <c r="A850" s="1">
        <v>45544</v>
      </c>
      <c r="B850" s="2" t="s">
        <v>30</v>
      </c>
      <c r="C850" s="2" t="s">
        <v>32</v>
      </c>
      <c r="D850" s="2" t="s">
        <v>16</v>
      </c>
      <c r="E850">
        <v>12849</v>
      </c>
      <c r="F850">
        <v>392</v>
      </c>
      <c r="G850">
        <v>17</v>
      </c>
      <c r="H850">
        <v>695.46</v>
      </c>
      <c r="I850">
        <v>1612.11</v>
      </c>
      <c r="J850">
        <v>3.05</v>
      </c>
      <c r="K850">
        <v>4.34</v>
      </c>
      <c r="L850">
        <v>40.909999999999997</v>
      </c>
      <c r="M850">
        <v>2.3199999999999998</v>
      </c>
      <c r="N850">
        <v>916.65</v>
      </c>
    </row>
    <row r="851" spans="1:14" x14ac:dyDescent="0.2">
      <c r="A851" s="1">
        <v>45544</v>
      </c>
      <c r="B851" s="2" t="s">
        <v>31</v>
      </c>
      <c r="C851" s="2" t="s">
        <v>35</v>
      </c>
      <c r="D851" s="2" t="s">
        <v>36</v>
      </c>
      <c r="E851">
        <v>26682</v>
      </c>
      <c r="F851">
        <v>733</v>
      </c>
      <c r="G851">
        <v>36</v>
      </c>
      <c r="H851">
        <v>1051.6199999999999</v>
      </c>
      <c r="I851">
        <v>3861.39</v>
      </c>
      <c r="J851">
        <v>2.75</v>
      </c>
      <c r="K851">
        <v>4.91</v>
      </c>
      <c r="L851">
        <v>29.21</v>
      </c>
      <c r="M851">
        <v>3.67</v>
      </c>
      <c r="N851">
        <v>2809.77</v>
      </c>
    </row>
    <row r="852" spans="1:14" x14ac:dyDescent="0.2">
      <c r="A852" s="1">
        <v>45544</v>
      </c>
      <c r="B852" s="2" t="s">
        <v>33</v>
      </c>
      <c r="C852" s="2" t="s">
        <v>28</v>
      </c>
      <c r="D852" s="2" t="s">
        <v>16</v>
      </c>
      <c r="E852">
        <v>7068</v>
      </c>
      <c r="F852">
        <v>326</v>
      </c>
      <c r="G852">
        <v>38</v>
      </c>
      <c r="H852">
        <v>315.41000000000003</v>
      </c>
      <c r="I852">
        <v>4607.33</v>
      </c>
      <c r="J852">
        <v>4.6100000000000003</v>
      </c>
      <c r="K852">
        <v>11.66</v>
      </c>
      <c r="L852">
        <v>8.3000000000000007</v>
      </c>
      <c r="M852">
        <v>14.61</v>
      </c>
      <c r="N852">
        <v>4291.92</v>
      </c>
    </row>
    <row r="853" spans="1:14" x14ac:dyDescent="0.2">
      <c r="A853" s="1">
        <v>45544</v>
      </c>
      <c r="B853" s="2" t="s">
        <v>34</v>
      </c>
      <c r="C853" s="2" t="s">
        <v>18</v>
      </c>
      <c r="D853" s="2" t="s">
        <v>19</v>
      </c>
      <c r="E853">
        <v>5170</v>
      </c>
      <c r="F853">
        <v>302</v>
      </c>
      <c r="G853">
        <v>43</v>
      </c>
      <c r="H853">
        <v>181.56</v>
      </c>
      <c r="I853">
        <v>4943.7700000000004</v>
      </c>
      <c r="J853">
        <v>5.84</v>
      </c>
      <c r="K853">
        <v>14.24</v>
      </c>
      <c r="L853">
        <v>4.22</v>
      </c>
      <c r="M853">
        <v>27.23</v>
      </c>
      <c r="N853">
        <v>4762.21</v>
      </c>
    </row>
    <row r="854" spans="1:14" x14ac:dyDescent="0.2">
      <c r="A854" s="1">
        <v>45545</v>
      </c>
      <c r="B854" s="2" t="s">
        <v>14</v>
      </c>
      <c r="C854" s="2" t="s">
        <v>35</v>
      </c>
      <c r="D854" s="2" t="s">
        <v>16</v>
      </c>
      <c r="E854">
        <v>8331</v>
      </c>
      <c r="F854">
        <v>257</v>
      </c>
      <c r="G854">
        <v>23</v>
      </c>
      <c r="H854">
        <v>1054.98</v>
      </c>
      <c r="I854">
        <v>2686.77</v>
      </c>
      <c r="J854">
        <v>3.08</v>
      </c>
      <c r="K854">
        <v>8.9499999999999993</v>
      </c>
      <c r="L854">
        <v>45.87</v>
      </c>
      <c r="M854">
        <v>2.5499999999999998</v>
      </c>
      <c r="N854">
        <v>1631.79</v>
      </c>
    </row>
    <row r="855" spans="1:14" x14ac:dyDescent="0.2">
      <c r="A855" s="1">
        <v>45545</v>
      </c>
      <c r="B855" s="2" t="s">
        <v>17</v>
      </c>
      <c r="C855" s="2" t="s">
        <v>15</v>
      </c>
      <c r="D855" s="2" t="s">
        <v>16</v>
      </c>
      <c r="E855">
        <v>13309</v>
      </c>
      <c r="F855">
        <v>302</v>
      </c>
      <c r="G855">
        <v>15</v>
      </c>
      <c r="H855">
        <v>957.3</v>
      </c>
      <c r="I855">
        <v>1517.33</v>
      </c>
      <c r="J855">
        <v>2.27</v>
      </c>
      <c r="K855">
        <v>4.97</v>
      </c>
      <c r="L855">
        <v>63.82</v>
      </c>
      <c r="M855">
        <v>1.59</v>
      </c>
      <c r="N855">
        <v>560.03</v>
      </c>
    </row>
    <row r="856" spans="1:14" x14ac:dyDescent="0.2">
      <c r="A856" s="1">
        <v>45545</v>
      </c>
      <c r="B856" s="2" t="s">
        <v>20</v>
      </c>
      <c r="C856" s="2" t="s">
        <v>32</v>
      </c>
      <c r="D856" s="2" t="s">
        <v>25</v>
      </c>
      <c r="E856">
        <v>17218</v>
      </c>
      <c r="F856">
        <v>501</v>
      </c>
      <c r="G856">
        <v>28</v>
      </c>
      <c r="H856">
        <v>838.6</v>
      </c>
      <c r="I856">
        <v>3165.53</v>
      </c>
      <c r="J856">
        <v>2.91</v>
      </c>
      <c r="K856">
        <v>5.59</v>
      </c>
      <c r="L856">
        <v>29.95</v>
      </c>
      <c r="M856">
        <v>3.77</v>
      </c>
      <c r="N856">
        <v>2326.9299999999998</v>
      </c>
    </row>
    <row r="857" spans="1:14" x14ac:dyDescent="0.2">
      <c r="A857" s="1">
        <v>45545</v>
      </c>
      <c r="B857" s="2" t="s">
        <v>23</v>
      </c>
      <c r="C857" s="2" t="s">
        <v>32</v>
      </c>
      <c r="D857" s="2" t="s">
        <v>36</v>
      </c>
      <c r="E857">
        <v>3943</v>
      </c>
      <c r="F857">
        <v>63</v>
      </c>
      <c r="G857">
        <v>8</v>
      </c>
      <c r="H857">
        <v>1057.3800000000001</v>
      </c>
      <c r="I857">
        <v>2358.6999999999998</v>
      </c>
      <c r="J857">
        <v>1.6</v>
      </c>
      <c r="K857">
        <v>12.7</v>
      </c>
      <c r="L857">
        <v>132.16999999999999</v>
      </c>
      <c r="M857">
        <v>2.23</v>
      </c>
      <c r="N857">
        <v>1301.32</v>
      </c>
    </row>
    <row r="858" spans="1:14" x14ac:dyDescent="0.2">
      <c r="A858" s="1">
        <v>45545</v>
      </c>
      <c r="B858" s="2" t="s">
        <v>24</v>
      </c>
      <c r="C858" s="2" t="s">
        <v>28</v>
      </c>
      <c r="D858" s="2" t="s">
        <v>25</v>
      </c>
      <c r="E858">
        <v>24204</v>
      </c>
      <c r="F858">
        <v>5614</v>
      </c>
      <c r="G858">
        <v>565</v>
      </c>
      <c r="H858">
        <v>275</v>
      </c>
      <c r="I858">
        <v>91932.69</v>
      </c>
      <c r="J858">
        <v>23.19</v>
      </c>
      <c r="K858">
        <v>10.06</v>
      </c>
      <c r="L858">
        <v>0.49</v>
      </c>
      <c r="M858">
        <v>334.3</v>
      </c>
      <c r="N858">
        <v>91657.69</v>
      </c>
    </row>
    <row r="859" spans="1:14" x14ac:dyDescent="0.2">
      <c r="A859" s="1">
        <v>45545</v>
      </c>
      <c r="B859" s="2" t="s">
        <v>26</v>
      </c>
      <c r="C859" s="2" t="s">
        <v>32</v>
      </c>
      <c r="D859" s="2" t="s">
        <v>16</v>
      </c>
      <c r="E859">
        <v>22828</v>
      </c>
      <c r="F859">
        <v>1765</v>
      </c>
      <c r="G859">
        <v>200</v>
      </c>
      <c r="H859">
        <v>0</v>
      </c>
      <c r="I859">
        <v>21256.34</v>
      </c>
      <c r="J859">
        <v>7.73</v>
      </c>
      <c r="K859">
        <v>11.33</v>
      </c>
      <c r="L859">
        <v>0</v>
      </c>
      <c r="M859">
        <v>0</v>
      </c>
      <c r="N859">
        <v>21256.34</v>
      </c>
    </row>
    <row r="860" spans="1:14" x14ac:dyDescent="0.2">
      <c r="A860" s="1">
        <v>45545</v>
      </c>
      <c r="B860" s="2" t="s">
        <v>27</v>
      </c>
      <c r="C860" s="2" t="s">
        <v>28</v>
      </c>
      <c r="D860" s="2" t="s">
        <v>25</v>
      </c>
      <c r="E860">
        <v>34858</v>
      </c>
      <c r="F860">
        <v>674</v>
      </c>
      <c r="G860">
        <v>28</v>
      </c>
      <c r="H860">
        <v>1273.55</v>
      </c>
      <c r="I860">
        <v>3773.14</v>
      </c>
      <c r="J860">
        <v>1.93</v>
      </c>
      <c r="K860">
        <v>4.1500000000000004</v>
      </c>
      <c r="L860">
        <v>45.48</v>
      </c>
      <c r="M860">
        <v>2.96</v>
      </c>
      <c r="N860">
        <v>2499.59</v>
      </c>
    </row>
    <row r="861" spans="1:14" x14ac:dyDescent="0.2">
      <c r="A861" s="1">
        <v>45545</v>
      </c>
      <c r="B861" s="2" t="s">
        <v>29</v>
      </c>
      <c r="C861" s="2" t="s">
        <v>15</v>
      </c>
      <c r="D861" s="2" t="s">
        <v>22</v>
      </c>
      <c r="E861">
        <v>24243</v>
      </c>
      <c r="F861">
        <v>494</v>
      </c>
      <c r="G861">
        <v>26</v>
      </c>
      <c r="H861">
        <v>925.78</v>
      </c>
      <c r="I861">
        <v>3300.65</v>
      </c>
      <c r="J861">
        <v>2.04</v>
      </c>
      <c r="K861">
        <v>5.26</v>
      </c>
      <c r="L861">
        <v>35.61</v>
      </c>
      <c r="M861">
        <v>3.57</v>
      </c>
      <c r="N861">
        <v>2374.87</v>
      </c>
    </row>
    <row r="862" spans="1:14" x14ac:dyDescent="0.2">
      <c r="A862" s="1">
        <v>45545</v>
      </c>
      <c r="B862" s="2" t="s">
        <v>30</v>
      </c>
      <c r="C862" s="2" t="s">
        <v>35</v>
      </c>
      <c r="D862" s="2" t="s">
        <v>25</v>
      </c>
      <c r="E862">
        <v>8561</v>
      </c>
      <c r="F862">
        <v>191</v>
      </c>
      <c r="G862">
        <v>8</v>
      </c>
      <c r="H862">
        <v>711.44</v>
      </c>
      <c r="I862">
        <v>791.51</v>
      </c>
      <c r="J862">
        <v>2.23</v>
      </c>
      <c r="K862">
        <v>4.1900000000000004</v>
      </c>
      <c r="L862">
        <v>88.93</v>
      </c>
      <c r="M862">
        <v>1.1100000000000001</v>
      </c>
      <c r="N862">
        <v>80.069999999999993</v>
      </c>
    </row>
    <row r="863" spans="1:14" x14ac:dyDescent="0.2">
      <c r="A863" s="1">
        <v>45545</v>
      </c>
      <c r="B863" s="2" t="s">
        <v>31</v>
      </c>
      <c r="C863" s="2" t="s">
        <v>28</v>
      </c>
      <c r="D863" s="2" t="s">
        <v>25</v>
      </c>
      <c r="E863">
        <v>21141</v>
      </c>
      <c r="F863">
        <v>578</v>
      </c>
      <c r="G863">
        <v>34</v>
      </c>
      <c r="H863">
        <v>1060.83</v>
      </c>
      <c r="I863">
        <v>2754.36</v>
      </c>
      <c r="J863">
        <v>2.73</v>
      </c>
      <c r="K863">
        <v>5.88</v>
      </c>
      <c r="L863">
        <v>31.2</v>
      </c>
      <c r="M863">
        <v>2.6</v>
      </c>
      <c r="N863">
        <v>1693.53</v>
      </c>
    </row>
    <row r="864" spans="1:14" x14ac:dyDescent="0.2">
      <c r="A864" s="1">
        <v>45545</v>
      </c>
      <c r="B864" s="2" t="s">
        <v>33</v>
      </c>
      <c r="C864" s="2" t="s">
        <v>21</v>
      </c>
      <c r="D864" s="2" t="s">
        <v>16</v>
      </c>
      <c r="E864">
        <v>9152</v>
      </c>
      <c r="F864">
        <v>403</v>
      </c>
      <c r="G864">
        <v>39</v>
      </c>
      <c r="H864">
        <v>480.84</v>
      </c>
      <c r="I864">
        <v>4050.39</v>
      </c>
      <c r="J864">
        <v>4.4000000000000004</v>
      </c>
      <c r="K864">
        <v>9.68</v>
      </c>
      <c r="L864">
        <v>12.33</v>
      </c>
      <c r="M864">
        <v>8.42</v>
      </c>
      <c r="N864">
        <v>3569.55</v>
      </c>
    </row>
    <row r="865" spans="1:14" x14ac:dyDescent="0.2">
      <c r="A865" s="1">
        <v>45545</v>
      </c>
      <c r="B865" s="2" t="s">
        <v>34</v>
      </c>
      <c r="C865" s="2" t="s">
        <v>28</v>
      </c>
      <c r="D865" s="2" t="s">
        <v>16</v>
      </c>
      <c r="E865">
        <v>3300</v>
      </c>
      <c r="F865">
        <v>226</v>
      </c>
      <c r="G865">
        <v>37</v>
      </c>
      <c r="H865">
        <v>173.48</v>
      </c>
      <c r="I865">
        <v>6085.89</v>
      </c>
      <c r="J865">
        <v>6.85</v>
      </c>
      <c r="K865">
        <v>16.37</v>
      </c>
      <c r="L865">
        <v>4.6900000000000004</v>
      </c>
      <c r="M865">
        <v>35.08</v>
      </c>
      <c r="N865">
        <v>5912.41</v>
      </c>
    </row>
    <row r="866" spans="1:14" x14ac:dyDescent="0.2">
      <c r="A866" s="1">
        <v>45546</v>
      </c>
      <c r="B866" s="2" t="s">
        <v>14</v>
      </c>
      <c r="C866" s="2" t="s">
        <v>35</v>
      </c>
      <c r="D866" s="2" t="s">
        <v>16</v>
      </c>
      <c r="E866">
        <v>12122</v>
      </c>
      <c r="F866">
        <v>522</v>
      </c>
      <c r="G866">
        <v>61</v>
      </c>
      <c r="H866">
        <v>807.53</v>
      </c>
      <c r="I866">
        <v>8845.1</v>
      </c>
      <c r="J866">
        <v>4.3099999999999996</v>
      </c>
      <c r="K866">
        <v>11.69</v>
      </c>
      <c r="L866">
        <v>13.24</v>
      </c>
      <c r="M866">
        <v>10.95</v>
      </c>
      <c r="N866">
        <v>8037.57</v>
      </c>
    </row>
    <row r="867" spans="1:14" x14ac:dyDescent="0.2">
      <c r="A867" s="1">
        <v>45546</v>
      </c>
      <c r="B867" s="2" t="s">
        <v>17</v>
      </c>
      <c r="C867" s="2" t="s">
        <v>32</v>
      </c>
      <c r="D867" s="2" t="s">
        <v>22</v>
      </c>
      <c r="E867">
        <v>16398</v>
      </c>
      <c r="F867">
        <v>419</v>
      </c>
      <c r="G867">
        <v>35</v>
      </c>
      <c r="H867">
        <v>963.07</v>
      </c>
      <c r="I867">
        <v>4680.91</v>
      </c>
      <c r="J867">
        <v>2.56</v>
      </c>
      <c r="K867">
        <v>8.35</v>
      </c>
      <c r="L867">
        <v>27.52</v>
      </c>
      <c r="M867">
        <v>4.8600000000000003</v>
      </c>
      <c r="N867">
        <v>3717.84</v>
      </c>
    </row>
    <row r="868" spans="1:14" x14ac:dyDescent="0.2">
      <c r="A868" s="1">
        <v>45546</v>
      </c>
      <c r="B868" s="2" t="s">
        <v>20</v>
      </c>
      <c r="C868" s="2" t="s">
        <v>18</v>
      </c>
      <c r="D868" s="2" t="s">
        <v>22</v>
      </c>
      <c r="E868">
        <v>13838</v>
      </c>
      <c r="F868">
        <v>363</v>
      </c>
      <c r="G868">
        <v>27</v>
      </c>
      <c r="H868">
        <v>686.59</v>
      </c>
      <c r="I868">
        <v>2728.06</v>
      </c>
      <c r="J868">
        <v>2.62</v>
      </c>
      <c r="K868">
        <v>7.44</v>
      </c>
      <c r="L868">
        <v>25.43</v>
      </c>
      <c r="M868">
        <v>3.97</v>
      </c>
      <c r="N868">
        <v>2041.47</v>
      </c>
    </row>
    <row r="869" spans="1:14" x14ac:dyDescent="0.2">
      <c r="A869" s="1">
        <v>45546</v>
      </c>
      <c r="B869" s="2" t="s">
        <v>23</v>
      </c>
      <c r="C869" s="2" t="s">
        <v>15</v>
      </c>
      <c r="D869" s="2" t="s">
        <v>36</v>
      </c>
      <c r="E869">
        <v>4453</v>
      </c>
      <c r="F869">
        <v>82</v>
      </c>
      <c r="G869">
        <v>10</v>
      </c>
      <c r="H869">
        <v>1627.4</v>
      </c>
      <c r="I869">
        <v>2090.61</v>
      </c>
      <c r="J869">
        <v>1.84</v>
      </c>
      <c r="K869">
        <v>12.2</v>
      </c>
      <c r="L869">
        <v>162.74</v>
      </c>
      <c r="M869">
        <v>1.28</v>
      </c>
      <c r="N869">
        <v>463.21</v>
      </c>
    </row>
    <row r="870" spans="1:14" x14ac:dyDescent="0.2">
      <c r="A870" s="1">
        <v>45546</v>
      </c>
      <c r="B870" s="2" t="s">
        <v>24</v>
      </c>
      <c r="C870" s="2" t="s">
        <v>28</v>
      </c>
      <c r="D870" s="2" t="s">
        <v>25</v>
      </c>
      <c r="E870">
        <v>16678</v>
      </c>
      <c r="F870">
        <v>2852</v>
      </c>
      <c r="G870">
        <v>270</v>
      </c>
      <c r="H870">
        <v>213.68</v>
      </c>
      <c r="I870">
        <v>31506.69</v>
      </c>
      <c r="J870">
        <v>17.100000000000001</v>
      </c>
      <c r="K870">
        <v>9.4700000000000006</v>
      </c>
      <c r="L870">
        <v>0.79</v>
      </c>
      <c r="M870">
        <v>147.44999999999999</v>
      </c>
      <c r="N870">
        <v>31293.01</v>
      </c>
    </row>
    <row r="871" spans="1:14" x14ac:dyDescent="0.2">
      <c r="A871" s="1">
        <v>45546</v>
      </c>
      <c r="B871" s="2" t="s">
        <v>26</v>
      </c>
      <c r="C871" s="2" t="s">
        <v>32</v>
      </c>
      <c r="D871" s="2" t="s">
        <v>25</v>
      </c>
      <c r="E871">
        <v>30282</v>
      </c>
      <c r="F871">
        <v>1550</v>
      </c>
      <c r="G871">
        <v>187</v>
      </c>
      <c r="H871">
        <v>0</v>
      </c>
      <c r="I871">
        <v>22045.8</v>
      </c>
      <c r="J871">
        <v>5.12</v>
      </c>
      <c r="K871">
        <v>12.06</v>
      </c>
      <c r="L871">
        <v>0</v>
      </c>
      <c r="M871">
        <v>0</v>
      </c>
      <c r="N871">
        <v>22045.8</v>
      </c>
    </row>
    <row r="872" spans="1:14" x14ac:dyDescent="0.2">
      <c r="A872" s="1">
        <v>45546</v>
      </c>
      <c r="B872" s="2" t="s">
        <v>27</v>
      </c>
      <c r="C872" s="2" t="s">
        <v>21</v>
      </c>
      <c r="D872" s="2" t="s">
        <v>19</v>
      </c>
      <c r="E872">
        <v>31004</v>
      </c>
      <c r="F872">
        <v>313</v>
      </c>
      <c r="G872">
        <v>9</v>
      </c>
      <c r="H872">
        <v>784.97</v>
      </c>
      <c r="I872">
        <v>837.37</v>
      </c>
      <c r="J872">
        <v>1.01</v>
      </c>
      <c r="K872">
        <v>2.88</v>
      </c>
      <c r="L872">
        <v>87.22</v>
      </c>
      <c r="M872">
        <v>1.07</v>
      </c>
      <c r="N872">
        <v>52.4</v>
      </c>
    </row>
    <row r="873" spans="1:14" x14ac:dyDescent="0.2">
      <c r="A873" s="1">
        <v>45546</v>
      </c>
      <c r="B873" s="2" t="s">
        <v>29</v>
      </c>
      <c r="C873" s="2" t="s">
        <v>35</v>
      </c>
      <c r="D873" s="2" t="s">
        <v>19</v>
      </c>
      <c r="E873">
        <v>20536</v>
      </c>
      <c r="F873">
        <v>322</v>
      </c>
      <c r="G873">
        <v>23</v>
      </c>
      <c r="H873">
        <v>814.83</v>
      </c>
      <c r="I873">
        <v>3165.83</v>
      </c>
      <c r="J873">
        <v>1.57</v>
      </c>
      <c r="K873">
        <v>7.14</v>
      </c>
      <c r="L873">
        <v>35.43</v>
      </c>
      <c r="M873">
        <v>3.89</v>
      </c>
      <c r="N873">
        <v>2351</v>
      </c>
    </row>
    <row r="874" spans="1:14" x14ac:dyDescent="0.2">
      <c r="A874" s="1">
        <v>45546</v>
      </c>
      <c r="B874" s="2" t="s">
        <v>30</v>
      </c>
      <c r="C874" s="2" t="s">
        <v>28</v>
      </c>
      <c r="D874" s="2" t="s">
        <v>36</v>
      </c>
      <c r="E874">
        <v>8033</v>
      </c>
      <c r="F874">
        <v>227</v>
      </c>
      <c r="G874">
        <v>10</v>
      </c>
      <c r="H874">
        <v>794.73</v>
      </c>
      <c r="I874">
        <v>992.93</v>
      </c>
      <c r="J874">
        <v>2.83</v>
      </c>
      <c r="K874">
        <v>4.41</v>
      </c>
      <c r="L874">
        <v>79.47</v>
      </c>
      <c r="M874">
        <v>1.25</v>
      </c>
      <c r="N874">
        <v>198.2</v>
      </c>
    </row>
    <row r="875" spans="1:14" x14ac:dyDescent="0.2">
      <c r="A875" s="1">
        <v>45546</v>
      </c>
      <c r="B875" s="2" t="s">
        <v>31</v>
      </c>
      <c r="C875" s="2" t="s">
        <v>35</v>
      </c>
      <c r="D875" s="2" t="s">
        <v>25</v>
      </c>
      <c r="E875">
        <v>20332</v>
      </c>
      <c r="F875">
        <v>662</v>
      </c>
      <c r="G875">
        <v>25</v>
      </c>
      <c r="H875">
        <v>707.15</v>
      </c>
      <c r="I875">
        <v>2335.0500000000002</v>
      </c>
      <c r="J875">
        <v>3.26</v>
      </c>
      <c r="K875">
        <v>3.78</v>
      </c>
      <c r="L875">
        <v>28.29</v>
      </c>
      <c r="M875">
        <v>3.3</v>
      </c>
      <c r="N875">
        <v>1627.9</v>
      </c>
    </row>
    <row r="876" spans="1:14" x14ac:dyDescent="0.2">
      <c r="A876" s="1">
        <v>45546</v>
      </c>
      <c r="B876" s="2" t="s">
        <v>33</v>
      </c>
      <c r="C876" s="2" t="s">
        <v>18</v>
      </c>
      <c r="D876" s="2" t="s">
        <v>19</v>
      </c>
      <c r="E876">
        <v>7552</v>
      </c>
      <c r="F876">
        <v>475</v>
      </c>
      <c r="G876">
        <v>50</v>
      </c>
      <c r="H876">
        <v>490.69</v>
      </c>
      <c r="I876">
        <v>5680.98</v>
      </c>
      <c r="J876">
        <v>6.29</v>
      </c>
      <c r="K876">
        <v>10.53</v>
      </c>
      <c r="L876">
        <v>9.81</v>
      </c>
      <c r="M876">
        <v>11.58</v>
      </c>
      <c r="N876">
        <v>5190.29</v>
      </c>
    </row>
    <row r="877" spans="1:14" x14ac:dyDescent="0.2">
      <c r="A877" s="1">
        <v>45546</v>
      </c>
      <c r="B877" s="2" t="s">
        <v>34</v>
      </c>
      <c r="C877" s="2" t="s">
        <v>18</v>
      </c>
      <c r="D877" s="2" t="s">
        <v>19</v>
      </c>
      <c r="E877">
        <v>4821</v>
      </c>
      <c r="F877">
        <v>403</v>
      </c>
      <c r="G877">
        <v>71</v>
      </c>
      <c r="H877">
        <v>184.93</v>
      </c>
      <c r="I877">
        <v>11576.09</v>
      </c>
      <c r="J877">
        <v>8.36</v>
      </c>
      <c r="K877">
        <v>17.62</v>
      </c>
      <c r="L877">
        <v>2.6</v>
      </c>
      <c r="M877">
        <v>62.6</v>
      </c>
      <c r="N877">
        <v>11391.16</v>
      </c>
    </row>
    <row r="878" spans="1:14" x14ac:dyDescent="0.2">
      <c r="A878" s="1">
        <v>45547</v>
      </c>
      <c r="B878" s="2" t="s">
        <v>14</v>
      </c>
      <c r="C878" s="2" t="s">
        <v>18</v>
      </c>
      <c r="D878" s="2" t="s">
        <v>25</v>
      </c>
      <c r="E878">
        <v>13350</v>
      </c>
      <c r="F878">
        <v>610</v>
      </c>
      <c r="G878">
        <v>70</v>
      </c>
      <c r="H878">
        <v>987.74</v>
      </c>
      <c r="I878">
        <v>10812.44</v>
      </c>
      <c r="J878">
        <v>4.57</v>
      </c>
      <c r="K878">
        <v>11.48</v>
      </c>
      <c r="L878">
        <v>14.11</v>
      </c>
      <c r="M878">
        <v>10.95</v>
      </c>
      <c r="N878">
        <v>9824.7000000000007</v>
      </c>
    </row>
    <row r="879" spans="1:14" x14ac:dyDescent="0.2">
      <c r="A879" s="1">
        <v>45547</v>
      </c>
      <c r="B879" s="2" t="s">
        <v>17</v>
      </c>
      <c r="C879" s="2" t="s">
        <v>15</v>
      </c>
      <c r="D879" s="2" t="s">
        <v>36</v>
      </c>
      <c r="E879">
        <v>19567</v>
      </c>
      <c r="F879">
        <v>549</v>
      </c>
      <c r="G879">
        <v>31</v>
      </c>
      <c r="H879">
        <v>920.24</v>
      </c>
      <c r="I879">
        <v>4100.83</v>
      </c>
      <c r="J879">
        <v>2.81</v>
      </c>
      <c r="K879">
        <v>5.65</v>
      </c>
      <c r="L879">
        <v>29.69</v>
      </c>
      <c r="M879">
        <v>4.46</v>
      </c>
      <c r="N879">
        <v>3180.59</v>
      </c>
    </row>
    <row r="880" spans="1:14" x14ac:dyDescent="0.2">
      <c r="A880" s="1">
        <v>45547</v>
      </c>
      <c r="B880" s="2" t="s">
        <v>20</v>
      </c>
      <c r="C880" s="2" t="s">
        <v>35</v>
      </c>
      <c r="D880" s="2" t="s">
        <v>19</v>
      </c>
      <c r="E880">
        <v>17914</v>
      </c>
      <c r="F880">
        <v>739</v>
      </c>
      <c r="G880">
        <v>38</v>
      </c>
      <c r="H880">
        <v>838.53</v>
      </c>
      <c r="I880">
        <v>4518.25</v>
      </c>
      <c r="J880">
        <v>4.13</v>
      </c>
      <c r="K880">
        <v>5.14</v>
      </c>
      <c r="L880">
        <v>22.07</v>
      </c>
      <c r="M880">
        <v>5.39</v>
      </c>
      <c r="N880">
        <v>3679.72</v>
      </c>
    </row>
    <row r="881" spans="1:14" x14ac:dyDescent="0.2">
      <c r="A881" s="1">
        <v>45547</v>
      </c>
      <c r="B881" s="2" t="s">
        <v>23</v>
      </c>
      <c r="C881" s="2" t="s">
        <v>15</v>
      </c>
      <c r="D881" s="2" t="s">
        <v>25</v>
      </c>
      <c r="E881">
        <v>5627</v>
      </c>
      <c r="F881">
        <v>159</v>
      </c>
      <c r="G881">
        <v>23</v>
      </c>
      <c r="H881">
        <v>1237.2</v>
      </c>
      <c r="I881">
        <v>5296.37</v>
      </c>
      <c r="J881">
        <v>2.83</v>
      </c>
      <c r="K881">
        <v>14.47</v>
      </c>
      <c r="L881">
        <v>53.79</v>
      </c>
      <c r="M881">
        <v>4.28</v>
      </c>
      <c r="N881">
        <v>4059.17</v>
      </c>
    </row>
    <row r="882" spans="1:14" x14ac:dyDescent="0.2">
      <c r="A882" s="1">
        <v>45547</v>
      </c>
      <c r="B882" s="2" t="s">
        <v>24</v>
      </c>
      <c r="C882" s="2" t="s">
        <v>21</v>
      </c>
      <c r="D882" s="2" t="s">
        <v>19</v>
      </c>
      <c r="E882">
        <v>17567</v>
      </c>
      <c r="F882">
        <v>4097</v>
      </c>
      <c r="G882">
        <v>461</v>
      </c>
      <c r="H882">
        <v>190.9</v>
      </c>
      <c r="I882">
        <v>45980.5</v>
      </c>
      <c r="J882">
        <v>23.32</v>
      </c>
      <c r="K882">
        <v>11.25</v>
      </c>
      <c r="L882">
        <v>0.41</v>
      </c>
      <c r="M882">
        <v>240.86</v>
      </c>
      <c r="N882">
        <v>45789.599999999999</v>
      </c>
    </row>
    <row r="883" spans="1:14" x14ac:dyDescent="0.2">
      <c r="A883" s="1">
        <v>45547</v>
      </c>
      <c r="B883" s="2" t="s">
        <v>26</v>
      </c>
      <c r="C883" s="2" t="s">
        <v>18</v>
      </c>
      <c r="D883" s="2" t="s">
        <v>25</v>
      </c>
      <c r="E883">
        <v>23476</v>
      </c>
      <c r="F883">
        <v>1505</v>
      </c>
      <c r="G883">
        <v>226</v>
      </c>
      <c r="H883">
        <v>0</v>
      </c>
      <c r="I883">
        <v>29843.65</v>
      </c>
      <c r="J883">
        <v>6.41</v>
      </c>
      <c r="K883">
        <v>15.02</v>
      </c>
      <c r="L883">
        <v>0</v>
      </c>
      <c r="M883">
        <v>0</v>
      </c>
      <c r="N883">
        <v>29843.65</v>
      </c>
    </row>
    <row r="884" spans="1:14" x14ac:dyDescent="0.2">
      <c r="A884" s="1">
        <v>45547</v>
      </c>
      <c r="B884" s="2" t="s">
        <v>27</v>
      </c>
      <c r="C884" s="2" t="s">
        <v>15</v>
      </c>
      <c r="D884" s="2" t="s">
        <v>22</v>
      </c>
      <c r="E884">
        <v>26749</v>
      </c>
      <c r="F884">
        <v>442</v>
      </c>
      <c r="G884">
        <v>21</v>
      </c>
      <c r="H884">
        <v>1219.82</v>
      </c>
      <c r="I884">
        <v>1910.18</v>
      </c>
      <c r="J884">
        <v>1.65</v>
      </c>
      <c r="K884">
        <v>4.75</v>
      </c>
      <c r="L884">
        <v>58.09</v>
      </c>
      <c r="M884">
        <v>1.57</v>
      </c>
      <c r="N884">
        <v>690.36</v>
      </c>
    </row>
    <row r="885" spans="1:14" x14ac:dyDescent="0.2">
      <c r="A885" s="1">
        <v>45547</v>
      </c>
      <c r="B885" s="2" t="s">
        <v>29</v>
      </c>
      <c r="C885" s="2" t="s">
        <v>35</v>
      </c>
      <c r="D885" s="2" t="s">
        <v>19</v>
      </c>
      <c r="E885">
        <v>20776</v>
      </c>
      <c r="F885">
        <v>474</v>
      </c>
      <c r="G885">
        <v>20</v>
      </c>
      <c r="H885">
        <v>1338.42</v>
      </c>
      <c r="I885">
        <v>1985.36</v>
      </c>
      <c r="J885">
        <v>2.2799999999999998</v>
      </c>
      <c r="K885">
        <v>4.22</v>
      </c>
      <c r="L885">
        <v>66.92</v>
      </c>
      <c r="M885">
        <v>1.48</v>
      </c>
      <c r="N885">
        <v>646.94000000000005</v>
      </c>
    </row>
    <row r="886" spans="1:14" x14ac:dyDescent="0.2">
      <c r="A886" s="1">
        <v>45547</v>
      </c>
      <c r="B886" s="2" t="s">
        <v>30</v>
      </c>
      <c r="C886" s="2" t="s">
        <v>15</v>
      </c>
      <c r="D886" s="2" t="s">
        <v>36</v>
      </c>
      <c r="E886">
        <v>13535</v>
      </c>
      <c r="F886">
        <v>463</v>
      </c>
      <c r="G886">
        <v>20</v>
      </c>
      <c r="H886">
        <v>520.73</v>
      </c>
      <c r="I886">
        <v>2303.39</v>
      </c>
      <c r="J886">
        <v>3.42</v>
      </c>
      <c r="K886">
        <v>4.32</v>
      </c>
      <c r="L886">
        <v>26.04</v>
      </c>
      <c r="M886">
        <v>4.42</v>
      </c>
      <c r="N886">
        <v>1782.66</v>
      </c>
    </row>
    <row r="887" spans="1:14" x14ac:dyDescent="0.2">
      <c r="A887" s="1">
        <v>45547</v>
      </c>
      <c r="B887" s="2" t="s">
        <v>31</v>
      </c>
      <c r="C887" s="2" t="s">
        <v>21</v>
      </c>
      <c r="D887" s="2" t="s">
        <v>25</v>
      </c>
      <c r="E887">
        <v>25210</v>
      </c>
      <c r="F887">
        <v>807</v>
      </c>
      <c r="G887">
        <v>33</v>
      </c>
      <c r="H887">
        <v>855.16</v>
      </c>
      <c r="I887">
        <v>2426.9299999999998</v>
      </c>
      <c r="J887">
        <v>3.2</v>
      </c>
      <c r="K887">
        <v>4.09</v>
      </c>
      <c r="L887">
        <v>25.91</v>
      </c>
      <c r="M887">
        <v>2.84</v>
      </c>
      <c r="N887">
        <v>1571.77</v>
      </c>
    </row>
    <row r="888" spans="1:14" x14ac:dyDescent="0.2">
      <c r="A888" s="1">
        <v>45547</v>
      </c>
      <c r="B888" s="2" t="s">
        <v>33</v>
      </c>
      <c r="C888" s="2" t="s">
        <v>15</v>
      </c>
      <c r="D888" s="2" t="s">
        <v>16</v>
      </c>
      <c r="E888">
        <v>7101</v>
      </c>
      <c r="F888">
        <v>315</v>
      </c>
      <c r="G888">
        <v>39</v>
      </c>
      <c r="H888">
        <v>523.69000000000005</v>
      </c>
      <c r="I888">
        <v>4590.88</v>
      </c>
      <c r="J888">
        <v>4.4400000000000004</v>
      </c>
      <c r="K888">
        <v>12.38</v>
      </c>
      <c r="L888">
        <v>13.43</v>
      </c>
      <c r="M888">
        <v>8.77</v>
      </c>
      <c r="N888">
        <v>4067.19</v>
      </c>
    </row>
    <row r="889" spans="1:14" x14ac:dyDescent="0.2">
      <c r="A889" s="1">
        <v>45547</v>
      </c>
      <c r="B889" s="2" t="s">
        <v>34</v>
      </c>
      <c r="C889" s="2" t="s">
        <v>35</v>
      </c>
      <c r="D889" s="2" t="s">
        <v>25</v>
      </c>
      <c r="E889">
        <v>3027</v>
      </c>
      <c r="F889">
        <v>285</v>
      </c>
      <c r="G889">
        <v>34</v>
      </c>
      <c r="H889">
        <v>168.94</v>
      </c>
      <c r="I889">
        <v>4302.08</v>
      </c>
      <c r="J889">
        <v>9.42</v>
      </c>
      <c r="K889">
        <v>11.93</v>
      </c>
      <c r="L889">
        <v>4.97</v>
      </c>
      <c r="M889">
        <v>25.47</v>
      </c>
      <c r="N889">
        <v>4133.1400000000003</v>
      </c>
    </row>
    <row r="890" spans="1:14" x14ac:dyDescent="0.2">
      <c r="A890" s="1">
        <v>45548</v>
      </c>
      <c r="B890" s="2" t="s">
        <v>14</v>
      </c>
      <c r="C890" s="2" t="s">
        <v>28</v>
      </c>
      <c r="D890" s="2" t="s">
        <v>19</v>
      </c>
      <c r="E890">
        <v>8005</v>
      </c>
      <c r="F890">
        <v>267</v>
      </c>
      <c r="G890">
        <v>24</v>
      </c>
      <c r="H890">
        <v>1158.6600000000001</v>
      </c>
      <c r="I890">
        <v>4242.3500000000004</v>
      </c>
      <c r="J890">
        <v>3.34</v>
      </c>
      <c r="K890">
        <v>8.99</v>
      </c>
      <c r="L890">
        <v>48.28</v>
      </c>
      <c r="M890">
        <v>3.66</v>
      </c>
      <c r="N890">
        <v>3083.69</v>
      </c>
    </row>
    <row r="891" spans="1:14" x14ac:dyDescent="0.2">
      <c r="A891" s="1">
        <v>45548</v>
      </c>
      <c r="B891" s="2" t="s">
        <v>17</v>
      </c>
      <c r="C891" s="2" t="s">
        <v>21</v>
      </c>
      <c r="D891" s="2" t="s">
        <v>25</v>
      </c>
      <c r="E891">
        <v>16719</v>
      </c>
      <c r="F891">
        <v>398</v>
      </c>
      <c r="G891">
        <v>27</v>
      </c>
      <c r="H891">
        <v>1021.58</v>
      </c>
      <c r="I891">
        <v>3719.83</v>
      </c>
      <c r="J891">
        <v>2.38</v>
      </c>
      <c r="K891">
        <v>6.78</v>
      </c>
      <c r="L891">
        <v>37.840000000000003</v>
      </c>
      <c r="M891">
        <v>3.64</v>
      </c>
      <c r="N891">
        <v>2698.25</v>
      </c>
    </row>
    <row r="892" spans="1:14" x14ac:dyDescent="0.2">
      <c r="A892" s="1">
        <v>45548</v>
      </c>
      <c r="B892" s="2" t="s">
        <v>20</v>
      </c>
      <c r="C892" s="2" t="s">
        <v>18</v>
      </c>
      <c r="D892" s="2" t="s">
        <v>36</v>
      </c>
      <c r="E892">
        <v>14443</v>
      </c>
      <c r="F892">
        <v>563</v>
      </c>
      <c r="G892">
        <v>29</v>
      </c>
      <c r="H892">
        <v>569.80999999999995</v>
      </c>
      <c r="I892">
        <v>3398.83</v>
      </c>
      <c r="J892">
        <v>3.9</v>
      </c>
      <c r="K892">
        <v>5.15</v>
      </c>
      <c r="L892">
        <v>19.649999999999999</v>
      </c>
      <c r="M892">
        <v>5.96</v>
      </c>
      <c r="N892">
        <v>2829.02</v>
      </c>
    </row>
    <row r="893" spans="1:14" x14ac:dyDescent="0.2">
      <c r="A893" s="1">
        <v>45548</v>
      </c>
      <c r="B893" s="2" t="s">
        <v>23</v>
      </c>
      <c r="C893" s="2" t="s">
        <v>32</v>
      </c>
      <c r="D893" s="2" t="s">
        <v>19</v>
      </c>
      <c r="E893">
        <v>4429</v>
      </c>
      <c r="F893">
        <v>111</v>
      </c>
      <c r="G893">
        <v>13</v>
      </c>
      <c r="H893">
        <v>1495.51</v>
      </c>
      <c r="I893">
        <v>3199.08</v>
      </c>
      <c r="J893">
        <v>2.5099999999999998</v>
      </c>
      <c r="K893">
        <v>11.71</v>
      </c>
      <c r="L893">
        <v>115.04</v>
      </c>
      <c r="M893">
        <v>2.14</v>
      </c>
      <c r="N893">
        <v>1703.57</v>
      </c>
    </row>
    <row r="894" spans="1:14" x14ac:dyDescent="0.2">
      <c r="A894" s="1">
        <v>45548</v>
      </c>
      <c r="B894" s="2" t="s">
        <v>24</v>
      </c>
      <c r="C894" s="2" t="s">
        <v>18</v>
      </c>
      <c r="D894" s="2" t="s">
        <v>19</v>
      </c>
      <c r="E894">
        <v>24389</v>
      </c>
      <c r="F894">
        <v>4235</v>
      </c>
      <c r="G894">
        <v>508</v>
      </c>
      <c r="H894">
        <v>253.45</v>
      </c>
      <c r="I894">
        <v>74452.149999999994</v>
      </c>
      <c r="J894">
        <v>17.36</v>
      </c>
      <c r="K894">
        <v>12</v>
      </c>
      <c r="L894">
        <v>0.5</v>
      </c>
      <c r="M894">
        <v>293.75</v>
      </c>
      <c r="N894">
        <v>74198.7</v>
      </c>
    </row>
    <row r="895" spans="1:14" x14ac:dyDescent="0.2">
      <c r="A895" s="1">
        <v>45548</v>
      </c>
      <c r="B895" s="2" t="s">
        <v>26</v>
      </c>
      <c r="C895" s="2" t="s">
        <v>35</v>
      </c>
      <c r="D895" s="2" t="s">
        <v>22</v>
      </c>
      <c r="E895">
        <v>28838</v>
      </c>
      <c r="F895">
        <v>1558</v>
      </c>
      <c r="G895">
        <v>224</v>
      </c>
      <c r="H895">
        <v>0</v>
      </c>
      <c r="I895">
        <v>26377.96</v>
      </c>
      <c r="J895">
        <v>5.4</v>
      </c>
      <c r="K895">
        <v>14.38</v>
      </c>
      <c r="L895">
        <v>0</v>
      </c>
      <c r="M895">
        <v>0</v>
      </c>
      <c r="N895">
        <v>26377.96</v>
      </c>
    </row>
    <row r="896" spans="1:14" x14ac:dyDescent="0.2">
      <c r="A896" s="1">
        <v>45548</v>
      </c>
      <c r="B896" s="2" t="s">
        <v>27</v>
      </c>
      <c r="C896" s="2" t="s">
        <v>21</v>
      </c>
      <c r="D896" s="2" t="s">
        <v>19</v>
      </c>
      <c r="E896">
        <v>26660</v>
      </c>
      <c r="F896">
        <v>348</v>
      </c>
      <c r="G896">
        <v>14</v>
      </c>
      <c r="H896">
        <v>1092.0899999999999</v>
      </c>
      <c r="I896">
        <v>1214.51</v>
      </c>
      <c r="J896">
        <v>1.31</v>
      </c>
      <c r="K896">
        <v>4.0199999999999996</v>
      </c>
      <c r="L896">
        <v>78.010000000000005</v>
      </c>
      <c r="M896">
        <v>1.1100000000000001</v>
      </c>
      <c r="N896">
        <v>122.42</v>
      </c>
    </row>
    <row r="897" spans="1:14" x14ac:dyDescent="0.2">
      <c r="A897" s="1">
        <v>45548</v>
      </c>
      <c r="B897" s="2" t="s">
        <v>29</v>
      </c>
      <c r="C897" s="2" t="s">
        <v>28</v>
      </c>
      <c r="D897" s="2" t="s">
        <v>22</v>
      </c>
      <c r="E897">
        <v>18833</v>
      </c>
      <c r="F897">
        <v>298</v>
      </c>
      <c r="G897">
        <v>15</v>
      </c>
      <c r="H897">
        <v>994.75</v>
      </c>
      <c r="I897">
        <v>1563.54</v>
      </c>
      <c r="J897">
        <v>1.58</v>
      </c>
      <c r="K897">
        <v>5.03</v>
      </c>
      <c r="L897">
        <v>66.319999999999993</v>
      </c>
      <c r="M897">
        <v>1.57</v>
      </c>
      <c r="N897">
        <v>568.79</v>
      </c>
    </row>
    <row r="898" spans="1:14" x14ac:dyDescent="0.2">
      <c r="A898" s="1">
        <v>45548</v>
      </c>
      <c r="B898" s="2" t="s">
        <v>30</v>
      </c>
      <c r="C898" s="2" t="s">
        <v>21</v>
      </c>
      <c r="D898" s="2" t="s">
        <v>22</v>
      </c>
      <c r="E898">
        <v>13995</v>
      </c>
      <c r="F898">
        <v>432</v>
      </c>
      <c r="G898">
        <v>20</v>
      </c>
      <c r="H898">
        <v>435.62</v>
      </c>
      <c r="I898">
        <v>2246.34</v>
      </c>
      <c r="J898">
        <v>3.09</v>
      </c>
      <c r="K898">
        <v>4.63</v>
      </c>
      <c r="L898">
        <v>21.78</v>
      </c>
      <c r="M898">
        <v>5.16</v>
      </c>
      <c r="N898">
        <v>1810.72</v>
      </c>
    </row>
    <row r="899" spans="1:14" x14ac:dyDescent="0.2">
      <c r="A899" s="1">
        <v>45548</v>
      </c>
      <c r="B899" s="2" t="s">
        <v>31</v>
      </c>
      <c r="C899" s="2" t="s">
        <v>21</v>
      </c>
      <c r="D899" s="2" t="s">
        <v>16</v>
      </c>
      <c r="E899">
        <v>21648</v>
      </c>
      <c r="F899">
        <v>951</v>
      </c>
      <c r="G899">
        <v>33</v>
      </c>
      <c r="H899">
        <v>1017.68</v>
      </c>
      <c r="I899">
        <v>2761.6</v>
      </c>
      <c r="J899">
        <v>4.3899999999999997</v>
      </c>
      <c r="K899">
        <v>3.47</v>
      </c>
      <c r="L899">
        <v>30.84</v>
      </c>
      <c r="M899">
        <v>2.71</v>
      </c>
      <c r="N899">
        <v>1743.92</v>
      </c>
    </row>
    <row r="900" spans="1:14" x14ac:dyDescent="0.2">
      <c r="A900" s="1">
        <v>45548</v>
      </c>
      <c r="B900" s="2" t="s">
        <v>33</v>
      </c>
      <c r="C900" s="2" t="s">
        <v>35</v>
      </c>
      <c r="D900" s="2" t="s">
        <v>16</v>
      </c>
      <c r="E900">
        <v>9465</v>
      </c>
      <c r="F900">
        <v>512</v>
      </c>
      <c r="G900">
        <v>57</v>
      </c>
      <c r="H900">
        <v>411.43</v>
      </c>
      <c r="I900">
        <v>6770.44</v>
      </c>
      <c r="J900">
        <v>5.41</v>
      </c>
      <c r="K900">
        <v>11.13</v>
      </c>
      <c r="L900">
        <v>7.22</v>
      </c>
      <c r="M900">
        <v>16.46</v>
      </c>
      <c r="N900">
        <v>6359.01</v>
      </c>
    </row>
    <row r="901" spans="1:14" x14ac:dyDescent="0.2">
      <c r="A901" s="1">
        <v>45548</v>
      </c>
      <c r="B901" s="2" t="s">
        <v>34</v>
      </c>
      <c r="C901" s="2" t="s">
        <v>32</v>
      </c>
      <c r="D901" s="2" t="s">
        <v>25</v>
      </c>
      <c r="E901">
        <v>3174</v>
      </c>
      <c r="F901">
        <v>258</v>
      </c>
      <c r="G901">
        <v>39</v>
      </c>
      <c r="H901">
        <v>86.07</v>
      </c>
      <c r="I901">
        <v>5392.61</v>
      </c>
      <c r="J901">
        <v>8.1300000000000008</v>
      </c>
      <c r="K901">
        <v>15.12</v>
      </c>
      <c r="L901">
        <v>2.21</v>
      </c>
      <c r="M901">
        <v>62.65</v>
      </c>
      <c r="N901">
        <v>5306.54</v>
      </c>
    </row>
    <row r="902" spans="1:14" x14ac:dyDescent="0.2">
      <c r="A902" s="1">
        <v>45549</v>
      </c>
      <c r="B902" s="2" t="s">
        <v>14</v>
      </c>
      <c r="C902" s="2" t="s">
        <v>15</v>
      </c>
      <c r="D902" s="2" t="s">
        <v>25</v>
      </c>
      <c r="E902">
        <v>6176</v>
      </c>
      <c r="F902">
        <v>256</v>
      </c>
      <c r="G902">
        <v>21</v>
      </c>
      <c r="H902">
        <v>909.46</v>
      </c>
      <c r="I902">
        <v>3387.34</v>
      </c>
      <c r="J902">
        <v>4.1500000000000004</v>
      </c>
      <c r="K902">
        <v>8.1999999999999993</v>
      </c>
      <c r="L902">
        <v>43.31</v>
      </c>
      <c r="M902">
        <v>3.72</v>
      </c>
      <c r="N902">
        <v>2477.88</v>
      </c>
    </row>
    <row r="903" spans="1:14" x14ac:dyDescent="0.2">
      <c r="A903" s="1">
        <v>45549</v>
      </c>
      <c r="B903" s="2" t="s">
        <v>17</v>
      </c>
      <c r="C903" s="2" t="s">
        <v>18</v>
      </c>
      <c r="D903" s="2" t="s">
        <v>19</v>
      </c>
      <c r="E903">
        <v>12300</v>
      </c>
      <c r="F903">
        <v>469</v>
      </c>
      <c r="G903">
        <v>28</v>
      </c>
      <c r="H903">
        <v>692.19</v>
      </c>
      <c r="I903">
        <v>3918.82</v>
      </c>
      <c r="J903">
        <v>3.81</v>
      </c>
      <c r="K903">
        <v>5.97</v>
      </c>
      <c r="L903">
        <v>24.72</v>
      </c>
      <c r="M903">
        <v>5.66</v>
      </c>
      <c r="N903">
        <v>3226.63</v>
      </c>
    </row>
    <row r="904" spans="1:14" x14ac:dyDescent="0.2">
      <c r="A904" s="1">
        <v>45549</v>
      </c>
      <c r="B904" s="2" t="s">
        <v>20</v>
      </c>
      <c r="C904" s="2" t="s">
        <v>32</v>
      </c>
      <c r="D904" s="2" t="s">
        <v>22</v>
      </c>
      <c r="E904">
        <v>9702</v>
      </c>
      <c r="F904">
        <v>399</v>
      </c>
      <c r="G904">
        <v>16</v>
      </c>
      <c r="H904">
        <v>480.92</v>
      </c>
      <c r="I904">
        <v>1500.73</v>
      </c>
      <c r="J904">
        <v>4.1100000000000003</v>
      </c>
      <c r="K904">
        <v>4.01</v>
      </c>
      <c r="L904">
        <v>30.06</v>
      </c>
      <c r="M904">
        <v>3.12</v>
      </c>
      <c r="N904">
        <v>1019.81</v>
      </c>
    </row>
    <row r="905" spans="1:14" x14ac:dyDescent="0.2">
      <c r="A905" s="1">
        <v>45549</v>
      </c>
      <c r="B905" s="2" t="s">
        <v>23</v>
      </c>
      <c r="C905" s="2" t="s">
        <v>32</v>
      </c>
      <c r="D905" s="2" t="s">
        <v>36</v>
      </c>
      <c r="E905">
        <v>2348</v>
      </c>
      <c r="F905">
        <v>45</v>
      </c>
      <c r="G905">
        <v>4</v>
      </c>
      <c r="H905">
        <v>747.66</v>
      </c>
      <c r="I905">
        <v>1071.19</v>
      </c>
      <c r="J905">
        <v>1.92</v>
      </c>
      <c r="K905">
        <v>8.89</v>
      </c>
      <c r="L905">
        <v>186.92</v>
      </c>
      <c r="M905">
        <v>1.43</v>
      </c>
      <c r="N905">
        <v>323.52999999999997</v>
      </c>
    </row>
    <row r="906" spans="1:14" x14ac:dyDescent="0.2">
      <c r="A906" s="1">
        <v>45549</v>
      </c>
      <c r="B906" s="2" t="s">
        <v>24</v>
      </c>
      <c r="C906" s="2" t="s">
        <v>21</v>
      </c>
      <c r="D906" s="2" t="s">
        <v>22</v>
      </c>
      <c r="E906">
        <v>11503</v>
      </c>
      <c r="F906">
        <v>2130</v>
      </c>
      <c r="G906">
        <v>284</v>
      </c>
      <c r="H906">
        <v>196.1</v>
      </c>
      <c r="I906">
        <v>33218.43</v>
      </c>
      <c r="J906">
        <v>18.52</v>
      </c>
      <c r="K906">
        <v>13.33</v>
      </c>
      <c r="L906">
        <v>0.69</v>
      </c>
      <c r="M906">
        <v>169.4</v>
      </c>
      <c r="N906">
        <v>33022.33</v>
      </c>
    </row>
    <row r="907" spans="1:14" x14ac:dyDescent="0.2">
      <c r="A907" s="1">
        <v>45549</v>
      </c>
      <c r="B907" s="2" t="s">
        <v>26</v>
      </c>
      <c r="C907" s="2" t="s">
        <v>21</v>
      </c>
      <c r="D907" s="2" t="s">
        <v>25</v>
      </c>
      <c r="E907">
        <v>17976</v>
      </c>
      <c r="F907">
        <v>1414</v>
      </c>
      <c r="G907">
        <v>154</v>
      </c>
      <c r="H907">
        <v>0</v>
      </c>
      <c r="I907">
        <v>15643.57</v>
      </c>
      <c r="J907">
        <v>7.87</v>
      </c>
      <c r="K907">
        <v>10.89</v>
      </c>
      <c r="L907">
        <v>0</v>
      </c>
      <c r="M907">
        <v>0</v>
      </c>
      <c r="N907">
        <v>15643.57</v>
      </c>
    </row>
    <row r="908" spans="1:14" x14ac:dyDescent="0.2">
      <c r="A908" s="1">
        <v>45549</v>
      </c>
      <c r="B908" s="2" t="s">
        <v>27</v>
      </c>
      <c r="C908" s="2" t="s">
        <v>21</v>
      </c>
      <c r="D908" s="2" t="s">
        <v>36</v>
      </c>
      <c r="E908">
        <v>22422</v>
      </c>
      <c r="F908">
        <v>300</v>
      </c>
      <c r="G908">
        <v>12</v>
      </c>
      <c r="H908">
        <v>752.33</v>
      </c>
      <c r="I908">
        <v>1244.54</v>
      </c>
      <c r="J908">
        <v>1.34</v>
      </c>
      <c r="K908">
        <v>4</v>
      </c>
      <c r="L908">
        <v>62.69</v>
      </c>
      <c r="M908">
        <v>1.65</v>
      </c>
      <c r="N908">
        <v>492.21</v>
      </c>
    </row>
    <row r="909" spans="1:14" x14ac:dyDescent="0.2">
      <c r="A909" s="1">
        <v>45549</v>
      </c>
      <c r="B909" s="2" t="s">
        <v>29</v>
      </c>
      <c r="C909" s="2" t="s">
        <v>18</v>
      </c>
      <c r="D909" s="2" t="s">
        <v>36</v>
      </c>
      <c r="E909">
        <v>11651</v>
      </c>
      <c r="F909">
        <v>253</v>
      </c>
      <c r="G909">
        <v>10</v>
      </c>
      <c r="H909">
        <v>881.37</v>
      </c>
      <c r="I909">
        <v>1267.02</v>
      </c>
      <c r="J909">
        <v>2.17</v>
      </c>
      <c r="K909">
        <v>3.95</v>
      </c>
      <c r="L909">
        <v>88.14</v>
      </c>
      <c r="M909">
        <v>1.44</v>
      </c>
      <c r="N909">
        <v>385.65</v>
      </c>
    </row>
    <row r="910" spans="1:14" x14ac:dyDescent="0.2">
      <c r="A910" s="1">
        <v>45549</v>
      </c>
      <c r="B910" s="2" t="s">
        <v>30</v>
      </c>
      <c r="C910" s="2" t="s">
        <v>35</v>
      </c>
      <c r="D910" s="2" t="s">
        <v>22</v>
      </c>
      <c r="E910">
        <v>6633</v>
      </c>
      <c r="F910">
        <v>192</v>
      </c>
      <c r="G910">
        <v>9</v>
      </c>
      <c r="H910">
        <v>364.35</v>
      </c>
      <c r="I910">
        <v>1031.8900000000001</v>
      </c>
      <c r="J910">
        <v>2.89</v>
      </c>
      <c r="K910">
        <v>4.6900000000000004</v>
      </c>
      <c r="L910">
        <v>40.479999999999997</v>
      </c>
      <c r="M910">
        <v>2.83</v>
      </c>
      <c r="N910">
        <v>667.54</v>
      </c>
    </row>
    <row r="911" spans="1:14" x14ac:dyDescent="0.2">
      <c r="A911" s="1">
        <v>45549</v>
      </c>
      <c r="B911" s="2" t="s">
        <v>31</v>
      </c>
      <c r="C911" s="2" t="s">
        <v>28</v>
      </c>
      <c r="D911" s="2" t="s">
        <v>25</v>
      </c>
      <c r="E911">
        <v>15296</v>
      </c>
      <c r="F911">
        <v>434</v>
      </c>
      <c r="G911">
        <v>24</v>
      </c>
      <c r="H911">
        <v>642.20000000000005</v>
      </c>
      <c r="I911">
        <v>1849.06</v>
      </c>
      <c r="J911">
        <v>2.84</v>
      </c>
      <c r="K911">
        <v>5.53</v>
      </c>
      <c r="L911">
        <v>26.76</v>
      </c>
      <c r="M911">
        <v>2.88</v>
      </c>
      <c r="N911">
        <v>1206.8599999999999</v>
      </c>
    </row>
    <row r="912" spans="1:14" x14ac:dyDescent="0.2">
      <c r="A912" s="1">
        <v>45549</v>
      </c>
      <c r="B912" s="2" t="s">
        <v>33</v>
      </c>
      <c r="C912" s="2" t="s">
        <v>35</v>
      </c>
      <c r="D912" s="2" t="s">
        <v>36</v>
      </c>
      <c r="E912">
        <v>6770</v>
      </c>
      <c r="F912">
        <v>466</v>
      </c>
      <c r="G912">
        <v>39</v>
      </c>
      <c r="H912">
        <v>285.88</v>
      </c>
      <c r="I912">
        <v>4997.57</v>
      </c>
      <c r="J912">
        <v>6.88</v>
      </c>
      <c r="K912">
        <v>8.3699999999999992</v>
      </c>
      <c r="L912">
        <v>7.33</v>
      </c>
      <c r="M912">
        <v>17.48</v>
      </c>
      <c r="N912">
        <v>4711.6899999999996</v>
      </c>
    </row>
    <row r="913" spans="1:14" x14ac:dyDescent="0.2">
      <c r="A913" s="1">
        <v>45549</v>
      </c>
      <c r="B913" s="2" t="s">
        <v>34</v>
      </c>
      <c r="C913" s="2" t="s">
        <v>21</v>
      </c>
      <c r="D913" s="2" t="s">
        <v>25</v>
      </c>
      <c r="E913">
        <v>4286</v>
      </c>
      <c r="F913">
        <v>254</v>
      </c>
      <c r="G913">
        <v>32</v>
      </c>
      <c r="H913">
        <v>61.6</v>
      </c>
      <c r="I913">
        <v>3905.29</v>
      </c>
      <c r="J913">
        <v>5.93</v>
      </c>
      <c r="K913">
        <v>12.6</v>
      </c>
      <c r="L913">
        <v>1.92</v>
      </c>
      <c r="M913">
        <v>63.4</v>
      </c>
      <c r="N913">
        <v>3843.69</v>
      </c>
    </row>
    <row r="914" spans="1:14" x14ac:dyDescent="0.2">
      <c r="A914" s="1">
        <v>45550</v>
      </c>
      <c r="B914" s="2" t="s">
        <v>14</v>
      </c>
      <c r="C914" s="2" t="s">
        <v>21</v>
      </c>
      <c r="D914" s="2" t="s">
        <v>19</v>
      </c>
      <c r="E914">
        <v>9416</v>
      </c>
      <c r="F914">
        <v>408</v>
      </c>
      <c r="G914">
        <v>35</v>
      </c>
      <c r="H914">
        <v>926.39</v>
      </c>
      <c r="I914">
        <v>5223</v>
      </c>
      <c r="J914">
        <v>4.33</v>
      </c>
      <c r="K914">
        <v>8.58</v>
      </c>
      <c r="L914">
        <v>26.47</v>
      </c>
      <c r="M914">
        <v>5.64</v>
      </c>
      <c r="N914">
        <v>4296.6099999999997</v>
      </c>
    </row>
    <row r="915" spans="1:14" x14ac:dyDescent="0.2">
      <c r="A915" s="1">
        <v>45550</v>
      </c>
      <c r="B915" s="2" t="s">
        <v>17</v>
      </c>
      <c r="C915" s="2" t="s">
        <v>28</v>
      </c>
      <c r="D915" s="2" t="s">
        <v>22</v>
      </c>
      <c r="E915">
        <v>8872</v>
      </c>
      <c r="F915">
        <v>282</v>
      </c>
      <c r="G915">
        <v>17</v>
      </c>
      <c r="H915">
        <v>497.32</v>
      </c>
      <c r="I915">
        <v>1658.68</v>
      </c>
      <c r="J915">
        <v>3.18</v>
      </c>
      <c r="K915">
        <v>6.03</v>
      </c>
      <c r="L915">
        <v>29.25</v>
      </c>
      <c r="M915">
        <v>3.34</v>
      </c>
      <c r="N915">
        <v>1161.3599999999999</v>
      </c>
    </row>
    <row r="916" spans="1:14" x14ac:dyDescent="0.2">
      <c r="A916" s="1">
        <v>45550</v>
      </c>
      <c r="B916" s="2" t="s">
        <v>20</v>
      </c>
      <c r="C916" s="2" t="s">
        <v>35</v>
      </c>
      <c r="D916" s="2" t="s">
        <v>25</v>
      </c>
      <c r="E916">
        <v>10203</v>
      </c>
      <c r="F916">
        <v>267</v>
      </c>
      <c r="G916">
        <v>20</v>
      </c>
      <c r="H916">
        <v>456.39</v>
      </c>
      <c r="I916">
        <v>2432.84</v>
      </c>
      <c r="J916">
        <v>2.62</v>
      </c>
      <c r="K916">
        <v>7.49</v>
      </c>
      <c r="L916">
        <v>22.82</v>
      </c>
      <c r="M916">
        <v>5.33</v>
      </c>
      <c r="N916">
        <v>1976.45</v>
      </c>
    </row>
    <row r="917" spans="1:14" x14ac:dyDescent="0.2">
      <c r="A917" s="1">
        <v>45550</v>
      </c>
      <c r="B917" s="2" t="s">
        <v>23</v>
      </c>
      <c r="C917" s="2" t="s">
        <v>28</v>
      </c>
      <c r="D917" s="2" t="s">
        <v>36</v>
      </c>
      <c r="E917">
        <v>2542</v>
      </c>
      <c r="F917">
        <v>60</v>
      </c>
      <c r="G917">
        <v>5</v>
      </c>
      <c r="H917">
        <v>1141.1500000000001</v>
      </c>
      <c r="I917">
        <v>1592.03</v>
      </c>
      <c r="J917">
        <v>2.36</v>
      </c>
      <c r="K917">
        <v>8.33</v>
      </c>
      <c r="L917">
        <v>228.23</v>
      </c>
      <c r="M917">
        <v>1.4</v>
      </c>
      <c r="N917">
        <v>450.88</v>
      </c>
    </row>
    <row r="918" spans="1:14" x14ac:dyDescent="0.2">
      <c r="A918" s="1">
        <v>45550</v>
      </c>
      <c r="B918" s="2" t="s">
        <v>24</v>
      </c>
      <c r="C918" s="2" t="s">
        <v>35</v>
      </c>
      <c r="D918" s="2" t="s">
        <v>36</v>
      </c>
      <c r="E918">
        <v>15726</v>
      </c>
      <c r="F918">
        <v>2470</v>
      </c>
      <c r="G918">
        <v>270</v>
      </c>
      <c r="H918">
        <v>90.85</v>
      </c>
      <c r="I918">
        <v>32218.94</v>
      </c>
      <c r="J918">
        <v>15.71</v>
      </c>
      <c r="K918">
        <v>10.93</v>
      </c>
      <c r="L918">
        <v>0.34</v>
      </c>
      <c r="M918">
        <v>354.64</v>
      </c>
      <c r="N918">
        <v>32128.09</v>
      </c>
    </row>
    <row r="919" spans="1:14" x14ac:dyDescent="0.2">
      <c r="A919" s="1">
        <v>45550</v>
      </c>
      <c r="B919" s="2" t="s">
        <v>26</v>
      </c>
      <c r="C919" s="2" t="s">
        <v>32</v>
      </c>
      <c r="D919" s="2" t="s">
        <v>25</v>
      </c>
      <c r="E919">
        <v>19582</v>
      </c>
      <c r="F919">
        <v>1173</v>
      </c>
      <c r="G919">
        <v>137</v>
      </c>
      <c r="H919">
        <v>0</v>
      </c>
      <c r="I919">
        <v>13853.99</v>
      </c>
      <c r="J919">
        <v>5.99</v>
      </c>
      <c r="K919">
        <v>11.68</v>
      </c>
      <c r="L919">
        <v>0</v>
      </c>
      <c r="M919">
        <v>0</v>
      </c>
      <c r="N919">
        <v>13853.99</v>
      </c>
    </row>
    <row r="920" spans="1:14" x14ac:dyDescent="0.2">
      <c r="A920" s="1">
        <v>45550</v>
      </c>
      <c r="B920" s="2" t="s">
        <v>27</v>
      </c>
      <c r="C920" s="2" t="s">
        <v>28</v>
      </c>
      <c r="D920" s="2" t="s">
        <v>22</v>
      </c>
      <c r="E920">
        <v>21481</v>
      </c>
      <c r="F920">
        <v>321</v>
      </c>
      <c r="G920">
        <v>14</v>
      </c>
      <c r="H920">
        <v>777.65</v>
      </c>
      <c r="I920">
        <v>1086.71</v>
      </c>
      <c r="J920">
        <v>1.49</v>
      </c>
      <c r="K920">
        <v>4.3600000000000003</v>
      </c>
      <c r="L920">
        <v>55.55</v>
      </c>
      <c r="M920">
        <v>1.4</v>
      </c>
      <c r="N920">
        <v>309.06</v>
      </c>
    </row>
    <row r="921" spans="1:14" x14ac:dyDescent="0.2">
      <c r="A921" s="1">
        <v>45550</v>
      </c>
      <c r="B921" s="2" t="s">
        <v>29</v>
      </c>
      <c r="C921" s="2" t="s">
        <v>21</v>
      </c>
      <c r="D921" s="2" t="s">
        <v>25</v>
      </c>
      <c r="E921">
        <v>11421</v>
      </c>
      <c r="F921">
        <v>322</v>
      </c>
      <c r="G921">
        <v>17</v>
      </c>
      <c r="H921">
        <v>611.20000000000005</v>
      </c>
      <c r="I921">
        <v>1767.84</v>
      </c>
      <c r="J921">
        <v>2.82</v>
      </c>
      <c r="K921">
        <v>5.28</v>
      </c>
      <c r="L921">
        <v>35.950000000000003</v>
      </c>
      <c r="M921">
        <v>2.89</v>
      </c>
      <c r="N921">
        <v>1156.6400000000001</v>
      </c>
    </row>
    <row r="922" spans="1:14" x14ac:dyDescent="0.2">
      <c r="A922" s="1">
        <v>45550</v>
      </c>
      <c r="B922" s="2" t="s">
        <v>30</v>
      </c>
      <c r="C922" s="2" t="s">
        <v>21</v>
      </c>
      <c r="D922" s="2" t="s">
        <v>19</v>
      </c>
      <c r="E922">
        <v>8544</v>
      </c>
      <c r="F922">
        <v>230</v>
      </c>
      <c r="G922">
        <v>12</v>
      </c>
      <c r="H922">
        <v>496.16</v>
      </c>
      <c r="I922">
        <v>1137.67</v>
      </c>
      <c r="J922">
        <v>2.69</v>
      </c>
      <c r="K922">
        <v>5.22</v>
      </c>
      <c r="L922">
        <v>41.35</v>
      </c>
      <c r="M922">
        <v>2.29</v>
      </c>
      <c r="N922">
        <v>641.51</v>
      </c>
    </row>
    <row r="923" spans="1:14" x14ac:dyDescent="0.2">
      <c r="A923" s="1">
        <v>45550</v>
      </c>
      <c r="B923" s="2" t="s">
        <v>31</v>
      </c>
      <c r="C923" s="2" t="s">
        <v>18</v>
      </c>
      <c r="D923" s="2" t="s">
        <v>36</v>
      </c>
      <c r="E923">
        <v>16195</v>
      </c>
      <c r="F923">
        <v>489</v>
      </c>
      <c r="G923">
        <v>26</v>
      </c>
      <c r="H923">
        <v>635.76</v>
      </c>
      <c r="I923">
        <v>1853.07</v>
      </c>
      <c r="J923">
        <v>3.02</v>
      </c>
      <c r="K923">
        <v>5.32</v>
      </c>
      <c r="L923">
        <v>24.45</v>
      </c>
      <c r="M923">
        <v>2.91</v>
      </c>
      <c r="N923">
        <v>1217.31</v>
      </c>
    </row>
    <row r="924" spans="1:14" x14ac:dyDescent="0.2">
      <c r="A924" s="1">
        <v>45550</v>
      </c>
      <c r="B924" s="2" t="s">
        <v>33</v>
      </c>
      <c r="C924" s="2" t="s">
        <v>35</v>
      </c>
      <c r="D924" s="2" t="s">
        <v>25</v>
      </c>
      <c r="E924">
        <v>5751</v>
      </c>
      <c r="F924">
        <v>354</v>
      </c>
      <c r="G924">
        <v>42</v>
      </c>
      <c r="H924">
        <v>338.2</v>
      </c>
      <c r="I924">
        <v>6289.49</v>
      </c>
      <c r="J924">
        <v>6.16</v>
      </c>
      <c r="K924">
        <v>11.86</v>
      </c>
      <c r="L924">
        <v>8.0500000000000007</v>
      </c>
      <c r="M924">
        <v>18.600000000000001</v>
      </c>
      <c r="N924">
        <v>5951.29</v>
      </c>
    </row>
    <row r="925" spans="1:14" x14ac:dyDescent="0.2">
      <c r="A925" s="1">
        <v>45550</v>
      </c>
      <c r="B925" s="2" t="s">
        <v>34</v>
      </c>
      <c r="C925" s="2" t="s">
        <v>18</v>
      </c>
      <c r="D925" s="2" t="s">
        <v>25</v>
      </c>
      <c r="E925">
        <v>2891</v>
      </c>
      <c r="F925">
        <v>225</v>
      </c>
      <c r="G925">
        <v>29</v>
      </c>
      <c r="H925">
        <v>127.81</v>
      </c>
      <c r="I925">
        <v>3701.22</v>
      </c>
      <c r="J925">
        <v>7.78</v>
      </c>
      <c r="K925">
        <v>12.89</v>
      </c>
      <c r="L925">
        <v>4.41</v>
      </c>
      <c r="M925">
        <v>28.96</v>
      </c>
      <c r="N925">
        <v>3573.41</v>
      </c>
    </row>
    <row r="926" spans="1:14" x14ac:dyDescent="0.2">
      <c r="A926" s="1">
        <v>45551</v>
      </c>
      <c r="B926" s="2" t="s">
        <v>14</v>
      </c>
      <c r="C926" s="2" t="s">
        <v>18</v>
      </c>
      <c r="D926" s="2" t="s">
        <v>19</v>
      </c>
      <c r="E926">
        <v>11437</v>
      </c>
      <c r="F926">
        <v>468</v>
      </c>
      <c r="G926">
        <v>53</v>
      </c>
      <c r="H926">
        <v>1203.98</v>
      </c>
      <c r="I926">
        <v>7148.15</v>
      </c>
      <c r="J926">
        <v>4.09</v>
      </c>
      <c r="K926">
        <v>11.32</v>
      </c>
      <c r="L926">
        <v>22.72</v>
      </c>
      <c r="M926">
        <v>5.94</v>
      </c>
      <c r="N926">
        <v>5944.17</v>
      </c>
    </row>
    <row r="927" spans="1:14" x14ac:dyDescent="0.2">
      <c r="A927" s="1">
        <v>45551</v>
      </c>
      <c r="B927" s="2" t="s">
        <v>17</v>
      </c>
      <c r="C927" s="2" t="s">
        <v>18</v>
      </c>
      <c r="D927" s="2" t="s">
        <v>22</v>
      </c>
      <c r="E927">
        <v>16166</v>
      </c>
      <c r="F927">
        <v>358</v>
      </c>
      <c r="G927">
        <v>24</v>
      </c>
      <c r="H927">
        <v>1148.7</v>
      </c>
      <c r="I927">
        <v>3180.06</v>
      </c>
      <c r="J927">
        <v>2.21</v>
      </c>
      <c r="K927">
        <v>6.7</v>
      </c>
      <c r="L927">
        <v>47.86</v>
      </c>
      <c r="M927">
        <v>2.77</v>
      </c>
      <c r="N927">
        <v>2031.36</v>
      </c>
    </row>
    <row r="928" spans="1:14" x14ac:dyDescent="0.2">
      <c r="A928" s="1">
        <v>45551</v>
      </c>
      <c r="B928" s="2" t="s">
        <v>20</v>
      </c>
      <c r="C928" s="2" t="s">
        <v>35</v>
      </c>
      <c r="D928" s="2" t="s">
        <v>36</v>
      </c>
      <c r="E928">
        <v>16911</v>
      </c>
      <c r="F928">
        <v>503</v>
      </c>
      <c r="G928">
        <v>36</v>
      </c>
      <c r="H928">
        <v>772.54</v>
      </c>
      <c r="I928">
        <v>2854.54</v>
      </c>
      <c r="J928">
        <v>2.97</v>
      </c>
      <c r="K928">
        <v>7.16</v>
      </c>
      <c r="L928">
        <v>21.46</v>
      </c>
      <c r="M928">
        <v>3.7</v>
      </c>
      <c r="N928">
        <v>2082</v>
      </c>
    </row>
    <row r="929" spans="1:14" x14ac:dyDescent="0.2">
      <c r="A929" s="1">
        <v>45551</v>
      </c>
      <c r="B929" s="2" t="s">
        <v>23</v>
      </c>
      <c r="C929" s="2" t="s">
        <v>32</v>
      </c>
      <c r="D929" s="2" t="s">
        <v>22</v>
      </c>
      <c r="E929">
        <v>5555</v>
      </c>
      <c r="F929">
        <v>83</v>
      </c>
      <c r="G929">
        <v>9</v>
      </c>
      <c r="H929">
        <v>1287.78</v>
      </c>
      <c r="I929">
        <v>2140.36</v>
      </c>
      <c r="J929">
        <v>1.49</v>
      </c>
      <c r="K929">
        <v>10.84</v>
      </c>
      <c r="L929">
        <v>143.09</v>
      </c>
      <c r="M929">
        <v>1.66</v>
      </c>
      <c r="N929">
        <v>852.58</v>
      </c>
    </row>
    <row r="930" spans="1:14" x14ac:dyDescent="0.2">
      <c r="A930" s="1">
        <v>45551</v>
      </c>
      <c r="B930" s="2" t="s">
        <v>24</v>
      </c>
      <c r="C930" s="2" t="s">
        <v>28</v>
      </c>
      <c r="D930" s="2" t="s">
        <v>16</v>
      </c>
      <c r="E930">
        <v>21565</v>
      </c>
      <c r="F930">
        <v>4286</v>
      </c>
      <c r="G930">
        <v>352</v>
      </c>
      <c r="H930">
        <v>113.16</v>
      </c>
      <c r="I930">
        <v>44337.64</v>
      </c>
      <c r="J930">
        <v>19.87</v>
      </c>
      <c r="K930">
        <v>8.2100000000000009</v>
      </c>
      <c r="L930">
        <v>0.32</v>
      </c>
      <c r="M930">
        <v>391.81</v>
      </c>
      <c r="N930">
        <v>44224.480000000003</v>
      </c>
    </row>
    <row r="931" spans="1:14" x14ac:dyDescent="0.2">
      <c r="A931" s="1">
        <v>45551</v>
      </c>
      <c r="B931" s="2" t="s">
        <v>26</v>
      </c>
      <c r="C931" s="2" t="s">
        <v>21</v>
      </c>
      <c r="D931" s="2" t="s">
        <v>36</v>
      </c>
      <c r="E931">
        <v>26895</v>
      </c>
      <c r="F931">
        <v>1136</v>
      </c>
      <c r="G931">
        <v>144</v>
      </c>
      <c r="H931">
        <v>0</v>
      </c>
      <c r="I931">
        <v>17826.560000000001</v>
      </c>
      <c r="J931">
        <v>4.22</v>
      </c>
      <c r="K931">
        <v>12.68</v>
      </c>
      <c r="L931">
        <v>0</v>
      </c>
      <c r="M931">
        <v>0</v>
      </c>
      <c r="N931">
        <v>17826.560000000001</v>
      </c>
    </row>
    <row r="932" spans="1:14" x14ac:dyDescent="0.2">
      <c r="A932" s="1">
        <v>45551</v>
      </c>
      <c r="B932" s="2" t="s">
        <v>27</v>
      </c>
      <c r="C932" s="2" t="s">
        <v>35</v>
      </c>
      <c r="D932" s="2" t="s">
        <v>16</v>
      </c>
      <c r="E932">
        <v>28371</v>
      </c>
      <c r="F932">
        <v>489</v>
      </c>
      <c r="G932">
        <v>23</v>
      </c>
      <c r="H932">
        <v>1209.96</v>
      </c>
      <c r="I932">
        <v>2599.27</v>
      </c>
      <c r="J932">
        <v>1.72</v>
      </c>
      <c r="K932">
        <v>4.7</v>
      </c>
      <c r="L932">
        <v>52.61</v>
      </c>
      <c r="M932">
        <v>2.15</v>
      </c>
      <c r="N932">
        <v>1389.31</v>
      </c>
    </row>
    <row r="933" spans="1:14" x14ac:dyDescent="0.2">
      <c r="A933" s="1">
        <v>45551</v>
      </c>
      <c r="B933" s="2" t="s">
        <v>29</v>
      </c>
      <c r="C933" s="2" t="s">
        <v>28</v>
      </c>
      <c r="D933" s="2" t="s">
        <v>16</v>
      </c>
      <c r="E933">
        <v>19100</v>
      </c>
      <c r="F933">
        <v>447</v>
      </c>
      <c r="G933">
        <v>20</v>
      </c>
      <c r="H933">
        <v>1236.48</v>
      </c>
      <c r="I933">
        <v>2841.39</v>
      </c>
      <c r="J933">
        <v>2.34</v>
      </c>
      <c r="K933">
        <v>4.47</v>
      </c>
      <c r="L933">
        <v>61.82</v>
      </c>
      <c r="M933">
        <v>2.2999999999999998</v>
      </c>
      <c r="N933">
        <v>1604.91</v>
      </c>
    </row>
    <row r="934" spans="1:14" x14ac:dyDescent="0.2">
      <c r="A934" s="1">
        <v>45551</v>
      </c>
      <c r="B934" s="2" t="s">
        <v>30</v>
      </c>
      <c r="C934" s="2" t="s">
        <v>28</v>
      </c>
      <c r="D934" s="2" t="s">
        <v>25</v>
      </c>
      <c r="E934">
        <v>8193</v>
      </c>
      <c r="F934">
        <v>267</v>
      </c>
      <c r="G934">
        <v>12</v>
      </c>
      <c r="H934">
        <v>554.4</v>
      </c>
      <c r="I934">
        <v>1186.08</v>
      </c>
      <c r="J934">
        <v>3.26</v>
      </c>
      <c r="K934">
        <v>4.49</v>
      </c>
      <c r="L934">
        <v>46.2</v>
      </c>
      <c r="M934">
        <v>2.14</v>
      </c>
      <c r="N934">
        <v>631.67999999999995</v>
      </c>
    </row>
    <row r="935" spans="1:14" x14ac:dyDescent="0.2">
      <c r="A935" s="1">
        <v>45551</v>
      </c>
      <c r="B935" s="2" t="s">
        <v>31</v>
      </c>
      <c r="C935" s="2" t="s">
        <v>35</v>
      </c>
      <c r="D935" s="2" t="s">
        <v>22</v>
      </c>
      <c r="E935">
        <v>27139</v>
      </c>
      <c r="F935">
        <v>823</v>
      </c>
      <c r="G935">
        <v>26</v>
      </c>
      <c r="H935">
        <v>634.99</v>
      </c>
      <c r="I935">
        <v>1963.67</v>
      </c>
      <c r="J935">
        <v>3.03</v>
      </c>
      <c r="K935">
        <v>3.16</v>
      </c>
      <c r="L935">
        <v>24.42</v>
      </c>
      <c r="M935">
        <v>3.09</v>
      </c>
      <c r="N935">
        <v>1328.68</v>
      </c>
    </row>
    <row r="936" spans="1:14" x14ac:dyDescent="0.2">
      <c r="A936" s="1">
        <v>45551</v>
      </c>
      <c r="B936" s="2" t="s">
        <v>33</v>
      </c>
      <c r="C936" s="2" t="s">
        <v>28</v>
      </c>
      <c r="D936" s="2" t="s">
        <v>16</v>
      </c>
      <c r="E936">
        <v>5130</v>
      </c>
      <c r="F936">
        <v>272</v>
      </c>
      <c r="G936">
        <v>29</v>
      </c>
      <c r="H936">
        <v>603.5</v>
      </c>
      <c r="I936">
        <v>3431</v>
      </c>
      <c r="J936">
        <v>5.3</v>
      </c>
      <c r="K936">
        <v>10.66</v>
      </c>
      <c r="L936">
        <v>20.81</v>
      </c>
      <c r="M936">
        <v>5.69</v>
      </c>
      <c r="N936">
        <v>2827.5</v>
      </c>
    </row>
    <row r="937" spans="1:14" x14ac:dyDescent="0.2">
      <c r="A937" s="1">
        <v>45551</v>
      </c>
      <c r="B937" s="2" t="s">
        <v>34</v>
      </c>
      <c r="C937" s="2" t="s">
        <v>35</v>
      </c>
      <c r="D937" s="2" t="s">
        <v>22</v>
      </c>
      <c r="E937">
        <v>5765</v>
      </c>
      <c r="F937">
        <v>437</v>
      </c>
      <c r="G937">
        <v>74</v>
      </c>
      <c r="H937">
        <v>120.86</v>
      </c>
      <c r="I937">
        <v>9371.7199999999993</v>
      </c>
      <c r="J937">
        <v>7.58</v>
      </c>
      <c r="K937">
        <v>16.93</v>
      </c>
      <c r="L937">
        <v>1.63</v>
      </c>
      <c r="M937">
        <v>77.540000000000006</v>
      </c>
      <c r="N937">
        <v>9250.86</v>
      </c>
    </row>
    <row r="938" spans="1:14" x14ac:dyDescent="0.2">
      <c r="A938" s="1">
        <v>45552</v>
      </c>
      <c r="B938" s="2" t="s">
        <v>14</v>
      </c>
      <c r="C938" s="2" t="s">
        <v>18</v>
      </c>
      <c r="D938" s="2" t="s">
        <v>19</v>
      </c>
      <c r="E938">
        <v>13167</v>
      </c>
      <c r="F938">
        <v>624</v>
      </c>
      <c r="G938">
        <v>63</v>
      </c>
      <c r="H938">
        <v>1042.98</v>
      </c>
      <c r="I938">
        <v>8923.66</v>
      </c>
      <c r="J938">
        <v>4.74</v>
      </c>
      <c r="K938">
        <v>10.1</v>
      </c>
      <c r="L938">
        <v>16.559999999999999</v>
      </c>
      <c r="M938">
        <v>8.56</v>
      </c>
      <c r="N938">
        <v>7880.68</v>
      </c>
    </row>
    <row r="939" spans="1:14" x14ac:dyDescent="0.2">
      <c r="A939" s="1">
        <v>45552</v>
      </c>
      <c r="B939" s="2" t="s">
        <v>17</v>
      </c>
      <c r="C939" s="2" t="s">
        <v>18</v>
      </c>
      <c r="D939" s="2" t="s">
        <v>19</v>
      </c>
      <c r="E939">
        <v>17573</v>
      </c>
      <c r="F939">
        <v>428</v>
      </c>
      <c r="G939">
        <v>35</v>
      </c>
      <c r="H939">
        <v>993.76</v>
      </c>
      <c r="I939">
        <v>4835.24</v>
      </c>
      <c r="J939">
        <v>2.44</v>
      </c>
      <c r="K939">
        <v>8.18</v>
      </c>
      <c r="L939">
        <v>28.39</v>
      </c>
      <c r="M939">
        <v>4.87</v>
      </c>
      <c r="N939">
        <v>3841.48</v>
      </c>
    </row>
    <row r="940" spans="1:14" x14ac:dyDescent="0.2">
      <c r="A940" s="1">
        <v>45552</v>
      </c>
      <c r="B940" s="2" t="s">
        <v>20</v>
      </c>
      <c r="C940" s="2" t="s">
        <v>21</v>
      </c>
      <c r="D940" s="2" t="s">
        <v>22</v>
      </c>
      <c r="E940">
        <v>17656</v>
      </c>
      <c r="F940">
        <v>706</v>
      </c>
      <c r="G940">
        <v>53</v>
      </c>
      <c r="H940">
        <v>872.81</v>
      </c>
      <c r="I940">
        <v>6271.53</v>
      </c>
      <c r="J940">
        <v>4</v>
      </c>
      <c r="K940">
        <v>7.51</v>
      </c>
      <c r="L940">
        <v>16.47</v>
      </c>
      <c r="M940">
        <v>7.19</v>
      </c>
      <c r="N940">
        <v>5398.72</v>
      </c>
    </row>
    <row r="941" spans="1:14" x14ac:dyDescent="0.2">
      <c r="A941" s="1">
        <v>45552</v>
      </c>
      <c r="B941" s="2" t="s">
        <v>23</v>
      </c>
      <c r="C941" s="2" t="s">
        <v>18</v>
      </c>
      <c r="D941" s="2" t="s">
        <v>19</v>
      </c>
      <c r="E941">
        <v>5017</v>
      </c>
      <c r="F941">
        <v>88</v>
      </c>
      <c r="G941">
        <v>12</v>
      </c>
      <c r="H941">
        <v>1672.43</v>
      </c>
      <c r="I941">
        <v>3415.4</v>
      </c>
      <c r="J941">
        <v>1.75</v>
      </c>
      <c r="K941">
        <v>13.64</v>
      </c>
      <c r="L941">
        <v>139.37</v>
      </c>
      <c r="M941">
        <v>2.04</v>
      </c>
      <c r="N941">
        <v>1742.97</v>
      </c>
    </row>
    <row r="942" spans="1:14" x14ac:dyDescent="0.2">
      <c r="A942" s="1">
        <v>45552</v>
      </c>
      <c r="B942" s="2" t="s">
        <v>24</v>
      </c>
      <c r="C942" s="2" t="s">
        <v>28</v>
      </c>
      <c r="D942" s="2" t="s">
        <v>22</v>
      </c>
      <c r="E942">
        <v>21024</v>
      </c>
      <c r="F942">
        <v>5103</v>
      </c>
      <c r="G942">
        <v>549</v>
      </c>
      <c r="H942">
        <v>293.5</v>
      </c>
      <c r="I942">
        <v>72413.55</v>
      </c>
      <c r="J942">
        <v>24.27</v>
      </c>
      <c r="K942">
        <v>10.76</v>
      </c>
      <c r="L942">
        <v>0.53</v>
      </c>
      <c r="M942">
        <v>246.72</v>
      </c>
      <c r="N942">
        <v>72120.05</v>
      </c>
    </row>
    <row r="943" spans="1:14" x14ac:dyDescent="0.2">
      <c r="A943" s="1">
        <v>45552</v>
      </c>
      <c r="B943" s="2" t="s">
        <v>26</v>
      </c>
      <c r="C943" s="2" t="s">
        <v>15</v>
      </c>
      <c r="D943" s="2" t="s">
        <v>36</v>
      </c>
      <c r="E943">
        <v>32814</v>
      </c>
      <c r="F943">
        <v>2191</v>
      </c>
      <c r="G943">
        <v>255</v>
      </c>
      <c r="H943">
        <v>0</v>
      </c>
      <c r="I943">
        <v>31699.81</v>
      </c>
      <c r="J943">
        <v>6.68</v>
      </c>
      <c r="K943">
        <v>11.64</v>
      </c>
      <c r="L943">
        <v>0</v>
      </c>
      <c r="M943">
        <v>0</v>
      </c>
      <c r="N943">
        <v>31699.81</v>
      </c>
    </row>
    <row r="944" spans="1:14" x14ac:dyDescent="0.2">
      <c r="A944" s="1">
        <v>45552</v>
      </c>
      <c r="B944" s="2" t="s">
        <v>27</v>
      </c>
      <c r="C944" s="2" t="s">
        <v>28</v>
      </c>
      <c r="D944" s="2" t="s">
        <v>25</v>
      </c>
      <c r="E944">
        <v>28206</v>
      </c>
      <c r="F944">
        <v>521</v>
      </c>
      <c r="G944">
        <v>16</v>
      </c>
      <c r="H944">
        <v>787.06</v>
      </c>
      <c r="I944">
        <v>1831.62</v>
      </c>
      <c r="J944">
        <v>1.85</v>
      </c>
      <c r="K944">
        <v>3.07</v>
      </c>
      <c r="L944">
        <v>49.19</v>
      </c>
      <c r="M944">
        <v>2.33</v>
      </c>
      <c r="N944">
        <v>1044.56</v>
      </c>
    </row>
    <row r="945" spans="1:14" x14ac:dyDescent="0.2">
      <c r="A945" s="1">
        <v>45552</v>
      </c>
      <c r="B945" s="2" t="s">
        <v>29</v>
      </c>
      <c r="C945" s="2" t="s">
        <v>18</v>
      </c>
      <c r="D945" s="2" t="s">
        <v>16</v>
      </c>
      <c r="E945">
        <v>24478</v>
      </c>
      <c r="F945">
        <v>544</v>
      </c>
      <c r="G945">
        <v>36</v>
      </c>
      <c r="H945">
        <v>906.37</v>
      </c>
      <c r="I945">
        <v>4626.62</v>
      </c>
      <c r="J945">
        <v>2.2200000000000002</v>
      </c>
      <c r="K945">
        <v>6.62</v>
      </c>
      <c r="L945">
        <v>25.18</v>
      </c>
      <c r="M945">
        <v>5.0999999999999996</v>
      </c>
      <c r="N945">
        <v>3720.25</v>
      </c>
    </row>
    <row r="946" spans="1:14" x14ac:dyDescent="0.2">
      <c r="A946" s="1">
        <v>45552</v>
      </c>
      <c r="B946" s="2" t="s">
        <v>30</v>
      </c>
      <c r="C946" s="2" t="s">
        <v>18</v>
      </c>
      <c r="D946" s="2" t="s">
        <v>19</v>
      </c>
      <c r="E946">
        <v>8722</v>
      </c>
      <c r="F946">
        <v>268</v>
      </c>
      <c r="G946">
        <v>8</v>
      </c>
      <c r="H946">
        <v>532.73</v>
      </c>
      <c r="I946">
        <v>724.82</v>
      </c>
      <c r="J946">
        <v>3.07</v>
      </c>
      <c r="K946">
        <v>2.99</v>
      </c>
      <c r="L946">
        <v>66.59</v>
      </c>
      <c r="M946">
        <v>1.36</v>
      </c>
      <c r="N946">
        <v>192.09</v>
      </c>
    </row>
    <row r="947" spans="1:14" x14ac:dyDescent="0.2">
      <c r="A947" s="1">
        <v>45552</v>
      </c>
      <c r="B947" s="2" t="s">
        <v>31</v>
      </c>
      <c r="C947" s="2" t="s">
        <v>21</v>
      </c>
      <c r="D947" s="2" t="s">
        <v>22</v>
      </c>
      <c r="E947">
        <v>28725</v>
      </c>
      <c r="F947">
        <v>1208</v>
      </c>
      <c r="G947">
        <v>65</v>
      </c>
      <c r="H947">
        <v>975.62</v>
      </c>
      <c r="I947">
        <v>6354.4</v>
      </c>
      <c r="J947">
        <v>4.21</v>
      </c>
      <c r="K947">
        <v>5.38</v>
      </c>
      <c r="L947">
        <v>15.01</v>
      </c>
      <c r="M947">
        <v>6.51</v>
      </c>
      <c r="N947">
        <v>5378.78</v>
      </c>
    </row>
    <row r="948" spans="1:14" x14ac:dyDescent="0.2">
      <c r="A948" s="1">
        <v>45552</v>
      </c>
      <c r="B948" s="2" t="s">
        <v>33</v>
      </c>
      <c r="C948" s="2" t="s">
        <v>32</v>
      </c>
      <c r="D948" s="2" t="s">
        <v>25</v>
      </c>
      <c r="E948">
        <v>7921</v>
      </c>
      <c r="F948">
        <v>479</v>
      </c>
      <c r="G948">
        <v>56</v>
      </c>
      <c r="H948">
        <v>438.17</v>
      </c>
      <c r="I948">
        <v>6483.15</v>
      </c>
      <c r="J948">
        <v>6.05</v>
      </c>
      <c r="K948">
        <v>11.69</v>
      </c>
      <c r="L948">
        <v>7.82</v>
      </c>
      <c r="M948">
        <v>14.8</v>
      </c>
      <c r="N948">
        <v>6044.98</v>
      </c>
    </row>
    <row r="949" spans="1:14" x14ac:dyDescent="0.2">
      <c r="A949" s="1">
        <v>45552</v>
      </c>
      <c r="B949" s="2" t="s">
        <v>34</v>
      </c>
      <c r="C949" s="2" t="s">
        <v>32</v>
      </c>
      <c r="D949" s="2" t="s">
        <v>36</v>
      </c>
      <c r="E949">
        <v>6754</v>
      </c>
      <c r="F949">
        <v>390</v>
      </c>
      <c r="G949">
        <v>68</v>
      </c>
      <c r="H949">
        <v>169.33</v>
      </c>
      <c r="I949">
        <v>9521.8700000000008</v>
      </c>
      <c r="J949">
        <v>5.77</v>
      </c>
      <c r="K949">
        <v>17.440000000000001</v>
      </c>
      <c r="L949">
        <v>2.4900000000000002</v>
      </c>
      <c r="M949">
        <v>56.23</v>
      </c>
      <c r="N949">
        <v>9352.5400000000009</v>
      </c>
    </row>
    <row r="950" spans="1:14" x14ac:dyDescent="0.2">
      <c r="A950" s="1">
        <v>45553</v>
      </c>
      <c r="B950" s="2" t="s">
        <v>14</v>
      </c>
      <c r="C950" s="2" t="s">
        <v>18</v>
      </c>
      <c r="D950" s="2" t="s">
        <v>19</v>
      </c>
      <c r="E950">
        <v>8371</v>
      </c>
      <c r="F950">
        <v>280</v>
      </c>
      <c r="G950">
        <v>26</v>
      </c>
      <c r="H950">
        <v>1439.59</v>
      </c>
      <c r="I950">
        <v>3858.29</v>
      </c>
      <c r="J950">
        <v>3.34</v>
      </c>
      <c r="K950">
        <v>9.2899999999999991</v>
      </c>
      <c r="L950">
        <v>55.37</v>
      </c>
      <c r="M950">
        <v>2.68</v>
      </c>
      <c r="N950">
        <v>2418.6999999999998</v>
      </c>
    </row>
    <row r="951" spans="1:14" x14ac:dyDescent="0.2">
      <c r="A951" s="1">
        <v>45553</v>
      </c>
      <c r="B951" s="2" t="s">
        <v>17</v>
      </c>
      <c r="C951" s="2" t="s">
        <v>21</v>
      </c>
      <c r="D951" s="2" t="s">
        <v>19</v>
      </c>
      <c r="E951">
        <v>12558</v>
      </c>
      <c r="F951">
        <v>457</v>
      </c>
      <c r="G951">
        <v>31</v>
      </c>
      <c r="H951">
        <v>1005.92</v>
      </c>
      <c r="I951">
        <v>4054.97</v>
      </c>
      <c r="J951">
        <v>3.64</v>
      </c>
      <c r="K951">
        <v>6.78</v>
      </c>
      <c r="L951">
        <v>32.450000000000003</v>
      </c>
      <c r="M951">
        <v>4.03</v>
      </c>
      <c r="N951">
        <v>3049.05</v>
      </c>
    </row>
    <row r="952" spans="1:14" x14ac:dyDescent="0.2">
      <c r="A952" s="1">
        <v>45553</v>
      </c>
      <c r="B952" s="2" t="s">
        <v>20</v>
      </c>
      <c r="C952" s="2" t="s">
        <v>18</v>
      </c>
      <c r="D952" s="2" t="s">
        <v>16</v>
      </c>
      <c r="E952">
        <v>17956</v>
      </c>
      <c r="F952">
        <v>680</v>
      </c>
      <c r="G952">
        <v>31</v>
      </c>
      <c r="H952">
        <v>957.84</v>
      </c>
      <c r="I952">
        <v>3636.38</v>
      </c>
      <c r="J952">
        <v>3.79</v>
      </c>
      <c r="K952">
        <v>4.5599999999999996</v>
      </c>
      <c r="L952">
        <v>30.9</v>
      </c>
      <c r="M952">
        <v>3.8</v>
      </c>
      <c r="N952">
        <v>2678.54</v>
      </c>
    </row>
    <row r="953" spans="1:14" x14ac:dyDescent="0.2">
      <c r="A953" s="1">
        <v>45553</v>
      </c>
      <c r="B953" s="2" t="s">
        <v>23</v>
      </c>
      <c r="C953" s="2" t="s">
        <v>21</v>
      </c>
      <c r="D953" s="2" t="s">
        <v>36</v>
      </c>
      <c r="E953">
        <v>3898</v>
      </c>
      <c r="F953">
        <v>82</v>
      </c>
      <c r="G953">
        <v>9</v>
      </c>
      <c r="H953">
        <v>1469.25</v>
      </c>
      <c r="I953">
        <v>2025.01</v>
      </c>
      <c r="J953">
        <v>2.1</v>
      </c>
      <c r="K953">
        <v>10.98</v>
      </c>
      <c r="L953">
        <v>163.25</v>
      </c>
      <c r="M953">
        <v>1.38</v>
      </c>
      <c r="N953">
        <v>555.76</v>
      </c>
    </row>
    <row r="954" spans="1:14" x14ac:dyDescent="0.2">
      <c r="A954" s="1">
        <v>45553</v>
      </c>
      <c r="B954" s="2" t="s">
        <v>24</v>
      </c>
      <c r="C954" s="2" t="s">
        <v>15</v>
      </c>
      <c r="D954" s="2" t="s">
        <v>25</v>
      </c>
      <c r="E954">
        <v>20464</v>
      </c>
      <c r="F954">
        <v>3700</v>
      </c>
      <c r="G954">
        <v>509</v>
      </c>
      <c r="H954">
        <v>168.54</v>
      </c>
      <c r="I954">
        <v>87394.1</v>
      </c>
      <c r="J954">
        <v>18.079999999999998</v>
      </c>
      <c r="K954">
        <v>13.76</v>
      </c>
      <c r="L954">
        <v>0.33</v>
      </c>
      <c r="M954">
        <v>518.54</v>
      </c>
      <c r="N954">
        <v>87225.56</v>
      </c>
    </row>
    <row r="955" spans="1:14" x14ac:dyDescent="0.2">
      <c r="A955" s="1">
        <v>45553</v>
      </c>
      <c r="B955" s="2" t="s">
        <v>26</v>
      </c>
      <c r="C955" s="2" t="s">
        <v>28</v>
      </c>
      <c r="D955" s="2" t="s">
        <v>16</v>
      </c>
      <c r="E955">
        <v>24399</v>
      </c>
      <c r="F955">
        <v>1040</v>
      </c>
      <c r="G955">
        <v>116</v>
      </c>
      <c r="H955">
        <v>0</v>
      </c>
      <c r="I955">
        <v>13194.25</v>
      </c>
      <c r="J955">
        <v>4.26</v>
      </c>
      <c r="K955">
        <v>11.15</v>
      </c>
      <c r="L955">
        <v>0</v>
      </c>
      <c r="M955">
        <v>0</v>
      </c>
      <c r="N955">
        <v>13194.25</v>
      </c>
    </row>
    <row r="956" spans="1:14" x14ac:dyDescent="0.2">
      <c r="A956" s="1">
        <v>45553</v>
      </c>
      <c r="B956" s="2" t="s">
        <v>27</v>
      </c>
      <c r="C956" s="2" t="s">
        <v>18</v>
      </c>
      <c r="D956" s="2" t="s">
        <v>36</v>
      </c>
      <c r="E956">
        <v>34187</v>
      </c>
      <c r="F956">
        <v>388</v>
      </c>
      <c r="G956">
        <v>10</v>
      </c>
      <c r="H956">
        <v>1011.03</v>
      </c>
      <c r="I956">
        <v>964.54</v>
      </c>
      <c r="J956">
        <v>1.1299999999999999</v>
      </c>
      <c r="K956">
        <v>2.58</v>
      </c>
      <c r="L956">
        <v>101.1</v>
      </c>
      <c r="M956">
        <v>0.95</v>
      </c>
      <c r="N956">
        <v>-46.49</v>
      </c>
    </row>
    <row r="957" spans="1:14" x14ac:dyDescent="0.2">
      <c r="A957" s="1">
        <v>45553</v>
      </c>
      <c r="B957" s="2" t="s">
        <v>29</v>
      </c>
      <c r="C957" s="2" t="s">
        <v>32</v>
      </c>
      <c r="D957" s="2" t="s">
        <v>25</v>
      </c>
      <c r="E957">
        <v>22307</v>
      </c>
      <c r="F957">
        <v>414</v>
      </c>
      <c r="G957">
        <v>24</v>
      </c>
      <c r="H957">
        <v>847.44</v>
      </c>
      <c r="I957">
        <v>2879.25</v>
      </c>
      <c r="J957">
        <v>1.86</v>
      </c>
      <c r="K957">
        <v>5.8</v>
      </c>
      <c r="L957">
        <v>35.31</v>
      </c>
      <c r="M957">
        <v>3.4</v>
      </c>
      <c r="N957">
        <v>2031.81</v>
      </c>
    </row>
    <row r="958" spans="1:14" x14ac:dyDescent="0.2">
      <c r="A958" s="1">
        <v>45553</v>
      </c>
      <c r="B958" s="2" t="s">
        <v>30</v>
      </c>
      <c r="C958" s="2" t="s">
        <v>18</v>
      </c>
      <c r="D958" s="2" t="s">
        <v>25</v>
      </c>
      <c r="E958">
        <v>11633</v>
      </c>
      <c r="F958">
        <v>359</v>
      </c>
      <c r="G958">
        <v>20</v>
      </c>
      <c r="H958">
        <v>502.75</v>
      </c>
      <c r="I958">
        <v>2004.5</v>
      </c>
      <c r="J958">
        <v>3.09</v>
      </c>
      <c r="K958">
        <v>5.57</v>
      </c>
      <c r="L958">
        <v>25.14</v>
      </c>
      <c r="M958">
        <v>3.99</v>
      </c>
      <c r="N958">
        <v>1501.75</v>
      </c>
    </row>
    <row r="959" spans="1:14" x14ac:dyDescent="0.2">
      <c r="A959" s="1">
        <v>45553</v>
      </c>
      <c r="B959" s="2" t="s">
        <v>31</v>
      </c>
      <c r="C959" s="2" t="s">
        <v>32</v>
      </c>
      <c r="D959" s="2" t="s">
        <v>22</v>
      </c>
      <c r="E959">
        <v>26802</v>
      </c>
      <c r="F959">
        <v>864</v>
      </c>
      <c r="G959">
        <v>40</v>
      </c>
      <c r="H959">
        <v>626.27</v>
      </c>
      <c r="I959">
        <v>3662.1</v>
      </c>
      <c r="J959">
        <v>3.22</v>
      </c>
      <c r="K959">
        <v>4.63</v>
      </c>
      <c r="L959">
        <v>15.66</v>
      </c>
      <c r="M959">
        <v>5.85</v>
      </c>
      <c r="N959">
        <v>3035.83</v>
      </c>
    </row>
    <row r="960" spans="1:14" x14ac:dyDescent="0.2">
      <c r="A960" s="1">
        <v>45553</v>
      </c>
      <c r="B960" s="2" t="s">
        <v>33</v>
      </c>
      <c r="C960" s="2" t="s">
        <v>15</v>
      </c>
      <c r="D960" s="2" t="s">
        <v>22</v>
      </c>
      <c r="E960">
        <v>7482</v>
      </c>
      <c r="F960">
        <v>495</v>
      </c>
      <c r="G960">
        <v>47</v>
      </c>
      <c r="H960">
        <v>415.66</v>
      </c>
      <c r="I960">
        <v>5262.83</v>
      </c>
      <c r="J960">
        <v>6.62</v>
      </c>
      <c r="K960">
        <v>9.49</v>
      </c>
      <c r="L960">
        <v>8.84</v>
      </c>
      <c r="M960">
        <v>12.66</v>
      </c>
      <c r="N960">
        <v>4847.17</v>
      </c>
    </row>
    <row r="961" spans="1:14" x14ac:dyDescent="0.2">
      <c r="A961" s="1">
        <v>45553</v>
      </c>
      <c r="B961" s="2" t="s">
        <v>34</v>
      </c>
      <c r="C961" s="2" t="s">
        <v>35</v>
      </c>
      <c r="D961" s="2" t="s">
        <v>36</v>
      </c>
      <c r="E961">
        <v>3054</v>
      </c>
      <c r="F961">
        <v>278</v>
      </c>
      <c r="G961">
        <v>38</v>
      </c>
      <c r="H961">
        <v>182.85</v>
      </c>
      <c r="I961">
        <v>4378.01</v>
      </c>
      <c r="J961">
        <v>9.1</v>
      </c>
      <c r="K961">
        <v>13.67</v>
      </c>
      <c r="L961">
        <v>4.8099999999999996</v>
      </c>
      <c r="M961">
        <v>23.94</v>
      </c>
      <c r="N961">
        <v>4195.16</v>
      </c>
    </row>
    <row r="962" spans="1:14" x14ac:dyDescent="0.2">
      <c r="A962" s="1">
        <v>45554</v>
      </c>
      <c r="B962" s="2" t="s">
        <v>14</v>
      </c>
      <c r="C962" s="2" t="s">
        <v>18</v>
      </c>
      <c r="D962" s="2" t="s">
        <v>25</v>
      </c>
      <c r="E962">
        <v>10207</v>
      </c>
      <c r="F962">
        <v>349</v>
      </c>
      <c r="G962">
        <v>29</v>
      </c>
      <c r="H962">
        <v>1187.74</v>
      </c>
      <c r="I962">
        <v>4621.53</v>
      </c>
      <c r="J962">
        <v>3.42</v>
      </c>
      <c r="K962">
        <v>8.31</v>
      </c>
      <c r="L962">
        <v>40.96</v>
      </c>
      <c r="M962">
        <v>3.89</v>
      </c>
      <c r="N962">
        <v>3433.79</v>
      </c>
    </row>
    <row r="963" spans="1:14" x14ac:dyDescent="0.2">
      <c r="A963" s="1">
        <v>45554</v>
      </c>
      <c r="B963" s="2" t="s">
        <v>17</v>
      </c>
      <c r="C963" s="2" t="s">
        <v>35</v>
      </c>
      <c r="D963" s="2" t="s">
        <v>22</v>
      </c>
      <c r="E963">
        <v>18139</v>
      </c>
      <c r="F963">
        <v>591</v>
      </c>
      <c r="G963">
        <v>36</v>
      </c>
      <c r="H963">
        <v>1077.22</v>
      </c>
      <c r="I963">
        <v>3746.35</v>
      </c>
      <c r="J963">
        <v>3.26</v>
      </c>
      <c r="K963">
        <v>6.09</v>
      </c>
      <c r="L963">
        <v>29.92</v>
      </c>
      <c r="M963">
        <v>3.48</v>
      </c>
      <c r="N963">
        <v>2669.13</v>
      </c>
    </row>
    <row r="964" spans="1:14" x14ac:dyDescent="0.2">
      <c r="A964" s="1">
        <v>45554</v>
      </c>
      <c r="B964" s="2" t="s">
        <v>20</v>
      </c>
      <c r="C964" s="2" t="s">
        <v>32</v>
      </c>
      <c r="D964" s="2" t="s">
        <v>36</v>
      </c>
      <c r="E964">
        <v>14118</v>
      </c>
      <c r="F964">
        <v>406</v>
      </c>
      <c r="G964">
        <v>18</v>
      </c>
      <c r="H964">
        <v>516.07000000000005</v>
      </c>
      <c r="I964">
        <v>1460.47</v>
      </c>
      <c r="J964">
        <v>2.88</v>
      </c>
      <c r="K964">
        <v>4.43</v>
      </c>
      <c r="L964">
        <v>28.67</v>
      </c>
      <c r="M964">
        <v>2.83</v>
      </c>
      <c r="N964">
        <v>944.4</v>
      </c>
    </row>
    <row r="965" spans="1:14" x14ac:dyDescent="0.2">
      <c r="A965" s="1">
        <v>45554</v>
      </c>
      <c r="B965" s="2" t="s">
        <v>23</v>
      </c>
      <c r="C965" s="2" t="s">
        <v>21</v>
      </c>
      <c r="D965" s="2" t="s">
        <v>16</v>
      </c>
      <c r="E965">
        <v>4514</v>
      </c>
      <c r="F965">
        <v>121</v>
      </c>
      <c r="G965">
        <v>17</v>
      </c>
      <c r="H965">
        <v>1678.55</v>
      </c>
      <c r="I965">
        <v>4026.05</v>
      </c>
      <c r="J965">
        <v>2.68</v>
      </c>
      <c r="K965">
        <v>14.05</v>
      </c>
      <c r="L965">
        <v>98.74</v>
      </c>
      <c r="M965">
        <v>2.4</v>
      </c>
      <c r="N965">
        <v>2347.5</v>
      </c>
    </row>
    <row r="966" spans="1:14" x14ac:dyDescent="0.2">
      <c r="A966" s="1">
        <v>45554</v>
      </c>
      <c r="B966" s="2" t="s">
        <v>24</v>
      </c>
      <c r="C966" s="2" t="s">
        <v>32</v>
      </c>
      <c r="D966" s="2" t="s">
        <v>19</v>
      </c>
      <c r="E966">
        <v>22585</v>
      </c>
      <c r="F966">
        <v>3792</v>
      </c>
      <c r="G966">
        <v>357</v>
      </c>
      <c r="H966">
        <v>185.34</v>
      </c>
      <c r="I966">
        <v>44350.19</v>
      </c>
      <c r="J966">
        <v>16.79</v>
      </c>
      <c r="K966">
        <v>9.41</v>
      </c>
      <c r="L966">
        <v>0.52</v>
      </c>
      <c r="M966">
        <v>239.29</v>
      </c>
      <c r="N966">
        <v>44164.85</v>
      </c>
    </row>
    <row r="967" spans="1:14" x14ac:dyDescent="0.2">
      <c r="A967" s="1">
        <v>45554</v>
      </c>
      <c r="B967" s="2" t="s">
        <v>26</v>
      </c>
      <c r="C967" s="2" t="s">
        <v>18</v>
      </c>
      <c r="D967" s="2" t="s">
        <v>25</v>
      </c>
      <c r="E967">
        <v>27239</v>
      </c>
      <c r="F967">
        <v>1459</v>
      </c>
      <c r="G967">
        <v>194</v>
      </c>
      <c r="H967">
        <v>0</v>
      </c>
      <c r="I967">
        <v>27238.79</v>
      </c>
      <c r="J967">
        <v>5.36</v>
      </c>
      <c r="K967">
        <v>13.3</v>
      </c>
      <c r="L967">
        <v>0</v>
      </c>
      <c r="M967">
        <v>0</v>
      </c>
      <c r="N967">
        <v>27238.79</v>
      </c>
    </row>
    <row r="968" spans="1:14" x14ac:dyDescent="0.2">
      <c r="A968" s="1">
        <v>45554</v>
      </c>
      <c r="B968" s="2" t="s">
        <v>27</v>
      </c>
      <c r="C968" s="2" t="s">
        <v>32</v>
      </c>
      <c r="D968" s="2" t="s">
        <v>25</v>
      </c>
      <c r="E968">
        <v>32871</v>
      </c>
      <c r="F968">
        <v>415</v>
      </c>
      <c r="G968">
        <v>15</v>
      </c>
      <c r="H968">
        <v>705.78</v>
      </c>
      <c r="I968">
        <v>1772.53</v>
      </c>
      <c r="J968">
        <v>1.26</v>
      </c>
      <c r="K968">
        <v>3.61</v>
      </c>
      <c r="L968">
        <v>47.05</v>
      </c>
      <c r="M968">
        <v>2.5099999999999998</v>
      </c>
      <c r="N968">
        <v>1066.75</v>
      </c>
    </row>
    <row r="969" spans="1:14" x14ac:dyDescent="0.2">
      <c r="A969" s="1">
        <v>45554</v>
      </c>
      <c r="B969" s="2" t="s">
        <v>29</v>
      </c>
      <c r="C969" s="2" t="s">
        <v>32</v>
      </c>
      <c r="D969" s="2" t="s">
        <v>25</v>
      </c>
      <c r="E969">
        <v>24260</v>
      </c>
      <c r="F969">
        <v>526</v>
      </c>
      <c r="G969">
        <v>37</v>
      </c>
      <c r="H969">
        <v>1115.1300000000001</v>
      </c>
      <c r="I969">
        <v>4762.38</v>
      </c>
      <c r="J969">
        <v>2.17</v>
      </c>
      <c r="K969">
        <v>7.03</v>
      </c>
      <c r="L969">
        <v>30.14</v>
      </c>
      <c r="M969">
        <v>4.2699999999999996</v>
      </c>
      <c r="N969">
        <v>3647.25</v>
      </c>
    </row>
    <row r="970" spans="1:14" x14ac:dyDescent="0.2">
      <c r="A970" s="1">
        <v>45554</v>
      </c>
      <c r="B970" s="2" t="s">
        <v>30</v>
      </c>
      <c r="C970" s="2" t="s">
        <v>18</v>
      </c>
      <c r="D970" s="2" t="s">
        <v>36</v>
      </c>
      <c r="E970">
        <v>9161</v>
      </c>
      <c r="F970">
        <v>310</v>
      </c>
      <c r="G970">
        <v>9</v>
      </c>
      <c r="H970">
        <v>750.78</v>
      </c>
      <c r="I970">
        <v>997.61</v>
      </c>
      <c r="J970">
        <v>3.38</v>
      </c>
      <c r="K970">
        <v>2.9</v>
      </c>
      <c r="L970">
        <v>83.42</v>
      </c>
      <c r="M970">
        <v>1.33</v>
      </c>
      <c r="N970">
        <v>246.83</v>
      </c>
    </row>
    <row r="971" spans="1:14" x14ac:dyDescent="0.2">
      <c r="A971" s="1">
        <v>45554</v>
      </c>
      <c r="B971" s="2" t="s">
        <v>31</v>
      </c>
      <c r="C971" s="2" t="s">
        <v>28</v>
      </c>
      <c r="D971" s="2" t="s">
        <v>16</v>
      </c>
      <c r="E971">
        <v>18289</v>
      </c>
      <c r="F971">
        <v>577</v>
      </c>
      <c r="G971">
        <v>26</v>
      </c>
      <c r="H971">
        <v>736.56</v>
      </c>
      <c r="I971">
        <v>1987.98</v>
      </c>
      <c r="J971">
        <v>3.15</v>
      </c>
      <c r="K971">
        <v>4.51</v>
      </c>
      <c r="L971">
        <v>28.33</v>
      </c>
      <c r="M971">
        <v>2.7</v>
      </c>
      <c r="N971">
        <v>1251.42</v>
      </c>
    </row>
    <row r="972" spans="1:14" x14ac:dyDescent="0.2">
      <c r="A972" s="1">
        <v>45554</v>
      </c>
      <c r="B972" s="2" t="s">
        <v>33</v>
      </c>
      <c r="C972" s="2" t="s">
        <v>15</v>
      </c>
      <c r="D972" s="2" t="s">
        <v>36</v>
      </c>
      <c r="E972">
        <v>6932</v>
      </c>
      <c r="F972">
        <v>420</v>
      </c>
      <c r="G972">
        <v>54</v>
      </c>
      <c r="H972">
        <v>356.29</v>
      </c>
      <c r="I972">
        <v>6481.89</v>
      </c>
      <c r="J972">
        <v>6.06</v>
      </c>
      <c r="K972">
        <v>12.86</v>
      </c>
      <c r="L972">
        <v>6.6</v>
      </c>
      <c r="M972">
        <v>18.190000000000001</v>
      </c>
      <c r="N972">
        <v>6125.6</v>
      </c>
    </row>
    <row r="973" spans="1:14" x14ac:dyDescent="0.2">
      <c r="A973" s="1">
        <v>45554</v>
      </c>
      <c r="B973" s="2" t="s">
        <v>34</v>
      </c>
      <c r="C973" s="2" t="s">
        <v>35</v>
      </c>
      <c r="D973" s="2" t="s">
        <v>19</v>
      </c>
      <c r="E973">
        <v>3276</v>
      </c>
      <c r="F973">
        <v>308</v>
      </c>
      <c r="G973">
        <v>40</v>
      </c>
      <c r="H973">
        <v>58.87</v>
      </c>
      <c r="I973">
        <v>5802.44</v>
      </c>
      <c r="J973">
        <v>9.4</v>
      </c>
      <c r="K973">
        <v>12.99</v>
      </c>
      <c r="L973">
        <v>1.47</v>
      </c>
      <c r="M973">
        <v>98.56</v>
      </c>
      <c r="N973">
        <v>5743.57</v>
      </c>
    </row>
    <row r="974" spans="1:14" x14ac:dyDescent="0.2">
      <c r="A974" s="1">
        <v>45555</v>
      </c>
      <c r="B974" s="2" t="s">
        <v>14</v>
      </c>
      <c r="C974" s="2" t="s">
        <v>15</v>
      </c>
      <c r="D974" s="2" t="s">
        <v>16</v>
      </c>
      <c r="E974">
        <v>9039</v>
      </c>
      <c r="F974">
        <v>311</v>
      </c>
      <c r="G974">
        <v>28</v>
      </c>
      <c r="H974">
        <v>1329.1</v>
      </c>
      <c r="I974">
        <v>4767.7</v>
      </c>
      <c r="J974">
        <v>3.44</v>
      </c>
      <c r="K974">
        <v>9</v>
      </c>
      <c r="L974">
        <v>47.47</v>
      </c>
      <c r="M974">
        <v>3.59</v>
      </c>
      <c r="N974">
        <v>3438.6</v>
      </c>
    </row>
    <row r="975" spans="1:14" x14ac:dyDescent="0.2">
      <c r="A975" s="1">
        <v>45555</v>
      </c>
      <c r="B975" s="2" t="s">
        <v>17</v>
      </c>
      <c r="C975" s="2" t="s">
        <v>35</v>
      </c>
      <c r="D975" s="2" t="s">
        <v>16</v>
      </c>
      <c r="E975">
        <v>17961</v>
      </c>
      <c r="F975">
        <v>630</v>
      </c>
      <c r="G975">
        <v>49</v>
      </c>
      <c r="H975">
        <v>880.71</v>
      </c>
      <c r="I975">
        <v>6196.81</v>
      </c>
      <c r="J975">
        <v>3.51</v>
      </c>
      <c r="K975">
        <v>7.78</v>
      </c>
      <c r="L975">
        <v>17.97</v>
      </c>
      <c r="M975">
        <v>7.04</v>
      </c>
      <c r="N975">
        <v>5316.1</v>
      </c>
    </row>
    <row r="976" spans="1:14" x14ac:dyDescent="0.2">
      <c r="A976" s="1">
        <v>45555</v>
      </c>
      <c r="B976" s="2" t="s">
        <v>20</v>
      </c>
      <c r="C976" s="2" t="s">
        <v>35</v>
      </c>
      <c r="D976" s="2" t="s">
        <v>22</v>
      </c>
      <c r="E976">
        <v>10539</v>
      </c>
      <c r="F976">
        <v>265</v>
      </c>
      <c r="G976">
        <v>13</v>
      </c>
      <c r="H976">
        <v>708.82</v>
      </c>
      <c r="I976">
        <v>1467.89</v>
      </c>
      <c r="J976">
        <v>2.5099999999999998</v>
      </c>
      <c r="K976">
        <v>4.91</v>
      </c>
      <c r="L976">
        <v>54.52</v>
      </c>
      <c r="M976">
        <v>2.0699999999999998</v>
      </c>
      <c r="N976">
        <v>759.07</v>
      </c>
    </row>
    <row r="977" spans="1:14" x14ac:dyDescent="0.2">
      <c r="A977" s="1">
        <v>45555</v>
      </c>
      <c r="B977" s="2" t="s">
        <v>23</v>
      </c>
      <c r="C977" s="2" t="s">
        <v>15</v>
      </c>
      <c r="D977" s="2" t="s">
        <v>16</v>
      </c>
      <c r="E977">
        <v>5325</v>
      </c>
      <c r="F977">
        <v>93</v>
      </c>
      <c r="G977">
        <v>10</v>
      </c>
      <c r="H977">
        <v>1173.18</v>
      </c>
      <c r="I977">
        <v>2914</v>
      </c>
      <c r="J977">
        <v>1.75</v>
      </c>
      <c r="K977">
        <v>10.75</v>
      </c>
      <c r="L977">
        <v>117.32</v>
      </c>
      <c r="M977">
        <v>2.48</v>
      </c>
      <c r="N977">
        <v>1740.82</v>
      </c>
    </row>
    <row r="978" spans="1:14" x14ac:dyDescent="0.2">
      <c r="A978" s="1">
        <v>45555</v>
      </c>
      <c r="B978" s="2" t="s">
        <v>24</v>
      </c>
      <c r="C978" s="2" t="s">
        <v>32</v>
      </c>
      <c r="D978" s="2" t="s">
        <v>19</v>
      </c>
      <c r="E978">
        <v>23299</v>
      </c>
      <c r="F978">
        <v>4692</v>
      </c>
      <c r="G978">
        <v>471</v>
      </c>
      <c r="H978">
        <v>169.58</v>
      </c>
      <c r="I978">
        <v>60395.14</v>
      </c>
      <c r="J978">
        <v>20.14</v>
      </c>
      <c r="K978">
        <v>10.039999999999999</v>
      </c>
      <c r="L978">
        <v>0.36</v>
      </c>
      <c r="M978">
        <v>356.15</v>
      </c>
      <c r="N978">
        <v>60225.56</v>
      </c>
    </row>
    <row r="979" spans="1:14" x14ac:dyDescent="0.2">
      <c r="A979" s="1">
        <v>45555</v>
      </c>
      <c r="B979" s="2" t="s">
        <v>26</v>
      </c>
      <c r="C979" s="2" t="s">
        <v>21</v>
      </c>
      <c r="D979" s="2" t="s">
        <v>16</v>
      </c>
      <c r="E979">
        <v>22684</v>
      </c>
      <c r="F979">
        <v>1720</v>
      </c>
      <c r="G979">
        <v>264</v>
      </c>
      <c r="H979">
        <v>0</v>
      </c>
      <c r="I979">
        <v>32024.06</v>
      </c>
      <c r="J979">
        <v>7.58</v>
      </c>
      <c r="K979">
        <v>15.35</v>
      </c>
      <c r="L979">
        <v>0</v>
      </c>
      <c r="M979">
        <v>0</v>
      </c>
      <c r="N979">
        <v>32024.06</v>
      </c>
    </row>
    <row r="980" spans="1:14" x14ac:dyDescent="0.2">
      <c r="A980" s="1">
        <v>45555</v>
      </c>
      <c r="B980" s="2" t="s">
        <v>27</v>
      </c>
      <c r="C980" s="2" t="s">
        <v>35</v>
      </c>
      <c r="D980" s="2" t="s">
        <v>25</v>
      </c>
      <c r="E980">
        <v>26798</v>
      </c>
      <c r="F980">
        <v>338</v>
      </c>
      <c r="G980">
        <v>12</v>
      </c>
      <c r="H980">
        <v>808.46</v>
      </c>
      <c r="I980">
        <v>1333.48</v>
      </c>
      <c r="J980">
        <v>1.26</v>
      </c>
      <c r="K980">
        <v>3.55</v>
      </c>
      <c r="L980">
        <v>67.37</v>
      </c>
      <c r="M980">
        <v>1.65</v>
      </c>
      <c r="N980">
        <v>525.02</v>
      </c>
    </row>
    <row r="981" spans="1:14" x14ac:dyDescent="0.2">
      <c r="A981" s="1">
        <v>45555</v>
      </c>
      <c r="B981" s="2" t="s">
        <v>29</v>
      </c>
      <c r="C981" s="2" t="s">
        <v>35</v>
      </c>
      <c r="D981" s="2" t="s">
        <v>22</v>
      </c>
      <c r="E981">
        <v>18663</v>
      </c>
      <c r="F981">
        <v>391</v>
      </c>
      <c r="G981">
        <v>27</v>
      </c>
      <c r="H981">
        <v>1138.75</v>
      </c>
      <c r="I981">
        <v>2686.76</v>
      </c>
      <c r="J981">
        <v>2.1</v>
      </c>
      <c r="K981">
        <v>6.91</v>
      </c>
      <c r="L981">
        <v>42.18</v>
      </c>
      <c r="M981">
        <v>2.36</v>
      </c>
      <c r="N981">
        <v>1548.01</v>
      </c>
    </row>
    <row r="982" spans="1:14" x14ac:dyDescent="0.2">
      <c r="A982" s="1">
        <v>45555</v>
      </c>
      <c r="B982" s="2" t="s">
        <v>30</v>
      </c>
      <c r="C982" s="2" t="s">
        <v>15</v>
      </c>
      <c r="D982" s="2" t="s">
        <v>36</v>
      </c>
      <c r="E982">
        <v>10157</v>
      </c>
      <c r="F982">
        <v>270</v>
      </c>
      <c r="G982">
        <v>9</v>
      </c>
      <c r="H982">
        <v>545.45000000000005</v>
      </c>
      <c r="I982">
        <v>871.51</v>
      </c>
      <c r="J982">
        <v>2.66</v>
      </c>
      <c r="K982">
        <v>3.33</v>
      </c>
      <c r="L982">
        <v>60.61</v>
      </c>
      <c r="M982">
        <v>1.6</v>
      </c>
      <c r="N982">
        <v>326.06</v>
      </c>
    </row>
    <row r="983" spans="1:14" x14ac:dyDescent="0.2">
      <c r="A983" s="1">
        <v>45555</v>
      </c>
      <c r="B983" s="2" t="s">
        <v>31</v>
      </c>
      <c r="C983" s="2" t="s">
        <v>15</v>
      </c>
      <c r="D983" s="2" t="s">
        <v>36</v>
      </c>
      <c r="E983">
        <v>26761</v>
      </c>
      <c r="F983">
        <v>1098</v>
      </c>
      <c r="G983">
        <v>63</v>
      </c>
      <c r="H983">
        <v>1074.19</v>
      </c>
      <c r="I983">
        <v>4892.2299999999996</v>
      </c>
      <c r="J983">
        <v>4.0999999999999996</v>
      </c>
      <c r="K983">
        <v>5.74</v>
      </c>
      <c r="L983">
        <v>17.05</v>
      </c>
      <c r="M983">
        <v>4.55</v>
      </c>
      <c r="N983">
        <v>3818.04</v>
      </c>
    </row>
    <row r="984" spans="1:14" x14ac:dyDescent="0.2">
      <c r="A984" s="1">
        <v>45555</v>
      </c>
      <c r="B984" s="2" t="s">
        <v>33</v>
      </c>
      <c r="C984" s="2" t="s">
        <v>15</v>
      </c>
      <c r="D984" s="2" t="s">
        <v>22</v>
      </c>
      <c r="E984">
        <v>6327</v>
      </c>
      <c r="F984">
        <v>361</v>
      </c>
      <c r="G984">
        <v>42</v>
      </c>
      <c r="H984">
        <v>676.68</v>
      </c>
      <c r="I984">
        <v>5945.43</v>
      </c>
      <c r="J984">
        <v>5.71</v>
      </c>
      <c r="K984">
        <v>11.63</v>
      </c>
      <c r="L984">
        <v>16.11</v>
      </c>
      <c r="M984">
        <v>8.7899999999999991</v>
      </c>
      <c r="N984">
        <v>5268.75</v>
      </c>
    </row>
    <row r="985" spans="1:14" x14ac:dyDescent="0.2">
      <c r="A985" s="1">
        <v>45555</v>
      </c>
      <c r="B985" s="2" t="s">
        <v>34</v>
      </c>
      <c r="C985" s="2" t="s">
        <v>21</v>
      </c>
      <c r="D985" s="2" t="s">
        <v>16</v>
      </c>
      <c r="E985">
        <v>4405</v>
      </c>
      <c r="F985">
        <v>225</v>
      </c>
      <c r="G985">
        <v>39</v>
      </c>
      <c r="H985">
        <v>169.17</v>
      </c>
      <c r="I985">
        <v>7092.49</v>
      </c>
      <c r="J985">
        <v>5.1100000000000003</v>
      </c>
      <c r="K985">
        <v>17.329999999999998</v>
      </c>
      <c r="L985">
        <v>4.34</v>
      </c>
      <c r="M985">
        <v>41.93</v>
      </c>
      <c r="N985">
        <v>6923.32</v>
      </c>
    </row>
    <row r="986" spans="1:14" x14ac:dyDescent="0.2">
      <c r="A986" s="1">
        <v>45556</v>
      </c>
      <c r="B986" s="2" t="s">
        <v>14</v>
      </c>
      <c r="C986" s="2" t="s">
        <v>15</v>
      </c>
      <c r="D986" s="2" t="s">
        <v>36</v>
      </c>
      <c r="E986">
        <v>8808</v>
      </c>
      <c r="F986">
        <v>275</v>
      </c>
      <c r="G986">
        <v>30</v>
      </c>
      <c r="H986">
        <v>801.02</v>
      </c>
      <c r="I986">
        <v>4737.46</v>
      </c>
      <c r="J986">
        <v>3.12</v>
      </c>
      <c r="K986">
        <v>10.91</v>
      </c>
      <c r="L986">
        <v>26.7</v>
      </c>
      <c r="M986">
        <v>5.91</v>
      </c>
      <c r="N986">
        <v>3936.44</v>
      </c>
    </row>
    <row r="987" spans="1:14" x14ac:dyDescent="0.2">
      <c r="A987" s="1">
        <v>45556</v>
      </c>
      <c r="B987" s="2" t="s">
        <v>17</v>
      </c>
      <c r="C987" s="2" t="s">
        <v>18</v>
      </c>
      <c r="D987" s="2" t="s">
        <v>19</v>
      </c>
      <c r="E987">
        <v>13414</v>
      </c>
      <c r="F987">
        <v>359</v>
      </c>
      <c r="G987">
        <v>18</v>
      </c>
      <c r="H987">
        <v>619.87</v>
      </c>
      <c r="I987">
        <v>1854.08</v>
      </c>
      <c r="J987">
        <v>2.68</v>
      </c>
      <c r="K987">
        <v>5.01</v>
      </c>
      <c r="L987">
        <v>34.44</v>
      </c>
      <c r="M987">
        <v>2.99</v>
      </c>
      <c r="N987">
        <v>1234.21</v>
      </c>
    </row>
    <row r="988" spans="1:14" x14ac:dyDescent="0.2">
      <c r="A988" s="1">
        <v>45556</v>
      </c>
      <c r="B988" s="2" t="s">
        <v>20</v>
      </c>
      <c r="C988" s="2" t="s">
        <v>21</v>
      </c>
      <c r="D988" s="2" t="s">
        <v>16</v>
      </c>
      <c r="E988">
        <v>11072</v>
      </c>
      <c r="F988">
        <v>340</v>
      </c>
      <c r="G988">
        <v>16</v>
      </c>
      <c r="H988">
        <v>606.6</v>
      </c>
      <c r="I988">
        <v>1570.61</v>
      </c>
      <c r="J988">
        <v>3.07</v>
      </c>
      <c r="K988">
        <v>4.71</v>
      </c>
      <c r="L988">
        <v>37.909999999999997</v>
      </c>
      <c r="M988">
        <v>2.59</v>
      </c>
      <c r="N988">
        <v>964.01</v>
      </c>
    </row>
    <row r="989" spans="1:14" x14ac:dyDescent="0.2">
      <c r="A989" s="1">
        <v>45556</v>
      </c>
      <c r="B989" s="2" t="s">
        <v>23</v>
      </c>
      <c r="C989" s="2" t="s">
        <v>21</v>
      </c>
      <c r="D989" s="2" t="s">
        <v>16</v>
      </c>
      <c r="E989">
        <v>3961</v>
      </c>
      <c r="F989">
        <v>113</v>
      </c>
      <c r="G989">
        <v>11</v>
      </c>
      <c r="H989">
        <v>645.22</v>
      </c>
      <c r="I989">
        <v>3013.49</v>
      </c>
      <c r="J989">
        <v>2.85</v>
      </c>
      <c r="K989">
        <v>9.73</v>
      </c>
      <c r="L989">
        <v>58.66</v>
      </c>
      <c r="M989">
        <v>4.67</v>
      </c>
      <c r="N989">
        <v>2368.27</v>
      </c>
    </row>
    <row r="990" spans="1:14" x14ac:dyDescent="0.2">
      <c r="A990" s="1">
        <v>45556</v>
      </c>
      <c r="B990" s="2" t="s">
        <v>24</v>
      </c>
      <c r="C990" s="2" t="s">
        <v>35</v>
      </c>
      <c r="D990" s="2" t="s">
        <v>19</v>
      </c>
      <c r="E990">
        <v>10941</v>
      </c>
      <c r="F990">
        <v>2588</v>
      </c>
      <c r="G990">
        <v>241</v>
      </c>
      <c r="H990">
        <v>209.55</v>
      </c>
      <c r="I990">
        <v>27838.25</v>
      </c>
      <c r="J990">
        <v>23.65</v>
      </c>
      <c r="K990">
        <v>9.31</v>
      </c>
      <c r="L990">
        <v>0.87</v>
      </c>
      <c r="M990">
        <v>132.85</v>
      </c>
      <c r="N990">
        <v>27628.7</v>
      </c>
    </row>
    <row r="991" spans="1:14" x14ac:dyDescent="0.2">
      <c r="A991" s="1">
        <v>45556</v>
      </c>
      <c r="B991" s="2" t="s">
        <v>26</v>
      </c>
      <c r="C991" s="2" t="s">
        <v>32</v>
      </c>
      <c r="D991" s="2" t="s">
        <v>36</v>
      </c>
      <c r="E991">
        <v>19395</v>
      </c>
      <c r="F991">
        <v>1423</v>
      </c>
      <c r="G991">
        <v>212</v>
      </c>
      <c r="H991">
        <v>0</v>
      </c>
      <c r="I991">
        <v>27094.76</v>
      </c>
      <c r="J991">
        <v>7.34</v>
      </c>
      <c r="K991">
        <v>14.9</v>
      </c>
      <c r="L991">
        <v>0</v>
      </c>
      <c r="M991">
        <v>0</v>
      </c>
      <c r="N991">
        <v>27094.76</v>
      </c>
    </row>
    <row r="992" spans="1:14" x14ac:dyDescent="0.2">
      <c r="A992" s="1">
        <v>45556</v>
      </c>
      <c r="B992" s="2" t="s">
        <v>27</v>
      </c>
      <c r="C992" s="2" t="s">
        <v>32</v>
      </c>
      <c r="D992" s="2" t="s">
        <v>36</v>
      </c>
      <c r="E992">
        <v>25998</v>
      </c>
      <c r="F992">
        <v>450</v>
      </c>
      <c r="G992">
        <v>18</v>
      </c>
      <c r="H992">
        <v>528.1</v>
      </c>
      <c r="I992">
        <v>1958.08</v>
      </c>
      <c r="J992">
        <v>1.73</v>
      </c>
      <c r="K992">
        <v>4</v>
      </c>
      <c r="L992">
        <v>29.34</v>
      </c>
      <c r="M992">
        <v>3.71</v>
      </c>
      <c r="N992">
        <v>1429.98</v>
      </c>
    </row>
    <row r="993" spans="1:14" x14ac:dyDescent="0.2">
      <c r="A993" s="1">
        <v>45556</v>
      </c>
      <c r="B993" s="2" t="s">
        <v>29</v>
      </c>
      <c r="C993" s="2" t="s">
        <v>35</v>
      </c>
      <c r="D993" s="2" t="s">
        <v>16</v>
      </c>
      <c r="E993">
        <v>12886</v>
      </c>
      <c r="F993">
        <v>313</v>
      </c>
      <c r="G993">
        <v>14</v>
      </c>
      <c r="H993">
        <v>946.17</v>
      </c>
      <c r="I993">
        <v>1723.34</v>
      </c>
      <c r="J993">
        <v>2.4300000000000002</v>
      </c>
      <c r="K993">
        <v>4.47</v>
      </c>
      <c r="L993">
        <v>67.58</v>
      </c>
      <c r="M993">
        <v>1.82</v>
      </c>
      <c r="N993">
        <v>777.17</v>
      </c>
    </row>
    <row r="994" spans="1:14" x14ac:dyDescent="0.2">
      <c r="A994" s="1">
        <v>45556</v>
      </c>
      <c r="B994" s="2" t="s">
        <v>30</v>
      </c>
      <c r="C994" s="2" t="s">
        <v>15</v>
      </c>
      <c r="D994" s="2" t="s">
        <v>22</v>
      </c>
      <c r="E994">
        <v>6494</v>
      </c>
      <c r="F994">
        <v>186</v>
      </c>
      <c r="G994">
        <v>7</v>
      </c>
      <c r="H994">
        <v>353.45</v>
      </c>
      <c r="I994">
        <v>612.63</v>
      </c>
      <c r="J994">
        <v>2.86</v>
      </c>
      <c r="K994">
        <v>3.76</v>
      </c>
      <c r="L994">
        <v>50.49</v>
      </c>
      <c r="M994">
        <v>1.73</v>
      </c>
      <c r="N994">
        <v>259.18</v>
      </c>
    </row>
    <row r="995" spans="1:14" x14ac:dyDescent="0.2">
      <c r="A995" s="1">
        <v>45556</v>
      </c>
      <c r="B995" s="2" t="s">
        <v>31</v>
      </c>
      <c r="C995" s="2" t="s">
        <v>35</v>
      </c>
      <c r="D995" s="2" t="s">
        <v>19</v>
      </c>
      <c r="E995">
        <v>17551</v>
      </c>
      <c r="F995">
        <v>728</v>
      </c>
      <c r="G995">
        <v>29</v>
      </c>
      <c r="H995">
        <v>447.01</v>
      </c>
      <c r="I995">
        <v>2940.79</v>
      </c>
      <c r="J995">
        <v>4.1500000000000004</v>
      </c>
      <c r="K995">
        <v>3.98</v>
      </c>
      <c r="L995">
        <v>15.41</v>
      </c>
      <c r="M995">
        <v>6.58</v>
      </c>
      <c r="N995">
        <v>2493.7800000000002</v>
      </c>
    </row>
    <row r="996" spans="1:14" x14ac:dyDescent="0.2">
      <c r="A996" s="1">
        <v>45556</v>
      </c>
      <c r="B996" s="2" t="s">
        <v>33</v>
      </c>
      <c r="C996" s="2" t="s">
        <v>18</v>
      </c>
      <c r="D996" s="2" t="s">
        <v>19</v>
      </c>
      <c r="E996">
        <v>4025</v>
      </c>
      <c r="F996">
        <v>217</v>
      </c>
      <c r="G996">
        <v>23</v>
      </c>
      <c r="H996">
        <v>468.74</v>
      </c>
      <c r="I996">
        <v>3261.76</v>
      </c>
      <c r="J996">
        <v>5.39</v>
      </c>
      <c r="K996">
        <v>10.6</v>
      </c>
      <c r="L996">
        <v>20.38</v>
      </c>
      <c r="M996">
        <v>6.96</v>
      </c>
      <c r="N996">
        <v>2793.02</v>
      </c>
    </row>
    <row r="997" spans="1:14" x14ac:dyDescent="0.2">
      <c r="A997" s="1">
        <v>45556</v>
      </c>
      <c r="B997" s="2" t="s">
        <v>34</v>
      </c>
      <c r="C997" s="2" t="s">
        <v>35</v>
      </c>
      <c r="D997" s="2" t="s">
        <v>16</v>
      </c>
      <c r="E997">
        <v>4494</v>
      </c>
      <c r="F997">
        <v>233</v>
      </c>
      <c r="G997">
        <v>36</v>
      </c>
      <c r="H997">
        <v>77.34</v>
      </c>
      <c r="I997">
        <v>4868</v>
      </c>
      <c r="J997">
        <v>5.18</v>
      </c>
      <c r="K997">
        <v>15.45</v>
      </c>
      <c r="L997">
        <v>2.15</v>
      </c>
      <c r="M997">
        <v>62.94</v>
      </c>
      <c r="N997">
        <v>4790.66</v>
      </c>
    </row>
    <row r="998" spans="1:14" x14ac:dyDescent="0.2">
      <c r="A998" s="1">
        <v>45557</v>
      </c>
      <c r="B998" s="2" t="s">
        <v>14</v>
      </c>
      <c r="C998" s="2" t="s">
        <v>35</v>
      </c>
      <c r="D998" s="2" t="s">
        <v>36</v>
      </c>
      <c r="E998">
        <v>7389</v>
      </c>
      <c r="F998">
        <v>317</v>
      </c>
      <c r="G998">
        <v>27</v>
      </c>
      <c r="H998">
        <v>570.16</v>
      </c>
      <c r="I998">
        <v>3697.9</v>
      </c>
      <c r="J998">
        <v>4.29</v>
      </c>
      <c r="K998">
        <v>8.52</v>
      </c>
      <c r="L998">
        <v>21.12</v>
      </c>
      <c r="M998">
        <v>6.49</v>
      </c>
      <c r="N998">
        <v>3127.74</v>
      </c>
    </row>
    <row r="999" spans="1:14" x14ac:dyDescent="0.2">
      <c r="A999" s="1">
        <v>45557</v>
      </c>
      <c r="B999" s="2" t="s">
        <v>17</v>
      </c>
      <c r="C999" s="2" t="s">
        <v>28</v>
      </c>
      <c r="D999" s="2" t="s">
        <v>36</v>
      </c>
      <c r="E999">
        <v>8964</v>
      </c>
      <c r="F999">
        <v>184</v>
      </c>
      <c r="G999">
        <v>9</v>
      </c>
      <c r="H999">
        <v>829.91</v>
      </c>
      <c r="I999">
        <v>995.66</v>
      </c>
      <c r="J999">
        <v>2.0499999999999998</v>
      </c>
      <c r="K999">
        <v>4.8899999999999997</v>
      </c>
      <c r="L999">
        <v>92.21</v>
      </c>
      <c r="M999">
        <v>1.2</v>
      </c>
      <c r="N999">
        <v>165.75</v>
      </c>
    </row>
    <row r="1000" spans="1:14" x14ac:dyDescent="0.2">
      <c r="A1000" s="1">
        <v>45557</v>
      </c>
      <c r="B1000" s="2" t="s">
        <v>20</v>
      </c>
      <c r="C1000" s="2" t="s">
        <v>28</v>
      </c>
      <c r="D1000" s="2" t="s">
        <v>19</v>
      </c>
      <c r="E1000">
        <v>7366</v>
      </c>
      <c r="F1000">
        <v>207</v>
      </c>
      <c r="G1000">
        <v>8</v>
      </c>
      <c r="H1000">
        <v>604.35</v>
      </c>
      <c r="I1000">
        <v>679.4</v>
      </c>
      <c r="J1000">
        <v>2.81</v>
      </c>
      <c r="K1000">
        <v>3.86</v>
      </c>
      <c r="L1000">
        <v>75.540000000000006</v>
      </c>
      <c r="M1000">
        <v>1.1200000000000001</v>
      </c>
      <c r="N1000">
        <v>75.05</v>
      </c>
    </row>
    <row r="1001" spans="1:14" x14ac:dyDescent="0.2">
      <c r="A1001" s="1">
        <v>45557</v>
      </c>
      <c r="B1001" s="2" t="s">
        <v>23</v>
      </c>
      <c r="C1001" s="2" t="s">
        <v>21</v>
      </c>
      <c r="D1001" s="2" t="s">
        <v>36</v>
      </c>
      <c r="E1001">
        <v>2730</v>
      </c>
      <c r="F1001">
        <v>73</v>
      </c>
      <c r="G1001">
        <v>8</v>
      </c>
      <c r="H1001">
        <v>1107.5</v>
      </c>
      <c r="I1001">
        <v>2107.88</v>
      </c>
      <c r="J1001">
        <v>2.67</v>
      </c>
      <c r="K1001">
        <v>10.96</v>
      </c>
      <c r="L1001">
        <v>138.44</v>
      </c>
      <c r="M1001">
        <v>1.9</v>
      </c>
      <c r="N1001">
        <v>1000.38</v>
      </c>
    </row>
    <row r="1002" spans="1:14" x14ac:dyDescent="0.2">
      <c r="A1002" s="1">
        <v>45557</v>
      </c>
      <c r="B1002" s="2" t="s">
        <v>24</v>
      </c>
      <c r="C1002" s="2" t="s">
        <v>15</v>
      </c>
      <c r="D1002" s="2" t="s">
        <v>36</v>
      </c>
      <c r="E1002">
        <v>13211</v>
      </c>
      <c r="F1002">
        <v>2535</v>
      </c>
      <c r="G1002">
        <v>304</v>
      </c>
      <c r="H1002">
        <v>110</v>
      </c>
      <c r="I1002">
        <v>43991.7</v>
      </c>
      <c r="J1002">
        <v>19.190000000000001</v>
      </c>
      <c r="K1002">
        <v>11.99</v>
      </c>
      <c r="L1002">
        <v>0.36</v>
      </c>
      <c r="M1002">
        <v>399.92</v>
      </c>
      <c r="N1002">
        <v>43881.7</v>
      </c>
    </row>
    <row r="1003" spans="1:14" x14ac:dyDescent="0.2">
      <c r="A1003" s="1">
        <v>45557</v>
      </c>
      <c r="B1003" s="2" t="s">
        <v>26</v>
      </c>
      <c r="C1003" s="2" t="s">
        <v>35</v>
      </c>
      <c r="D1003" s="2" t="s">
        <v>25</v>
      </c>
      <c r="E1003">
        <v>17031</v>
      </c>
      <c r="F1003">
        <v>1136</v>
      </c>
      <c r="G1003">
        <v>158</v>
      </c>
      <c r="H1003">
        <v>0</v>
      </c>
      <c r="I1003">
        <v>16308.7</v>
      </c>
      <c r="J1003">
        <v>6.67</v>
      </c>
      <c r="K1003">
        <v>13.91</v>
      </c>
      <c r="L1003">
        <v>0</v>
      </c>
      <c r="M1003">
        <v>0</v>
      </c>
      <c r="N1003">
        <v>16308.7</v>
      </c>
    </row>
    <row r="1004" spans="1:14" x14ac:dyDescent="0.2">
      <c r="A1004" s="1">
        <v>45557</v>
      </c>
      <c r="B1004" s="2" t="s">
        <v>27</v>
      </c>
      <c r="C1004" s="2" t="s">
        <v>35</v>
      </c>
      <c r="D1004" s="2" t="s">
        <v>16</v>
      </c>
      <c r="E1004">
        <v>23422</v>
      </c>
      <c r="F1004">
        <v>339</v>
      </c>
      <c r="G1004">
        <v>7</v>
      </c>
      <c r="H1004">
        <v>506.19</v>
      </c>
      <c r="I1004">
        <v>707.27</v>
      </c>
      <c r="J1004">
        <v>1.45</v>
      </c>
      <c r="K1004">
        <v>2.06</v>
      </c>
      <c r="L1004">
        <v>72.31</v>
      </c>
      <c r="M1004">
        <v>1.4</v>
      </c>
      <c r="N1004">
        <v>201.08</v>
      </c>
    </row>
    <row r="1005" spans="1:14" x14ac:dyDescent="0.2">
      <c r="A1005" s="1">
        <v>45557</v>
      </c>
      <c r="B1005" s="2" t="s">
        <v>29</v>
      </c>
      <c r="C1005" s="2" t="s">
        <v>15</v>
      </c>
      <c r="D1005" s="2" t="s">
        <v>36</v>
      </c>
      <c r="E1005">
        <v>14411</v>
      </c>
      <c r="F1005">
        <v>425</v>
      </c>
      <c r="G1005">
        <v>28</v>
      </c>
      <c r="H1005">
        <v>961.82</v>
      </c>
      <c r="I1005">
        <v>3312.93</v>
      </c>
      <c r="J1005">
        <v>2.95</v>
      </c>
      <c r="K1005">
        <v>6.59</v>
      </c>
      <c r="L1005">
        <v>34.35</v>
      </c>
      <c r="M1005">
        <v>3.44</v>
      </c>
      <c r="N1005">
        <v>2351.11</v>
      </c>
    </row>
    <row r="1006" spans="1:14" x14ac:dyDescent="0.2">
      <c r="A1006" s="1">
        <v>45557</v>
      </c>
      <c r="B1006" s="2" t="s">
        <v>30</v>
      </c>
      <c r="C1006" s="2" t="s">
        <v>18</v>
      </c>
      <c r="D1006" s="2" t="s">
        <v>36</v>
      </c>
      <c r="E1006">
        <v>8119</v>
      </c>
      <c r="F1006">
        <v>172</v>
      </c>
      <c r="G1006">
        <v>7</v>
      </c>
      <c r="H1006">
        <v>468.45</v>
      </c>
      <c r="I1006">
        <v>783.88</v>
      </c>
      <c r="J1006">
        <v>2.12</v>
      </c>
      <c r="K1006">
        <v>4.07</v>
      </c>
      <c r="L1006">
        <v>66.92</v>
      </c>
      <c r="M1006">
        <v>1.67</v>
      </c>
      <c r="N1006">
        <v>315.43</v>
      </c>
    </row>
    <row r="1007" spans="1:14" x14ac:dyDescent="0.2">
      <c r="A1007" s="1">
        <v>45557</v>
      </c>
      <c r="B1007" s="2" t="s">
        <v>31</v>
      </c>
      <c r="C1007" s="2" t="s">
        <v>32</v>
      </c>
      <c r="D1007" s="2" t="s">
        <v>22</v>
      </c>
      <c r="E1007">
        <v>20545</v>
      </c>
      <c r="F1007">
        <v>737</v>
      </c>
      <c r="G1007">
        <v>34</v>
      </c>
      <c r="H1007">
        <v>678.37</v>
      </c>
      <c r="I1007">
        <v>3422.42</v>
      </c>
      <c r="J1007">
        <v>3.59</v>
      </c>
      <c r="K1007">
        <v>4.6100000000000003</v>
      </c>
      <c r="L1007">
        <v>19.95</v>
      </c>
      <c r="M1007">
        <v>5.05</v>
      </c>
      <c r="N1007">
        <v>2744.05</v>
      </c>
    </row>
    <row r="1008" spans="1:14" x14ac:dyDescent="0.2">
      <c r="A1008" s="1">
        <v>45557</v>
      </c>
      <c r="B1008" s="2" t="s">
        <v>33</v>
      </c>
      <c r="C1008" s="2" t="s">
        <v>32</v>
      </c>
      <c r="D1008" s="2" t="s">
        <v>19</v>
      </c>
      <c r="E1008">
        <v>5639</v>
      </c>
      <c r="F1008">
        <v>252</v>
      </c>
      <c r="G1008">
        <v>27</v>
      </c>
      <c r="H1008">
        <v>425.48</v>
      </c>
      <c r="I1008">
        <v>3111.41</v>
      </c>
      <c r="J1008">
        <v>4.47</v>
      </c>
      <c r="K1008">
        <v>10.71</v>
      </c>
      <c r="L1008">
        <v>15.76</v>
      </c>
      <c r="M1008">
        <v>7.31</v>
      </c>
      <c r="N1008">
        <v>2685.93</v>
      </c>
    </row>
    <row r="1009" spans="1:14" x14ac:dyDescent="0.2">
      <c r="A1009" s="1">
        <v>45557</v>
      </c>
      <c r="B1009" s="2" t="s">
        <v>34</v>
      </c>
      <c r="C1009" s="2" t="s">
        <v>35</v>
      </c>
      <c r="D1009" s="2" t="s">
        <v>16</v>
      </c>
      <c r="E1009">
        <v>3640</v>
      </c>
      <c r="F1009">
        <v>294</v>
      </c>
      <c r="G1009">
        <v>52</v>
      </c>
      <c r="H1009">
        <v>60.79</v>
      </c>
      <c r="I1009">
        <v>9136.91</v>
      </c>
      <c r="J1009">
        <v>8.08</v>
      </c>
      <c r="K1009">
        <v>17.690000000000001</v>
      </c>
      <c r="L1009">
        <v>1.17</v>
      </c>
      <c r="M1009">
        <v>150.30000000000001</v>
      </c>
      <c r="N1009">
        <v>9076.1200000000008</v>
      </c>
    </row>
    <row r="1010" spans="1:14" x14ac:dyDescent="0.2">
      <c r="A1010" s="1">
        <v>45558</v>
      </c>
      <c r="B1010" s="2" t="s">
        <v>14</v>
      </c>
      <c r="C1010" s="2" t="s">
        <v>18</v>
      </c>
      <c r="D1010" s="2" t="s">
        <v>19</v>
      </c>
      <c r="E1010">
        <v>8029</v>
      </c>
      <c r="F1010">
        <v>283</v>
      </c>
      <c r="G1010">
        <v>23</v>
      </c>
      <c r="H1010">
        <v>1312.95</v>
      </c>
      <c r="I1010">
        <v>3606.03</v>
      </c>
      <c r="J1010">
        <v>3.52</v>
      </c>
      <c r="K1010">
        <v>8.1300000000000008</v>
      </c>
      <c r="L1010">
        <v>57.08</v>
      </c>
      <c r="M1010">
        <v>2.75</v>
      </c>
      <c r="N1010">
        <v>2293.08</v>
      </c>
    </row>
    <row r="1011" spans="1:14" x14ac:dyDescent="0.2">
      <c r="A1011" s="1">
        <v>45558</v>
      </c>
      <c r="B1011" s="2" t="s">
        <v>17</v>
      </c>
      <c r="C1011" s="2" t="s">
        <v>15</v>
      </c>
      <c r="D1011" s="2" t="s">
        <v>19</v>
      </c>
      <c r="E1011">
        <v>13750</v>
      </c>
      <c r="F1011">
        <v>298</v>
      </c>
      <c r="G1011">
        <v>24</v>
      </c>
      <c r="H1011">
        <v>1128.48</v>
      </c>
      <c r="I1011">
        <v>2216.29</v>
      </c>
      <c r="J1011">
        <v>2.17</v>
      </c>
      <c r="K1011">
        <v>8.0500000000000007</v>
      </c>
      <c r="L1011">
        <v>47.02</v>
      </c>
      <c r="M1011">
        <v>1.96</v>
      </c>
      <c r="N1011">
        <v>1087.81</v>
      </c>
    </row>
    <row r="1012" spans="1:14" x14ac:dyDescent="0.2">
      <c r="A1012" s="1">
        <v>45558</v>
      </c>
      <c r="B1012" s="2" t="s">
        <v>20</v>
      </c>
      <c r="C1012" s="2" t="s">
        <v>35</v>
      </c>
      <c r="D1012" s="2" t="s">
        <v>36</v>
      </c>
      <c r="E1012">
        <v>17318</v>
      </c>
      <c r="F1012">
        <v>522</v>
      </c>
      <c r="G1012">
        <v>37</v>
      </c>
      <c r="H1012">
        <v>527.83000000000004</v>
      </c>
      <c r="I1012">
        <v>3334.26</v>
      </c>
      <c r="J1012">
        <v>3.01</v>
      </c>
      <c r="K1012">
        <v>7.09</v>
      </c>
      <c r="L1012">
        <v>14.27</v>
      </c>
      <c r="M1012">
        <v>6.32</v>
      </c>
      <c r="N1012">
        <v>2806.43</v>
      </c>
    </row>
    <row r="1013" spans="1:14" x14ac:dyDescent="0.2">
      <c r="A1013" s="1">
        <v>45558</v>
      </c>
      <c r="B1013" s="2" t="s">
        <v>23</v>
      </c>
      <c r="C1013" s="2" t="s">
        <v>32</v>
      </c>
      <c r="D1013" s="2" t="s">
        <v>36</v>
      </c>
      <c r="E1013">
        <v>3772</v>
      </c>
      <c r="F1013">
        <v>107</v>
      </c>
      <c r="G1013">
        <v>13</v>
      </c>
      <c r="H1013">
        <v>1141.26</v>
      </c>
      <c r="I1013">
        <v>3854.23</v>
      </c>
      <c r="J1013">
        <v>2.84</v>
      </c>
      <c r="K1013">
        <v>12.15</v>
      </c>
      <c r="L1013">
        <v>87.79</v>
      </c>
      <c r="M1013">
        <v>3.38</v>
      </c>
      <c r="N1013">
        <v>2712.97</v>
      </c>
    </row>
    <row r="1014" spans="1:14" x14ac:dyDescent="0.2">
      <c r="A1014" s="1">
        <v>45558</v>
      </c>
      <c r="B1014" s="2" t="s">
        <v>24</v>
      </c>
      <c r="C1014" s="2" t="s">
        <v>21</v>
      </c>
      <c r="D1014" s="2" t="s">
        <v>36</v>
      </c>
      <c r="E1014">
        <v>21676</v>
      </c>
      <c r="F1014">
        <v>4658</v>
      </c>
      <c r="G1014">
        <v>544</v>
      </c>
      <c r="H1014">
        <v>277.22000000000003</v>
      </c>
      <c r="I1014">
        <v>71637.03</v>
      </c>
      <c r="J1014">
        <v>21.49</v>
      </c>
      <c r="K1014">
        <v>11.68</v>
      </c>
      <c r="L1014">
        <v>0.51</v>
      </c>
      <c r="M1014">
        <v>258.41000000000003</v>
      </c>
      <c r="N1014">
        <v>71359.81</v>
      </c>
    </row>
    <row r="1015" spans="1:14" x14ac:dyDescent="0.2">
      <c r="A1015" s="1">
        <v>45558</v>
      </c>
      <c r="B1015" s="2" t="s">
        <v>26</v>
      </c>
      <c r="C1015" s="2" t="s">
        <v>35</v>
      </c>
      <c r="D1015" s="2" t="s">
        <v>36</v>
      </c>
      <c r="E1015">
        <v>32984</v>
      </c>
      <c r="F1015">
        <v>2051</v>
      </c>
      <c r="G1015">
        <v>270</v>
      </c>
      <c r="H1015">
        <v>0</v>
      </c>
      <c r="I1015">
        <v>25449.93</v>
      </c>
      <c r="J1015">
        <v>6.22</v>
      </c>
      <c r="K1015">
        <v>13.16</v>
      </c>
      <c r="L1015">
        <v>0</v>
      </c>
      <c r="M1015">
        <v>0</v>
      </c>
      <c r="N1015">
        <v>25449.93</v>
      </c>
    </row>
    <row r="1016" spans="1:14" x14ac:dyDescent="0.2">
      <c r="A1016" s="1">
        <v>45558</v>
      </c>
      <c r="B1016" s="2" t="s">
        <v>27</v>
      </c>
      <c r="C1016" s="2" t="s">
        <v>18</v>
      </c>
      <c r="D1016" s="2" t="s">
        <v>19</v>
      </c>
      <c r="E1016">
        <v>29482</v>
      </c>
      <c r="F1016">
        <v>390</v>
      </c>
      <c r="G1016">
        <v>13</v>
      </c>
      <c r="H1016">
        <v>1207.05</v>
      </c>
      <c r="I1016">
        <v>1568.71</v>
      </c>
      <c r="J1016">
        <v>1.32</v>
      </c>
      <c r="K1016">
        <v>3.33</v>
      </c>
      <c r="L1016">
        <v>92.85</v>
      </c>
      <c r="M1016">
        <v>1.3</v>
      </c>
      <c r="N1016">
        <v>361.66</v>
      </c>
    </row>
    <row r="1017" spans="1:14" x14ac:dyDescent="0.2">
      <c r="A1017" s="1">
        <v>45558</v>
      </c>
      <c r="B1017" s="2" t="s">
        <v>29</v>
      </c>
      <c r="C1017" s="2" t="s">
        <v>32</v>
      </c>
      <c r="D1017" s="2" t="s">
        <v>36</v>
      </c>
      <c r="E1017">
        <v>24189</v>
      </c>
      <c r="F1017">
        <v>600</v>
      </c>
      <c r="G1017">
        <v>38</v>
      </c>
      <c r="H1017">
        <v>835.34</v>
      </c>
      <c r="I1017">
        <v>3760.74</v>
      </c>
      <c r="J1017">
        <v>2.48</v>
      </c>
      <c r="K1017">
        <v>6.33</v>
      </c>
      <c r="L1017">
        <v>21.98</v>
      </c>
      <c r="M1017">
        <v>4.5</v>
      </c>
      <c r="N1017">
        <v>2925.4</v>
      </c>
    </row>
    <row r="1018" spans="1:14" x14ac:dyDescent="0.2">
      <c r="A1018" s="1">
        <v>45558</v>
      </c>
      <c r="B1018" s="2" t="s">
        <v>30</v>
      </c>
      <c r="C1018" s="2" t="s">
        <v>35</v>
      </c>
      <c r="D1018" s="2" t="s">
        <v>16</v>
      </c>
      <c r="E1018">
        <v>10264</v>
      </c>
      <c r="F1018">
        <v>315</v>
      </c>
      <c r="G1018">
        <v>15</v>
      </c>
      <c r="H1018">
        <v>503.55</v>
      </c>
      <c r="I1018">
        <v>1684.83</v>
      </c>
      <c r="J1018">
        <v>3.07</v>
      </c>
      <c r="K1018">
        <v>4.76</v>
      </c>
      <c r="L1018">
        <v>33.57</v>
      </c>
      <c r="M1018">
        <v>3.35</v>
      </c>
      <c r="N1018">
        <v>1181.28</v>
      </c>
    </row>
    <row r="1019" spans="1:14" x14ac:dyDescent="0.2">
      <c r="A1019" s="1">
        <v>45558</v>
      </c>
      <c r="B1019" s="2" t="s">
        <v>31</v>
      </c>
      <c r="C1019" s="2" t="s">
        <v>18</v>
      </c>
      <c r="D1019" s="2" t="s">
        <v>36</v>
      </c>
      <c r="E1019">
        <v>25698</v>
      </c>
      <c r="F1019">
        <v>1112</v>
      </c>
      <c r="G1019">
        <v>70</v>
      </c>
      <c r="H1019">
        <v>1056.49</v>
      </c>
      <c r="I1019">
        <v>6525.42</v>
      </c>
      <c r="J1019">
        <v>4.33</v>
      </c>
      <c r="K1019">
        <v>6.29</v>
      </c>
      <c r="L1019">
        <v>15.09</v>
      </c>
      <c r="M1019">
        <v>6.18</v>
      </c>
      <c r="N1019">
        <v>5468.93</v>
      </c>
    </row>
    <row r="1020" spans="1:14" x14ac:dyDescent="0.2">
      <c r="A1020" s="1">
        <v>45558</v>
      </c>
      <c r="B1020" s="2" t="s">
        <v>33</v>
      </c>
      <c r="C1020" s="2" t="s">
        <v>35</v>
      </c>
      <c r="D1020" s="2" t="s">
        <v>25</v>
      </c>
      <c r="E1020">
        <v>6229</v>
      </c>
      <c r="F1020">
        <v>279</v>
      </c>
      <c r="G1020">
        <v>33</v>
      </c>
      <c r="H1020">
        <v>452.42</v>
      </c>
      <c r="I1020">
        <v>4277.51</v>
      </c>
      <c r="J1020">
        <v>4.4800000000000004</v>
      </c>
      <c r="K1020">
        <v>11.83</v>
      </c>
      <c r="L1020">
        <v>13.71</v>
      </c>
      <c r="M1020">
        <v>9.4499999999999993</v>
      </c>
      <c r="N1020">
        <v>3825.09</v>
      </c>
    </row>
    <row r="1021" spans="1:14" x14ac:dyDescent="0.2">
      <c r="A1021" s="1">
        <v>45558</v>
      </c>
      <c r="B1021" s="2" t="s">
        <v>34</v>
      </c>
      <c r="C1021" s="2" t="s">
        <v>15</v>
      </c>
      <c r="D1021" s="2" t="s">
        <v>22</v>
      </c>
      <c r="E1021">
        <v>4143</v>
      </c>
      <c r="F1021">
        <v>364</v>
      </c>
      <c r="G1021">
        <v>57</v>
      </c>
      <c r="H1021">
        <v>57.11</v>
      </c>
      <c r="I1021">
        <v>9185.23</v>
      </c>
      <c r="J1021">
        <v>8.7899999999999991</v>
      </c>
      <c r="K1021">
        <v>15.66</v>
      </c>
      <c r="L1021">
        <v>1</v>
      </c>
      <c r="M1021">
        <v>160.83000000000001</v>
      </c>
      <c r="N1021">
        <v>9128.1200000000008</v>
      </c>
    </row>
    <row r="1022" spans="1:14" x14ac:dyDescent="0.2">
      <c r="A1022" s="1">
        <v>45559</v>
      </c>
      <c r="B1022" s="2" t="s">
        <v>14</v>
      </c>
      <c r="C1022" s="2" t="s">
        <v>18</v>
      </c>
      <c r="D1022" s="2" t="s">
        <v>22</v>
      </c>
      <c r="E1022">
        <v>9593</v>
      </c>
      <c r="F1022">
        <v>311</v>
      </c>
      <c r="G1022">
        <v>25</v>
      </c>
      <c r="H1022">
        <v>918.14</v>
      </c>
      <c r="I1022">
        <v>3690.17</v>
      </c>
      <c r="J1022">
        <v>3.24</v>
      </c>
      <c r="K1022">
        <v>8.0399999999999991</v>
      </c>
      <c r="L1022">
        <v>36.729999999999997</v>
      </c>
      <c r="M1022">
        <v>4.0199999999999996</v>
      </c>
      <c r="N1022">
        <v>2772.03</v>
      </c>
    </row>
    <row r="1023" spans="1:14" x14ac:dyDescent="0.2">
      <c r="A1023" s="1">
        <v>45559</v>
      </c>
      <c r="B1023" s="2" t="s">
        <v>17</v>
      </c>
      <c r="C1023" s="2" t="s">
        <v>32</v>
      </c>
      <c r="D1023" s="2" t="s">
        <v>36</v>
      </c>
      <c r="E1023">
        <v>12785</v>
      </c>
      <c r="F1023">
        <v>478</v>
      </c>
      <c r="G1023">
        <v>29</v>
      </c>
      <c r="H1023">
        <v>963.9</v>
      </c>
      <c r="I1023">
        <v>3466.87</v>
      </c>
      <c r="J1023">
        <v>3.74</v>
      </c>
      <c r="K1023">
        <v>6.07</v>
      </c>
      <c r="L1023">
        <v>33.24</v>
      </c>
      <c r="M1023">
        <v>3.6</v>
      </c>
      <c r="N1023">
        <v>2502.9699999999998</v>
      </c>
    </row>
    <row r="1024" spans="1:14" x14ac:dyDescent="0.2">
      <c r="A1024" s="1">
        <v>45559</v>
      </c>
      <c r="B1024" s="2" t="s">
        <v>20</v>
      </c>
      <c r="C1024" s="2" t="s">
        <v>18</v>
      </c>
      <c r="D1024" s="2" t="s">
        <v>22</v>
      </c>
      <c r="E1024">
        <v>14017</v>
      </c>
      <c r="F1024">
        <v>491</v>
      </c>
      <c r="G1024">
        <v>35</v>
      </c>
      <c r="H1024">
        <v>812.56</v>
      </c>
      <c r="I1024">
        <v>3542.3</v>
      </c>
      <c r="J1024">
        <v>3.5</v>
      </c>
      <c r="K1024">
        <v>7.13</v>
      </c>
      <c r="L1024">
        <v>23.22</v>
      </c>
      <c r="M1024">
        <v>4.3600000000000003</v>
      </c>
      <c r="N1024">
        <v>2729.74</v>
      </c>
    </row>
    <row r="1025" spans="1:14" x14ac:dyDescent="0.2">
      <c r="A1025" s="1">
        <v>45559</v>
      </c>
      <c r="B1025" s="2" t="s">
        <v>23</v>
      </c>
      <c r="C1025" s="2" t="s">
        <v>18</v>
      </c>
      <c r="D1025" s="2" t="s">
        <v>22</v>
      </c>
      <c r="E1025">
        <v>5510</v>
      </c>
      <c r="F1025">
        <v>123</v>
      </c>
      <c r="G1025">
        <v>13</v>
      </c>
      <c r="H1025">
        <v>1305.51</v>
      </c>
      <c r="I1025">
        <v>2542.21</v>
      </c>
      <c r="J1025">
        <v>2.23</v>
      </c>
      <c r="K1025">
        <v>10.57</v>
      </c>
      <c r="L1025">
        <v>100.42</v>
      </c>
      <c r="M1025">
        <v>1.95</v>
      </c>
      <c r="N1025">
        <v>1236.7</v>
      </c>
    </row>
    <row r="1026" spans="1:14" x14ac:dyDescent="0.2">
      <c r="A1026" s="1">
        <v>45559</v>
      </c>
      <c r="B1026" s="2" t="s">
        <v>24</v>
      </c>
      <c r="C1026" s="2" t="s">
        <v>15</v>
      </c>
      <c r="D1026" s="2" t="s">
        <v>19</v>
      </c>
      <c r="E1026">
        <v>18984</v>
      </c>
      <c r="F1026">
        <v>3973</v>
      </c>
      <c r="G1026">
        <v>504</v>
      </c>
      <c r="H1026">
        <v>145.12</v>
      </c>
      <c r="I1026">
        <v>82335.98</v>
      </c>
      <c r="J1026">
        <v>20.93</v>
      </c>
      <c r="K1026">
        <v>12.69</v>
      </c>
      <c r="L1026">
        <v>0.28999999999999998</v>
      </c>
      <c r="M1026">
        <v>567.36</v>
      </c>
      <c r="N1026">
        <v>82190.86</v>
      </c>
    </row>
    <row r="1027" spans="1:14" x14ac:dyDescent="0.2">
      <c r="A1027" s="1">
        <v>45559</v>
      </c>
      <c r="B1027" s="2" t="s">
        <v>26</v>
      </c>
      <c r="C1027" s="2" t="s">
        <v>35</v>
      </c>
      <c r="D1027" s="2" t="s">
        <v>36</v>
      </c>
      <c r="E1027">
        <v>25655</v>
      </c>
      <c r="F1027">
        <v>1285</v>
      </c>
      <c r="G1027">
        <v>181</v>
      </c>
      <c r="H1027">
        <v>0</v>
      </c>
      <c r="I1027">
        <v>20801.150000000001</v>
      </c>
      <c r="J1027">
        <v>5.01</v>
      </c>
      <c r="K1027">
        <v>14.09</v>
      </c>
      <c r="L1027">
        <v>0</v>
      </c>
      <c r="M1027">
        <v>0</v>
      </c>
      <c r="N1027">
        <v>20801.150000000001</v>
      </c>
    </row>
    <row r="1028" spans="1:14" x14ac:dyDescent="0.2">
      <c r="A1028" s="1">
        <v>45559</v>
      </c>
      <c r="B1028" s="2" t="s">
        <v>27</v>
      </c>
      <c r="C1028" s="2" t="s">
        <v>32</v>
      </c>
      <c r="D1028" s="2" t="s">
        <v>16</v>
      </c>
      <c r="E1028">
        <v>39204</v>
      </c>
      <c r="F1028">
        <v>748</v>
      </c>
      <c r="G1028">
        <v>24</v>
      </c>
      <c r="H1028">
        <v>1092.49</v>
      </c>
      <c r="I1028">
        <v>1946.66</v>
      </c>
      <c r="J1028">
        <v>1.91</v>
      </c>
      <c r="K1028">
        <v>3.21</v>
      </c>
      <c r="L1028">
        <v>45.52</v>
      </c>
      <c r="M1028">
        <v>1.78</v>
      </c>
      <c r="N1028">
        <v>854.17</v>
      </c>
    </row>
    <row r="1029" spans="1:14" x14ac:dyDescent="0.2">
      <c r="A1029" s="1">
        <v>45559</v>
      </c>
      <c r="B1029" s="2" t="s">
        <v>29</v>
      </c>
      <c r="C1029" s="2" t="s">
        <v>32</v>
      </c>
      <c r="D1029" s="2" t="s">
        <v>22</v>
      </c>
      <c r="E1029">
        <v>19086</v>
      </c>
      <c r="F1029">
        <v>473</v>
      </c>
      <c r="G1029">
        <v>28</v>
      </c>
      <c r="H1029">
        <v>1258.8</v>
      </c>
      <c r="I1029">
        <v>2854.94</v>
      </c>
      <c r="J1029">
        <v>2.48</v>
      </c>
      <c r="K1029">
        <v>5.92</v>
      </c>
      <c r="L1029">
        <v>44.96</v>
      </c>
      <c r="M1029">
        <v>2.27</v>
      </c>
      <c r="N1029">
        <v>1596.14</v>
      </c>
    </row>
    <row r="1030" spans="1:14" x14ac:dyDescent="0.2">
      <c r="A1030" s="1">
        <v>45559</v>
      </c>
      <c r="B1030" s="2" t="s">
        <v>30</v>
      </c>
      <c r="C1030" s="2" t="s">
        <v>15</v>
      </c>
      <c r="D1030" s="2" t="s">
        <v>36</v>
      </c>
      <c r="E1030">
        <v>8105</v>
      </c>
      <c r="F1030">
        <v>203</v>
      </c>
      <c r="G1030">
        <v>10</v>
      </c>
      <c r="H1030">
        <v>732.41</v>
      </c>
      <c r="I1030">
        <v>842.99</v>
      </c>
      <c r="J1030">
        <v>2.5</v>
      </c>
      <c r="K1030">
        <v>4.93</v>
      </c>
      <c r="L1030">
        <v>73.239999999999995</v>
      </c>
      <c r="M1030">
        <v>1.1499999999999999</v>
      </c>
      <c r="N1030">
        <v>110.58</v>
      </c>
    </row>
    <row r="1031" spans="1:14" x14ac:dyDescent="0.2">
      <c r="A1031" s="1">
        <v>45559</v>
      </c>
      <c r="B1031" s="2" t="s">
        <v>31</v>
      </c>
      <c r="C1031" s="2" t="s">
        <v>35</v>
      </c>
      <c r="D1031" s="2" t="s">
        <v>19</v>
      </c>
      <c r="E1031">
        <v>23657</v>
      </c>
      <c r="F1031">
        <v>1022</v>
      </c>
      <c r="G1031">
        <v>40</v>
      </c>
      <c r="H1031">
        <v>947.52</v>
      </c>
      <c r="I1031">
        <v>2886.92</v>
      </c>
      <c r="J1031">
        <v>4.32</v>
      </c>
      <c r="K1031">
        <v>3.91</v>
      </c>
      <c r="L1031">
        <v>23.69</v>
      </c>
      <c r="M1031">
        <v>3.05</v>
      </c>
      <c r="N1031">
        <v>1939.4</v>
      </c>
    </row>
    <row r="1032" spans="1:14" x14ac:dyDescent="0.2">
      <c r="A1032" s="1">
        <v>45559</v>
      </c>
      <c r="B1032" s="2" t="s">
        <v>33</v>
      </c>
      <c r="C1032" s="2" t="s">
        <v>28</v>
      </c>
      <c r="D1032" s="2" t="s">
        <v>16</v>
      </c>
      <c r="E1032">
        <v>7909</v>
      </c>
      <c r="F1032">
        <v>443</v>
      </c>
      <c r="G1032">
        <v>49</v>
      </c>
      <c r="H1032">
        <v>332.62</v>
      </c>
      <c r="I1032">
        <v>6125.8</v>
      </c>
      <c r="J1032">
        <v>5.6</v>
      </c>
      <c r="K1032">
        <v>11.06</v>
      </c>
      <c r="L1032">
        <v>6.79</v>
      </c>
      <c r="M1032">
        <v>18.420000000000002</v>
      </c>
      <c r="N1032">
        <v>5793.18</v>
      </c>
    </row>
    <row r="1033" spans="1:14" x14ac:dyDescent="0.2">
      <c r="A1033" s="1">
        <v>45559</v>
      </c>
      <c r="B1033" s="2" t="s">
        <v>34</v>
      </c>
      <c r="C1033" s="2" t="s">
        <v>32</v>
      </c>
      <c r="D1033" s="2" t="s">
        <v>22</v>
      </c>
      <c r="E1033">
        <v>4839</v>
      </c>
      <c r="F1033">
        <v>421</v>
      </c>
      <c r="G1033">
        <v>54</v>
      </c>
      <c r="H1033">
        <v>154.72999999999999</v>
      </c>
      <c r="I1033">
        <v>7720.99</v>
      </c>
      <c r="J1033">
        <v>8.6999999999999993</v>
      </c>
      <c r="K1033">
        <v>12.83</v>
      </c>
      <c r="L1033">
        <v>2.87</v>
      </c>
      <c r="M1033">
        <v>49.9</v>
      </c>
      <c r="N1033">
        <v>7566.26</v>
      </c>
    </row>
    <row r="1034" spans="1:14" x14ac:dyDescent="0.2">
      <c r="A1034" s="1">
        <v>45560</v>
      </c>
      <c r="B1034" s="2" t="s">
        <v>14</v>
      </c>
      <c r="C1034" s="2" t="s">
        <v>32</v>
      </c>
      <c r="D1034" s="2" t="s">
        <v>19</v>
      </c>
      <c r="E1034">
        <v>13567</v>
      </c>
      <c r="F1034">
        <v>607</v>
      </c>
      <c r="G1034">
        <v>50</v>
      </c>
      <c r="H1034">
        <v>1336.81</v>
      </c>
      <c r="I1034">
        <v>5823.71</v>
      </c>
      <c r="J1034">
        <v>4.47</v>
      </c>
      <c r="K1034">
        <v>8.24</v>
      </c>
      <c r="L1034">
        <v>26.74</v>
      </c>
      <c r="M1034">
        <v>4.3600000000000003</v>
      </c>
      <c r="N1034">
        <v>4486.8999999999996</v>
      </c>
    </row>
    <row r="1035" spans="1:14" x14ac:dyDescent="0.2">
      <c r="A1035" s="1">
        <v>45560</v>
      </c>
      <c r="B1035" s="2" t="s">
        <v>17</v>
      </c>
      <c r="C1035" s="2" t="s">
        <v>28</v>
      </c>
      <c r="D1035" s="2" t="s">
        <v>19</v>
      </c>
      <c r="E1035">
        <v>19427</v>
      </c>
      <c r="F1035">
        <v>765</v>
      </c>
      <c r="G1035">
        <v>40</v>
      </c>
      <c r="H1035">
        <v>1102.95</v>
      </c>
      <c r="I1035">
        <v>3643.17</v>
      </c>
      <c r="J1035">
        <v>3.94</v>
      </c>
      <c r="K1035">
        <v>5.23</v>
      </c>
      <c r="L1035">
        <v>27.57</v>
      </c>
      <c r="M1035">
        <v>3.3</v>
      </c>
      <c r="N1035">
        <v>2540.2199999999998</v>
      </c>
    </row>
    <row r="1036" spans="1:14" x14ac:dyDescent="0.2">
      <c r="A1036" s="1">
        <v>45560</v>
      </c>
      <c r="B1036" s="2" t="s">
        <v>20</v>
      </c>
      <c r="C1036" s="2" t="s">
        <v>15</v>
      </c>
      <c r="D1036" s="2" t="s">
        <v>19</v>
      </c>
      <c r="E1036">
        <v>12040</v>
      </c>
      <c r="F1036">
        <v>397</v>
      </c>
      <c r="G1036">
        <v>27</v>
      </c>
      <c r="H1036">
        <v>702.96</v>
      </c>
      <c r="I1036">
        <v>2606.0100000000002</v>
      </c>
      <c r="J1036">
        <v>3.3</v>
      </c>
      <c r="K1036">
        <v>6.8</v>
      </c>
      <c r="L1036">
        <v>26.04</v>
      </c>
      <c r="M1036">
        <v>3.71</v>
      </c>
      <c r="N1036">
        <v>1903.05</v>
      </c>
    </row>
    <row r="1037" spans="1:14" x14ac:dyDescent="0.2">
      <c r="A1037" s="1">
        <v>45560</v>
      </c>
      <c r="B1037" s="2" t="s">
        <v>23</v>
      </c>
      <c r="C1037" s="2" t="s">
        <v>21</v>
      </c>
      <c r="D1037" s="2" t="s">
        <v>16</v>
      </c>
      <c r="E1037">
        <v>3222</v>
      </c>
      <c r="F1037">
        <v>88</v>
      </c>
      <c r="G1037">
        <v>9</v>
      </c>
      <c r="H1037">
        <v>1747.59</v>
      </c>
      <c r="I1037">
        <v>1811.44</v>
      </c>
      <c r="J1037">
        <v>2.73</v>
      </c>
      <c r="K1037">
        <v>10.23</v>
      </c>
      <c r="L1037">
        <v>194.18</v>
      </c>
      <c r="M1037">
        <v>1.04</v>
      </c>
      <c r="N1037">
        <v>63.85</v>
      </c>
    </row>
    <row r="1038" spans="1:14" x14ac:dyDescent="0.2">
      <c r="A1038" s="1">
        <v>45560</v>
      </c>
      <c r="B1038" s="2" t="s">
        <v>24</v>
      </c>
      <c r="C1038" s="2" t="s">
        <v>18</v>
      </c>
      <c r="D1038" s="2" t="s">
        <v>22</v>
      </c>
      <c r="E1038">
        <v>23215</v>
      </c>
      <c r="F1038">
        <v>5404</v>
      </c>
      <c r="G1038">
        <v>614</v>
      </c>
      <c r="H1038">
        <v>133.02000000000001</v>
      </c>
      <c r="I1038">
        <v>93046.63</v>
      </c>
      <c r="J1038">
        <v>23.28</v>
      </c>
      <c r="K1038">
        <v>11.36</v>
      </c>
      <c r="L1038">
        <v>0.22</v>
      </c>
      <c r="M1038">
        <v>699.49</v>
      </c>
      <c r="N1038">
        <v>92913.61</v>
      </c>
    </row>
    <row r="1039" spans="1:14" x14ac:dyDescent="0.2">
      <c r="A1039" s="1">
        <v>45560</v>
      </c>
      <c r="B1039" s="2" t="s">
        <v>26</v>
      </c>
      <c r="C1039" s="2" t="s">
        <v>28</v>
      </c>
      <c r="D1039" s="2" t="s">
        <v>25</v>
      </c>
      <c r="E1039">
        <v>20952</v>
      </c>
      <c r="F1039">
        <v>986</v>
      </c>
      <c r="G1039">
        <v>105</v>
      </c>
      <c r="H1039">
        <v>0</v>
      </c>
      <c r="I1039">
        <v>15253.65</v>
      </c>
      <c r="J1039">
        <v>4.71</v>
      </c>
      <c r="K1039">
        <v>10.65</v>
      </c>
      <c r="L1039">
        <v>0</v>
      </c>
      <c r="M1039">
        <v>0</v>
      </c>
      <c r="N1039">
        <v>15253.65</v>
      </c>
    </row>
    <row r="1040" spans="1:14" x14ac:dyDescent="0.2">
      <c r="A1040" s="1">
        <v>45560</v>
      </c>
      <c r="B1040" s="2" t="s">
        <v>27</v>
      </c>
      <c r="C1040" s="2" t="s">
        <v>28</v>
      </c>
      <c r="D1040" s="2" t="s">
        <v>25</v>
      </c>
      <c r="E1040">
        <v>36763</v>
      </c>
      <c r="F1040">
        <v>497</v>
      </c>
      <c r="G1040">
        <v>22</v>
      </c>
      <c r="H1040">
        <v>955.27</v>
      </c>
      <c r="I1040">
        <v>2641.53</v>
      </c>
      <c r="J1040">
        <v>1.35</v>
      </c>
      <c r="K1040">
        <v>4.43</v>
      </c>
      <c r="L1040">
        <v>43.42</v>
      </c>
      <c r="M1040">
        <v>2.77</v>
      </c>
      <c r="N1040">
        <v>1686.26</v>
      </c>
    </row>
    <row r="1041" spans="1:14" x14ac:dyDescent="0.2">
      <c r="A1041" s="1">
        <v>45560</v>
      </c>
      <c r="B1041" s="2" t="s">
        <v>29</v>
      </c>
      <c r="C1041" s="2" t="s">
        <v>18</v>
      </c>
      <c r="D1041" s="2" t="s">
        <v>19</v>
      </c>
      <c r="E1041">
        <v>17090</v>
      </c>
      <c r="F1041">
        <v>281</v>
      </c>
      <c r="G1041">
        <v>21</v>
      </c>
      <c r="H1041">
        <v>1048.6500000000001</v>
      </c>
      <c r="I1041">
        <v>2577.11</v>
      </c>
      <c r="J1041">
        <v>1.64</v>
      </c>
      <c r="K1041">
        <v>7.47</v>
      </c>
      <c r="L1041">
        <v>49.94</v>
      </c>
      <c r="M1041">
        <v>2.46</v>
      </c>
      <c r="N1041">
        <v>1528.46</v>
      </c>
    </row>
    <row r="1042" spans="1:14" x14ac:dyDescent="0.2">
      <c r="A1042" s="1">
        <v>45560</v>
      </c>
      <c r="B1042" s="2" t="s">
        <v>30</v>
      </c>
      <c r="C1042" s="2" t="s">
        <v>35</v>
      </c>
      <c r="D1042" s="2" t="s">
        <v>36</v>
      </c>
      <c r="E1042">
        <v>10879</v>
      </c>
      <c r="F1042">
        <v>236</v>
      </c>
      <c r="G1042">
        <v>11</v>
      </c>
      <c r="H1042">
        <v>606.98</v>
      </c>
      <c r="I1042">
        <v>1231.31</v>
      </c>
      <c r="J1042">
        <v>2.17</v>
      </c>
      <c r="K1042">
        <v>4.66</v>
      </c>
      <c r="L1042">
        <v>55.18</v>
      </c>
      <c r="M1042">
        <v>2.0299999999999998</v>
      </c>
      <c r="N1042">
        <v>624.33000000000004</v>
      </c>
    </row>
    <row r="1043" spans="1:14" x14ac:dyDescent="0.2">
      <c r="A1043" s="1">
        <v>45560</v>
      </c>
      <c r="B1043" s="2" t="s">
        <v>31</v>
      </c>
      <c r="C1043" s="2" t="s">
        <v>21</v>
      </c>
      <c r="D1043" s="2" t="s">
        <v>25</v>
      </c>
      <c r="E1043">
        <v>18046</v>
      </c>
      <c r="F1043">
        <v>527</v>
      </c>
      <c r="G1043">
        <v>19</v>
      </c>
      <c r="H1043">
        <v>692.39</v>
      </c>
      <c r="I1043">
        <v>1697.52</v>
      </c>
      <c r="J1043">
        <v>2.92</v>
      </c>
      <c r="K1043">
        <v>3.61</v>
      </c>
      <c r="L1043">
        <v>36.44</v>
      </c>
      <c r="M1043">
        <v>2.4500000000000002</v>
      </c>
      <c r="N1043">
        <v>1005.13</v>
      </c>
    </row>
    <row r="1044" spans="1:14" x14ac:dyDescent="0.2">
      <c r="A1044" s="1">
        <v>45560</v>
      </c>
      <c r="B1044" s="2" t="s">
        <v>33</v>
      </c>
      <c r="C1044" s="2" t="s">
        <v>35</v>
      </c>
      <c r="D1044" s="2" t="s">
        <v>36</v>
      </c>
      <c r="E1044">
        <v>9834</v>
      </c>
      <c r="F1044">
        <v>593</v>
      </c>
      <c r="G1044">
        <v>64</v>
      </c>
      <c r="H1044">
        <v>552.58000000000004</v>
      </c>
      <c r="I1044">
        <v>6577.82</v>
      </c>
      <c r="J1044">
        <v>6.03</v>
      </c>
      <c r="K1044">
        <v>10.79</v>
      </c>
      <c r="L1044">
        <v>8.6300000000000008</v>
      </c>
      <c r="M1044">
        <v>11.9</v>
      </c>
      <c r="N1044">
        <v>6025.24</v>
      </c>
    </row>
    <row r="1045" spans="1:14" x14ac:dyDescent="0.2">
      <c r="A1045" s="1">
        <v>45560</v>
      </c>
      <c r="B1045" s="2" t="s">
        <v>34</v>
      </c>
      <c r="C1045" s="2" t="s">
        <v>21</v>
      </c>
      <c r="D1045" s="2" t="s">
        <v>16</v>
      </c>
      <c r="E1045">
        <v>4241</v>
      </c>
      <c r="F1045">
        <v>412</v>
      </c>
      <c r="G1045">
        <v>56</v>
      </c>
      <c r="H1045">
        <v>113.49</v>
      </c>
      <c r="I1045">
        <v>8793.84</v>
      </c>
      <c r="J1045">
        <v>9.7100000000000009</v>
      </c>
      <c r="K1045">
        <v>13.59</v>
      </c>
      <c r="L1045">
        <v>2.0299999999999998</v>
      </c>
      <c r="M1045">
        <v>77.489999999999995</v>
      </c>
      <c r="N1045">
        <v>8680.35</v>
      </c>
    </row>
    <row r="1046" spans="1:14" x14ac:dyDescent="0.2">
      <c r="A1046" s="1">
        <v>45561</v>
      </c>
      <c r="B1046" s="2" t="s">
        <v>14</v>
      </c>
      <c r="C1046" s="2" t="s">
        <v>21</v>
      </c>
      <c r="D1046" s="2" t="s">
        <v>16</v>
      </c>
      <c r="E1046">
        <v>10161</v>
      </c>
      <c r="F1046">
        <v>336</v>
      </c>
      <c r="G1046">
        <v>33</v>
      </c>
      <c r="H1046">
        <v>1376.66</v>
      </c>
      <c r="I1046">
        <v>5340.68</v>
      </c>
      <c r="J1046">
        <v>3.31</v>
      </c>
      <c r="K1046">
        <v>9.82</v>
      </c>
      <c r="L1046">
        <v>41.72</v>
      </c>
      <c r="M1046">
        <v>3.88</v>
      </c>
      <c r="N1046">
        <v>3964.02</v>
      </c>
    </row>
    <row r="1047" spans="1:14" x14ac:dyDescent="0.2">
      <c r="A1047" s="1">
        <v>45561</v>
      </c>
      <c r="B1047" s="2" t="s">
        <v>17</v>
      </c>
      <c r="C1047" s="2" t="s">
        <v>28</v>
      </c>
      <c r="D1047" s="2" t="s">
        <v>22</v>
      </c>
      <c r="E1047">
        <v>14388</v>
      </c>
      <c r="F1047">
        <v>473</v>
      </c>
      <c r="G1047">
        <v>32</v>
      </c>
      <c r="H1047">
        <v>939.15</v>
      </c>
      <c r="I1047">
        <v>4043.77</v>
      </c>
      <c r="J1047">
        <v>3.29</v>
      </c>
      <c r="K1047">
        <v>6.77</v>
      </c>
      <c r="L1047">
        <v>29.35</v>
      </c>
      <c r="M1047">
        <v>4.3099999999999996</v>
      </c>
      <c r="N1047">
        <v>3104.62</v>
      </c>
    </row>
    <row r="1048" spans="1:14" x14ac:dyDescent="0.2">
      <c r="A1048" s="1">
        <v>45561</v>
      </c>
      <c r="B1048" s="2" t="s">
        <v>20</v>
      </c>
      <c r="C1048" s="2" t="s">
        <v>15</v>
      </c>
      <c r="D1048" s="2" t="s">
        <v>36</v>
      </c>
      <c r="E1048">
        <v>15815</v>
      </c>
      <c r="F1048">
        <v>532</v>
      </c>
      <c r="G1048">
        <v>41</v>
      </c>
      <c r="H1048">
        <v>745.61</v>
      </c>
      <c r="I1048">
        <v>5124.0200000000004</v>
      </c>
      <c r="J1048">
        <v>3.36</v>
      </c>
      <c r="K1048">
        <v>7.71</v>
      </c>
      <c r="L1048">
        <v>18.190000000000001</v>
      </c>
      <c r="M1048">
        <v>6.87</v>
      </c>
      <c r="N1048">
        <v>4378.41</v>
      </c>
    </row>
    <row r="1049" spans="1:14" x14ac:dyDescent="0.2">
      <c r="A1049" s="1">
        <v>45561</v>
      </c>
      <c r="B1049" s="2" t="s">
        <v>23</v>
      </c>
      <c r="C1049" s="2" t="s">
        <v>18</v>
      </c>
      <c r="D1049" s="2" t="s">
        <v>19</v>
      </c>
      <c r="E1049">
        <v>5170</v>
      </c>
      <c r="F1049">
        <v>77</v>
      </c>
      <c r="G1049">
        <v>9</v>
      </c>
      <c r="H1049">
        <v>1687.48</v>
      </c>
      <c r="I1049">
        <v>2220.59</v>
      </c>
      <c r="J1049">
        <v>1.49</v>
      </c>
      <c r="K1049">
        <v>11.69</v>
      </c>
      <c r="L1049">
        <v>187.5</v>
      </c>
      <c r="M1049">
        <v>1.32</v>
      </c>
      <c r="N1049">
        <v>533.11</v>
      </c>
    </row>
    <row r="1050" spans="1:14" x14ac:dyDescent="0.2">
      <c r="A1050" s="1">
        <v>45561</v>
      </c>
      <c r="B1050" s="2" t="s">
        <v>24</v>
      </c>
      <c r="C1050" s="2" t="s">
        <v>15</v>
      </c>
      <c r="D1050" s="2" t="s">
        <v>19</v>
      </c>
      <c r="E1050">
        <v>15428</v>
      </c>
      <c r="F1050">
        <v>3205</v>
      </c>
      <c r="G1050">
        <v>317</v>
      </c>
      <c r="H1050">
        <v>256.31</v>
      </c>
      <c r="I1050">
        <v>40193.78</v>
      </c>
      <c r="J1050">
        <v>20.77</v>
      </c>
      <c r="K1050">
        <v>9.89</v>
      </c>
      <c r="L1050">
        <v>0.81</v>
      </c>
      <c r="M1050">
        <v>156.82</v>
      </c>
      <c r="N1050">
        <v>39937.47</v>
      </c>
    </row>
    <row r="1051" spans="1:14" x14ac:dyDescent="0.2">
      <c r="A1051" s="1">
        <v>45561</v>
      </c>
      <c r="B1051" s="2" t="s">
        <v>26</v>
      </c>
      <c r="C1051" s="2" t="s">
        <v>15</v>
      </c>
      <c r="D1051" s="2" t="s">
        <v>16</v>
      </c>
      <c r="E1051">
        <v>29395</v>
      </c>
      <c r="F1051">
        <v>2339</v>
      </c>
      <c r="G1051">
        <v>328</v>
      </c>
      <c r="H1051">
        <v>0</v>
      </c>
      <c r="I1051">
        <v>32338.42</v>
      </c>
      <c r="J1051">
        <v>7.96</v>
      </c>
      <c r="K1051">
        <v>14.02</v>
      </c>
      <c r="L1051">
        <v>0</v>
      </c>
      <c r="M1051">
        <v>0</v>
      </c>
      <c r="N1051">
        <v>32338.42</v>
      </c>
    </row>
    <row r="1052" spans="1:14" x14ac:dyDescent="0.2">
      <c r="A1052" s="1">
        <v>45561</v>
      </c>
      <c r="B1052" s="2" t="s">
        <v>27</v>
      </c>
      <c r="C1052" s="2" t="s">
        <v>32</v>
      </c>
      <c r="D1052" s="2" t="s">
        <v>25</v>
      </c>
      <c r="E1052">
        <v>26261</v>
      </c>
      <c r="F1052">
        <v>351</v>
      </c>
      <c r="G1052">
        <v>7</v>
      </c>
      <c r="H1052">
        <v>729.78</v>
      </c>
      <c r="I1052">
        <v>613.69000000000005</v>
      </c>
      <c r="J1052">
        <v>1.34</v>
      </c>
      <c r="K1052">
        <v>1.99</v>
      </c>
      <c r="L1052">
        <v>104.25</v>
      </c>
      <c r="M1052">
        <v>0.84</v>
      </c>
      <c r="N1052">
        <v>-116.09</v>
      </c>
    </row>
    <row r="1053" spans="1:14" x14ac:dyDescent="0.2">
      <c r="A1053" s="1">
        <v>45561</v>
      </c>
      <c r="B1053" s="2" t="s">
        <v>29</v>
      </c>
      <c r="C1053" s="2" t="s">
        <v>35</v>
      </c>
      <c r="D1053" s="2" t="s">
        <v>19</v>
      </c>
      <c r="E1053">
        <v>23409</v>
      </c>
      <c r="F1053">
        <v>356</v>
      </c>
      <c r="G1053">
        <v>26</v>
      </c>
      <c r="H1053">
        <v>1106.8499999999999</v>
      </c>
      <c r="I1053">
        <v>3185.09</v>
      </c>
      <c r="J1053">
        <v>1.52</v>
      </c>
      <c r="K1053">
        <v>7.3</v>
      </c>
      <c r="L1053">
        <v>42.57</v>
      </c>
      <c r="M1053">
        <v>2.88</v>
      </c>
      <c r="N1053">
        <v>2078.2399999999998</v>
      </c>
    </row>
    <row r="1054" spans="1:14" x14ac:dyDescent="0.2">
      <c r="A1054" s="1">
        <v>45561</v>
      </c>
      <c r="B1054" s="2" t="s">
        <v>30</v>
      </c>
      <c r="C1054" s="2" t="s">
        <v>21</v>
      </c>
      <c r="D1054" s="2" t="s">
        <v>22</v>
      </c>
      <c r="E1054">
        <v>12573</v>
      </c>
      <c r="F1054">
        <v>395</v>
      </c>
      <c r="G1054">
        <v>15</v>
      </c>
      <c r="H1054">
        <v>432.45</v>
      </c>
      <c r="I1054">
        <v>1264.8499999999999</v>
      </c>
      <c r="J1054">
        <v>3.14</v>
      </c>
      <c r="K1054">
        <v>3.8</v>
      </c>
      <c r="L1054">
        <v>28.83</v>
      </c>
      <c r="M1054">
        <v>2.92</v>
      </c>
      <c r="N1054">
        <v>832.4</v>
      </c>
    </row>
    <row r="1055" spans="1:14" x14ac:dyDescent="0.2">
      <c r="A1055" s="1">
        <v>45561</v>
      </c>
      <c r="B1055" s="2" t="s">
        <v>31</v>
      </c>
      <c r="C1055" s="2" t="s">
        <v>35</v>
      </c>
      <c r="D1055" s="2" t="s">
        <v>25</v>
      </c>
      <c r="E1055">
        <v>24270</v>
      </c>
      <c r="F1055">
        <v>968</v>
      </c>
      <c r="G1055">
        <v>46</v>
      </c>
      <c r="H1055">
        <v>769.36</v>
      </c>
      <c r="I1055">
        <v>3679.71</v>
      </c>
      <c r="J1055">
        <v>3.99</v>
      </c>
      <c r="K1055">
        <v>4.75</v>
      </c>
      <c r="L1055">
        <v>16.73</v>
      </c>
      <c r="M1055">
        <v>4.78</v>
      </c>
      <c r="N1055">
        <v>2910.35</v>
      </c>
    </row>
    <row r="1056" spans="1:14" x14ac:dyDescent="0.2">
      <c r="A1056" s="1">
        <v>45561</v>
      </c>
      <c r="B1056" s="2" t="s">
        <v>33</v>
      </c>
      <c r="C1056" s="2" t="s">
        <v>21</v>
      </c>
      <c r="D1056" s="2" t="s">
        <v>16</v>
      </c>
      <c r="E1056">
        <v>8907</v>
      </c>
      <c r="F1056">
        <v>505</v>
      </c>
      <c r="G1056">
        <v>53</v>
      </c>
      <c r="H1056">
        <v>317.14</v>
      </c>
      <c r="I1056">
        <v>7639.31</v>
      </c>
      <c r="J1056">
        <v>5.67</v>
      </c>
      <c r="K1056">
        <v>10.5</v>
      </c>
      <c r="L1056">
        <v>5.98</v>
      </c>
      <c r="M1056">
        <v>24.09</v>
      </c>
      <c r="N1056">
        <v>7322.17</v>
      </c>
    </row>
    <row r="1057" spans="1:14" x14ac:dyDescent="0.2">
      <c r="A1057" s="1">
        <v>45561</v>
      </c>
      <c r="B1057" s="2" t="s">
        <v>34</v>
      </c>
      <c r="C1057" s="2" t="s">
        <v>21</v>
      </c>
      <c r="D1057" s="2" t="s">
        <v>22</v>
      </c>
      <c r="E1057">
        <v>5348</v>
      </c>
      <c r="F1057">
        <v>273</v>
      </c>
      <c r="G1057">
        <v>47</v>
      </c>
      <c r="H1057">
        <v>186.75</v>
      </c>
      <c r="I1057">
        <v>7209.46</v>
      </c>
      <c r="J1057">
        <v>5.0999999999999996</v>
      </c>
      <c r="K1057">
        <v>17.22</v>
      </c>
      <c r="L1057">
        <v>3.97</v>
      </c>
      <c r="M1057">
        <v>38.6</v>
      </c>
      <c r="N1057">
        <v>7022.71</v>
      </c>
    </row>
    <row r="1058" spans="1:14" x14ac:dyDescent="0.2">
      <c r="A1058" s="1">
        <v>45562</v>
      </c>
      <c r="B1058" s="2" t="s">
        <v>14</v>
      </c>
      <c r="C1058" s="2" t="s">
        <v>21</v>
      </c>
      <c r="D1058" s="2" t="s">
        <v>36</v>
      </c>
      <c r="E1058">
        <v>8329</v>
      </c>
      <c r="F1058">
        <v>360</v>
      </c>
      <c r="G1058">
        <v>42</v>
      </c>
      <c r="H1058">
        <v>846.17</v>
      </c>
      <c r="I1058">
        <v>6463.5</v>
      </c>
      <c r="J1058">
        <v>4.32</v>
      </c>
      <c r="K1058">
        <v>11.67</v>
      </c>
      <c r="L1058">
        <v>20.149999999999999</v>
      </c>
      <c r="M1058">
        <v>7.64</v>
      </c>
      <c r="N1058">
        <v>5617.33</v>
      </c>
    </row>
    <row r="1059" spans="1:14" x14ac:dyDescent="0.2">
      <c r="A1059" s="1">
        <v>45562</v>
      </c>
      <c r="B1059" s="2" t="s">
        <v>17</v>
      </c>
      <c r="C1059" s="2" t="s">
        <v>18</v>
      </c>
      <c r="D1059" s="2" t="s">
        <v>19</v>
      </c>
      <c r="E1059">
        <v>13051</v>
      </c>
      <c r="F1059">
        <v>362</v>
      </c>
      <c r="G1059">
        <v>19</v>
      </c>
      <c r="H1059">
        <v>959.83</v>
      </c>
      <c r="I1059">
        <v>2611.25</v>
      </c>
      <c r="J1059">
        <v>2.77</v>
      </c>
      <c r="K1059">
        <v>5.25</v>
      </c>
      <c r="L1059">
        <v>50.52</v>
      </c>
      <c r="M1059">
        <v>2.72</v>
      </c>
      <c r="N1059">
        <v>1651.42</v>
      </c>
    </row>
    <row r="1060" spans="1:14" x14ac:dyDescent="0.2">
      <c r="A1060" s="1">
        <v>45562</v>
      </c>
      <c r="B1060" s="2" t="s">
        <v>20</v>
      </c>
      <c r="C1060" s="2" t="s">
        <v>32</v>
      </c>
      <c r="D1060" s="2" t="s">
        <v>25</v>
      </c>
      <c r="E1060">
        <v>17304</v>
      </c>
      <c r="F1060">
        <v>572</v>
      </c>
      <c r="G1060">
        <v>41</v>
      </c>
      <c r="H1060">
        <v>609.25</v>
      </c>
      <c r="I1060">
        <v>4211.91</v>
      </c>
      <c r="J1060">
        <v>3.31</v>
      </c>
      <c r="K1060">
        <v>7.17</v>
      </c>
      <c r="L1060">
        <v>14.86</v>
      </c>
      <c r="M1060">
        <v>6.91</v>
      </c>
      <c r="N1060">
        <v>3602.66</v>
      </c>
    </row>
    <row r="1061" spans="1:14" x14ac:dyDescent="0.2">
      <c r="A1061" s="1">
        <v>45562</v>
      </c>
      <c r="B1061" s="2" t="s">
        <v>23</v>
      </c>
      <c r="C1061" s="2" t="s">
        <v>35</v>
      </c>
      <c r="D1061" s="2" t="s">
        <v>36</v>
      </c>
      <c r="E1061">
        <v>3222</v>
      </c>
      <c r="F1061">
        <v>82</v>
      </c>
      <c r="G1061">
        <v>11</v>
      </c>
      <c r="H1061">
        <v>979.08</v>
      </c>
      <c r="I1061">
        <v>2865.09</v>
      </c>
      <c r="J1061">
        <v>2.5499999999999998</v>
      </c>
      <c r="K1061">
        <v>13.41</v>
      </c>
      <c r="L1061">
        <v>89.01</v>
      </c>
      <c r="M1061">
        <v>2.93</v>
      </c>
      <c r="N1061">
        <v>1886.01</v>
      </c>
    </row>
    <row r="1062" spans="1:14" x14ac:dyDescent="0.2">
      <c r="A1062" s="1">
        <v>45562</v>
      </c>
      <c r="B1062" s="2" t="s">
        <v>24</v>
      </c>
      <c r="C1062" s="2" t="s">
        <v>32</v>
      </c>
      <c r="D1062" s="2" t="s">
        <v>22</v>
      </c>
      <c r="E1062">
        <v>19896</v>
      </c>
      <c r="F1062">
        <v>4208</v>
      </c>
      <c r="G1062">
        <v>542</v>
      </c>
      <c r="H1062">
        <v>134.59</v>
      </c>
      <c r="I1062">
        <v>63456.23</v>
      </c>
      <c r="J1062">
        <v>21.15</v>
      </c>
      <c r="K1062">
        <v>12.88</v>
      </c>
      <c r="L1062">
        <v>0.25</v>
      </c>
      <c r="M1062">
        <v>471.48</v>
      </c>
      <c r="N1062">
        <v>63321.64</v>
      </c>
    </row>
    <row r="1063" spans="1:14" x14ac:dyDescent="0.2">
      <c r="A1063" s="1">
        <v>45562</v>
      </c>
      <c r="B1063" s="2" t="s">
        <v>26</v>
      </c>
      <c r="C1063" s="2" t="s">
        <v>32</v>
      </c>
      <c r="D1063" s="2" t="s">
        <v>16</v>
      </c>
      <c r="E1063">
        <v>25647</v>
      </c>
      <c r="F1063">
        <v>2000</v>
      </c>
      <c r="G1063">
        <v>254</v>
      </c>
      <c r="H1063">
        <v>0</v>
      </c>
      <c r="I1063">
        <v>28424.81</v>
      </c>
      <c r="J1063">
        <v>7.8</v>
      </c>
      <c r="K1063">
        <v>12.7</v>
      </c>
      <c r="L1063">
        <v>0</v>
      </c>
      <c r="M1063">
        <v>0</v>
      </c>
      <c r="N1063">
        <v>28424.81</v>
      </c>
    </row>
    <row r="1064" spans="1:14" x14ac:dyDescent="0.2">
      <c r="A1064" s="1">
        <v>45562</v>
      </c>
      <c r="B1064" s="2" t="s">
        <v>27</v>
      </c>
      <c r="C1064" s="2" t="s">
        <v>18</v>
      </c>
      <c r="D1064" s="2" t="s">
        <v>19</v>
      </c>
      <c r="E1064">
        <v>36158</v>
      </c>
      <c r="F1064">
        <v>453</v>
      </c>
      <c r="G1064">
        <v>15</v>
      </c>
      <c r="H1064">
        <v>1096.3</v>
      </c>
      <c r="I1064">
        <v>1450.04</v>
      </c>
      <c r="J1064">
        <v>1.25</v>
      </c>
      <c r="K1064">
        <v>3.31</v>
      </c>
      <c r="L1064">
        <v>73.09</v>
      </c>
      <c r="M1064">
        <v>1.32</v>
      </c>
      <c r="N1064">
        <v>353.74</v>
      </c>
    </row>
    <row r="1065" spans="1:14" x14ac:dyDescent="0.2">
      <c r="A1065" s="1">
        <v>45562</v>
      </c>
      <c r="B1065" s="2" t="s">
        <v>29</v>
      </c>
      <c r="C1065" s="2" t="s">
        <v>28</v>
      </c>
      <c r="D1065" s="2" t="s">
        <v>36</v>
      </c>
      <c r="E1065">
        <v>15095</v>
      </c>
      <c r="F1065">
        <v>341</v>
      </c>
      <c r="G1065">
        <v>17</v>
      </c>
      <c r="H1065">
        <v>872.35</v>
      </c>
      <c r="I1065">
        <v>1646.39</v>
      </c>
      <c r="J1065">
        <v>2.2599999999999998</v>
      </c>
      <c r="K1065">
        <v>4.99</v>
      </c>
      <c r="L1065">
        <v>51.31</v>
      </c>
      <c r="M1065">
        <v>1.89</v>
      </c>
      <c r="N1065">
        <v>774.04</v>
      </c>
    </row>
    <row r="1066" spans="1:14" x14ac:dyDescent="0.2">
      <c r="A1066" s="1">
        <v>45562</v>
      </c>
      <c r="B1066" s="2" t="s">
        <v>30</v>
      </c>
      <c r="C1066" s="2" t="s">
        <v>32</v>
      </c>
      <c r="D1066" s="2" t="s">
        <v>36</v>
      </c>
      <c r="E1066">
        <v>9515</v>
      </c>
      <c r="F1066">
        <v>201</v>
      </c>
      <c r="G1066">
        <v>11</v>
      </c>
      <c r="H1066">
        <v>486.52</v>
      </c>
      <c r="I1066">
        <v>824.33</v>
      </c>
      <c r="J1066">
        <v>2.11</v>
      </c>
      <c r="K1066">
        <v>5.47</v>
      </c>
      <c r="L1066">
        <v>44.23</v>
      </c>
      <c r="M1066">
        <v>1.69</v>
      </c>
      <c r="N1066">
        <v>337.81</v>
      </c>
    </row>
    <row r="1067" spans="1:14" x14ac:dyDescent="0.2">
      <c r="A1067" s="1">
        <v>45562</v>
      </c>
      <c r="B1067" s="2" t="s">
        <v>31</v>
      </c>
      <c r="C1067" s="2" t="s">
        <v>28</v>
      </c>
      <c r="D1067" s="2" t="s">
        <v>25</v>
      </c>
      <c r="E1067">
        <v>22850</v>
      </c>
      <c r="F1067">
        <v>980</v>
      </c>
      <c r="G1067">
        <v>56</v>
      </c>
      <c r="H1067">
        <v>1047.3599999999999</v>
      </c>
      <c r="I1067">
        <v>5410.73</v>
      </c>
      <c r="J1067">
        <v>4.29</v>
      </c>
      <c r="K1067">
        <v>5.71</v>
      </c>
      <c r="L1067">
        <v>18.7</v>
      </c>
      <c r="M1067">
        <v>5.17</v>
      </c>
      <c r="N1067">
        <v>4363.37</v>
      </c>
    </row>
    <row r="1068" spans="1:14" x14ac:dyDescent="0.2">
      <c r="A1068" s="1">
        <v>45562</v>
      </c>
      <c r="B1068" s="2" t="s">
        <v>33</v>
      </c>
      <c r="C1068" s="2" t="s">
        <v>18</v>
      </c>
      <c r="D1068" s="2" t="s">
        <v>22</v>
      </c>
      <c r="E1068">
        <v>9560</v>
      </c>
      <c r="F1068">
        <v>463</v>
      </c>
      <c r="G1068">
        <v>39</v>
      </c>
      <c r="H1068">
        <v>318.35000000000002</v>
      </c>
      <c r="I1068">
        <v>4490.9399999999996</v>
      </c>
      <c r="J1068">
        <v>4.84</v>
      </c>
      <c r="K1068">
        <v>8.42</v>
      </c>
      <c r="L1068">
        <v>8.16</v>
      </c>
      <c r="M1068">
        <v>14.11</v>
      </c>
      <c r="N1068">
        <v>4172.59</v>
      </c>
    </row>
    <row r="1069" spans="1:14" x14ac:dyDescent="0.2">
      <c r="A1069" s="1">
        <v>45562</v>
      </c>
      <c r="B1069" s="2" t="s">
        <v>34</v>
      </c>
      <c r="C1069" s="2" t="s">
        <v>35</v>
      </c>
      <c r="D1069" s="2" t="s">
        <v>16</v>
      </c>
      <c r="E1069">
        <v>6816</v>
      </c>
      <c r="F1069">
        <v>353</v>
      </c>
      <c r="G1069">
        <v>51</v>
      </c>
      <c r="H1069">
        <v>126.59</v>
      </c>
      <c r="I1069">
        <v>6565.18</v>
      </c>
      <c r="J1069">
        <v>5.18</v>
      </c>
      <c r="K1069">
        <v>14.45</v>
      </c>
      <c r="L1069">
        <v>2.48</v>
      </c>
      <c r="M1069">
        <v>51.86</v>
      </c>
      <c r="N1069">
        <v>6438.59</v>
      </c>
    </row>
    <row r="1070" spans="1:14" x14ac:dyDescent="0.2">
      <c r="A1070" s="1">
        <v>45563</v>
      </c>
      <c r="B1070" s="2" t="s">
        <v>14</v>
      </c>
      <c r="C1070" s="2" t="s">
        <v>28</v>
      </c>
      <c r="D1070" s="2" t="s">
        <v>36</v>
      </c>
      <c r="E1070">
        <v>7596</v>
      </c>
      <c r="F1070">
        <v>295</v>
      </c>
      <c r="G1070">
        <v>28</v>
      </c>
      <c r="H1070">
        <v>566.65</v>
      </c>
      <c r="I1070">
        <v>4508.6499999999996</v>
      </c>
      <c r="J1070">
        <v>3.88</v>
      </c>
      <c r="K1070">
        <v>9.49</v>
      </c>
      <c r="L1070">
        <v>20.239999999999998</v>
      </c>
      <c r="M1070">
        <v>7.96</v>
      </c>
      <c r="N1070">
        <v>3942</v>
      </c>
    </row>
    <row r="1071" spans="1:14" x14ac:dyDescent="0.2">
      <c r="A1071" s="1">
        <v>45563</v>
      </c>
      <c r="B1071" s="2" t="s">
        <v>17</v>
      </c>
      <c r="C1071" s="2" t="s">
        <v>15</v>
      </c>
      <c r="D1071" s="2" t="s">
        <v>25</v>
      </c>
      <c r="E1071">
        <v>13787</v>
      </c>
      <c r="F1071">
        <v>341</v>
      </c>
      <c r="G1071">
        <v>26</v>
      </c>
      <c r="H1071">
        <v>731.16</v>
      </c>
      <c r="I1071">
        <v>2577.19</v>
      </c>
      <c r="J1071">
        <v>2.4700000000000002</v>
      </c>
      <c r="K1071">
        <v>7.62</v>
      </c>
      <c r="L1071">
        <v>28.12</v>
      </c>
      <c r="M1071">
        <v>3.52</v>
      </c>
      <c r="N1071">
        <v>1846.03</v>
      </c>
    </row>
    <row r="1072" spans="1:14" x14ac:dyDescent="0.2">
      <c r="A1072" s="1">
        <v>45563</v>
      </c>
      <c r="B1072" s="2" t="s">
        <v>20</v>
      </c>
      <c r="C1072" s="2" t="s">
        <v>35</v>
      </c>
      <c r="D1072" s="2" t="s">
        <v>22</v>
      </c>
      <c r="E1072">
        <v>12574</v>
      </c>
      <c r="F1072">
        <v>536</v>
      </c>
      <c r="G1072">
        <v>26</v>
      </c>
      <c r="H1072">
        <v>699.46</v>
      </c>
      <c r="I1072">
        <v>2176.94</v>
      </c>
      <c r="J1072">
        <v>4.26</v>
      </c>
      <c r="K1072">
        <v>4.8499999999999996</v>
      </c>
      <c r="L1072">
        <v>26.9</v>
      </c>
      <c r="M1072">
        <v>3.11</v>
      </c>
      <c r="N1072">
        <v>1477.48</v>
      </c>
    </row>
    <row r="1073" spans="1:14" x14ac:dyDescent="0.2">
      <c r="A1073" s="1">
        <v>45563</v>
      </c>
      <c r="B1073" s="2" t="s">
        <v>23</v>
      </c>
      <c r="C1073" s="2" t="s">
        <v>32</v>
      </c>
      <c r="D1073" s="2" t="s">
        <v>25</v>
      </c>
      <c r="E1073">
        <v>3347</v>
      </c>
      <c r="F1073">
        <v>55</v>
      </c>
      <c r="G1073">
        <v>7</v>
      </c>
      <c r="H1073">
        <v>802.4</v>
      </c>
      <c r="I1073">
        <v>1711.43</v>
      </c>
      <c r="J1073">
        <v>1.64</v>
      </c>
      <c r="K1073">
        <v>12.73</v>
      </c>
      <c r="L1073">
        <v>114.63</v>
      </c>
      <c r="M1073">
        <v>2.13</v>
      </c>
      <c r="N1073">
        <v>909.03</v>
      </c>
    </row>
    <row r="1074" spans="1:14" x14ac:dyDescent="0.2">
      <c r="A1074" s="1">
        <v>45563</v>
      </c>
      <c r="B1074" s="2" t="s">
        <v>24</v>
      </c>
      <c r="C1074" s="2" t="s">
        <v>21</v>
      </c>
      <c r="D1074" s="2" t="s">
        <v>22</v>
      </c>
      <c r="E1074">
        <v>12289</v>
      </c>
      <c r="F1074">
        <v>2935</v>
      </c>
      <c r="G1074">
        <v>291</v>
      </c>
      <c r="H1074">
        <v>102.79</v>
      </c>
      <c r="I1074">
        <v>32434.41</v>
      </c>
      <c r="J1074">
        <v>23.88</v>
      </c>
      <c r="K1074">
        <v>9.91</v>
      </c>
      <c r="L1074">
        <v>0.35</v>
      </c>
      <c r="M1074">
        <v>315.54000000000002</v>
      </c>
      <c r="N1074">
        <v>32331.62</v>
      </c>
    </row>
    <row r="1075" spans="1:14" x14ac:dyDescent="0.2">
      <c r="A1075" s="1">
        <v>45563</v>
      </c>
      <c r="B1075" s="2" t="s">
        <v>26</v>
      </c>
      <c r="C1075" s="2" t="s">
        <v>28</v>
      </c>
      <c r="D1075" s="2" t="s">
        <v>25</v>
      </c>
      <c r="E1075">
        <v>16774</v>
      </c>
      <c r="F1075">
        <v>674</v>
      </c>
      <c r="G1075">
        <v>87</v>
      </c>
      <c r="H1075">
        <v>0</v>
      </c>
      <c r="I1075">
        <v>11406.04</v>
      </c>
      <c r="J1075">
        <v>4.0199999999999996</v>
      </c>
      <c r="K1075">
        <v>12.91</v>
      </c>
      <c r="L1075">
        <v>0</v>
      </c>
      <c r="M1075">
        <v>0</v>
      </c>
      <c r="N1075">
        <v>11406.04</v>
      </c>
    </row>
    <row r="1076" spans="1:14" x14ac:dyDescent="0.2">
      <c r="A1076" s="1">
        <v>45563</v>
      </c>
      <c r="B1076" s="2" t="s">
        <v>27</v>
      </c>
      <c r="C1076" s="2" t="s">
        <v>18</v>
      </c>
      <c r="D1076" s="2" t="s">
        <v>16</v>
      </c>
      <c r="E1076">
        <v>20402</v>
      </c>
      <c r="F1076">
        <v>229</v>
      </c>
      <c r="G1076">
        <v>8</v>
      </c>
      <c r="H1076">
        <v>823.45</v>
      </c>
      <c r="I1076">
        <v>987.81</v>
      </c>
      <c r="J1076">
        <v>1.1200000000000001</v>
      </c>
      <c r="K1076">
        <v>3.49</v>
      </c>
      <c r="L1076">
        <v>102.93</v>
      </c>
      <c r="M1076">
        <v>1.2</v>
      </c>
      <c r="N1076">
        <v>164.36</v>
      </c>
    </row>
    <row r="1077" spans="1:14" x14ac:dyDescent="0.2">
      <c r="A1077" s="1">
        <v>45563</v>
      </c>
      <c r="B1077" s="2" t="s">
        <v>29</v>
      </c>
      <c r="C1077" s="2" t="s">
        <v>32</v>
      </c>
      <c r="D1077" s="2" t="s">
        <v>22</v>
      </c>
      <c r="E1077">
        <v>16370</v>
      </c>
      <c r="F1077">
        <v>486</v>
      </c>
      <c r="G1077">
        <v>35</v>
      </c>
      <c r="H1077">
        <v>847.34</v>
      </c>
      <c r="I1077">
        <v>4721.24</v>
      </c>
      <c r="J1077">
        <v>2.97</v>
      </c>
      <c r="K1077">
        <v>7.2</v>
      </c>
      <c r="L1077">
        <v>24.21</v>
      </c>
      <c r="M1077">
        <v>5.57</v>
      </c>
      <c r="N1077">
        <v>3873.9</v>
      </c>
    </row>
    <row r="1078" spans="1:14" x14ac:dyDescent="0.2">
      <c r="A1078" s="1">
        <v>45563</v>
      </c>
      <c r="B1078" s="2" t="s">
        <v>30</v>
      </c>
      <c r="C1078" s="2" t="s">
        <v>35</v>
      </c>
      <c r="D1078" s="2" t="s">
        <v>22</v>
      </c>
      <c r="E1078">
        <v>7294</v>
      </c>
      <c r="F1078">
        <v>154</v>
      </c>
      <c r="G1078">
        <v>7</v>
      </c>
      <c r="H1078">
        <v>328.25</v>
      </c>
      <c r="I1078">
        <v>708.38</v>
      </c>
      <c r="J1078">
        <v>2.11</v>
      </c>
      <c r="K1078">
        <v>4.55</v>
      </c>
      <c r="L1078">
        <v>46.89</v>
      </c>
      <c r="M1078">
        <v>2.16</v>
      </c>
      <c r="N1078">
        <v>380.13</v>
      </c>
    </row>
    <row r="1079" spans="1:14" x14ac:dyDescent="0.2">
      <c r="A1079" s="1">
        <v>45563</v>
      </c>
      <c r="B1079" s="2" t="s">
        <v>31</v>
      </c>
      <c r="C1079" s="2" t="s">
        <v>21</v>
      </c>
      <c r="D1079" s="2" t="s">
        <v>19</v>
      </c>
      <c r="E1079">
        <v>14928</v>
      </c>
      <c r="F1079">
        <v>496</v>
      </c>
      <c r="G1079">
        <v>16</v>
      </c>
      <c r="H1079">
        <v>548.04</v>
      </c>
      <c r="I1079">
        <v>1303.26</v>
      </c>
      <c r="J1079">
        <v>3.32</v>
      </c>
      <c r="K1079">
        <v>3.23</v>
      </c>
      <c r="L1079">
        <v>34.25</v>
      </c>
      <c r="M1079">
        <v>2.38</v>
      </c>
      <c r="N1079">
        <v>755.22</v>
      </c>
    </row>
    <row r="1080" spans="1:14" x14ac:dyDescent="0.2">
      <c r="A1080" s="1">
        <v>45563</v>
      </c>
      <c r="B1080" s="2" t="s">
        <v>33</v>
      </c>
      <c r="C1080" s="2" t="s">
        <v>15</v>
      </c>
      <c r="D1080" s="2" t="s">
        <v>22</v>
      </c>
      <c r="E1080">
        <v>5805</v>
      </c>
      <c r="F1080">
        <v>298</v>
      </c>
      <c r="G1080">
        <v>30</v>
      </c>
      <c r="H1080">
        <v>458.53</v>
      </c>
      <c r="I1080">
        <v>3257.63</v>
      </c>
      <c r="J1080">
        <v>5.13</v>
      </c>
      <c r="K1080">
        <v>10.07</v>
      </c>
      <c r="L1080">
        <v>15.28</v>
      </c>
      <c r="M1080">
        <v>7.1</v>
      </c>
      <c r="N1080">
        <v>2799.1</v>
      </c>
    </row>
    <row r="1081" spans="1:14" x14ac:dyDescent="0.2">
      <c r="A1081" s="1">
        <v>45563</v>
      </c>
      <c r="B1081" s="2" t="s">
        <v>34</v>
      </c>
      <c r="C1081" s="2" t="s">
        <v>35</v>
      </c>
      <c r="D1081" s="2" t="s">
        <v>25</v>
      </c>
      <c r="E1081">
        <v>4013</v>
      </c>
      <c r="F1081">
        <v>306</v>
      </c>
      <c r="G1081">
        <v>40</v>
      </c>
      <c r="H1081">
        <v>107.76</v>
      </c>
      <c r="I1081">
        <v>6581.84</v>
      </c>
      <c r="J1081">
        <v>7.63</v>
      </c>
      <c r="K1081">
        <v>13.07</v>
      </c>
      <c r="L1081">
        <v>2.69</v>
      </c>
      <c r="M1081">
        <v>61.08</v>
      </c>
      <c r="N1081">
        <v>6474.08</v>
      </c>
    </row>
    <row r="1082" spans="1:14" x14ac:dyDescent="0.2">
      <c r="A1082" s="1">
        <v>45564</v>
      </c>
      <c r="B1082" s="2" t="s">
        <v>14</v>
      </c>
      <c r="C1082" s="2" t="s">
        <v>35</v>
      </c>
      <c r="D1082" s="2" t="s">
        <v>16</v>
      </c>
      <c r="E1082">
        <v>10210</v>
      </c>
      <c r="F1082">
        <v>500</v>
      </c>
      <c r="G1082">
        <v>52</v>
      </c>
      <c r="H1082">
        <v>750.53</v>
      </c>
      <c r="I1082">
        <v>9405.33</v>
      </c>
      <c r="J1082">
        <v>4.9000000000000004</v>
      </c>
      <c r="K1082">
        <v>10.4</v>
      </c>
      <c r="L1082">
        <v>14.43</v>
      </c>
      <c r="M1082">
        <v>12.53</v>
      </c>
      <c r="N1082">
        <v>8654.7999999999993</v>
      </c>
    </row>
    <row r="1083" spans="1:14" x14ac:dyDescent="0.2">
      <c r="A1083" s="1">
        <v>45564</v>
      </c>
      <c r="B1083" s="2" t="s">
        <v>17</v>
      </c>
      <c r="C1083" s="2" t="s">
        <v>35</v>
      </c>
      <c r="D1083" s="2" t="s">
        <v>22</v>
      </c>
      <c r="E1083">
        <v>13410</v>
      </c>
      <c r="F1083">
        <v>284</v>
      </c>
      <c r="G1083">
        <v>23</v>
      </c>
      <c r="H1083">
        <v>577.72</v>
      </c>
      <c r="I1083">
        <v>2778.57</v>
      </c>
      <c r="J1083">
        <v>2.12</v>
      </c>
      <c r="K1083">
        <v>8.1</v>
      </c>
      <c r="L1083">
        <v>25.12</v>
      </c>
      <c r="M1083">
        <v>4.8099999999999996</v>
      </c>
      <c r="N1083">
        <v>2200.85</v>
      </c>
    </row>
    <row r="1084" spans="1:14" x14ac:dyDescent="0.2">
      <c r="A1084" s="1">
        <v>45564</v>
      </c>
      <c r="B1084" s="2" t="s">
        <v>20</v>
      </c>
      <c r="C1084" s="2" t="s">
        <v>15</v>
      </c>
      <c r="D1084" s="2" t="s">
        <v>25</v>
      </c>
      <c r="E1084">
        <v>11244</v>
      </c>
      <c r="F1084">
        <v>398</v>
      </c>
      <c r="G1084">
        <v>26</v>
      </c>
      <c r="H1084">
        <v>360.97</v>
      </c>
      <c r="I1084">
        <v>3160.9</v>
      </c>
      <c r="J1084">
        <v>3.54</v>
      </c>
      <c r="K1084">
        <v>6.53</v>
      </c>
      <c r="L1084">
        <v>13.88</v>
      </c>
      <c r="M1084">
        <v>8.76</v>
      </c>
      <c r="N1084">
        <v>2799.93</v>
      </c>
    </row>
    <row r="1085" spans="1:14" x14ac:dyDescent="0.2">
      <c r="A1085" s="1">
        <v>45564</v>
      </c>
      <c r="B1085" s="2" t="s">
        <v>23</v>
      </c>
      <c r="C1085" s="2" t="s">
        <v>35</v>
      </c>
      <c r="D1085" s="2" t="s">
        <v>22</v>
      </c>
      <c r="E1085">
        <v>3801</v>
      </c>
      <c r="F1085">
        <v>94</v>
      </c>
      <c r="G1085">
        <v>11</v>
      </c>
      <c r="H1085">
        <v>1003.1</v>
      </c>
      <c r="I1085">
        <v>3154.57</v>
      </c>
      <c r="J1085">
        <v>2.4700000000000002</v>
      </c>
      <c r="K1085">
        <v>11.7</v>
      </c>
      <c r="L1085">
        <v>91.19</v>
      </c>
      <c r="M1085">
        <v>3.14</v>
      </c>
      <c r="N1085">
        <v>2151.4699999999998</v>
      </c>
    </row>
    <row r="1086" spans="1:14" x14ac:dyDescent="0.2">
      <c r="A1086" s="1">
        <v>45564</v>
      </c>
      <c r="B1086" s="2" t="s">
        <v>24</v>
      </c>
      <c r="C1086" s="2" t="s">
        <v>15</v>
      </c>
      <c r="D1086" s="2" t="s">
        <v>19</v>
      </c>
      <c r="E1086">
        <v>12985</v>
      </c>
      <c r="F1086">
        <v>2551</v>
      </c>
      <c r="G1086">
        <v>303</v>
      </c>
      <c r="H1086">
        <v>102.11</v>
      </c>
      <c r="I1086">
        <v>41502.14</v>
      </c>
      <c r="J1086">
        <v>19.649999999999999</v>
      </c>
      <c r="K1086">
        <v>11.88</v>
      </c>
      <c r="L1086">
        <v>0.34</v>
      </c>
      <c r="M1086">
        <v>406.45</v>
      </c>
      <c r="N1086">
        <v>41400.03</v>
      </c>
    </row>
    <row r="1087" spans="1:14" x14ac:dyDescent="0.2">
      <c r="A1087" s="1">
        <v>45564</v>
      </c>
      <c r="B1087" s="2" t="s">
        <v>26</v>
      </c>
      <c r="C1087" s="2" t="s">
        <v>32</v>
      </c>
      <c r="D1087" s="2" t="s">
        <v>25</v>
      </c>
      <c r="E1087">
        <v>20288</v>
      </c>
      <c r="F1087">
        <v>1619</v>
      </c>
      <c r="G1087">
        <v>237</v>
      </c>
      <c r="H1087">
        <v>0</v>
      </c>
      <c r="I1087">
        <v>25206.61</v>
      </c>
      <c r="J1087">
        <v>7.98</v>
      </c>
      <c r="K1087">
        <v>14.64</v>
      </c>
      <c r="L1087">
        <v>0</v>
      </c>
      <c r="M1087">
        <v>0</v>
      </c>
      <c r="N1087">
        <v>25206.61</v>
      </c>
    </row>
    <row r="1088" spans="1:14" x14ac:dyDescent="0.2">
      <c r="A1088" s="1">
        <v>45564</v>
      </c>
      <c r="B1088" s="2" t="s">
        <v>27</v>
      </c>
      <c r="C1088" s="2" t="s">
        <v>18</v>
      </c>
      <c r="D1088" s="2" t="s">
        <v>25</v>
      </c>
      <c r="E1088">
        <v>20640</v>
      </c>
      <c r="F1088">
        <v>392</v>
      </c>
      <c r="G1088">
        <v>9</v>
      </c>
      <c r="H1088">
        <v>493.67</v>
      </c>
      <c r="I1088">
        <v>873.41</v>
      </c>
      <c r="J1088">
        <v>1.9</v>
      </c>
      <c r="K1088">
        <v>2.2999999999999998</v>
      </c>
      <c r="L1088">
        <v>54.85</v>
      </c>
      <c r="M1088">
        <v>1.77</v>
      </c>
      <c r="N1088">
        <v>379.74</v>
      </c>
    </row>
    <row r="1089" spans="1:14" x14ac:dyDescent="0.2">
      <c r="A1089" s="1">
        <v>45564</v>
      </c>
      <c r="B1089" s="2" t="s">
        <v>29</v>
      </c>
      <c r="C1089" s="2" t="s">
        <v>15</v>
      </c>
      <c r="D1089" s="2" t="s">
        <v>22</v>
      </c>
      <c r="E1089">
        <v>15182</v>
      </c>
      <c r="F1089">
        <v>288</v>
      </c>
      <c r="G1089">
        <v>12</v>
      </c>
      <c r="H1089">
        <v>935.4</v>
      </c>
      <c r="I1089">
        <v>1453.84</v>
      </c>
      <c r="J1089">
        <v>1.9</v>
      </c>
      <c r="K1089">
        <v>4.17</v>
      </c>
      <c r="L1089">
        <v>77.95</v>
      </c>
      <c r="M1089">
        <v>1.55</v>
      </c>
      <c r="N1089">
        <v>518.44000000000005</v>
      </c>
    </row>
    <row r="1090" spans="1:14" x14ac:dyDescent="0.2">
      <c r="A1090" s="1">
        <v>45564</v>
      </c>
      <c r="B1090" s="2" t="s">
        <v>30</v>
      </c>
      <c r="C1090" s="2" t="s">
        <v>32</v>
      </c>
      <c r="D1090" s="2" t="s">
        <v>25</v>
      </c>
      <c r="E1090">
        <v>9508</v>
      </c>
      <c r="F1090">
        <v>229</v>
      </c>
      <c r="G1090">
        <v>12</v>
      </c>
      <c r="H1090">
        <v>358.48</v>
      </c>
      <c r="I1090">
        <v>1174.97</v>
      </c>
      <c r="J1090">
        <v>2.41</v>
      </c>
      <c r="K1090">
        <v>5.24</v>
      </c>
      <c r="L1090">
        <v>29.87</v>
      </c>
      <c r="M1090">
        <v>3.28</v>
      </c>
      <c r="N1090">
        <v>816.49</v>
      </c>
    </row>
    <row r="1091" spans="1:14" x14ac:dyDescent="0.2">
      <c r="A1091" s="1">
        <v>45564</v>
      </c>
      <c r="B1091" s="2" t="s">
        <v>31</v>
      </c>
      <c r="C1091" s="2" t="s">
        <v>21</v>
      </c>
      <c r="D1091" s="2" t="s">
        <v>22</v>
      </c>
      <c r="E1091">
        <v>15770</v>
      </c>
      <c r="F1091">
        <v>547</v>
      </c>
      <c r="G1091">
        <v>16</v>
      </c>
      <c r="H1091">
        <v>693.66</v>
      </c>
      <c r="I1091">
        <v>1534.58</v>
      </c>
      <c r="J1091">
        <v>3.47</v>
      </c>
      <c r="K1091">
        <v>2.93</v>
      </c>
      <c r="L1091">
        <v>43.35</v>
      </c>
      <c r="M1091">
        <v>2.21</v>
      </c>
      <c r="N1091">
        <v>840.92</v>
      </c>
    </row>
    <row r="1092" spans="1:14" x14ac:dyDescent="0.2">
      <c r="A1092" s="1">
        <v>45564</v>
      </c>
      <c r="B1092" s="2" t="s">
        <v>33</v>
      </c>
      <c r="C1092" s="2" t="s">
        <v>15</v>
      </c>
      <c r="D1092" s="2" t="s">
        <v>25</v>
      </c>
      <c r="E1092">
        <v>5487</v>
      </c>
      <c r="F1092">
        <v>273</v>
      </c>
      <c r="G1092">
        <v>26</v>
      </c>
      <c r="H1092">
        <v>433.41</v>
      </c>
      <c r="I1092">
        <v>3598.48</v>
      </c>
      <c r="J1092">
        <v>4.9800000000000004</v>
      </c>
      <c r="K1092">
        <v>9.52</v>
      </c>
      <c r="L1092">
        <v>16.670000000000002</v>
      </c>
      <c r="M1092">
        <v>8.3000000000000007</v>
      </c>
      <c r="N1092">
        <v>3165.07</v>
      </c>
    </row>
    <row r="1093" spans="1:14" x14ac:dyDescent="0.2">
      <c r="A1093" s="1">
        <v>45564</v>
      </c>
      <c r="B1093" s="2" t="s">
        <v>34</v>
      </c>
      <c r="C1093" s="2" t="s">
        <v>15</v>
      </c>
      <c r="D1093" s="2" t="s">
        <v>25</v>
      </c>
      <c r="E1093">
        <v>2909</v>
      </c>
      <c r="F1093">
        <v>199</v>
      </c>
      <c r="G1093">
        <v>34</v>
      </c>
      <c r="H1093">
        <v>49.02</v>
      </c>
      <c r="I1093">
        <v>6130.11</v>
      </c>
      <c r="J1093">
        <v>6.84</v>
      </c>
      <c r="K1093">
        <v>17.09</v>
      </c>
      <c r="L1093">
        <v>1.44</v>
      </c>
      <c r="M1093">
        <v>125.05</v>
      </c>
      <c r="N1093">
        <v>6081.09</v>
      </c>
    </row>
    <row r="1094" spans="1:14" x14ac:dyDescent="0.2">
      <c r="A1094" s="1">
        <v>45565</v>
      </c>
      <c r="B1094" s="2" t="s">
        <v>14</v>
      </c>
      <c r="C1094" s="2" t="s">
        <v>35</v>
      </c>
      <c r="D1094" s="2" t="s">
        <v>25</v>
      </c>
      <c r="E1094">
        <v>14225</v>
      </c>
      <c r="F1094">
        <v>632</v>
      </c>
      <c r="G1094">
        <v>68</v>
      </c>
      <c r="H1094">
        <v>1340.49</v>
      </c>
      <c r="I1094">
        <v>11052.45</v>
      </c>
      <c r="J1094">
        <v>4.4400000000000004</v>
      </c>
      <c r="K1094">
        <v>10.76</v>
      </c>
      <c r="L1094">
        <v>19.71</v>
      </c>
      <c r="M1094">
        <v>8.25</v>
      </c>
      <c r="N1094">
        <v>9711.9599999999991</v>
      </c>
    </row>
    <row r="1095" spans="1:14" x14ac:dyDescent="0.2">
      <c r="A1095" s="1">
        <v>45565</v>
      </c>
      <c r="B1095" s="2" t="s">
        <v>17</v>
      </c>
      <c r="C1095" s="2" t="s">
        <v>18</v>
      </c>
      <c r="D1095" s="2" t="s">
        <v>16</v>
      </c>
      <c r="E1095">
        <v>19717</v>
      </c>
      <c r="F1095">
        <v>534</v>
      </c>
      <c r="G1095">
        <v>32</v>
      </c>
      <c r="H1095">
        <v>1062.07</v>
      </c>
      <c r="I1095">
        <v>3913.85</v>
      </c>
      <c r="J1095">
        <v>2.71</v>
      </c>
      <c r="K1095">
        <v>5.99</v>
      </c>
      <c r="L1095">
        <v>33.19</v>
      </c>
      <c r="M1095">
        <v>3.69</v>
      </c>
      <c r="N1095">
        <v>2851.78</v>
      </c>
    </row>
    <row r="1096" spans="1:14" x14ac:dyDescent="0.2">
      <c r="A1096" s="1">
        <v>45565</v>
      </c>
      <c r="B1096" s="2" t="s">
        <v>20</v>
      </c>
      <c r="C1096" s="2" t="s">
        <v>18</v>
      </c>
      <c r="D1096" s="2" t="s">
        <v>16</v>
      </c>
      <c r="E1096">
        <v>12407</v>
      </c>
      <c r="F1096">
        <v>489</v>
      </c>
      <c r="G1096">
        <v>24</v>
      </c>
      <c r="H1096">
        <v>632.89</v>
      </c>
      <c r="I1096">
        <v>2682.2</v>
      </c>
      <c r="J1096">
        <v>3.94</v>
      </c>
      <c r="K1096">
        <v>4.91</v>
      </c>
      <c r="L1096">
        <v>26.37</v>
      </c>
      <c r="M1096">
        <v>4.24</v>
      </c>
      <c r="N1096">
        <v>2049.31</v>
      </c>
    </row>
    <row r="1097" spans="1:14" x14ac:dyDescent="0.2">
      <c r="A1097" s="1">
        <v>45565</v>
      </c>
      <c r="B1097" s="2" t="s">
        <v>23</v>
      </c>
      <c r="C1097" s="2" t="s">
        <v>15</v>
      </c>
      <c r="D1097" s="2" t="s">
        <v>25</v>
      </c>
      <c r="E1097">
        <v>5485</v>
      </c>
      <c r="F1097">
        <v>152</v>
      </c>
      <c r="G1097">
        <v>20</v>
      </c>
      <c r="H1097">
        <v>1149.75</v>
      </c>
      <c r="I1097">
        <v>4476.3</v>
      </c>
      <c r="J1097">
        <v>2.77</v>
      </c>
      <c r="K1097">
        <v>13.16</v>
      </c>
      <c r="L1097">
        <v>57.49</v>
      </c>
      <c r="M1097">
        <v>3.89</v>
      </c>
      <c r="N1097">
        <v>3326.55</v>
      </c>
    </row>
    <row r="1098" spans="1:14" x14ac:dyDescent="0.2">
      <c r="A1098" s="1">
        <v>45565</v>
      </c>
      <c r="B1098" s="2" t="s">
        <v>24</v>
      </c>
      <c r="C1098" s="2" t="s">
        <v>35</v>
      </c>
      <c r="D1098" s="2" t="s">
        <v>22</v>
      </c>
      <c r="E1098">
        <v>21690</v>
      </c>
      <c r="F1098">
        <v>4642</v>
      </c>
      <c r="G1098">
        <v>430</v>
      </c>
      <c r="H1098">
        <v>124.82</v>
      </c>
      <c r="I1098">
        <v>63923.21</v>
      </c>
      <c r="J1098">
        <v>21.4</v>
      </c>
      <c r="K1098">
        <v>9.26</v>
      </c>
      <c r="L1098">
        <v>0.28999999999999998</v>
      </c>
      <c r="M1098">
        <v>512.12</v>
      </c>
      <c r="N1098">
        <v>63798.39</v>
      </c>
    </row>
    <row r="1099" spans="1:14" x14ac:dyDescent="0.2">
      <c r="A1099" s="1">
        <v>45565</v>
      </c>
      <c r="B1099" s="2" t="s">
        <v>26</v>
      </c>
      <c r="C1099" s="2" t="s">
        <v>32</v>
      </c>
      <c r="D1099" s="2" t="s">
        <v>36</v>
      </c>
      <c r="E1099">
        <v>22029</v>
      </c>
      <c r="F1099">
        <v>1330</v>
      </c>
      <c r="G1099">
        <v>152</v>
      </c>
      <c r="H1099">
        <v>0</v>
      </c>
      <c r="I1099">
        <v>20186.169999999998</v>
      </c>
      <c r="J1099">
        <v>6.04</v>
      </c>
      <c r="K1099">
        <v>11.43</v>
      </c>
      <c r="L1099">
        <v>0</v>
      </c>
      <c r="M1099">
        <v>0</v>
      </c>
      <c r="N1099">
        <v>20186.169999999998</v>
      </c>
    </row>
    <row r="1100" spans="1:14" x14ac:dyDescent="0.2">
      <c r="A1100" s="1">
        <v>45565</v>
      </c>
      <c r="B1100" s="2" t="s">
        <v>27</v>
      </c>
      <c r="C1100" s="2" t="s">
        <v>32</v>
      </c>
      <c r="D1100" s="2" t="s">
        <v>16</v>
      </c>
      <c r="E1100">
        <v>27699</v>
      </c>
      <c r="F1100">
        <v>387</v>
      </c>
      <c r="G1100">
        <v>16</v>
      </c>
      <c r="H1100">
        <v>1027.28</v>
      </c>
      <c r="I1100">
        <v>1518.93</v>
      </c>
      <c r="J1100">
        <v>1.4</v>
      </c>
      <c r="K1100">
        <v>4.13</v>
      </c>
      <c r="L1100">
        <v>64.2</v>
      </c>
      <c r="M1100">
        <v>1.48</v>
      </c>
      <c r="N1100">
        <v>491.65</v>
      </c>
    </row>
    <row r="1101" spans="1:14" x14ac:dyDescent="0.2">
      <c r="A1101" s="1">
        <v>45565</v>
      </c>
      <c r="B1101" s="2" t="s">
        <v>29</v>
      </c>
      <c r="C1101" s="2" t="s">
        <v>28</v>
      </c>
      <c r="D1101" s="2" t="s">
        <v>25</v>
      </c>
      <c r="E1101">
        <v>24533</v>
      </c>
      <c r="F1101">
        <v>619</v>
      </c>
      <c r="G1101">
        <v>40</v>
      </c>
      <c r="H1101">
        <v>1396.29</v>
      </c>
      <c r="I1101">
        <v>4846.92</v>
      </c>
      <c r="J1101">
        <v>2.52</v>
      </c>
      <c r="K1101">
        <v>6.46</v>
      </c>
      <c r="L1101">
        <v>34.909999999999997</v>
      </c>
      <c r="M1101">
        <v>3.47</v>
      </c>
      <c r="N1101">
        <v>3450.63</v>
      </c>
    </row>
    <row r="1102" spans="1:14" x14ac:dyDescent="0.2">
      <c r="A1102" s="1">
        <v>45565</v>
      </c>
      <c r="B1102" s="2" t="s">
        <v>30</v>
      </c>
      <c r="C1102" s="2" t="s">
        <v>35</v>
      </c>
      <c r="D1102" s="2" t="s">
        <v>19</v>
      </c>
      <c r="E1102">
        <v>12888</v>
      </c>
      <c r="F1102">
        <v>280</v>
      </c>
      <c r="G1102">
        <v>15</v>
      </c>
      <c r="H1102">
        <v>727.52</v>
      </c>
      <c r="I1102">
        <v>1669.31</v>
      </c>
      <c r="J1102">
        <v>2.17</v>
      </c>
      <c r="K1102">
        <v>5.36</v>
      </c>
      <c r="L1102">
        <v>48.5</v>
      </c>
      <c r="M1102">
        <v>2.29</v>
      </c>
      <c r="N1102">
        <v>941.79</v>
      </c>
    </row>
    <row r="1103" spans="1:14" x14ac:dyDescent="0.2">
      <c r="A1103" s="1">
        <v>45565</v>
      </c>
      <c r="B1103" s="2" t="s">
        <v>31</v>
      </c>
      <c r="C1103" s="2" t="s">
        <v>28</v>
      </c>
      <c r="D1103" s="2" t="s">
        <v>22</v>
      </c>
      <c r="E1103">
        <v>26966</v>
      </c>
      <c r="F1103">
        <v>919</v>
      </c>
      <c r="G1103">
        <v>58</v>
      </c>
      <c r="H1103">
        <v>1025.92</v>
      </c>
      <c r="I1103">
        <v>4277.43</v>
      </c>
      <c r="J1103">
        <v>3.41</v>
      </c>
      <c r="K1103">
        <v>6.31</v>
      </c>
      <c r="L1103">
        <v>17.690000000000001</v>
      </c>
      <c r="M1103">
        <v>4.17</v>
      </c>
      <c r="N1103">
        <v>3251.51</v>
      </c>
    </row>
    <row r="1104" spans="1:14" x14ac:dyDescent="0.2">
      <c r="A1104" s="1">
        <v>45565</v>
      </c>
      <c r="B1104" s="2" t="s">
        <v>33</v>
      </c>
      <c r="C1104" s="2" t="s">
        <v>15</v>
      </c>
      <c r="D1104" s="2" t="s">
        <v>36</v>
      </c>
      <c r="E1104">
        <v>9807</v>
      </c>
      <c r="F1104">
        <v>562</v>
      </c>
      <c r="G1104">
        <v>71</v>
      </c>
      <c r="H1104">
        <v>428.96</v>
      </c>
      <c r="I1104">
        <v>7935.47</v>
      </c>
      <c r="J1104">
        <v>5.73</v>
      </c>
      <c r="K1104">
        <v>12.63</v>
      </c>
      <c r="L1104">
        <v>6.04</v>
      </c>
      <c r="M1104">
        <v>18.5</v>
      </c>
      <c r="N1104">
        <v>7506.51</v>
      </c>
    </row>
    <row r="1105" spans="1:14" x14ac:dyDescent="0.2">
      <c r="A1105" s="1">
        <v>45565</v>
      </c>
      <c r="B1105" s="2" t="s">
        <v>34</v>
      </c>
      <c r="C1105" s="2" t="s">
        <v>35</v>
      </c>
      <c r="D1105" s="2" t="s">
        <v>36</v>
      </c>
      <c r="E1105">
        <v>3143</v>
      </c>
      <c r="F1105">
        <v>204</v>
      </c>
      <c r="G1105">
        <v>29</v>
      </c>
      <c r="H1105">
        <v>106.29</v>
      </c>
      <c r="I1105">
        <v>4131.28</v>
      </c>
      <c r="J1105">
        <v>6.49</v>
      </c>
      <c r="K1105">
        <v>14.22</v>
      </c>
      <c r="L1105">
        <v>3.67</v>
      </c>
      <c r="M1105">
        <v>38.869999999999997</v>
      </c>
      <c r="N1105">
        <v>4024.99</v>
      </c>
    </row>
    <row r="1106" spans="1:14" x14ac:dyDescent="0.2">
      <c r="A1106" s="1">
        <v>45566</v>
      </c>
      <c r="B1106" s="2" t="s">
        <v>14</v>
      </c>
      <c r="C1106" s="2" t="s">
        <v>18</v>
      </c>
      <c r="D1106" s="2" t="s">
        <v>16</v>
      </c>
      <c r="E1106">
        <v>11198</v>
      </c>
      <c r="F1106">
        <v>422</v>
      </c>
      <c r="G1106">
        <v>50</v>
      </c>
      <c r="H1106">
        <v>1167.76</v>
      </c>
      <c r="I1106">
        <v>8632.77</v>
      </c>
      <c r="J1106">
        <v>3.77</v>
      </c>
      <c r="K1106">
        <v>11.85</v>
      </c>
      <c r="L1106">
        <v>23.36</v>
      </c>
      <c r="M1106">
        <v>7.39</v>
      </c>
      <c r="N1106">
        <v>7465.01</v>
      </c>
    </row>
    <row r="1107" spans="1:14" x14ac:dyDescent="0.2">
      <c r="A1107" s="1">
        <v>45566</v>
      </c>
      <c r="B1107" s="2" t="s">
        <v>17</v>
      </c>
      <c r="C1107" s="2" t="s">
        <v>21</v>
      </c>
      <c r="D1107" s="2" t="s">
        <v>36</v>
      </c>
      <c r="E1107">
        <v>16964</v>
      </c>
      <c r="F1107">
        <v>533</v>
      </c>
      <c r="G1107">
        <v>31</v>
      </c>
      <c r="H1107">
        <v>902.4</v>
      </c>
      <c r="I1107">
        <v>3704.4</v>
      </c>
      <c r="J1107">
        <v>3.14</v>
      </c>
      <c r="K1107">
        <v>5.82</v>
      </c>
      <c r="L1107">
        <v>29.11</v>
      </c>
      <c r="M1107">
        <v>4.1100000000000003</v>
      </c>
      <c r="N1107">
        <v>2802</v>
      </c>
    </row>
    <row r="1108" spans="1:14" x14ac:dyDescent="0.2">
      <c r="A1108" s="1">
        <v>45566</v>
      </c>
      <c r="B1108" s="2" t="s">
        <v>20</v>
      </c>
      <c r="C1108" s="2" t="s">
        <v>28</v>
      </c>
      <c r="D1108" s="2" t="s">
        <v>36</v>
      </c>
      <c r="E1108">
        <v>11473</v>
      </c>
      <c r="F1108">
        <v>346</v>
      </c>
      <c r="G1108">
        <v>21</v>
      </c>
      <c r="H1108">
        <v>944.2</v>
      </c>
      <c r="I1108">
        <v>2051.7800000000002</v>
      </c>
      <c r="J1108">
        <v>3.02</v>
      </c>
      <c r="K1108">
        <v>6.07</v>
      </c>
      <c r="L1108">
        <v>44.96</v>
      </c>
      <c r="M1108">
        <v>2.17</v>
      </c>
      <c r="N1108">
        <v>1107.58</v>
      </c>
    </row>
    <row r="1109" spans="1:14" x14ac:dyDescent="0.2">
      <c r="A1109" s="1">
        <v>45566</v>
      </c>
      <c r="B1109" s="2" t="s">
        <v>23</v>
      </c>
      <c r="C1109" s="2" t="s">
        <v>28</v>
      </c>
      <c r="D1109" s="2" t="s">
        <v>22</v>
      </c>
      <c r="E1109">
        <v>5092</v>
      </c>
      <c r="F1109">
        <v>83</v>
      </c>
      <c r="G1109">
        <v>8</v>
      </c>
      <c r="H1109">
        <v>1758.65</v>
      </c>
      <c r="I1109">
        <v>2202.63</v>
      </c>
      <c r="J1109">
        <v>1.63</v>
      </c>
      <c r="K1109">
        <v>9.64</v>
      </c>
      <c r="L1109">
        <v>219.83</v>
      </c>
      <c r="M1109">
        <v>1.25</v>
      </c>
      <c r="N1109">
        <v>443.98</v>
      </c>
    </row>
    <row r="1110" spans="1:14" x14ac:dyDescent="0.2">
      <c r="A1110" s="1">
        <v>45566</v>
      </c>
      <c r="B1110" s="2" t="s">
        <v>24</v>
      </c>
      <c r="C1110" s="2" t="s">
        <v>35</v>
      </c>
      <c r="D1110" s="2" t="s">
        <v>25</v>
      </c>
      <c r="E1110">
        <v>23168</v>
      </c>
      <c r="F1110">
        <v>5685</v>
      </c>
      <c r="G1110">
        <v>709</v>
      </c>
      <c r="H1110">
        <v>110.91</v>
      </c>
      <c r="I1110">
        <v>81975.72</v>
      </c>
      <c r="J1110">
        <v>24.54</v>
      </c>
      <c r="K1110">
        <v>12.47</v>
      </c>
      <c r="L1110">
        <v>0.16</v>
      </c>
      <c r="M1110">
        <v>739.12</v>
      </c>
      <c r="N1110">
        <v>81864.81</v>
      </c>
    </row>
    <row r="1111" spans="1:14" x14ac:dyDescent="0.2">
      <c r="A1111" s="1">
        <v>45566</v>
      </c>
      <c r="B1111" s="2" t="s">
        <v>26</v>
      </c>
      <c r="C1111" s="2" t="s">
        <v>21</v>
      </c>
      <c r="D1111" s="2" t="s">
        <v>19</v>
      </c>
      <c r="E1111">
        <v>24942</v>
      </c>
      <c r="F1111">
        <v>1612</v>
      </c>
      <c r="G1111">
        <v>192</v>
      </c>
      <c r="H1111">
        <v>0</v>
      </c>
      <c r="I1111">
        <v>28775.37</v>
      </c>
      <c r="J1111">
        <v>6.46</v>
      </c>
      <c r="K1111">
        <v>11.91</v>
      </c>
      <c r="L1111">
        <v>0</v>
      </c>
      <c r="M1111">
        <v>0</v>
      </c>
      <c r="N1111">
        <v>28775.37</v>
      </c>
    </row>
    <row r="1112" spans="1:14" x14ac:dyDescent="0.2">
      <c r="A1112" s="1">
        <v>45566</v>
      </c>
      <c r="B1112" s="2" t="s">
        <v>27</v>
      </c>
      <c r="C1112" s="2" t="s">
        <v>15</v>
      </c>
      <c r="D1112" s="2" t="s">
        <v>19</v>
      </c>
      <c r="E1112">
        <v>35913</v>
      </c>
      <c r="F1112">
        <v>678</v>
      </c>
      <c r="G1112">
        <v>17</v>
      </c>
      <c r="H1112">
        <v>902.53</v>
      </c>
      <c r="I1112">
        <v>1973.73</v>
      </c>
      <c r="J1112">
        <v>1.89</v>
      </c>
      <c r="K1112">
        <v>2.5099999999999998</v>
      </c>
      <c r="L1112">
        <v>53.09</v>
      </c>
      <c r="M1112">
        <v>2.19</v>
      </c>
      <c r="N1112">
        <v>1071.2</v>
      </c>
    </row>
    <row r="1113" spans="1:14" x14ac:dyDescent="0.2">
      <c r="A1113" s="1">
        <v>45566</v>
      </c>
      <c r="B1113" s="2" t="s">
        <v>29</v>
      </c>
      <c r="C1113" s="2" t="s">
        <v>15</v>
      </c>
      <c r="D1113" s="2" t="s">
        <v>19</v>
      </c>
      <c r="E1113">
        <v>16621</v>
      </c>
      <c r="F1113">
        <v>319</v>
      </c>
      <c r="G1113">
        <v>25</v>
      </c>
      <c r="H1113">
        <v>970.72</v>
      </c>
      <c r="I1113">
        <v>2291.9699999999998</v>
      </c>
      <c r="J1113">
        <v>1.92</v>
      </c>
      <c r="K1113">
        <v>7.84</v>
      </c>
      <c r="L1113">
        <v>38.83</v>
      </c>
      <c r="M1113">
        <v>2.36</v>
      </c>
      <c r="N1113">
        <v>1321.25</v>
      </c>
    </row>
    <row r="1114" spans="1:14" x14ac:dyDescent="0.2">
      <c r="A1114" s="1">
        <v>45566</v>
      </c>
      <c r="B1114" s="2" t="s">
        <v>30</v>
      </c>
      <c r="C1114" s="2" t="s">
        <v>28</v>
      </c>
      <c r="D1114" s="2" t="s">
        <v>22</v>
      </c>
      <c r="E1114">
        <v>13910</v>
      </c>
      <c r="F1114">
        <v>342</v>
      </c>
      <c r="G1114">
        <v>16</v>
      </c>
      <c r="H1114">
        <v>410.89</v>
      </c>
      <c r="I1114">
        <v>1193.32</v>
      </c>
      <c r="J1114">
        <v>2.46</v>
      </c>
      <c r="K1114">
        <v>4.68</v>
      </c>
      <c r="L1114">
        <v>25.68</v>
      </c>
      <c r="M1114">
        <v>2.9</v>
      </c>
      <c r="N1114">
        <v>782.43</v>
      </c>
    </row>
    <row r="1115" spans="1:14" x14ac:dyDescent="0.2">
      <c r="A1115" s="1">
        <v>45566</v>
      </c>
      <c r="B1115" s="2" t="s">
        <v>31</v>
      </c>
      <c r="C1115" s="2" t="s">
        <v>35</v>
      </c>
      <c r="D1115" s="2" t="s">
        <v>25</v>
      </c>
      <c r="E1115">
        <v>29826</v>
      </c>
      <c r="F1115">
        <v>790</v>
      </c>
      <c r="G1115">
        <v>42</v>
      </c>
      <c r="H1115">
        <v>1033.45</v>
      </c>
      <c r="I1115">
        <v>3662.72</v>
      </c>
      <c r="J1115">
        <v>2.65</v>
      </c>
      <c r="K1115">
        <v>5.32</v>
      </c>
      <c r="L1115">
        <v>24.61</v>
      </c>
      <c r="M1115">
        <v>3.54</v>
      </c>
      <c r="N1115">
        <v>2629.27</v>
      </c>
    </row>
    <row r="1116" spans="1:14" x14ac:dyDescent="0.2">
      <c r="A1116" s="1">
        <v>45566</v>
      </c>
      <c r="B1116" s="2" t="s">
        <v>33</v>
      </c>
      <c r="C1116" s="2" t="s">
        <v>32</v>
      </c>
      <c r="D1116" s="2" t="s">
        <v>16</v>
      </c>
      <c r="E1116">
        <v>5051</v>
      </c>
      <c r="F1116">
        <v>267</v>
      </c>
      <c r="G1116">
        <v>28</v>
      </c>
      <c r="H1116">
        <v>314.99</v>
      </c>
      <c r="I1116">
        <v>3265.72</v>
      </c>
      <c r="J1116">
        <v>5.29</v>
      </c>
      <c r="K1116">
        <v>10.49</v>
      </c>
      <c r="L1116">
        <v>11.25</v>
      </c>
      <c r="M1116">
        <v>10.37</v>
      </c>
      <c r="N1116">
        <v>2950.73</v>
      </c>
    </row>
    <row r="1117" spans="1:14" x14ac:dyDescent="0.2">
      <c r="A1117" s="1">
        <v>45566</v>
      </c>
      <c r="B1117" s="2" t="s">
        <v>34</v>
      </c>
      <c r="C1117" s="2" t="s">
        <v>35</v>
      </c>
      <c r="D1117" s="2" t="s">
        <v>22</v>
      </c>
      <c r="E1117">
        <v>4291</v>
      </c>
      <c r="F1117">
        <v>285</v>
      </c>
      <c r="G1117">
        <v>45</v>
      </c>
      <c r="H1117">
        <v>166</v>
      </c>
      <c r="I1117">
        <v>8172.82</v>
      </c>
      <c r="J1117">
        <v>6.64</v>
      </c>
      <c r="K1117">
        <v>15.79</v>
      </c>
      <c r="L1117">
        <v>3.69</v>
      </c>
      <c r="M1117">
        <v>49.23</v>
      </c>
      <c r="N1117">
        <v>8006.82</v>
      </c>
    </row>
    <row r="1118" spans="1:14" x14ac:dyDescent="0.2">
      <c r="A1118" s="1">
        <v>45567</v>
      </c>
      <c r="B1118" s="2" t="s">
        <v>14</v>
      </c>
      <c r="C1118" s="2" t="s">
        <v>28</v>
      </c>
      <c r="D1118" s="2" t="s">
        <v>16</v>
      </c>
      <c r="E1118">
        <v>10315</v>
      </c>
      <c r="F1118">
        <v>487</v>
      </c>
      <c r="G1118">
        <v>51</v>
      </c>
      <c r="H1118">
        <v>863.07</v>
      </c>
      <c r="I1118">
        <v>6463.01</v>
      </c>
      <c r="J1118">
        <v>4.72</v>
      </c>
      <c r="K1118">
        <v>10.47</v>
      </c>
      <c r="L1118">
        <v>16.920000000000002</v>
      </c>
      <c r="M1118">
        <v>7.49</v>
      </c>
      <c r="N1118">
        <v>5599.94</v>
      </c>
    </row>
    <row r="1119" spans="1:14" x14ac:dyDescent="0.2">
      <c r="A1119" s="1">
        <v>45567</v>
      </c>
      <c r="B1119" s="2" t="s">
        <v>17</v>
      </c>
      <c r="C1119" s="2" t="s">
        <v>35</v>
      </c>
      <c r="D1119" s="2" t="s">
        <v>36</v>
      </c>
      <c r="E1119">
        <v>19828</v>
      </c>
      <c r="F1119">
        <v>481</v>
      </c>
      <c r="G1119">
        <v>39</v>
      </c>
      <c r="H1119">
        <v>914.15</v>
      </c>
      <c r="I1119">
        <v>4356.05</v>
      </c>
      <c r="J1119">
        <v>2.4300000000000002</v>
      </c>
      <c r="K1119">
        <v>8.11</v>
      </c>
      <c r="L1119">
        <v>23.44</v>
      </c>
      <c r="M1119">
        <v>4.7699999999999996</v>
      </c>
      <c r="N1119">
        <v>3441.9</v>
      </c>
    </row>
    <row r="1120" spans="1:14" x14ac:dyDescent="0.2">
      <c r="A1120" s="1">
        <v>45567</v>
      </c>
      <c r="B1120" s="2" t="s">
        <v>20</v>
      </c>
      <c r="C1120" s="2" t="s">
        <v>21</v>
      </c>
      <c r="D1120" s="2" t="s">
        <v>22</v>
      </c>
      <c r="E1120">
        <v>16899</v>
      </c>
      <c r="F1120">
        <v>497</v>
      </c>
      <c r="G1120">
        <v>36</v>
      </c>
      <c r="H1120">
        <v>878.44</v>
      </c>
      <c r="I1120">
        <v>2756.3</v>
      </c>
      <c r="J1120">
        <v>2.94</v>
      </c>
      <c r="K1120">
        <v>7.24</v>
      </c>
      <c r="L1120">
        <v>24.4</v>
      </c>
      <c r="M1120">
        <v>3.14</v>
      </c>
      <c r="N1120">
        <v>1877.86</v>
      </c>
    </row>
    <row r="1121" spans="1:14" x14ac:dyDescent="0.2">
      <c r="A1121" s="1">
        <v>45567</v>
      </c>
      <c r="B1121" s="2" t="s">
        <v>23</v>
      </c>
      <c r="C1121" s="2" t="s">
        <v>18</v>
      </c>
      <c r="D1121" s="2" t="s">
        <v>16</v>
      </c>
      <c r="E1121">
        <v>5396</v>
      </c>
      <c r="F1121">
        <v>134</v>
      </c>
      <c r="G1121">
        <v>17</v>
      </c>
      <c r="H1121">
        <v>1689.81</v>
      </c>
      <c r="I1121">
        <v>5003.54</v>
      </c>
      <c r="J1121">
        <v>2.48</v>
      </c>
      <c r="K1121">
        <v>12.69</v>
      </c>
      <c r="L1121">
        <v>99.4</v>
      </c>
      <c r="M1121">
        <v>2.96</v>
      </c>
      <c r="N1121">
        <v>3313.73</v>
      </c>
    </row>
    <row r="1122" spans="1:14" x14ac:dyDescent="0.2">
      <c r="A1122" s="1">
        <v>45567</v>
      </c>
      <c r="B1122" s="2" t="s">
        <v>24</v>
      </c>
      <c r="C1122" s="2" t="s">
        <v>35</v>
      </c>
      <c r="D1122" s="2" t="s">
        <v>36</v>
      </c>
      <c r="E1122">
        <v>23548</v>
      </c>
      <c r="F1122">
        <v>5214</v>
      </c>
      <c r="G1122">
        <v>716</v>
      </c>
      <c r="H1122">
        <v>213.52</v>
      </c>
      <c r="I1122">
        <v>89168.8</v>
      </c>
      <c r="J1122">
        <v>22.14</v>
      </c>
      <c r="K1122">
        <v>13.73</v>
      </c>
      <c r="L1122">
        <v>0.3</v>
      </c>
      <c r="M1122">
        <v>417.61</v>
      </c>
      <c r="N1122">
        <v>88955.28</v>
      </c>
    </row>
    <row r="1123" spans="1:14" x14ac:dyDescent="0.2">
      <c r="A1123" s="1">
        <v>45567</v>
      </c>
      <c r="B1123" s="2" t="s">
        <v>26</v>
      </c>
      <c r="C1123" s="2" t="s">
        <v>32</v>
      </c>
      <c r="D1123" s="2" t="s">
        <v>36</v>
      </c>
      <c r="E1123">
        <v>24553</v>
      </c>
      <c r="F1123">
        <v>1944</v>
      </c>
      <c r="G1123">
        <v>298</v>
      </c>
      <c r="H1123">
        <v>0</v>
      </c>
      <c r="I1123">
        <v>31786.85</v>
      </c>
      <c r="J1123">
        <v>7.92</v>
      </c>
      <c r="K1123">
        <v>15.33</v>
      </c>
      <c r="L1123">
        <v>0</v>
      </c>
      <c r="M1123">
        <v>0</v>
      </c>
      <c r="N1123">
        <v>31786.85</v>
      </c>
    </row>
    <row r="1124" spans="1:14" x14ac:dyDescent="0.2">
      <c r="A1124" s="1">
        <v>45567</v>
      </c>
      <c r="B1124" s="2" t="s">
        <v>27</v>
      </c>
      <c r="C1124" s="2" t="s">
        <v>21</v>
      </c>
      <c r="D1124" s="2" t="s">
        <v>22</v>
      </c>
      <c r="E1124">
        <v>33095</v>
      </c>
      <c r="F1124">
        <v>338</v>
      </c>
      <c r="G1124">
        <v>13</v>
      </c>
      <c r="H1124">
        <v>1294.19</v>
      </c>
      <c r="I1124">
        <v>1516.25</v>
      </c>
      <c r="J1124">
        <v>1.02</v>
      </c>
      <c r="K1124">
        <v>3.85</v>
      </c>
      <c r="L1124">
        <v>99.55</v>
      </c>
      <c r="M1124">
        <v>1.17</v>
      </c>
      <c r="N1124">
        <v>222.06</v>
      </c>
    </row>
    <row r="1125" spans="1:14" x14ac:dyDescent="0.2">
      <c r="A1125" s="1">
        <v>45567</v>
      </c>
      <c r="B1125" s="2" t="s">
        <v>29</v>
      </c>
      <c r="C1125" s="2" t="s">
        <v>35</v>
      </c>
      <c r="D1125" s="2" t="s">
        <v>25</v>
      </c>
      <c r="E1125">
        <v>19476</v>
      </c>
      <c r="F1125">
        <v>566</v>
      </c>
      <c r="G1125">
        <v>40</v>
      </c>
      <c r="H1125">
        <v>950.32</v>
      </c>
      <c r="I1125">
        <v>3965.13</v>
      </c>
      <c r="J1125">
        <v>2.91</v>
      </c>
      <c r="K1125">
        <v>7.07</v>
      </c>
      <c r="L1125">
        <v>23.76</v>
      </c>
      <c r="M1125">
        <v>4.17</v>
      </c>
      <c r="N1125">
        <v>3014.81</v>
      </c>
    </row>
    <row r="1126" spans="1:14" x14ac:dyDescent="0.2">
      <c r="A1126" s="1">
        <v>45567</v>
      </c>
      <c r="B1126" s="2" t="s">
        <v>30</v>
      </c>
      <c r="C1126" s="2" t="s">
        <v>15</v>
      </c>
      <c r="D1126" s="2" t="s">
        <v>19</v>
      </c>
      <c r="E1126">
        <v>13397</v>
      </c>
      <c r="F1126">
        <v>384</v>
      </c>
      <c r="G1126">
        <v>16</v>
      </c>
      <c r="H1126">
        <v>660.74</v>
      </c>
      <c r="I1126">
        <v>1300.52</v>
      </c>
      <c r="J1126">
        <v>2.87</v>
      </c>
      <c r="K1126">
        <v>4.17</v>
      </c>
      <c r="L1126">
        <v>41.3</v>
      </c>
      <c r="M1126">
        <v>1.97</v>
      </c>
      <c r="N1126">
        <v>639.78</v>
      </c>
    </row>
    <row r="1127" spans="1:14" x14ac:dyDescent="0.2">
      <c r="A1127" s="1">
        <v>45567</v>
      </c>
      <c r="B1127" s="2" t="s">
        <v>31</v>
      </c>
      <c r="C1127" s="2" t="s">
        <v>21</v>
      </c>
      <c r="D1127" s="2" t="s">
        <v>22</v>
      </c>
      <c r="E1127">
        <v>28000</v>
      </c>
      <c r="F1127">
        <v>754</v>
      </c>
      <c r="G1127">
        <v>47</v>
      </c>
      <c r="H1127">
        <v>1079.25</v>
      </c>
      <c r="I1127">
        <v>4528.7</v>
      </c>
      <c r="J1127">
        <v>2.69</v>
      </c>
      <c r="K1127">
        <v>6.23</v>
      </c>
      <c r="L1127">
        <v>22.96</v>
      </c>
      <c r="M1127">
        <v>4.2</v>
      </c>
      <c r="N1127">
        <v>3449.45</v>
      </c>
    </row>
    <row r="1128" spans="1:14" x14ac:dyDescent="0.2">
      <c r="A1128" s="1">
        <v>45567</v>
      </c>
      <c r="B1128" s="2" t="s">
        <v>33</v>
      </c>
      <c r="C1128" s="2" t="s">
        <v>28</v>
      </c>
      <c r="D1128" s="2" t="s">
        <v>25</v>
      </c>
      <c r="E1128">
        <v>8743</v>
      </c>
      <c r="F1128">
        <v>440</v>
      </c>
      <c r="G1128">
        <v>54</v>
      </c>
      <c r="H1128">
        <v>621.62</v>
      </c>
      <c r="I1128">
        <v>6233.23</v>
      </c>
      <c r="J1128">
        <v>5.03</v>
      </c>
      <c r="K1128">
        <v>12.27</v>
      </c>
      <c r="L1128">
        <v>11.51</v>
      </c>
      <c r="M1128">
        <v>10.029999999999999</v>
      </c>
      <c r="N1128">
        <v>5611.61</v>
      </c>
    </row>
    <row r="1129" spans="1:14" x14ac:dyDescent="0.2">
      <c r="A1129" s="1">
        <v>45567</v>
      </c>
      <c r="B1129" s="2" t="s">
        <v>34</v>
      </c>
      <c r="C1129" s="2" t="s">
        <v>28</v>
      </c>
      <c r="D1129" s="2" t="s">
        <v>36</v>
      </c>
      <c r="E1129">
        <v>4907</v>
      </c>
      <c r="F1129">
        <v>304</v>
      </c>
      <c r="G1129">
        <v>43</v>
      </c>
      <c r="H1129">
        <v>167.18</v>
      </c>
      <c r="I1129">
        <v>6319.49</v>
      </c>
      <c r="J1129">
        <v>6.2</v>
      </c>
      <c r="K1129">
        <v>14.14</v>
      </c>
      <c r="L1129">
        <v>3.89</v>
      </c>
      <c r="M1129">
        <v>37.799999999999997</v>
      </c>
      <c r="N1129">
        <v>6152.31</v>
      </c>
    </row>
    <row r="1130" spans="1:14" x14ac:dyDescent="0.2">
      <c r="A1130" s="1">
        <v>45568</v>
      </c>
      <c r="B1130" s="2" t="s">
        <v>14</v>
      </c>
      <c r="C1130" s="2" t="s">
        <v>35</v>
      </c>
      <c r="D1130" s="2" t="s">
        <v>36</v>
      </c>
      <c r="E1130">
        <v>13551</v>
      </c>
      <c r="F1130">
        <v>514</v>
      </c>
      <c r="G1130">
        <v>51</v>
      </c>
      <c r="H1130">
        <v>1245.03</v>
      </c>
      <c r="I1130">
        <v>6477.18</v>
      </c>
      <c r="J1130">
        <v>3.79</v>
      </c>
      <c r="K1130">
        <v>9.92</v>
      </c>
      <c r="L1130">
        <v>24.41</v>
      </c>
      <c r="M1130">
        <v>5.2</v>
      </c>
      <c r="N1130">
        <v>5232.1499999999996</v>
      </c>
    </row>
    <row r="1131" spans="1:14" x14ac:dyDescent="0.2">
      <c r="A1131" s="1">
        <v>45568</v>
      </c>
      <c r="B1131" s="2" t="s">
        <v>17</v>
      </c>
      <c r="C1131" s="2" t="s">
        <v>18</v>
      </c>
      <c r="D1131" s="2" t="s">
        <v>16</v>
      </c>
      <c r="E1131">
        <v>12213</v>
      </c>
      <c r="F1131">
        <v>328</v>
      </c>
      <c r="G1131">
        <v>23</v>
      </c>
      <c r="H1131">
        <v>1117.78</v>
      </c>
      <c r="I1131">
        <v>2719.11</v>
      </c>
      <c r="J1131">
        <v>2.69</v>
      </c>
      <c r="K1131">
        <v>7.01</v>
      </c>
      <c r="L1131">
        <v>48.6</v>
      </c>
      <c r="M1131">
        <v>2.4300000000000002</v>
      </c>
      <c r="N1131">
        <v>1601.33</v>
      </c>
    </row>
    <row r="1132" spans="1:14" x14ac:dyDescent="0.2">
      <c r="A1132" s="1">
        <v>45568</v>
      </c>
      <c r="B1132" s="2" t="s">
        <v>20</v>
      </c>
      <c r="C1132" s="2" t="s">
        <v>28</v>
      </c>
      <c r="D1132" s="2" t="s">
        <v>25</v>
      </c>
      <c r="E1132">
        <v>10725</v>
      </c>
      <c r="F1132">
        <v>356</v>
      </c>
      <c r="G1132">
        <v>22</v>
      </c>
      <c r="H1132">
        <v>975.61</v>
      </c>
      <c r="I1132">
        <v>2246.59</v>
      </c>
      <c r="J1132">
        <v>3.32</v>
      </c>
      <c r="K1132">
        <v>6.18</v>
      </c>
      <c r="L1132">
        <v>44.35</v>
      </c>
      <c r="M1132">
        <v>2.2999999999999998</v>
      </c>
      <c r="N1132">
        <v>1270.98</v>
      </c>
    </row>
    <row r="1133" spans="1:14" x14ac:dyDescent="0.2">
      <c r="A1133" s="1">
        <v>45568</v>
      </c>
      <c r="B1133" s="2" t="s">
        <v>23</v>
      </c>
      <c r="C1133" s="2" t="s">
        <v>28</v>
      </c>
      <c r="D1133" s="2" t="s">
        <v>22</v>
      </c>
      <c r="E1133">
        <v>3290</v>
      </c>
      <c r="F1133">
        <v>65</v>
      </c>
      <c r="G1133">
        <v>8</v>
      </c>
      <c r="H1133">
        <v>1356.68</v>
      </c>
      <c r="I1133">
        <v>2053.64</v>
      </c>
      <c r="J1133">
        <v>1.98</v>
      </c>
      <c r="K1133">
        <v>12.31</v>
      </c>
      <c r="L1133">
        <v>169.58</v>
      </c>
      <c r="M1133">
        <v>1.51</v>
      </c>
      <c r="N1133">
        <v>696.96</v>
      </c>
    </row>
    <row r="1134" spans="1:14" x14ac:dyDescent="0.2">
      <c r="A1134" s="1">
        <v>45568</v>
      </c>
      <c r="B1134" s="2" t="s">
        <v>24</v>
      </c>
      <c r="C1134" s="2" t="s">
        <v>21</v>
      </c>
      <c r="D1134" s="2" t="s">
        <v>25</v>
      </c>
      <c r="E1134">
        <v>23150</v>
      </c>
      <c r="F1134">
        <v>4648</v>
      </c>
      <c r="G1134">
        <v>572</v>
      </c>
      <c r="H1134">
        <v>247.85</v>
      </c>
      <c r="I1134">
        <v>81911.67</v>
      </c>
      <c r="J1134">
        <v>20.079999999999998</v>
      </c>
      <c r="K1134">
        <v>12.31</v>
      </c>
      <c r="L1134">
        <v>0.43</v>
      </c>
      <c r="M1134">
        <v>330.49</v>
      </c>
      <c r="N1134">
        <v>81663.820000000007</v>
      </c>
    </row>
    <row r="1135" spans="1:14" x14ac:dyDescent="0.2">
      <c r="A1135" s="1">
        <v>45568</v>
      </c>
      <c r="B1135" s="2" t="s">
        <v>26</v>
      </c>
      <c r="C1135" s="2" t="s">
        <v>35</v>
      </c>
      <c r="D1135" s="2" t="s">
        <v>16</v>
      </c>
      <c r="E1135">
        <v>21052</v>
      </c>
      <c r="F1135">
        <v>1107</v>
      </c>
      <c r="G1135">
        <v>132</v>
      </c>
      <c r="H1135">
        <v>0</v>
      </c>
      <c r="I1135">
        <v>16224.03</v>
      </c>
      <c r="J1135">
        <v>5.26</v>
      </c>
      <c r="K1135">
        <v>11.92</v>
      </c>
      <c r="L1135">
        <v>0</v>
      </c>
      <c r="M1135">
        <v>0</v>
      </c>
      <c r="N1135">
        <v>16224.03</v>
      </c>
    </row>
    <row r="1136" spans="1:14" x14ac:dyDescent="0.2">
      <c r="A1136" s="1">
        <v>45568</v>
      </c>
      <c r="B1136" s="2" t="s">
        <v>27</v>
      </c>
      <c r="C1136" s="2" t="s">
        <v>18</v>
      </c>
      <c r="D1136" s="2" t="s">
        <v>19</v>
      </c>
      <c r="E1136">
        <v>32702</v>
      </c>
      <c r="F1136">
        <v>390</v>
      </c>
      <c r="G1136">
        <v>7</v>
      </c>
      <c r="H1136">
        <v>935.02</v>
      </c>
      <c r="I1136">
        <v>835.27</v>
      </c>
      <c r="J1136">
        <v>1.19</v>
      </c>
      <c r="K1136">
        <v>1.79</v>
      </c>
      <c r="L1136">
        <v>133.57</v>
      </c>
      <c r="M1136">
        <v>0.89</v>
      </c>
      <c r="N1136">
        <v>-99.75</v>
      </c>
    </row>
    <row r="1137" spans="1:14" x14ac:dyDescent="0.2">
      <c r="A1137" s="1">
        <v>45568</v>
      </c>
      <c r="B1137" s="2" t="s">
        <v>29</v>
      </c>
      <c r="C1137" s="2" t="s">
        <v>28</v>
      </c>
      <c r="D1137" s="2" t="s">
        <v>25</v>
      </c>
      <c r="E1137">
        <v>16132</v>
      </c>
      <c r="F1137">
        <v>435</v>
      </c>
      <c r="G1137">
        <v>27</v>
      </c>
      <c r="H1137">
        <v>1250.48</v>
      </c>
      <c r="I1137">
        <v>3528.54</v>
      </c>
      <c r="J1137">
        <v>2.7</v>
      </c>
      <c r="K1137">
        <v>6.21</v>
      </c>
      <c r="L1137">
        <v>46.31</v>
      </c>
      <c r="M1137">
        <v>2.82</v>
      </c>
      <c r="N1137">
        <v>2278.06</v>
      </c>
    </row>
    <row r="1138" spans="1:14" x14ac:dyDescent="0.2">
      <c r="A1138" s="1">
        <v>45568</v>
      </c>
      <c r="B1138" s="2" t="s">
        <v>30</v>
      </c>
      <c r="C1138" s="2" t="s">
        <v>15</v>
      </c>
      <c r="D1138" s="2" t="s">
        <v>36</v>
      </c>
      <c r="E1138">
        <v>11971</v>
      </c>
      <c r="F1138">
        <v>416</v>
      </c>
      <c r="G1138">
        <v>20</v>
      </c>
      <c r="H1138">
        <v>691.13</v>
      </c>
      <c r="I1138">
        <v>1714.77</v>
      </c>
      <c r="J1138">
        <v>3.48</v>
      </c>
      <c r="K1138">
        <v>4.8099999999999996</v>
      </c>
      <c r="L1138">
        <v>34.56</v>
      </c>
      <c r="M1138">
        <v>2.48</v>
      </c>
      <c r="N1138">
        <v>1023.64</v>
      </c>
    </row>
    <row r="1139" spans="1:14" x14ac:dyDescent="0.2">
      <c r="A1139" s="1">
        <v>45568</v>
      </c>
      <c r="B1139" s="2" t="s">
        <v>31</v>
      </c>
      <c r="C1139" s="2" t="s">
        <v>35</v>
      </c>
      <c r="D1139" s="2" t="s">
        <v>25</v>
      </c>
      <c r="E1139">
        <v>25917</v>
      </c>
      <c r="F1139">
        <v>927</v>
      </c>
      <c r="G1139">
        <v>52</v>
      </c>
      <c r="H1139">
        <v>921.43</v>
      </c>
      <c r="I1139">
        <v>4346.82</v>
      </c>
      <c r="J1139">
        <v>3.58</v>
      </c>
      <c r="K1139">
        <v>5.61</v>
      </c>
      <c r="L1139">
        <v>17.72</v>
      </c>
      <c r="M1139">
        <v>4.72</v>
      </c>
      <c r="N1139">
        <v>3425.39</v>
      </c>
    </row>
    <row r="1140" spans="1:14" x14ac:dyDescent="0.2">
      <c r="A1140" s="1">
        <v>45568</v>
      </c>
      <c r="B1140" s="2" t="s">
        <v>33</v>
      </c>
      <c r="C1140" s="2" t="s">
        <v>18</v>
      </c>
      <c r="D1140" s="2" t="s">
        <v>16</v>
      </c>
      <c r="E1140">
        <v>6247</v>
      </c>
      <c r="F1140">
        <v>434</v>
      </c>
      <c r="G1140">
        <v>42</v>
      </c>
      <c r="H1140">
        <v>564.41</v>
      </c>
      <c r="I1140">
        <v>5190.49</v>
      </c>
      <c r="J1140">
        <v>6.95</v>
      </c>
      <c r="K1140">
        <v>9.68</v>
      </c>
      <c r="L1140">
        <v>13.44</v>
      </c>
      <c r="M1140">
        <v>9.1999999999999993</v>
      </c>
      <c r="N1140">
        <v>4626.08</v>
      </c>
    </row>
    <row r="1141" spans="1:14" x14ac:dyDescent="0.2">
      <c r="A1141" s="1">
        <v>45568</v>
      </c>
      <c r="B1141" s="2" t="s">
        <v>34</v>
      </c>
      <c r="C1141" s="2" t="s">
        <v>28</v>
      </c>
      <c r="D1141" s="2" t="s">
        <v>22</v>
      </c>
      <c r="E1141">
        <v>5527</v>
      </c>
      <c r="F1141">
        <v>438</v>
      </c>
      <c r="G1141">
        <v>72</v>
      </c>
      <c r="H1141">
        <v>182.02</v>
      </c>
      <c r="I1141">
        <v>11312.19</v>
      </c>
      <c r="J1141">
        <v>7.92</v>
      </c>
      <c r="K1141">
        <v>16.440000000000001</v>
      </c>
      <c r="L1141">
        <v>2.5299999999999998</v>
      </c>
      <c r="M1141">
        <v>62.15</v>
      </c>
      <c r="N1141">
        <v>11130.17</v>
      </c>
    </row>
    <row r="1142" spans="1:14" x14ac:dyDescent="0.2">
      <c r="A1142" s="1">
        <v>45569</v>
      </c>
      <c r="B1142" s="2" t="s">
        <v>14</v>
      </c>
      <c r="C1142" s="2" t="s">
        <v>35</v>
      </c>
      <c r="D1142" s="2" t="s">
        <v>19</v>
      </c>
      <c r="E1142">
        <v>12173</v>
      </c>
      <c r="F1142">
        <v>594</v>
      </c>
      <c r="G1142">
        <v>57</v>
      </c>
      <c r="H1142">
        <v>869.78</v>
      </c>
      <c r="I1142">
        <v>8900.08</v>
      </c>
      <c r="J1142">
        <v>4.88</v>
      </c>
      <c r="K1142">
        <v>9.6</v>
      </c>
      <c r="L1142">
        <v>15.26</v>
      </c>
      <c r="M1142">
        <v>10.23</v>
      </c>
      <c r="N1142">
        <v>8030.3</v>
      </c>
    </row>
    <row r="1143" spans="1:14" x14ac:dyDescent="0.2">
      <c r="A1143" s="1">
        <v>45569</v>
      </c>
      <c r="B1143" s="2" t="s">
        <v>17</v>
      </c>
      <c r="C1143" s="2" t="s">
        <v>28</v>
      </c>
      <c r="D1143" s="2" t="s">
        <v>19</v>
      </c>
      <c r="E1143">
        <v>15131</v>
      </c>
      <c r="F1143">
        <v>584</v>
      </c>
      <c r="G1143">
        <v>35</v>
      </c>
      <c r="H1143">
        <v>1183.57</v>
      </c>
      <c r="I1143">
        <v>3466.37</v>
      </c>
      <c r="J1143">
        <v>3.86</v>
      </c>
      <c r="K1143">
        <v>5.99</v>
      </c>
      <c r="L1143">
        <v>33.82</v>
      </c>
      <c r="M1143">
        <v>2.93</v>
      </c>
      <c r="N1143">
        <v>2282.8000000000002</v>
      </c>
    </row>
    <row r="1144" spans="1:14" x14ac:dyDescent="0.2">
      <c r="A1144" s="1">
        <v>45569</v>
      </c>
      <c r="B1144" s="2" t="s">
        <v>20</v>
      </c>
      <c r="C1144" s="2" t="s">
        <v>18</v>
      </c>
      <c r="D1144" s="2" t="s">
        <v>36</v>
      </c>
      <c r="E1144">
        <v>15581</v>
      </c>
      <c r="F1144">
        <v>613</v>
      </c>
      <c r="G1144">
        <v>35</v>
      </c>
      <c r="H1144">
        <v>951.37</v>
      </c>
      <c r="I1144">
        <v>3107.92</v>
      </c>
      <c r="J1144">
        <v>3.93</v>
      </c>
      <c r="K1144">
        <v>5.71</v>
      </c>
      <c r="L1144">
        <v>27.18</v>
      </c>
      <c r="M1144">
        <v>3.27</v>
      </c>
      <c r="N1144">
        <v>2156.5500000000002</v>
      </c>
    </row>
    <row r="1145" spans="1:14" x14ac:dyDescent="0.2">
      <c r="A1145" s="1">
        <v>45569</v>
      </c>
      <c r="B1145" s="2" t="s">
        <v>23</v>
      </c>
      <c r="C1145" s="2" t="s">
        <v>18</v>
      </c>
      <c r="D1145" s="2" t="s">
        <v>25</v>
      </c>
      <c r="E1145">
        <v>3028</v>
      </c>
      <c r="F1145">
        <v>89</v>
      </c>
      <c r="G1145">
        <v>11</v>
      </c>
      <c r="H1145">
        <v>1185.17</v>
      </c>
      <c r="I1145">
        <v>3477.74</v>
      </c>
      <c r="J1145">
        <v>2.94</v>
      </c>
      <c r="K1145">
        <v>12.36</v>
      </c>
      <c r="L1145">
        <v>107.74</v>
      </c>
      <c r="M1145">
        <v>2.93</v>
      </c>
      <c r="N1145">
        <v>2292.5700000000002</v>
      </c>
    </row>
    <row r="1146" spans="1:14" x14ac:dyDescent="0.2">
      <c r="A1146" s="1">
        <v>45569</v>
      </c>
      <c r="B1146" s="2" t="s">
        <v>24</v>
      </c>
      <c r="C1146" s="2" t="s">
        <v>32</v>
      </c>
      <c r="D1146" s="2" t="s">
        <v>22</v>
      </c>
      <c r="E1146">
        <v>15831</v>
      </c>
      <c r="F1146">
        <v>2758</v>
      </c>
      <c r="G1146">
        <v>360</v>
      </c>
      <c r="H1146">
        <v>206.88</v>
      </c>
      <c r="I1146">
        <v>52660.63</v>
      </c>
      <c r="J1146">
        <v>17.420000000000002</v>
      </c>
      <c r="K1146">
        <v>13.05</v>
      </c>
      <c r="L1146">
        <v>0.56999999999999995</v>
      </c>
      <c r="M1146">
        <v>254.55</v>
      </c>
      <c r="N1146">
        <v>52453.75</v>
      </c>
    </row>
    <row r="1147" spans="1:14" x14ac:dyDescent="0.2">
      <c r="A1147" s="1">
        <v>45569</v>
      </c>
      <c r="B1147" s="2" t="s">
        <v>26</v>
      </c>
      <c r="C1147" s="2" t="s">
        <v>35</v>
      </c>
      <c r="D1147" s="2" t="s">
        <v>25</v>
      </c>
      <c r="E1147">
        <v>30460</v>
      </c>
      <c r="F1147">
        <v>1717</v>
      </c>
      <c r="G1147">
        <v>186</v>
      </c>
      <c r="H1147">
        <v>0</v>
      </c>
      <c r="I1147">
        <v>21313.98</v>
      </c>
      <c r="J1147">
        <v>5.64</v>
      </c>
      <c r="K1147">
        <v>10.83</v>
      </c>
      <c r="L1147">
        <v>0</v>
      </c>
      <c r="M1147">
        <v>0</v>
      </c>
      <c r="N1147">
        <v>21313.98</v>
      </c>
    </row>
    <row r="1148" spans="1:14" x14ac:dyDescent="0.2">
      <c r="A1148" s="1">
        <v>45569</v>
      </c>
      <c r="B1148" s="2" t="s">
        <v>27</v>
      </c>
      <c r="C1148" s="2" t="s">
        <v>35</v>
      </c>
      <c r="D1148" s="2" t="s">
        <v>16</v>
      </c>
      <c r="E1148">
        <v>33428</v>
      </c>
      <c r="F1148">
        <v>493</v>
      </c>
      <c r="G1148">
        <v>12</v>
      </c>
      <c r="H1148">
        <v>1221.8399999999999</v>
      </c>
      <c r="I1148">
        <v>1468.19</v>
      </c>
      <c r="J1148">
        <v>1.47</v>
      </c>
      <c r="K1148">
        <v>2.4300000000000002</v>
      </c>
      <c r="L1148">
        <v>101.82</v>
      </c>
      <c r="M1148">
        <v>1.2</v>
      </c>
      <c r="N1148">
        <v>246.35</v>
      </c>
    </row>
    <row r="1149" spans="1:14" x14ac:dyDescent="0.2">
      <c r="A1149" s="1">
        <v>45569</v>
      </c>
      <c r="B1149" s="2" t="s">
        <v>29</v>
      </c>
      <c r="C1149" s="2" t="s">
        <v>28</v>
      </c>
      <c r="D1149" s="2" t="s">
        <v>25</v>
      </c>
      <c r="E1149">
        <v>17427</v>
      </c>
      <c r="F1149">
        <v>319</v>
      </c>
      <c r="G1149">
        <v>19</v>
      </c>
      <c r="H1149">
        <v>1081.6500000000001</v>
      </c>
      <c r="I1149">
        <v>2429.86</v>
      </c>
      <c r="J1149">
        <v>1.83</v>
      </c>
      <c r="K1149">
        <v>5.96</v>
      </c>
      <c r="L1149">
        <v>56.93</v>
      </c>
      <c r="M1149">
        <v>2.25</v>
      </c>
      <c r="N1149">
        <v>1348.21</v>
      </c>
    </row>
    <row r="1150" spans="1:14" x14ac:dyDescent="0.2">
      <c r="A1150" s="1">
        <v>45569</v>
      </c>
      <c r="B1150" s="2" t="s">
        <v>30</v>
      </c>
      <c r="C1150" s="2" t="s">
        <v>28</v>
      </c>
      <c r="D1150" s="2" t="s">
        <v>25</v>
      </c>
      <c r="E1150">
        <v>11175</v>
      </c>
      <c r="F1150">
        <v>242</v>
      </c>
      <c r="G1150">
        <v>12</v>
      </c>
      <c r="H1150">
        <v>528.80999999999995</v>
      </c>
      <c r="I1150">
        <v>1074.81</v>
      </c>
      <c r="J1150">
        <v>2.17</v>
      </c>
      <c r="K1150">
        <v>4.96</v>
      </c>
      <c r="L1150">
        <v>44.07</v>
      </c>
      <c r="M1150">
        <v>2.0299999999999998</v>
      </c>
      <c r="N1150">
        <v>546</v>
      </c>
    </row>
    <row r="1151" spans="1:14" x14ac:dyDescent="0.2">
      <c r="A1151" s="1">
        <v>45569</v>
      </c>
      <c r="B1151" s="2" t="s">
        <v>31</v>
      </c>
      <c r="C1151" s="2" t="s">
        <v>35</v>
      </c>
      <c r="D1151" s="2" t="s">
        <v>25</v>
      </c>
      <c r="E1151">
        <v>27006</v>
      </c>
      <c r="F1151">
        <v>824</v>
      </c>
      <c r="G1151">
        <v>49</v>
      </c>
      <c r="H1151">
        <v>1086.17</v>
      </c>
      <c r="I1151">
        <v>3842.21</v>
      </c>
      <c r="J1151">
        <v>3.05</v>
      </c>
      <c r="K1151">
        <v>5.95</v>
      </c>
      <c r="L1151">
        <v>22.17</v>
      </c>
      <c r="M1151">
        <v>3.54</v>
      </c>
      <c r="N1151">
        <v>2756.04</v>
      </c>
    </row>
    <row r="1152" spans="1:14" x14ac:dyDescent="0.2">
      <c r="A1152" s="1">
        <v>45569</v>
      </c>
      <c r="B1152" s="2" t="s">
        <v>33</v>
      </c>
      <c r="C1152" s="2" t="s">
        <v>15</v>
      </c>
      <c r="D1152" s="2" t="s">
        <v>25</v>
      </c>
      <c r="E1152">
        <v>7173</v>
      </c>
      <c r="F1152">
        <v>308</v>
      </c>
      <c r="G1152">
        <v>26</v>
      </c>
      <c r="H1152">
        <v>379.52</v>
      </c>
      <c r="I1152">
        <v>3301.18</v>
      </c>
      <c r="J1152">
        <v>4.29</v>
      </c>
      <c r="K1152">
        <v>8.44</v>
      </c>
      <c r="L1152">
        <v>14.6</v>
      </c>
      <c r="M1152">
        <v>8.6999999999999993</v>
      </c>
      <c r="N1152">
        <v>2921.66</v>
      </c>
    </row>
    <row r="1153" spans="1:14" x14ac:dyDescent="0.2">
      <c r="A1153" s="1">
        <v>45569</v>
      </c>
      <c r="B1153" s="2" t="s">
        <v>34</v>
      </c>
      <c r="C1153" s="2" t="s">
        <v>18</v>
      </c>
      <c r="D1153" s="2" t="s">
        <v>22</v>
      </c>
      <c r="E1153">
        <v>6401</v>
      </c>
      <c r="F1153">
        <v>467</v>
      </c>
      <c r="G1153">
        <v>67</v>
      </c>
      <c r="H1153">
        <v>151.16999999999999</v>
      </c>
      <c r="I1153">
        <v>8832.16</v>
      </c>
      <c r="J1153">
        <v>7.3</v>
      </c>
      <c r="K1153">
        <v>14.35</v>
      </c>
      <c r="L1153">
        <v>2.2599999999999998</v>
      </c>
      <c r="M1153">
        <v>58.43</v>
      </c>
      <c r="N1153">
        <v>8680.99</v>
      </c>
    </row>
    <row r="1154" spans="1:14" x14ac:dyDescent="0.2">
      <c r="A1154" s="1">
        <v>45570</v>
      </c>
      <c r="B1154" s="2" t="s">
        <v>14</v>
      </c>
      <c r="C1154" s="2" t="s">
        <v>18</v>
      </c>
      <c r="D1154" s="2" t="s">
        <v>36</v>
      </c>
      <c r="E1154">
        <v>6733</v>
      </c>
      <c r="F1154">
        <v>262</v>
      </c>
      <c r="G1154">
        <v>30</v>
      </c>
      <c r="H1154">
        <v>693.38</v>
      </c>
      <c r="I1154">
        <v>3989.76</v>
      </c>
      <c r="J1154">
        <v>3.89</v>
      </c>
      <c r="K1154">
        <v>11.45</v>
      </c>
      <c r="L1154">
        <v>23.11</v>
      </c>
      <c r="M1154">
        <v>5.75</v>
      </c>
      <c r="N1154">
        <v>3296.38</v>
      </c>
    </row>
    <row r="1155" spans="1:14" x14ac:dyDescent="0.2">
      <c r="A1155" s="1">
        <v>45570</v>
      </c>
      <c r="B1155" s="2" t="s">
        <v>17</v>
      </c>
      <c r="C1155" s="2" t="s">
        <v>35</v>
      </c>
      <c r="D1155" s="2" t="s">
        <v>19</v>
      </c>
      <c r="E1155">
        <v>13631</v>
      </c>
      <c r="F1155">
        <v>532</v>
      </c>
      <c r="G1155">
        <v>42</v>
      </c>
      <c r="H1155">
        <v>767.77</v>
      </c>
      <c r="I1155">
        <v>4534.92</v>
      </c>
      <c r="J1155">
        <v>3.9</v>
      </c>
      <c r="K1155">
        <v>7.89</v>
      </c>
      <c r="L1155">
        <v>18.28</v>
      </c>
      <c r="M1155">
        <v>5.91</v>
      </c>
      <c r="N1155">
        <v>3767.15</v>
      </c>
    </row>
    <row r="1156" spans="1:14" x14ac:dyDescent="0.2">
      <c r="A1156" s="1">
        <v>45570</v>
      </c>
      <c r="B1156" s="2" t="s">
        <v>20</v>
      </c>
      <c r="C1156" s="2" t="s">
        <v>32</v>
      </c>
      <c r="D1156" s="2" t="s">
        <v>19</v>
      </c>
      <c r="E1156">
        <v>8655</v>
      </c>
      <c r="F1156">
        <v>226</v>
      </c>
      <c r="G1156">
        <v>16</v>
      </c>
      <c r="H1156">
        <v>547.52</v>
      </c>
      <c r="I1156">
        <v>1447.19</v>
      </c>
      <c r="J1156">
        <v>2.61</v>
      </c>
      <c r="K1156">
        <v>7.08</v>
      </c>
      <c r="L1156">
        <v>34.22</v>
      </c>
      <c r="M1156">
        <v>2.64</v>
      </c>
      <c r="N1156">
        <v>899.67</v>
      </c>
    </row>
    <row r="1157" spans="1:14" x14ac:dyDescent="0.2">
      <c r="A1157" s="1">
        <v>45570</v>
      </c>
      <c r="B1157" s="2" t="s">
        <v>23</v>
      </c>
      <c r="C1157" s="2" t="s">
        <v>21</v>
      </c>
      <c r="D1157" s="2" t="s">
        <v>22</v>
      </c>
      <c r="E1157">
        <v>3371</v>
      </c>
      <c r="F1157">
        <v>94</v>
      </c>
      <c r="G1157">
        <v>13</v>
      </c>
      <c r="H1157">
        <v>903.91</v>
      </c>
      <c r="I1157">
        <v>2735.36</v>
      </c>
      <c r="J1157">
        <v>2.79</v>
      </c>
      <c r="K1157">
        <v>13.83</v>
      </c>
      <c r="L1157">
        <v>69.53</v>
      </c>
      <c r="M1157">
        <v>3.03</v>
      </c>
      <c r="N1157">
        <v>1831.45</v>
      </c>
    </row>
    <row r="1158" spans="1:14" x14ac:dyDescent="0.2">
      <c r="A1158" s="1">
        <v>45570</v>
      </c>
      <c r="B1158" s="2" t="s">
        <v>24</v>
      </c>
      <c r="C1158" s="2" t="s">
        <v>32</v>
      </c>
      <c r="D1158" s="2" t="s">
        <v>25</v>
      </c>
      <c r="E1158">
        <v>14569</v>
      </c>
      <c r="F1158">
        <v>2490</v>
      </c>
      <c r="G1158">
        <v>229</v>
      </c>
      <c r="H1158">
        <v>137.34</v>
      </c>
      <c r="I1158">
        <v>29343.86</v>
      </c>
      <c r="J1158">
        <v>17.09</v>
      </c>
      <c r="K1158">
        <v>9.1999999999999993</v>
      </c>
      <c r="L1158">
        <v>0.6</v>
      </c>
      <c r="M1158">
        <v>213.66</v>
      </c>
      <c r="N1158">
        <v>29206.52</v>
      </c>
    </row>
    <row r="1159" spans="1:14" x14ac:dyDescent="0.2">
      <c r="A1159" s="1">
        <v>45570</v>
      </c>
      <c r="B1159" s="2" t="s">
        <v>26</v>
      </c>
      <c r="C1159" s="2" t="s">
        <v>28</v>
      </c>
      <c r="D1159" s="2" t="s">
        <v>25</v>
      </c>
      <c r="E1159">
        <v>15395</v>
      </c>
      <c r="F1159">
        <v>783</v>
      </c>
      <c r="G1159">
        <v>109</v>
      </c>
      <c r="H1159">
        <v>0</v>
      </c>
      <c r="I1159">
        <v>14755.31</v>
      </c>
      <c r="J1159">
        <v>5.09</v>
      </c>
      <c r="K1159">
        <v>13.92</v>
      </c>
      <c r="L1159">
        <v>0</v>
      </c>
      <c r="M1159">
        <v>0</v>
      </c>
      <c r="N1159">
        <v>14755.31</v>
      </c>
    </row>
    <row r="1160" spans="1:14" x14ac:dyDescent="0.2">
      <c r="A1160" s="1">
        <v>45570</v>
      </c>
      <c r="B1160" s="2" t="s">
        <v>27</v>
      </c>
      <c r="C1160" s="2" t="s">
        <v>18</v>
      </c>
      <c r="D1160" s="2" t="s">
        <v>16</v>
      </c>
      <c r="E1160">
        <v>19154</v>
      </c>
      <c r="F1160">
        <v>297</v>
      </c>
      <c r="G1160">
        <v>12</v>
      </c>
      <c r="H1160">
        <v>674.1</v>
      </c>
      <c r="I1160">
        <v>1261.81</v>
      </c>
      <c r="J1160">
        <v>1.55</v>
      </c>
      <c r="K1160">
        <v>4.04</v>
      </c>
      <c r="L1160">
        <v>56.18</v>
      </c>
      <c r="M1160">
        <v>1.87</v>
      </c>
      <c r="N1160">
        <v>587.71</v>
      </c>
    </row>
    <row r="1161" spans="1:14" x14ac:dyDescent="0.2">
      <c r="A1161" s="1">
        <v>45570</v>
      </c>
      <c r="B1161" s="2" t="s">
        <v>29</v>
      </c>
      <c r="C1161" s="2" t="s">
        <v>18</v>
      </c>
      <c r="D1161" s="2" t="s">
        <v>22</v>
      </c>
      <c r="E1161">
        <v>16197</v>
      </c>
      <c r="F1161">
        <v>437</v>
      </c>
      <c r="G1161">
        <v>27</v>
      </c>
      <c r="H1161">
        <v>573.27</v>
      </c>
      <c r="I1161">
        <v>3933.65</v>
      </c>
      <c r="J1161">
        <v>2.7</v>
      </c>
      <c r="K1161">
        <v>6.18</v>
      </c>
      <c r="L1161">
        <v>21.23</v>
      </c>
      <c r="M1161">
        <v>6.86</v>
      </c>
      <c r="N1161">
        <v>3360.38</v>
      </c>
    </row>
    <row r="1162" spans="1:14" x14ac:dyDescent="0.2">
      <c r="A1162" s="1">
        <v>45570</v>
      </c>
      <c r="B1162" s="2" t="s">
        <v>30</v>
      </c>
      <c r="C1162" s="2" t="s">
        <v>15</v>
      </c>
      <c r="D1162" s="2" t="s">
        <v>19</v>
      </c>
      <c r="E1162">
        <v>8332</v>
      </c>
      <c r="F1162">
        <v>249</v>
      </c>
      <c r="G1162">
        <v>14</v>
      </c>
      <c r="H1162">
        <v>369.07</v>
      </c>
      <c r="I1162">
        <v>1080.7</v>
      </c>
      <c r="J1162">
        <v>2.99</v>
      </c>
      <c r="K1162">
        <v>5.62</v>
      </c>
      <c r="L1162">
        <v>26.36</v>
      </c>
      <c r="M1162">
        <v>2.93</v>
      </c>
      <c r="N1162">
        <v>711.63</v>
      </c>
    </row>
    <row r="1163" spans="1:14" x14ac:dyDescent="0.2">
      <c r="A1163" s="1">
        <v>45570</v>
      </c>
      <c r="B1163" s="2" t="s">
        <v>31</v>
      </c>
      <c r="C1163" s="2" t="s">
        <v>28</v>
      </c>
      <c r="D1163" s="2" t="s">
        <v>25</v>
      </c>
      <c r="E1163">
        <v>18575</v>
      </c>
      <c r="F1163">
        <v>826</v>
      </c>
      <c r="G1163">
        <v>27</v>
      </c>
      <c r="H1163">
        <v>668.03</v>
      </c>
      <c r="I1163">
        <v>2408.23</v>
      </c>
      <c r="J1163">
        <v>4.45</v>
      </c>
      <c r="K1163">
        <v>3.27</v>
      </c>
      <c r="L1163">
        <v>24.74</v>
      </c>
      <c r="M1163">
        <v>3.6</v>
      </c>
      <c r="N1163">
        <v>1740.2</v>
      </c>
    </row>
    <row r="1164" spans="1:14" x14ac:dyDescent="0.2">
      <c r="A1164" s="1">
        <v>45570</v>
      </c>
      <c r="B1164" s="2" t="s">
        <v>33</v>
      </c>
      <c r="C1164" s="2" t="s">
        <v>28</v>
      </c>
      <c r="D1164" s="2" t="s">
        <v>22</v>
      </c>
      <c r="E1164">
        <v>4093</v>
      </c>
      <c r="F1164">
        <v>212</v>
      </c>
      <c r="G1164">
        <v>18</v>
      </c>
      <c r="H1164">
        <v>380.4</v>
      </c>
      <c r="I1164">
        <v>1968.06</v>
      </c>
      <c r="J1164">
        <v>5.18</v>
      </c>
      <c r="K1164">
        <v>8.49</v>
      </c>
      <c r="L1164">
        <v>21.13</v>
      </c>
      <c r="M1164">
        <v>5.17</v>
      </c>
      <c r="N1164">
        <v>1587.66</v>
      </c>
    </row>
    <row r="1165" spans="1:14" x14ac:dyDescent="0.2">
      <c r="A1165" s="1">
        <v>45570</v>
      </c>
      <c r="B1165" s="2" t="s">
        <v>34</v>
      </c>
      <c r="C1165" s="2" t="s">
        <v>32</v>
      </c>
      <c r="D1165" s="2" t="s">
        <v>25</v>
      </c>
      <c r="E1165">
        <v>3217</v>
      </c>
      <c r="F1165">
        <v>251</v>
      </c>
      <c r="G1165">
        <v>31</v>
      </c>
      <c r="H1165">
        <v>88.66</v>
      </c>
      <c r="I1165">
        <v>4426.32</v>
      </c>
      <c r="J1165">
        <v>7.8</v>
      </c>
      <c r="K1165">
        <v>12.35</v>
      </c>
      <c r="L1165">
        <v>2.86</v>
      </c>
      <c r="M1165">
        <v>49.92</v>
      </c>
      <c r="N1165">
        <v>4337.66</v>
      </c>
    </row>
    <row r="1166" spans="1:14" x14ac:dyDescent="0.2">
      <c r="A1166" s="1">
        <v>45571</v>
      </c>
      <c r="B1166" s="2" t="s">
        <v>14</v>
      </c>
      <c r="C1166" s="2" t="s">
        <v>21</v>
      </c>
      <c r="D1166" s="2" t="s">
        <v>19</v>
      </c>
      <c r="E1166">
        <v>8862</v>
      </c>
      <c r="F1166">
        <v>266</v>
      </c>
      <c r="G1166">
        <v>29</v>
      </c>
      <c r="H1166">
        <v>957.59</v>
      </c>
      <c r="I1166">
        <v>3823.75</v>
      </c>
      <c r="J1166">
        <v>3</v>
      </c>
      <c r="K1166">
        <v>10.9</v>
      </c>
      <c r="L1166">
        <v>33.020000000000003</v>
      </c>
      <c r="M1166">
        <v>3.99</v>
      </c>
      <c r="N1166">
        <v>2866.16</v>
      </c>
    </row>
    <row r="1167" spans="1:14" x14ac:dyDescent="0.2">
      <c r="A1167" s="1">
        <v>45571</v>
      </c>
      <c r="B1167" s="2" t="s">
        <v>17</v>
      </c>
      <c r="C1167" s="2" t="s">
        <v>32</v>
      </c>
      <c r="D1167" s="2" t="s">
        <v>19</v>
      </c>
      <c r="E1167">
        <v>11260</v>
      </c>
      <c r="F1167">
        <v>447</v>
      </c>
      <c r="G1167">
        <v>34</v>
      </c>
      <c r="H1167">
        <v>473.39</v>
      </c>
      <c r="I1167">
        <v>2966.49</v>
      </c>
      <c r="J1167">
        <v>3.97</v>
      </c>
      <c r="K1167">
        <v>7.61</v>
      </c>
      <c r="L1167">
        <v>13.92</v>
      </c>
      <c r="M1167">
        <v>6.27</v>
      </c>
      <c r="N1167">
        <v>2493.1</v>
      </c>
    </row>
    <row r="1168" spans="1:14" x14ac:dyDescent="0.2">
      <c r="A1168" s="1">
        <v>45571</v>
      </c>
      <c r="B1168" s="2" t="s">
        <v>20</v>
      </c>
      <c r="C1168" s="2" t="s">
        <v>21</v>
      </c>
      <c r="D1168" s="2" t="s">
        <v>36</v>
      </c>
      <c r="E1168">
        <v>10859</v>
      </c>
      <c r="F1168">
        <v>333</v>
      </c>
      <c r="G1168">
        <v>23</v>
      </c>
      <c r="H1168">
        <v>442.71</v>
      </c>
      <c r="I1168">
        <v>2127.12</v>
      </c>
      <c r="J1168">
        <v>3.07</v>
      </c>
      <c r="K1168">
        <v>6.91</v>
      </c>
      <c r="L1168">
        <v>19.25</v>
      </c>
      <c r="M1168">
        <v>4.8</v>
      </c>
      <c r="N1168">
        <v>1684.41</v>
      </c>
    </row>
    <row r="1169" spans="1:14" x14ac:dyDescent="0.2">
      <c r="A1169" s="1">
        <v>45571</v>
      </c>
      <c r="B1169" s="2" t="s">
        <v>23</v>
      </c>
      <c r="C1169" s="2" t="s">
        <v>32</v>
      </c>
      <c r="D1169" s="2" t="s">
        <v>19</v>
      </c>
      <c r="E1169">
        <v>4005</v>
      </c>
      <c r="F1169">
        <v>65</v>
      </c>
      <c r="G1169">
        <v>7</v>
      </c>
      <c r="H1169">
        <v>1175.21</v>
      </c>
      <c r="I1169">
        <v>2383.58</v>
      </c>
      <c r="J1169">
        <v>1.62</v>
      </c>
      <c r="K1169">
        <v>10.77</v>
      </c>
      <c r="L1169">
        <v>167.89</v>
      </c>
      <c r="M1169">
        <v>2.0299999999999998</v>
      </c>
      <c r="N1169">
        <v>1208.3699999999999</v>
      </c>
    </row>
    <row r="1170" spans="1:14" x14ac:dyDescent="0.2">
      <c r="A1170" s="1">
        <v>45571</v>
      </c>
      <c r="B1170" s="2" t="s">
        <v>24</v>
      </c>
      <c r="C1170" s="2" t="s">
        <v>32</v>
      </c>
      <c r="D1170" s="2" t="s">
        <v>19</v>
      </c>
      <c r="E1170">
        <v>11076</v>
      </c>
      <c r="F1170">
        <v>1934</v>
      </c>
      <c r="G1170">
        <v>180</v>
      </c>
      <c r="H1170">
        <v>187.05</v>
      </c>
      <c r="I1170">
        <v>27750.02</v>
      </c>
      <c r="J1170">
        <v>17.46</v>
      </c>
      <c r="K1170">
        <v>9.31</v>
      </c>
      <c r="L1170">
        <v>1.04</v>
      </c>
      <c r="M1170">
        <v>148.36000000000001</v>
      </c>
      <c r="N1170">
        <v>27562.97</v>
      </c>
    </row>
    <row r="1171" spans="1:14" x14ac:dyDescent="0.2">
      <c r="A1171" s="1">
        <v>45571</v>
      </c>
      <c r="B1171" s="2" t="s">
        <v>26</v>
      </c>
      <c r="C1171" s="2" t="s">
        <v>32</v>
      </c>
      <c r="D1171" s="2" t="s">
        <v>25</v>
      </c>
      <c r="E1171">
        <v>21888</v>
      </c>
      <c r="F1171">
        <v>900</v>
      </c>
      <c r="G1171">
        <v>118</v>
      </c>
      <c r="H1171">
        <v>0</v>
      </c>
      <c r="I1171">
        <v>18374.64</v>
      </c>
      <c r="J1171">
        <v>4.1100000000000003</v>
      </c>
      <c r="K1171">
        <v>13.11</v>
      </c>
      <c r="L1171">
        <v>0</v>
      </c>
      <c r="M1171">
        <v>0</v>
      </c>
      <c r="N1171">
        <v>18374.64</v>
      </c>
    </row>
    <row r="1172" spans="1:14" x14ac:dyDescent="0.2">
      <c r="A1172" s="1">
        <v>45571</v>
      </c>
      <c r="B1172" s="2" t="s">
        <v>27</v>
      </c>
      <c r="C1172" s="2" t="s">
        <v>32</v>
      </c>
      <c r="D1172" s="2" t="s">
        <v>36</v>
      </c>
      <c r="E1172">
        <v>21989</v>
      </c>
      <c r="F1172">
        <v>319</v>
      </c>
      <c r="G1172">
        <v>13</v>
      </c>
      <c r="H1172">
        <v>838.89</v>
      </c>
      <c r="I1172">
        <v>1474.2</v>
      </c>
      <c r="J1172">
        <v>1.45</v>
      </c>
      <c r="K1172">
        <v>4.08</v>
      </c>
      <c r="L1172">
        <v>64.53</v>
      </c>
      <c r="M1172">
        <v>1.76</v>
      </c>
      <c r="N1172">
        <v>635.30999999999995</v>
      </c>
    </row>
    <row r="1173" spans="1:14" x14ac:dyDescent="0.2">
      <c r="A1173" s="1">
        <v>45571</v>
      </c>
      <c r="B1173" s="2" t="s">
        <v>29</v>
      </c>
      <c r="C1173" s="2" t="s">
        <v>15</v>
      </c>
      <c r="D1173" s="2" t="s">
        <v>25</v>
      </c>
      <c r="E1173">
        <v>17054</v>
      </c>
      <c r="F1173">
        <v>287</v>
      </c>
      <c r="G1173">
        <v>18</v>
      </c>
      <c r="H1173">
        <v>576.89</v>
      </c>
      <c r="I1173">
        <v>2581.25</v>
      </c>
      <c r="J1173">
        <v>1.68</v>
      </c>
      <c r="K1173">
        <v>6.27</v>
      </c>
      <c r="L1173">
        <v>32.049999999999997</v>
      </c>
      <c r="M1173">
        <v>4.47</v>
      </c>
      <c r="N1173">
        <v>2004.36</v>
      </c>
    </row>
    <row r="1174" spans="1:14" x14ac:dyDescent="0.2">
      <c r="A1174" s="1">
        <v>45571</v>
      </c>
      <c r="B1174" s="2" t="s">
        <v>30</v>
      </c>
      <c r="C1174" s="2" t="s">
        <v>35</v>
      </c>
      <c r="D1174" s="2" t="s">
        <v>36</v>
      </c>
      <c r="E1174">
        <v>7993</v>
      </c>
      <c r="F1174">
        <v>170</v>
      </c>
      <c r="G1174">
        <v>6</v>
      </c>
      <c r="H1174">
        <v>418.72</v>
      </c>
      <c r="I1174">
        <v>433.4</v>
      </c>
      <c r="J1174">
        <v>2.13</v>
      </c>
      <c r="K1174">
        <v>3.53</v>
      </c>
      <c r="L1174">
        <v>69.790000000000006</v>
      </c>
      <c r="M1174">
        <v>1.04</v>
      </c>
      <c r="N1174">
        <v>14.68</v>
      </c>
    </row>
    <row r="1175" spans="1:14" x14ac:dyDescent="0.2">
      <c r="A1175" s="1">
        <v>45571</v>
      </c>
      <c r="B1175" s="2" t="s">
        <v>31</v>
      </c>
      <c r="C1175" s="2" t="s">
        <v>18</v>
      </c>
      <c r="D1175" s="2" t="s">
        <v>19</v>
      </c>
      <c r="E1175">
        <v>15845</v>
      </c>
      <c r="F1175">
        <v>660</v>
      </c>
      <c r="G1175">
        <v>23</v>
      </c>
      <c r="H1175">
        <v>768.67</v>
      </c>
      <c r="I1175">
        <v>2389.42</v>
      </c>
      <c r="J1175">
        <v>4.17</v>
      </c>
      <c r="K1175">
        <v>3.48</v>
      </c>
      <c r="L1175">
        <v>33.42</v>
      </c>
      <c r="M1175">
        <v>3.11</v>
      </c>
      <c r="N1175">
        <v>1620.75</v>
      </c>
    </row>
    <row r="1176" spans="1:14" x14ac:dyDescent="0.2">
      <c r="A1176" s="1">
        <v>45571</v>
      </c>
      <c r="B1176" s="2" t="s">
        <v>33</v>
      </c>
      <c r="C1176" s="2" t="s">
        <v>35</v>
      </c>
      <c r="D1176" s="2" t="s">
        <v>16</v>
      </c>
      <c r="E1176">
        <v>6105</v>
      </c>
      <c r="F1176">
        <v>272</v>
      </c>
      <c r="G1176">
        <v>24</v>
      </c>
      <c r="H1176">
        <v>228.97</v>
      </c>
      <c r="I1176">
        <v>3261.72</v>
      </c>
      <c r="J1176">
        <v>4.46</v>
      </c>
      <c r="K1176">
        <v>8.82</v>
      </c>
      <c r="L1176">
        <v>9.5399999999999991</v>
      </c>
      <c r="M1176">
        <v>14.25</v>
      </c>
      <c r="N1176">
        <v>3032.75</v>
      </c>
    </row>
    <row r="1177" spans="1:14" x14ac:dyDescent="0.2">
      <c r="A1177" s="1">
        <v>45571</v>
      </c>
      <c r="B1177" s="2" t="s">
        <v>34</v>
      </c>
      <c r="C1177" s="2" t="s">
        <v>28</v>
      </c>
      <c r="D1177" s="2" t="s">
        <v>25</v>
      </c>
      <c r="E1177">
        <v>2951</v>
      </c>
      <c r="F1177">
        <v>281</v>
      </c>
      <c r="G1177">
        <v>36</v>
      </c>
      <c r="H1177">
        <v>69.959999999999994</v>
      </c>
      <c r="I1177">
        <v>5881.84</v>
      </c>
      <c r="J1177">
        <v>9.52</v>
      </c>
      <c r="K1177">
        <v>12.81</v>
      </c>
      <c r="L1177">
        <v>1.94</v>
      </c>
      <c r="M1177">
        <v>84.07</v>
      </c>
      <c r="N1177">
        <v>5811.88</v>
      </c>
    </row>
    <row r="1178" spans="1:14" x14ac:dyDescent="0.2">
      <c r="A1178" s="1">
        <v>45572</v>
      </c>
      <c r="B1178" s="2" t="s">
        <v>14</v>
      </c>
      <c r="C1178" s="2" t="s">
        <v>35</v>
      </c>
      <c r="D1178" s="2" t="s">
        <v>16</v>
      </c>
      <c r="E1178">
        <v>13559</v>
      </c>
      <c r="F1178">
        <v>517</v>
      </c>
      <c r="G1178">
        <v>60</v>
      </c>
      <c r="H1178">
        <v>841.32</v>
      </c>
      <c r="I1178">
        <v>10893.27</v>
      </c>
      <c r="J1178">
        <v>3.81</v>
      </c>
      <c r="K1178">
        <v>11.61</v>
      </c>
      <c r="L1178">
        <v>14.02</v>
      </c>
      <c r="M1178">
        <v>12.95</v>
      </c>
      <c r="N1178">
        <v>10051.950000000001</v>
      </c>
    </row>
    <row r="1179" spans="1:14" x14ac:dyDescent="0.2">
      <c r="A1179" s="1">
        <v>45572</v>
      </c>
      <c r="B1179" s="2" t="s">
        <v>17</v>
      </c>
      <c r="C1179" s="2" t="s">
        <v>32</v>
      </c>
      <c r="D1179" s="2" t="s">
        <v>36</v>
      </c>
      <c r="E1179">
        <v>18038</v>
      </c>
      <c r="F1179">
        <v>562</v>
      </c>
      <c r="G1179">
        <v>33</v>
      </c>
      <c r="H1179">
        <v>928.52</v>
      </c>
      <c r="I1179">
        <v>2954.01</v>
      </c>
      <c r="J1179">
        <v>3.12</v>
      </c>
      <c r="K1179">
        <v>5.87</v>
      </c>
      <c r="L1179">
        <v>28.14</v>
      </c>
      <c r="M1179">
        <v>3.18</v>
      </c>
      <c r="N1179">
        <v>2025.49</v>
      </c>
    </row>
    <row r="1180" spans="1:14" x14ac:dyDescent="0.2">
      <c r="A1180" s="1">
        <v>45572</v>
      </c>
      <c r="B1180" s="2" t="s">
        <v>20</v>
      </c>
      <c r="C1180" s="2" t="s">
        <v>35</v>
      </c>
      <c r="D1180" s="2" t="s">
        <v>25</v>
      </c>
      <c r="E1180">
        <v>16596</v>
      </c>
      <c r="F1180">
        <v>728</v>
      </c>
      <c r="G1180">
        <v>31</v>
      </c>
      <c r="H1180">
        <v>586.49</v>
      </c>
      <c r="I1180">
        <v>2921.34</v>
      </c>
      <c r="J1180">
        <v>4.3899999999999997</v>
      </c>
      <c r="K1180">
        <v>4.26</v>
      </c>
      <c r="L1180">
        <v>18.920000000000002</v>
      </c>
      <c r="M1180">
        <v>4.9800000000000004</v>
      </c>
      <c r="N1180">
        <v>2334.85</v>
      </c>
    </row>
    <row r="1181" spans="1:14" x14ac:dyDescent="0.2">
      <c r="A1181" s="1">
        <v>45572</v>
      </c>
      <c r="B1181" s="2" t="s">
        <v>23</v>
      </c>
      <c r="C1181" s="2" t="s">
        <v>32</v>
      </c>
      <c r="D1181" s="2" t="s">
        <v>22</v>
      </c>
      <c r="E1181">
        <v>5658</v>
      </c>
      <c r="F1181">
        <v>123</v>
      </c>
      <c r="G1181">
        <v>13</v>
      </c>
      <c r="H1181">
        <v>1274.27</v>
      </c>
      <c r="I1181">
        <v>4993.1000000000004</v>
      </c>
      <c r="J1181">
        <v>2.17</v>
      </c>
      <c r="K1181">
        <v>10.57</v>
      </c>
      <c r="L1181">
        <v>98.02</v>
      </c>
      <c r="M1181">
        <v>3.92</v>
      </c>
      <c r="N1181">
        <v>3718.83</v>
      </c>
    </row>
    <row r="1182" spans="1:14" x14ac:dyDescent="0.2">
      <c r="A1182" s="1">
        <v>45572</v>
      </c>
      <c r="B1182" s="2" t="s">
        <v>24</v>
      </c>
      <c r="C1182" s="2" t="s">
        <v>15</v>
      </c>
      <c r="D1182" s="2" t="s">
        <v>16</v>
      </c>
      <c r="E1182">
        <v>18550</v>
      </c>
      <c r="F1182">
        <v>4473</v>
      </c>
      <c r="G1182">
        <v>589</v>
      </c>
      <c r="H1182">
        <v>186.3</v>
      </c>
      <c r="I1182">
        <v>82141.149999999994</v>
      </c>
      <c r="J1182">
        <v>24.11</v>
      </c>
      <c r="K1182">
        <v>13.17</v>
      </c>
      <c r="L1182">
        <v>0.32</v>
      </c>
      <c r="M1182">
        <v>440.91</v>
      </c>
      <c r="N1182">
        <v>81954.850000000006</v>
      </c>
    </row>
    <row r="1183" spans="1:14" x14ac:dyDescent="0.2">
      <c r="A1183" s="1">
        <v>45572</v>
      </c>
      <c r="B1183" s="2" t="s">
        <v>26</v>
      </c>
      <c r="C1183" s="2" t="s">
        <v>32</v>
      </c>
      <c r="D1183" s="2" t="s">
        <v>36</v>
      </c>
      <c r="E1183">
        <v>29511</v>
      </c>
      <c r="F1183">
        <v>1320</v>
      </c>
      <c r="G1183">
        <v>166</v>
      </c>
      <c r="H1183">
        <v>0</v>
      </c>
      <c r="I1183">
        <v>22006.66</v>
      </c>
      <c r="J1183">
        <v>4.47</v>
      </c>
      <c r="K1183">
        <v>12.58</v>
      </c>
      <c r="L1183">
        <v>0</v>
      </c>
      <c r="M1183">
        <v>0</v>
      </c>
      <c r="N1183">
        <v>22006.66</v>
      </c>
    </row>
    <row r="1184" spans="1:14" x14ac:dyDescent="0.2">
      <c r="A1184" s="1">
        <v>45572</v>
      </c>
      <c r="B1184" s="2" t="s">
        <v>27</v>
      </c>
      <c r="C1184" s="2" t="s">
        <v>21</v>
      </c>
      <c r="D1184" s="2" t="s">
        <v>25</v>
      </c>
      <c r="E1184">
        <v>34367</v>
      </c>
      <c r="F1184">
        <v>670</v>
      </c>
      <c r="G1184">
        <v>26</v>
      </c>
      <c r="H1184">
        <v>1094.8599999999999</v>
      </c>
      <c r="I1184">
        <v>3255.01</v>
      </c>
      <c r="J1184">
        <v>1.95</v>
      </c>
      <c r="K1184">
        <v>3.88</v>
      </c>
      <c r="L1184">
        <v>42.11</v>
      </c>
      <c r="M1184">
        <v>2.97</v>
      </c>
      <c r="N1184">
        <v>2160.15</v>
      </c>
    </row>
    <row r="1185" spans="1:14" x14ac:dyDescent="0.2">
      <c r="A1185" s="1">
        <v>45572</v>
      </c>
      <c r="B1185" s="2" t="s">
        <v>29</v>
      </c>
      <c r="C1185" s="2" t="s">
        <v>15</v>
      </c>
      <c r="D1185" s="2" t="s">
        <v>25</v>
      </c>
      <c r="E1185">
        <v>17401</v>
      </c>
      <c r="F1185">
        <v>445</v>
      </c>
      <c r="G1185">
        <v>33</v>
      </c>
      <c r="H1185">
        <v>1212.25</v>
      </c>
      <c r="I1185">
        <v>3898.36</v>
      </c>
      <c r="J1185">
        <v>2.56</v>
      </c>
      <c r="K1185">
        <v>7.42</v>
      </c>
      <c r="L1185">
        <v>36.729999999999997</v>
      </c>
      <c r="M1185">
        <v>3.22</v>
      </c>
      <c r="N1185">
        <v>2686.11</v>
      </c>
    </row>
    <row r="1186" spans="1:14" x14ac:dyDescent="0.2">
      <c r="A1186" s="1">
        <v>45572</v>
      </c>
      <c r="B1186" s="2" t="s">
        <v>30</v>
      </c>
      <c r="C1186" s="2" t="s">
        <v>28</v>
      </c>
      <c r="D1186" s="2" t="s">
        <v>22</v>
      </c>
      <c r="E1186">
        <v>12904</v>
      </c>
      <c r="F1186">
        <v>405</v>
      </c>
      <c r="G1186">
        <v>14</v>
      </c>
      <c r="H1186">
        <v>569.12</v>
      </c>
      <c r="I1186">
        <v>1230.9100000000001</v>
      </c>
      <c r="J1186">
        <v>3.14</v>
      </c>
      <c r="K1186">
        <v>3.46</v>
      </c>
      <c r="L1186">
        <v>40.65</v>
      </c>
      <c r="M1186">
        <v>2.16</v>
      </c>
      <c r="N1186">
        <v>661.79</v>
      </c>
    </row>
    <row r="1187" spans="1:14" x14ac:dyDescent="0.2">
      <c r="A1187" s="1">
        <v>45572</v>
      </c>
      <c r="B1187" s="2" t="s">
        <v>31</v>
      </c>
      <c r="C1187" s="2" t="s">
        <v>15</v>
      </c>
      <c r="D1187" s="2" t="s">
        <v>22</v>
      </c>
      <c r="E1187">
        <v>19058</v>
      </c>
      <c r="F1187">
        <v>602</v>
      </c>
      <c r="G1187">
        <v>38</v>
      </c>
      <c r="H1187">
        <v>636.99</v>
      </c>
      <c r="I1187">
        <v>2921.99</v>
      </c>
      <c r="J1187">
        <v>3.16</v>
      </c>
      <c r="K1187">
        <v>6.31</v>
      </c>
      <c r="L1187">
        <v>16.760000000000002</v>
      </c>
      <c r="M1187">
        <v>4.59</v>
      </c>
      <c r="N1187">
        <v>2285</v>
      </c>
    </row>
    <row r="1188" spans="1:14" x14ac:dyDescent="0.2">
      <c r="A1188" s="1">
        <v>45572</v>
      </c>
      <c r="B1188" s="2" t="s">
        <v>33</v>
      </c>
      <c r="C1188" s="2" t="s">
        <v>18</v>
      </c>
      <c r="D1188" s="2" t="s">
        <v>25</v>
      </c>
      <c r="E1188">
        <v>8947</v>
      </c>
      <c r="F1188">
        <v>476</v>
      </c>
      <c r="G1188">
        <v>55</v>
      </c>
      <c r="H1188">
        <v>480.79</v>
      </c>
      <c r="I1188">
        <v>5732.73</v>
      </c>
      <c r="J1188">
        <v>5.32</v>
      </c>
      <c r="K1188">
        <v>11.55</v>
      </c>
      <c r="L1188">
        <v>8.74</v>
      </c>
      <c r="M1188">
        <v>11.92</v>
      </c>
      <c r="N1188">
        <v>5251.94</v>
      </c>
    </row>
    <row r="1189" spans="1:14" x14ac:dyDescent="0.2">
      <c r="A1189" s="1">
        <v>45572</v>
      </c>
      <c r="B1189" s="2" t="s">
        <v>34</v>
      </c>
      <c r="C1189" s="2" t="s">
        <v>15</v>
      </c>
      <c r="D1189" s="2" t="s">
        <v>16</v>
      </c>
      <c r="E1189">
        <v>6471</v>
      </c>
      <c r="F1189">
        <v>562</v>
      </c>
      <c r="G1189">
        <v>69</v>
      </c>
      <c r="H1189">
        <v>122.63</v>
      </c>
      <c r="I1189">
        <v>10597.97</v>
      </c>
      <c r="J1189">
        <v>8.68</v>
      </c>
      <c r="K1189">
        <v>12.28</v>
      </c>
      <c r="L1189">
        <v>1.78</v>
      </c>
      <c r="M1189">
        <v>86.42</v>
      </c>
      <c r="N1189">
        <v>10475.34</v>
      </c>
    </row>
    <row r="1190" spans="1:14" x14ac:dyDescent="0.2">
      <c r="A1190" s="1">
        <v>45573</v>
      </c>
      <c r="B1190" s="2" t="s">
        <v>14</v>
      </c>
      <c r="C1190" s="2" t="s">
        <v>21</v>
      </c>
      <c r="D1190" s="2" t="s">
        <v>16</v>
      </c>
      <c r="E1190">
        <v>10500</v>
      </c>
      <c r="F1190">
        <v>368</v>
      </c>
      <c r="G1190">
        <v>42</v>
      </c>
      <c r="H1190">
        <v>1178.6500000000001</v>
      </c>
      <c r="I1190">
        <v>5270.74</v>
      </c>
      <c r="J1190">
        <v>3.5</v>
      </c>
      <c r="K1190">
        <v>11.41</v>
      </c>
      <c r="L1190">
        <v>28.06</v>
      </c>
      <c r="M1190">
        <v>4.47</v>
      </c>
      <c r="N1190">
        <v>4092.09</v>
      </c>
    </row>
    <row r="1191" spans="1:14" x14ac:dyDescent="0.2">
      <c r="A1191" s="1">
        <v>45573</v>
      </c>
      <c r="B1191" s="2" t="s">
        <v>17</v>
      </c>
      <c r="C1191" s="2" t="s">
        <v>28</v>
      </c>
      <c r="D1191" s="2" t="s">
        <v>19</v>
      </c>
      <c r="E1191">
        <v>14289</v>
      </c>
      <c r="F1191">
        <v>316</v>
      </c>
      <c r="G1191">
        <v>17</v>
      </c>
      <c r="H1191">
        <v>1090.4100000000001</v>
      </c>
      <c r="I1191">
        <v>1979.42</v>
      </c>
      <c r="J1191">
        <v>2.21</v>
      </c>
      <c r="K1191">
        <v>5.38</v>
      </c>
      <c r="L1191">
        <v>64.14</v>
      </c>
      <c r="M1191">
        <v>1.82</v>
      </c>
      <c r="N1191">
        <v>889.01</v>
      </c>
    </row>
    <row r="1192" spans="1:14" x14ac:dyDescent="0.2">
      <c r="A1192" s="1">
        <v>45573</v>
      </c>
      <c r="B1192" s="2" t="s">
        <v>20</v>
      </c>
      <c r="C1192" s="2" t="s">
        <v>28</v>
      </c>
      <c r="D1192" s="2" t="s">
        <v>22</v>
      </c>
      <c r="E1192">
        <v>13492</v>
      </c>
      <c r="F1192">
        <v>545</v>
      </c>
      <c r="G1192">
        <v>40</v>
      </c>
      <c r="H1192">
        <v>649.24</v>
      </c>
      <c r="I1192">
        <v>3607.31</v>
      </c>
      <c r="J1192">
        <v>4.04</v>
      </c>
      <c r="K1192">
        <v>7.34</v>
      </c>
      <c r="L1192">
        <v>16.23</v>
      </c>
      <c r="M1192">
        <v>5.56</v>
      </c>
      <c r="N1192">
        <v>2958.07</v>
      </c>
    </row>
    <row r="1193" spans="1:14" x14ac:dyDescent="0.2">
      <c r="A1193" s="1">
        <v>45573</v>
      </c>
      <c r="B1193" s="2" t="s">
        <v>23</v>
      </c>
      <c r="C1193" s="2" t="s">
        <v>28</v>
      </c>
      <c r="D1193" s="2" t="s">
        <v>22</v>
      </c>
      <c r="E1193">
        <v>5920</v>
      </c>
      <c r="F1193">
        <v>160</v>
      </c>
      <c r="G1193">
        <v>17</v>
      </c>
      <c r="H1193">
        <v>1426.39</v>
      </c>
      <c r="I1193">
        <v>3972.69</v>
      </c>
      <c r="J1193">
        <v>2.7</v>
      </c>
      <c r="K1193">
        <v>10.62</v>
      </c>
      <c r="L1193">
        <v>83.91</v>
      </c>
      <c r="M1193">
        <v>2.79</v>
      </c>
      <c r="N1193">
        <v>2546.3000000000002</v>
      </c>
    </row>
    <row r="1194" spans="1:14" x14ac:dyDescent="0.2">
      <c r="A1194" s="1">
        <v>45573</v>
      </c>
      <c r="B1194" s="2" t="s">
        <v>24</v>
      </c>
      <c r="C1194" s="2" t="s">
        <v>28</v>
      </c>
      <c r="D1194" s="2" t="s">
        <v>25</v>
      </c>
      <c r="E1194">
        <v>20380</v>
      </c>
      <c r="F1194">
        <v>4195</v>
      </c>
      <c r="G1194">
        <v>574</v>
      </c>
      <c r="H1194">
        <v>116.64</v>
      </c>
      <c r="I1194">
        <v>85262.99</v>
      </c>
      <c r="J1194">
        <v>20.58</v>
      </c>
      <c r="K1194">
        <v>13.68</v>
      </c>
      <c r="L1194">
        <v>0.2</v>
      </c>
      <c r="M1194">
        <v>730.99</v>
      </c>
      <c r="N1194">
        <v>85146.35</v>
      </c>
    </row>
    <row r="1195" spans="1:14" x14ac:dyDescent="0.2">
      <c r="A1195" s="1">
        <v>45573</v>
      </c>
      <c r="B1195" s="2" t="s">
        <v>26</v>
      </c>
      <c r="C1195" s="2" t="s">
        <v>32</v>
      </c>
      <c r="D1195" s="2" t="s">
        <v>36</v>
      </c>
      <c r="E1195">
        <v>24525</v>
      </c>
      <c r="F1195">
        <v>1946</v>
      </c>
      <c r="G1195">
        <v>297</v>
      </c>
      <c r="H1195">
        <v>0</v>
      </c>
      <c r="I1195">
        <v>28979.42</v>
      </c>
      <c r="J1195">
        <v>7.93</v>
      </c>
      <c r="K1195">
        <v>15.26</v>
      </c>
      <c r="L1195">
        <v>0</v>
      </c>
      <c r="M1195">
        <v>0</v>
      </c>
      <c r="N1195">
        <v>28979.42</v>
      </c>
    </row>
    <row r="1196" spans="1:14" x14ac:dyDescent="0.2">
      <c r="A1196" s="1">
        <v>45573</v>
      </c>
      <c r="B1196" s="2" t="s">
        <v>27</v>
      </c>
      <c r="C1196" s="2" t="s">
        <v>15</v>
      </c>
      <c r="D1196" s="2" t="s">
        <v>16</v>
      </c>
      <c r="E1196">
        <v>26426</v>
      </c>
      <c r="F1196">
        <v>286</v>
      </c>
      <c r="G1196">
        <v>11</v>
      </c>
      <c r="H1196">
        <v>1288.02</v>
      </c>
      <c r="I1196">
        <v>1375.65</v>
      </c>
      <c r="J1196">
        <v>1.08</v>
      </c>
      <c r="K1196">
        <v>3.85</v>
      </c>
      <c r="L1196">
        <v>117.09</v>
      </c>
      <c r="M1196">
        <v>1.07</v>
      </c>
      <c r="N1196">
        <v>87.63</v>
      </c>
    </row>
    <row r="1197" spans="1:14" x14ac:dyDescent="0.2">
      <c r="A1197" s="1">
        <v>45573</v>
      </c>
      <c r="B1197" s="2" t="s">
        <v>29</v>
      </c>
      <c r="C1197" s="2" t="s">
        <v>15</v>
      </c>
      <c r="D1197" s="2" t="s">
        <v>22</v>
      </c>
      <c r="E1197">
        <v>15675</v>
      </c>
      <c r="F1197">
        <v>305</v>
      </c>
      <c r="G1197">
        <v>22</v>
      </c>
      <c r="H1197">
        <v>1166.7</v>
      </c>
      <c r="I1197">
        <v>3011.66</v>
      </c>
      <c r="J1197">
        <v>1.95</v>
      </c>
      <c r="K1197">
        <v>7.21</v>
      </c>
      <c r="L1197">
        <v>53.03</v>
      </c>
      <c r="M1197">
        <v>2.58</v>
      </c>
      <c r="N1197">
        <v>1844.96</v>
      </c>
    </row>
    <row r="1198" spans="1:14" x14ac:dyDescent="0.2">
      <c r="A1198" s="1">
        <v>45573</v>
      </c>
      <c r="B1198" s="2" t="s">
        <v>30</v>
      </c>
      <c r="C1198" s="2" t="s">
        <v>32</v>
      </c>
      <c r="D1198" s="2" t="s">
        <v>22</v>
      </c>
      <c r="E1198">
        <v>13755</v>
      </c>
      <c r="F1198">
        <v>416</v>
      </c>
      <c r="G1198">
        <v>24</v>
      </c>
      <c r="H1198">
        <v>570.87</v>
      </c>
      <c r="I1198">
        <v>2139.04</v>
      </c>
      <c r="J1198">
        <v>3.02</v>
      </c>
      <c r="K1198">
        <v>5.77</v>
      </c>
      <c r="L1198">
        <v>23.79</v>
      </c>
      <c r="M1198">
        <v>3.75</v>
      </c>
      <c r="N1198">
        <v>1568.17</v>
      </c>
    </row>
    <row r="1199" spans="1:14" x14ac:dyDescent="0.2">
      <c r="A1199" s="1">
        <v>45573</v>
      </c>
      <c r="B1199" s="2" t="s">
        <v>31</v>
      </c>
      <c r="C1199" s="2" t="s">
        <v>32</v>
      </c>
      <c r="D1199" s="2" t="s">
        <v>19</v>
      </c>
      <c r="E1199">
        <v>27687</v>
      </c>
      <c r="F1199">
        <v>833</v>
      </c>
      <c r="G1199">
        <v>28</v>
      </c>
      <c r="H1199">
        <v>898.42</v>
      </c>
      <c r="I1199">
        <v>2313.35</v>
      </c>
      <c r="J1199">
        <v>3.01</v>
      </c>
      <c r="K1199">
        <v>3.36</v>
      </c>
      <c r="L1199">
        <v>32.090000000000003</v>
      </c>
      <c r="M1199">
        <v>2.57</v>
      </c>
      <c r="N1199">
        <v>1414.93</v>
      </c>
    </row>
    <row r="1200" spans="1:14" x14ac:dyDescent="0.2">
      <c r="A1200" s="1">
        <v>45573</v>
      </c>
      <c r="B1200" s="2" t="s">
        <v>33</v>
      </c>
      <c r="C1200" s="2" t="s">
        <v>15</v>
      </c>
      <c r="D1200" s="2" t="s">
        <v>36</v>
      </c>
      <c r="E1200">
        <v>5587</v>
      </c>
      <c r="F1200">
        <v>263</v>
      </c>
      <c r="G1200">
        <v>29</v>
      </c>
      <c r="H1200">
        <v>307.01</v>
      </c>
      <c r="I1200">
        <v>3412.2</v>
      </c>
      <c r="J1200">
        <v>4.71</v>
      </c>
      <c r="K1200">
        <v>11.03</v>
      </c>
      <c r="L1200">
        <v>10.59</v>
      </c>
      <c r="M1200">
        <v>11.11</v>
      </c>
      <c r="N1200">
        <v>3105.19</v>
      </c>
    </row>
    <row r="1201" spans="1:14" x14ac:dyDescent="0.2">
      <c r="A1201" s="1">
        <v>45573</v>
      </c>
      <c r="B1201" s="2" t="s">
        <v>34</v>
      </c>
      <c r="C1201" s="2" t="s">
        <v>32</v>
      </c>
      <c r="D1201" s="2" t="s">
        <v>36</v>
      </c>
      <c r="E1201">
        <v>4510</v>
      </c>
      <c r="F1201">
        <v>229</v>
      </c>
      <c r="G1201">
        <v>35</v>
      </c>
      <c r="H1201">
        <v>70.55</v>
      </c>
      <c r="I1201">
        <v>5032.28</v>
      </c>
      <c r="J1201">
        <v>5.08</v>
      </c>
      <c r="K1201">
        <v>15.28</v>
      </c>
      <c r="L1201">
        <v>2.02</v>
      </c>
      <c r="M1201">
        <v>71.33</v>
      </c>
      <c r="N1201">
        <v>4961.7299999999996</v>
      </c>
    </row>
    <row r="1202" spans="1:14" x14ac:dyDescent="0.2">
      <c r="A1202" s="1">
        <v>45574</v>
      </c>
      <c r="B1202" s="2" t="s">
        <v>14</v>
      </c>
      <c r="C1202" s="2" t="s">
        <v>35</v>
      </c>
      <c r="D1202" s="2" t="s">
        <v>22</v>
      </c>
      <c r="E1202">
        <v>12480</v>
      </c>
      <c r="F1202">
        <v>623</v>
      </c>
      <c r="G1202">
        <v>54</v>
      </c>
      <c r="H1202">
        <v>1259.6400000000001</v>
      </c>
      <c r="I1202">
        <v>9943.84</v>
      </c>
      <c r="J1202">
        <v>4.99</v>
      </c>
      <c r="K1202">
        <v>8.67</v>
      </c>
      <c r="L1202">
        <v>23.33</v>
      </c>
      <c r="M1202">
        <v>7.89</v>
      </c>
      <c r="N1202">
        <v>8684.2000000000007</v>
      </c>
    </row>
    <row r="1203" spans="1:14" x14ac:dyDescent="0.2">
      <c r="A1203" s="1">
        <v>45574</v>
      </c>
      <c r="B1203" s="2" t="s">
        <v>17</v>
      </c>
      <c r="C1203" s="2" t="s">
        <v>28</v>
      </c>
      <c r="D1203" s="2" t="s">
        <v>25</v>
      </c>
      <c r="E1203">
        <v>18772</v>
      </c>
      <c r="F1203">
        <v>739</v>
      </c>
      <c r="G1203">
        <v>61</v>
      </c>
      <c r="H1203">
        <v>760.57</v>
      </c>
      <c r="I1203">
        <v>5840.66</v>
      </c>
      <c r="J1203">
        <v>3.94</v>
      </c>
      <c r="K1203">
        <v>8.25</v>
      </c>
      <c r="L1203">
        <v>12.47</v>
      </c>
      <c r="M1203">
        <v>7.68</v>
      </c>
      <c r="N1203">
        <v>5080.09</v>
      </c>
    </row>
    <row r="1204" spans="1:14" x14ac:dyDescent="0.2">
      <c r="A1204" s="1">
        <v>45574</v>
      </c>
      <c r="B1204" s="2" t="s">
        <v>20</v>
      </c>
      <c r="C1204" s="2" t="s">
        <v>35</v>
      </c>
      <c r="D1204" s="2" t="s">
        <v>25</v>
      </c>
      <c r="E1204">
        <v>12321</v>
      </c>
      <c r="F1204">
        <v>487</v>
      </c>
      <c r="G1204">
        <v>29</v>
      </c>
      <c r="H1204">
        <v>571.95000000000005</v>
      </c>
      <c r="I1204">
        <v>2819.23</v>
      </c>
      <c r="J1204">
        <v>3.95</v>
      </c>
      <c r="K1204">
        <v>5.95</v>
      </c>
      <c r="L1204">
        <v>19.72</v>
      </c>
      <c r="M1204">
        <v>4.93</v>
      </c>
      <c r="N1204">
        <v>2247.2800000000002</v>
      </c>
    </row>
    <row r="1205" spans="1:14" x14ac:dyDescent="0.2">
      <c r="A1205" s="1">
        <v>45574</v>
      </c>
      <c r="B1205" s="2" t="s">
        <v>23</v>
      </c>
      <c r="C1205" s="2" t="s">
        <v>35</v>
      </c>
      <c r="D1205" s="2" t="s">
        <v>19</v>
      </c>
      <c r="E1205">
        <v>5027</v>
      </c>
      <c r="F1205">
        <v>82</v>
      </c>
      <c r="G1205">
        <v>10</v>
      </c>
      <c r="H1205">
        <v>1162.7</v>
      </c>
      <c r="I1205">
        <v>3410.12</v>
      </c>
      <c r="J1205">
        <v>1.63</v>
      </c>
      <c r="K1205">
        <v>12.2</v>
      </c>
      <c r="L1205">
        <v>116.27</v>
      </c>
      <c r="M1205">
        <v>2.93</v>
      </c>
      <c r="N1205">
        <v>2247.42</v>
      </c>
    </row>
    <row r="1206" spans="1:14" x14ac:dyDescent="0.2">
      <c r="A1206" s="1">
        <v>45574</v>
      </c>
      <c r="B1206" s="2" t="s">
        <v>24</v>
      </c>
      <c r="C1206" s="2" t="s">
        <v>32</v>
      </c>
      <c r="D1206" s="2" t="s">
        <v>36</v>
      </c>
      <c r="E1206">
        <v>17704</v>
      </c>
      <c r="F1206">
        <v>2994</v>
      </c>
      <c r="G1206">
        <v>378</v>
      </c>
      <c r="H1206">
        <v>141.91999999999999</v>
      </c>
      <c r="I1206">
        <v>57295.19</v>
      </c>
      <c r="J1206">
        <v>16.91</v>
      </c>
      <c r="K1206">
        <v>12.63</v>
      </c>
      <c r="L1206">
        <v>0.38</v>
      </c>
      <c r="M1206">
        <v>403.71</v>
      </c>
      <c r="N1206">
        <v>57153.27</v>
      </c>
    </row>
    <row r="1207" spans="1:14" x14ac:dyDescent="0.2">
      <c r="A1207" s="1">
        <v>45574</v>
      </c>
      <c r="B1207" s="2" t="s">
        <v>26</v>
      </c>
      <c r="C1207" s="2" t="s">
        <v>21</v>
      </c>
      <c r="D1207" s="2" t="s">
        <v>22</v>
      </c>
      <c r="E1207">
        <v>26769</v>
      </c>
      <c r="F1207">
        <v>1913</v>
      </c>
      <c r="G1207">
        <v>281</v>
      </c>
      <c r="H1207">
        <v>0</v>
      </c>
      <c r="I1207">
        <v>32341.15</v>
      </c>
      <c r="J1207">
        <v>7.15</v>
      </c>
      <c r="K1207">
        <v>14.69</v>
      </c>
      <c r="L1207">
        <v>0</v>
      </c>
      <c r="M1207">
        <v>0</v>
      </c>
      <c r="N1207">
        <v>32341.15</v>
      </c>
    </row>
    <row r="1208" spans="1:14" x14ac:dyDescent="0.2">
      <c r="A1208" s="1">
        <v>45574</v>
      </c>
      <c r="B1208" s="2" t="s">
        <v>27</v>
      </c>
      <c r="C1208" s="2" t="s">
        <v>35</v>
      </c>
      <c r="D1208" s="2" t="s">
        <v>25</v>
      </c>
      <c r="E1208">
        <v>34597</v>
      </c>
      <c r="F1208">
        <v>601</v>
      </c>
      <c r="G1208">
        <v>27</v>
      </c>
      <c r="H1208">
        <v>755.86</v>
      </c>
      <c r="I1208">
        <v>2287.27</v>
      </c>
      <c r="J1208">
        <v>1.74</v>
      </c>
      <c r="K1208">
        <v>4.49</v>
      </c>
      <c r="L1208">
        <v>27.99</v>
      </c>
      <c r="M1208">
        <v>3.03</v>
      </c>
      <c r="N1208">
        <v>1531.41</v>
      </c>
    </row>
    <row r="1209" spans="1:14" x14ac:dyDescent="0.2">
      <c r="A1209" s="1">
        <v>45574</v>
      </c>
      <c r="B1209" s="2" t="s">
        <v>29</v>
      </c>
      <c r="C1209" s="2" t="s">
        <v>35</v>
      </c>
      <c r="D1209" s="2" t="s">
        <v>22</v>
      </c>
      <c r="E1209">
        <v>20861</v>
      </c>
      <c r="F1209">
        <v>318</v>
      </c>
      <c r="G1209">
        <v>19</v>
      </c>
      <c r="H1209">
        <v>1204.82</v>
      </c>
      <c r="I1209">
        <v>1773.43</v>
      </c>
      <c r="J1209">
        <v>1.52</v>
      </c>
      <c r="K1209">
        <v>5.97</v>
      </c>
      <c r="L1209">
        <v>63.41</v>
      </c>
      <c r="M1209">
        <v>1.47</v>
      </c>
      <c r="N1209">
        <v>568.61</v>
      </c>
    </row>
    <row r="1210" spans="1:14" x14ac:dyDescent="0.2">
      <c r="A1210" s="1">
        <v>45574</v>
      </c>
      <c r="B1210" s="2" t="s">
        <v>30</v>
      </c>
      <c r="C1210" s="2" t="s">
        <v>35</v>
      </c>
      <c r="D1210" s="2" t="s">
        <v>19</v>
      </c>
      <c r="E1210">
        <v>13652</v>
      </c>
      <c r="F1210">
        <v>313</v>
      </c>
      <c r="G1210">
        <v>16</v>
      </c>
      <c r="H1210">
        <v>423.52</v>
      </c>
      <c r="I1210">
        <v>1370.57</v>
      </c>
      <c r="J1210">
        <v>2.29</v>
      </c>
      <c r="K1210">
        <v>5.1100000000000003</v>
      </c>
      <c r="L1210">
        <v>26.47</v>
      </c>
      <c r="M1210">
        <v>3.24</v>
      </c>
      <c r="N1210">
        <v>947.05</v>
      </c>
    </row>
    <row r="1211" spans="1:14" x14ac:dyDescent="0.2">
      <c r="A1211" s="1">
        <v>45574</v>
      </c>
      <c r="B1211" s="2" t="s">
        <v>31</v>
      </c>
      <c r="C1211" s="2" t="s">
        <v>15</v>
      </c>
      <c r="D1211" s="2" t="s">
        <v>22</v>
      </c>
      <c r="E1211">
        <v>25700</v>
      </c>
      <c r="F1211">
        <v>836</v>
      </c>
      <c r="G1211">
        <v>55</v>
      </c>
      <c r="H1211">
        <v>854.55</v>
      </c>
      <c r="I1211">
        <v>4852.62</v>
      </c>
      <c r="J1211">
        <v>3.25</v>
      </c>
      <c r="K1211">
        <v>6.58</v>
      </c>
      <c r="L1211">
        <v>15.54</v>
      </c>
      <c r="M1211">
        <v>5.68</v>
      </c>
      <c r="N1211">
        <v>3998.07</v>
      </c>
    </row>
    <row r="1212" spans="1:14" x14ac:dyDescent="0.2">
      <c r="A1212" s="1">
        <v>45574</v>
      </c>
      <c r="B1212" s="2" t="s">
        <v>33</v>
      </c>
      <c r="C1212" s="2" t="s">
        <v>15</v>
      </c>
      <c r="D1212" s="2" t="s">
        <v>36</v>
      </c>
      <c r="E1212">
        <v>5828</v>
      </c>
      <c r="F1212">
        <v>316</v>
      </c>
      <c r="G1212">
        <v>40</v>
      </c>
      <c r="H1212">
        <v>648.66999999999996</v>
      </c>
      <c r="I1212">
        <v>5167.57</v>
      </c>
      <c r="J1212">
        <v>5.42</v>
      </c>
      <c r="K1212">
        <v>12.66</v>
      </c>
      <c r="L1212">
        <v>16.22</v>
      </c>
      <c r="M1212">
        <v>7.97</v>
      </c>
      <c r="N1212">
        <v>4518.8999999999996</v>
      </c>
    </row>
    <row r="1213" spans="1:14" x14ac:dyDescent="0.2">
      <c r="A1213" s="1">
        <v>45574</v>
      </c>
      <c r="B1213" s="2" t="s">
        <v>34</v>
      </c>
      <c r="C1213" s="2" t="s">
        <v>35</v>
      </c>
      <c r="D1213" s="2" t="s">
        <v>36</v>
      </c>
      <c r="E1213">
        <v>4139</v>
      </c>
      <c r="F1213">
        <v>334</v>
      </c>
      <c r="G1213">
        <v>52</v>
      </c>
      <c r="H1213">
        <v>53.98</v>
      </c>
      <c r="I1213">
        <v>8093.28</v>
      </c>
      <c r="J1213">
        <v>8.07</v>
      </c>
      <c r="K1213">
        <v>15.57</v>
      </c>
      <c r="L1213">
        <v>1.04</v>
      </c>
      <c r="M1213">
        <v>149.93</v>
      </c>
      <c r="N1213">
        <v>8039.3</v>
      </c>
    </row>
    <row r="1214" spans="1:14" x14ac:dyDescent="0.2">
      <c r="A1214" s="1">
        <v>45575</v>
      </c>
      <c r="B1214" s="2" t="s">
        <v>14</v>
      </c>
      <c r="C1214" s="2" t="s">
        <v>35</v>
      </c>
      <c r="D1214" s="2" t="s">
        <v>25</v>
      </c>
      <c r="E1214">
        <v>12191</v>
      </c>
      <c r="F1214">
        <v>530</v>
      </c>
      <c r="G1214">
        <v>52</v>
      </c>
      <c r="H1214">
        <v>1246.48</v>
      </c>
      <c r="I1214">
        <v>6669.81</v>
      </c>
      <c r="J1214">
        <v>4.3499999999999996</v>
      </c>
      <c r="K1214">
        <v>9.81</v>
      </c>
      <c r="L1214">
        <v>23.97</v>
      </c>
      <c r="M1214">
        <v>5.35</v>
      </c>
      <c r="N1214">
        <v>5423.33</v>
      </c>
    </row>
    <row r="1215" spans="1:14" x14ac:dyDescent="0.2">
      <c r="A1215" s="1">
        <v>45575</v>
      </c>
      <c r="B1215" s="2" t="s">
        <v>17</v>
      </c>
      <c r="C1215" s="2" t="s">
        <v>15</v>
      </c>
      <c r="D1215" s="2" t="s">
        <v>19</v>
      </c>
      <c r="E1215">
        <v>15747</v>
      </c>
      <c r="F1215">
        <v>450</v>
      </c>
      <c r="G1215">
        <v>22</v>
      </c>
      <c r="H1215">
        <v>1108.05</v>
      </c>
      <c r="I1215">
        <v>2816.43</v>
      </c>
      <c r="J1215">
        <v>2.86</v>
      </c>
      <c r="K1215">
        <v>4.8899999999999997</v>
      </c>
      <c r="L1215">
        <v>50.37</v>
      </c>
      <c r="M1215">
        <v>2.54</v>
      </c>
      <c r="N1215">
        <v>1708.38</v>
      </c>
    </row>
    <row r="1216" spans="1:14" x14ac:dyDescent="0.2">
      <c r="A1216" s="1">
        <v>45575</v>
      </c>
      <c r="B1216" s="2" t="s">
        <v>20</v>
      </c>
      <c r="C1216" s="2" t="s">
        <v>35</v>
      </c>
      <c r="D1216" s="2" t="s">
        <v>16</v>
      </c>
      <c r="E1216">
        <v>15979</v>
      </c>
      <c r="F1216">
        <v>534</v>
      </c>
      <c r="G1216">
        <v>34</v>
      </c>
      <c r="H1216">
        <v>829.48</v>
      </c>
      <c r="I1216">
        <v>3111.23</v>
      </c>
      <c r="J1216">
        <v>3.34</v>
      </c>
      <c r="K1216">
        <v>6.37</v>
      </c>
      <c r="L1216">
        <v>24.4</v>
      </c>
      <c r="M1216">
        <v>3.75</v>
      </c>
      <c r="N1216">
        <v>2281.75</v>
      </c>
    </row>
    <row r="1217" spans="1:14" x14ac:dyDescent="0.2">
      <c r="A1217" s="1">
        <v>45575</v>
      </c>
      <c r="B1217" s="2" t="s">
        <v>23</v>
      </c>
      <c r="C1217" s="2" t="s">
        <v>32</v>
      </c>
      <c r="D1217" s="2" t="s">
        <v>25</v>
      </c>
      <c r="E1217">
        <v>5746</v>
      </c>
      <c r="F1217">
        <v>113</v>
      </c>
      <c r="G1217">
        <v>16</v>
      </c>
      <c r="H1217">
        <v>1129.92</v>
      </c>
      <c r="I1217">
        <v>5021.78</v>
      </c>
      <c r="J1217">
        <v>1.97</v>
      </c>
      <c r="K1217">
        <v>14.16</v>
      </c>
      <c r="L1217">
        <v>70.62</v>
      </c>
      <c r="M1217">
        <v>4.4400000000000004</v>
      </c>
      <c r="N1217">
        <v>3891.86</v>
      </c>
    </row>
    <row r="1218" spans="1:14" x14ac:dyDescent="0.2">
      <c r="A1218" s="1">
        <v>45575</v>
      </c>
      <c r="B1218" s="2" t="s">
        <v>24</v>
      </c>
      <c r="C1218" s="2" t="s">
        <v>28</v>
      </c>
      <c r="D1218" s="2" t="s">
        <v>36</v>
      </c>
      <c r="E1218">
        <v>17852</v>
      </c>
      <c r="F1218">
        <v>3932</v>
      </c>
      <c r="G1218">
        <v>405</v>
      </c>
      <c r="H1218">
        <v>212.72</v>
      </c>
      <c r="I1218">
        <v>63203.42</v>
      </c>
      <c r="J1218">
        <v>22.03</v>
      </c>
      <c r="K1218">
        <v>10.3</v>
      </c>
      <c r="L1218">
        <v>0.53</v>
      </c>
      <c r="M1218">
        <v>297.12</v>
      </c>
      <c r="N1218">
        <v>62990.7</v>
      </c>
    </row>
    <row r="1219" spans="1:14" x14ac:dyDescent="0.2">
      <c r="A1219" s="1">
        <v>45575</v>
      </c>
      <c r="B1219" s="2" t="s">
        <v>26</v>
      </c>
      <c r="C1219" s="2" t="s">
        <v>35</v>
      </c>
      <c r="D1219" s="2" t="s">
        <v>22</v>
      </c>
      <c r="E1219">
        <v>21583</v>
      </c>
      <c r="F1219">
        <v>1280</v>
      </c>
      <c r="G1219">
        <v>198</v>
      </c>
      <c r="H1219">
        <v>0</v>
      </c>
      <c r="I1219">
        <v>26959.38</v>
      </c>
      <c r="J1219">
        <v>5.93</v>
      </c>
      <c r="K1219">
        <v>15.47</v>
      </c>
      <c r="L1219">
        <v>0</v>
      </c>
      <c r="M1219">
        <v>0</v>
      </c>
      <c r="N1219">
        <v>26959.38</v>
      </c>
    </row>
    <row r="1220" spans="1:14" x14ac:dyDescent="0.2">
      <c r="A1220" s="1">
        <v>45575</v>
      </c>
      <c r="B1220" s="2" t="s">
        <v>27</v>
      </c>
      <c r="C1220" s="2" t="s">
        <v>35</v>
      </c>
      <c r="D1220" s="2" t="s">
        <v>16</v>
      </c>
      <c r="E1220">
        <v>33426</v>
      </c>
      <c r="F1220">
        <v>476</v>
      </c>
      <c r="G1220">
        <v>22</v>
      </c>
      <c r="H1220">
        <v>1159.74</v>
      </c>
      <c r="I1220">
        <v>2543.58</v>
      </c>
      <c r="J1220">
        <v>1.42</v>
      </c>
      <c r="K1220">
        <v>4.62</v>
      </c>
      <c r="L1220">
        <v>52.72</v>
      </c>
      <c r="M1220">
        <v>2.19</v>
      </c>
      <c r="N1220">
        <v>1383.84</v>
      </c>
    </row>
    <row r="1221" spans="1:14" x14ac:dyDescent="0.2">
      <c r="A1221" s="1">
        <v>45575</v>
      </c>
      <c r="B1221" s="2" t="s">
        <v>29</v>
      </c>
      <c r="C1221" s="2" t="s">
        <v>35</v>
      </c>
      <c r="D1221" s="2" t="s">
        <v>16</v>
      </c>
      <c r="E1221">
        <v>21638</v>
      </c>
      <c r="F1221">
        <v>391</v>
      </c>
      <c r="G1221">
        <v>24</v>
      </c>
      <c r="H1221">
        <v>880.97</v>
      </c>
      <c r="I1221">
        <v>3205.25</v>
      </c>
      <c r="J1221">
        <v>1.81</v>
      </c>
      <c r="K1221">
        <v>6.14</v>
      </c>
      <c r="L1221">
        <v>36.71</v>
      </c>
      <c r="M1221">
        <v>3.64</v>
      </c>
      <c r="N1221">
        <v>2324.2800000000002</v>
      </c>
    </row>
    <row r="1222" spans="1:14" x14ac:dyDescent="0.2">
      <c r="A1222" s="1">
        <v>45575</v>
      </c>
      <c r="B1222" s="2" t="s">
        <v>30</v>
      </c>
      <c r="C1222" s="2" t="s">
        <v>35</v>
      </c>
      <c r="D1222" s="2" t="s">
        <v>36</v>
      </c>
      <c r="E1222">
        <v>8192</v>
      </c>
      <c r="F1222">
        <v>271</v>
      </c>
      <c r="G1222">
        <v>13</v>
      </c>
      <c r="H1222">
        <v>795.58</v>
      </c>
      <c r="I1222">
        <v>1482.71</v>
      </c>
      <c r="J1222">
        <v>3.31</v>
      </c>
      <c r="K1222">
        <v>4.8</v>
      </c>
      <c r="L1222">
        <v>61.2</v>
      </c>
      <c r="M1222">
        <v>1.86</v>
      </c>
      <c r="N1222">
        <v>687.13</v>
      </c>
    </row>
    <row r="1223" spans="1:14" x14ac:dyDescent="0.2">
      <c r="A1223" s="1">
        <v>45575</v>
      </c>
      <c r="B1223" s="2" t="s">
        <v>31</v>
      </c>
      <c r="C1223" s="2" t="s">
        <v>15</v>
      </c>
      <c r="D1223" s="2" t="s">
        <v>19</v>
      </c>
      <c r="E1223">
        <v>21858</v>
      </c>
      <c r="F1223">
        <v>586</v>
      </c>
      <c r="G1223">
        <v>31</v>
      </c>
      <c r="H1223">
        <v>657.41</v>
      </c>
      <c r="I1223">
        <v>3125.37</v>
      </c>
      <c r="J1223">
        <v>2.68</v>
      </c>
      <c r="K1223">
        <v>5.29</v>
      </c>
      <c r="L1223">
        <v>21.21</v>
      </c>
      <c r="M1223">
        <v>4.75</v>
      </c>
      <c r="N1223">
        <v>2467.96</v>
      </c>
    </row>
    <row r="1224" spans="1:14" x14ac:dyDescent="0.2">
      <c r="A1224" s="1">
        <v>45575</v>
      </c>
      <c r="B1224" s="2" t="s">
        <v>33</v>
      </c>
      <c r="C1224" s="2" t="s">
        <v>15</v>
      </c>
      <c r="D1224" s="2" t="s">
        <v>36</v>
      </c>
      <c r="E1224">
        <v>6197</v>
      </c>
      <c r="F1224">
        <v>248</v>
      </c>
      <c r="G1224">
        <v>27</v>
      </c>
      <c r="H1224">
        <v>651.73</v>
      </c>
      <c r="I1224">
        <v>2621.21</v>
      </c>
      <c r="J1224">
        <v>4</v>
      </c>
      <c r="K1224">
        <v>10.89</v>
      </c>
      <c r="L1224">
        <v>24.14</v>
      </c>
      <c r="M1224">
        <v>4.0199999999999996</v>
      </c>
      <c r="N1224">
        <v>1969.48</v>
      </c>
    </row>
    <row r="1225" spans="1:14" x14ac:dyDescent="0.2">
      <c r="A1225" s="1">
        <v>45575</v>
      </c>
      <c r="B1225" s="2" t="s">
        <v>34</v>
      </c>
      <c r="C1225" s="2" t="s">
        <v>21</v>
      </c>
      <c r="D1225" s="2" t="s">
        <v>22</v>
      </c>
      <c r="E1225">
        <v>3443</v>
      </c>
      <c r="F1225">
        <v>299</v>
      </c>
      <c r="G1225">
        <v>38</v>
      </c>
      <c r="H1225">
        <v>99.19</v>
      </c>
      <c r="I1225">
        <v>5647.36</v>
      </c>
      <c r="J1225">
        <v>8.68</v>
      </c>
      <c r="K1225">
        <v>12.71</v>
      </c>
      <c r="L1225">
        <v>2.61</v>
      </c>
      <c r="M1225">
        <v>56.93</v>
      </c>
      <c r="N1225">
        <v>5548.17</v>
      </c>
    </row>
    <row r="1226" spans="1:14" x14ac:dyDescent="0.2">
      <c r="A1226" s="1">
        <v>45576</v>
      </c>
      <c r="B1226" s="2" t="s">
        <v>14</v>
      </c>
      <c r="C1226" s="2" t="s">
        <v>32</v>
      </c>
      <c r="D1226" s="2" t="s">
        <v>19</v>
      </c>
      <c r="E1226">
        <v>9739</v>
      </c>
      <c r="F1226">
        <v>409</v>
      </c>
      <c r="G1226">
        <v>44</v>
      </c>
      <c r="H1226">
        <v>1182.83</v>
      </c>
      <c r="I1226">
        <v>5026.71</v>
      </c>
      <c r="J1226">
        <v>4.2</v>
      </c>
      <c r="K1226">
        <v>10.76</v>
      </c>
      <c r="L1226">
        <v>26.88</v>
      </c>
      <c r="M1226">
        <v>4.25</v>
      </c>
      <c r="N1226">
        <v>3843.88</v>
      </c>
    </row>
    <row r="1227" spans="1:14" x14ac:dyDescent="0.2">
      <c r="A1227" s="1">
        <v>45576</v>
      </c>
      <c r="B1227" s="2" t="s">
        <v>17</v>
      </c>
      <c r="C1227" s="2" t="s">
        <v>32</v>
      </c>
      <c r="D1227" s="2" t="s">
        <v>19</v>
      </c>
      <c r="E1227">
        <v>19623</v>
      </c>
      <c r="F1227">
        <v>774</v>
      </c>
      <c r="G1227">
        <v>57</v>
      </c>
      <c r="H1227">
        <v>777.79</v>
      </c>
      <c r="I1227">
        <v>6557.14</v>
      </c>
      <c r="J1227">
        <v>3.94</v>
      </c>
      <c r="K1227">
        <v>7.36</v>
      </c>
      <c r="L1227">
        <v>13.65</v>
      </c>
      <c r="M1227">
        <v>8.43</v>
      </c>
      <c r="N1227">
        <v>5779.35</v>
      </c>
    </row>
    <row r="1228" spans="1:14" x14ac:dyDescent="0.2">
      <c r="A1228" s="1">
        <v>45576</v>
      </c>
      <c r="B1228" s="2" t="s">
        <v>20</v>
      </c>
      <c r="C1228" s="2" t="s">
        <v>21</v>
      </c>
      <c r="D1228" s="2" t="s">
        <v>16</v>
      </c>
      <c r="E1228">
        <v>15046</v>
      </c>
      <c r="F1228">
        <v>617</v>
      </c>
      <c r="G1228">
        <v>29</v>
      </c>
      <c r="H1228">
        <v>971.16</v>
      </c>
      <c r="I1228">
        <v>2929.73</v>
      </c>
      <c r="J1228">
        <v>4.0999999999999996</v>
      </c>
      <c r="K1228">
        <v>4.7</v>
      </c>
      <c r="L1228">
        <v>33.49</v>
      </c>
      <c r="M1228">
        <v>3.02</v>
      </c>
      <c r="N1228">
        <v>1958.57</v>
      </c>
    </row>
    <row r="1229" spans="1:14" x14ac:dyDescent="0.2">
      <c r="A1229" s="1">
        <v>45576</v>
      </c>
      <c r="B1229" s="2" t="s">
        <v>23</v>
      </c>
      <c r="C1229" s="2" t="s">
        <v>32</v>
      </c>
      <c r="D1229" s="2" t="s">
        <v>25</v>
      </c>
      <c r="E1229">
        <v>5959</v>
      </c>
      <c r="F1229">
        <v>114</v>
      </c>
      <c r="G1229">
        <v>11</v>
      </c>
      <c r="H1229">
        <v>1730.46</v>
      </c>
      <c r="I1229">
        <v>2789.16</v>
      </c>
      <c r="J1229">
        <v>1.91</v>
      </c>
      <c r="K1229">
        <v>9.65</v>
      </c>
      <c r="L1229">
        <v>157.31</v>
      </c>
      <c r="M1229">
        <v>1.61</v>
      </c>
      <c r="N1229">
        <v>1058.7</v>
      </c>
    </row>
    <row r="1230" spans="1:14" x14ac:dyDescent="0.2">
      <c r="A1230" s="1">
        <v>45576</v>
      </c>
      <c r="B1230" s="2" t="s">
        <v>24</v>
      </c>
      <c r="C1230" s="2" t="s">
        <v>21</v>
      </c>
      <c r="D1230" s="2" t="s">
        <v>22</v>
      </c>
      <c r="E1230">
        <v>22422</v>
      </c>
      <c r="F1230">
        <v>4980</v>
      </c>
      <c r="G1230">
        <v>547</v>
      </c>
      <c r="H1230">
        <v>194.65</v>
      </c>
      <c r="I1230">
        <v>85078.48</v>
      </c>
      <c r="J1230">
        <v>22.21</v>
      </c>
      <c r="K1230">
        <v>10.98</v>
      </c>
      <c r="L1230">
        <v>0.36</v>
      </c>
      <c r="M1230">
        <v>437.08</v>
      </c>
      <c r="N1230">
        <v>84883.83</v>
      </c>
    </row>
    <row r="1231" spans="1:14" x14ac:dyDescent="0.2">
      <c r="A1231" s="1">
        <v>45576</v>
      </c>
      <c r="B1231" s="2" t="s">
        <v>26</v>
      </c>
      <c r="C1231" s="2" t="s">
        <v>18</v>
      </c>
      <c r="D1231" s="2" t="s">
        <v>25</v>
      </c>
      <c r="E1231">
        <v>32678</v>
      </c>
      <c r="F1231">
        <v>1337</v>
      </c>
      <c r="G1231">
        <v>174</v>
      </c>
      <c r="H1231">
        <v>0</v>
      </c>
      <c r="I1231">
        <v>18009.98</v>
      </c>
      <c r="J1231">
        <v>4.09</v>
      </c>
      <c r="K1231">
        <v>13.01</v>
      </c>
      <c r="L1231">
        <v>0</v>
      </c>
      <c r="M1231">
        <v>0</v>
      </c>
      <c r="N1231">
        <v>18009.98</v>
      </c>
    </row>
    <row r="1232" spans="1:14" x14ac:dyDescent="0.2">
      <c r="A1232" s="1">
        <v>45576</v>
      </c>
      <c r="B1232" s="2" t="s">
        <v>27</v>
      </c>
      <c r="C1232" s="2" t="s">
        <v>21</v>
      </c>
      <c r="D1232" s="2" t="s">
        <v>22</v>
      </c>
      <c r="E1232">
        <v>29909</v>
      </c>
      <c r="F1232">
        <v>464</v>
      </c>
      <c r="G1232">
        <v>22</v>
      </c>
      <c r="H1232">
        <v>1189.3900000000001</v>
      </c>
      <c r="I1232">
        <v>2411.19</v>
      </c>
      <c r="J1232">
        <v>1.55</v>
      </c>
      <c r="K1232">
        <v>4.74</v>
      </c>
      <c r="L1232">
        <v>54.06</v>
      </c>
      <c r="M1232">
        <v>2.0299999999999998</v>
      </c>
      <c r="N1232">
        <v>1221.8</v>
      </c>
    </row>
    <row r="1233" spans="1:14" x14ac:dyDescent="0.2">
      <c r="A1233" s="1">
        <v>45576</v>
      </c>
      <c r="B1233" s="2" t="s">
        <v>29</v>
      </c>
      <c r="C1233" s="2" t="s">
        <v>18</v>
      </c>
      <c r="D1233" s="2" t="s">
        <v>16</v>
      </c>
      <c r="E1233">
        <v>19459</v>
      </c>
      <c r="F1233">
        <v>422</v>
      </c>
      <c r="G1233">
        <v>33</v>
      </c>
      <c r="H1233">
        <v>824.21</v>
      </c>
      <c r="I1233">
        <v>4044.04</v>
      </c>
      <c r="J1233">
        <v>2.17</v>
      </c>
      <c r="K1233">
        <v>7.82</v>
      </c>
      <c r="L1233">
        <v>24.98</v>
      </c>
      <c r="M1233">
        <v>4.91</v>
      </c>
      <c r="N1233">
        <v>3219.83</v>
      </c>
    </row>
    <row r="1234" spans="1:14" x14ac:dyDescent="0.2">
      <c r="A1234" s="1">
        <v>45576</v>
      </c>
      <c r="B1234" s="2" t="s">
        <v>30</v>
      </c>
      <c r="C1234" s="2" t="s">
        <v>28</v>
      </c>
      <c r="D1234" s="2" t="s">
        <v>19</v>
      </c>
      <c r="E1234">
        <v>13004</v>
      </c>
      <c r="F1234">
        <v>402</v>
      </c>
      <c r="G1234">
        <v>14</v>
      </c>
      <c r="H1234">
        <v>537.30999999999995</v>
      </c>
      <c r="I1234">
        <v>1395.85</v>
      </c>
      <c r="J1234">
        <v>3.09</v>
      </c>
      <c r="K1234">
        <v>3.48</v>
      </c>
      <c r="L1234">
        <v>38.380000000000003</v>
      </c>
      <c r="M1234">
        <v>2.6</v>
      </c>
      <c r="N1234">
        <v>858.54</v>
      </c>
    </row>
    <row r="1235" spans="1:14" x14ac:dyDescent="0.2">
      <c r="A1235" s="1">
        <v>45576</v>
      </c>
      <c r="B1235" s="2" t="s">
        <v>31</v>
      </c>
      <c r="C1235" s="2" t="s">
        <v>15</v>
      </c>
      <c r="D1235" s="2" t="s">
        <v>36</v>
      </c>
      <c r="E1235">
        <v>29449</v>
      </c>
      <c r="F1235">
        <v>768</v>
      </c>
      <c r="G1235">
        <v>39</v>
      </c>
      <c r="H1235">
        <v>933.81</v>
      </c>
      <c r="I1235">
        <v>2751.82</v>
      </c>
      <c r="J1235">
        <v>2.61</v>
      </c>
      <c r="K1235">
        <v>5.08</v>
      </c>
      <c r="L1235">
        <v>23.94</v>
      </c>
      <c r="M1235">
        <v>2.95</v>
      </c>
      <c r="N1235">
        <v>1818.01</v>
      </c>
    </row>
    <row r="1236" spans="1:14" x14ac:dyDescent="0.2">
      <c r="A1236" s="1">
        <v>45576</v>
      </c>
      <c r="B1236" s="2" t="s">
        <v>33</v>
      </c>
      <c r="C1236" s="2" t="s">
        <v>18</v>
      </c>
      <c r="D1236" s="2" t="s">
        <v>22</v>
      </c>
      <c r="E1236">
        <v>9956</v>
      </c>
      <c r="F1236">
        <v>502</v>
      </c>
      <c r="G1236">
        <v>64</v>
      </c>
      <c r="H1236">
        <v>420.72</v>
      </c>
      <c r="I1236">
        <v>8086.54</v>
      </c>
      <c r="J1236">
        <v>5.04</v>
      </c>
      <c r="K1236">
        <v>12.75</v>
      </c>
      <c r="L1236">
        <v>6.57</v>
      </c>
      <c r="M1236">
        <v>19.22</v>
      </c>
      <c r="N1236">
        <v>7665.82</v>
      </c>
    </row>
    <row r="1237" spans="1:14" x14ac:dyDescent="0.2">
      <c r="A1237" s="1">
        <v>45576</v>
      </c>
      <c r="B1237" s="2" t="s">
        <v>34</v>
      </c>
      <c r="C1237" s="2" t="s">
        <v>18</v>
      </c>
      <c r="D1237" s="2" t="s">
        <v>25</v>
      </c>
      <c r="E1237">
        <v>4743</v>
      </c>
      <c r="F1237">
        <v>449</v>
      </c>
      <c r="G1237">
        <v>60</v>
      </c>
      <c r="H1237">
        <v>99.83</v>
      </c>
      <c r="I1237">
        <v>10352.959999999999</v>
      </c>
      <c r="J1237">
        <v>9.4700000000000006</v>
      </c>
      <c r="K1237">
        <v>13.36</v>
      </c>
      <c r="L1237">
        <v>1.66</v>
      </c>
      <c r="M1237">
        <v>103.71</v>
      </c>
      <c r="N1237">
        <v>10253.129999999999</v>
      </c>
    </row>
    <row r="1238" spans="1:14" x14ac:dyDescent="0.2">
      <c r="A1238" s="1">
        <v>45577</v>
      </c>
      <c r="B1238" s="2" t="s">
        <v>14</v>
      </c>
      <c r="C1238" s="2" t="s">
        <v>21</v>
      </c>
      <c r="D1238" s="2" t="s">
        <v>36</v>
      </c>
      <c r="E1238">
        <v>8316</v>
      </c>
      <c r="F1238">
        <v>312</v>
      </c>
      <c r="G1238">
        <v>29</v>
      </c>
      <c r="H1238">
        <v>920.68</v>
      </c>
      <c r="I1238">
        <v>4442.0600000000004</v>
      </c>
      <c r="J1238">
        <v>3.75</v>
      </c>
      <c r="K1238">
        <v>9.2899999999999991</v>
      </c>
      <c r="L1238">
        <v>31.75</v>
      </c>
      <c r="M1238">
        <v>4.82</v>
      </c>
      <c r="N1238">
        <v>3521.38</v>
      </c>
    </row>
    <row r="1239" spans="1:14" x14ac:dyDescent="0.2">
      <c r="A1239" s="1">
        <v>45577</v>
      </c>
      <c r="B1239" s="2" t="s">
        <v>17</v>
      </c>
      <c r="C1239" s="2" t="s">
        <v>15</v>
      </c>
      <c r="D1239" s="2" t="s">
        <v>36</v>
      </c>
      <c r="E1239">
        <v>10624</v>
      </c>
      <c r="F1239">
        <v>290</v>
      </c>
      <c r="G1239">
        <v>21</v>
      </c>
      <c r="H1239">
        <v>629.74</v>
      </c>
      <c r="I1239">
        <v>2070.7199999999998</v>
      </c>
      <c r="J1239">
        <v>2.73</v>
      </c>
      <c r="K1239">
        <v>7.24</v>
      </c>
      <c r="L1239">
        <v>29.99</v>
      </c>
      <c r="M1239">
        <v>3.29</v>
      </c>
      <c r="N1239">
        <v>1440.98</v>
      </c>
    </row>
    <row r="1240" spans="1:14" x14ac:dyDescent="0.2">
      <c r="A1240" s="1">
        <v>45577</v>
      </c>
      <c r="B1240" s="2" t="s">
        <v>20</v>
      </c>
      <c r="C1240" s="2" t="s">
        <v>28</v>
      </c>
      <c r="D1240" s="2" t="s">
        <v>22</v>
      </c>
      <c r="E1240">
        <v>8021</v>
      </c>
      <c r="F1240">
        <v>214</v>
      </c>
      <c r="G1240">
        <v>10</v>
      </c>
      <c r="H1240">
        <v>540.37</v>
      </c>
      <c r="I1240">
        <v>1002.67</v>
      </c>
      <c r="J1240">
        <v>2.67</v>
      </c>
      <c r="K1240">
        <v>4.67</v>
      </c>
      <c r="L1240">
        <v>54.04</v>
      </c>
      <c r="M1240">
        <v>1.86</v>
      </c>
      <c r="N1240">
        <v>462.3</v>
      </c>
    </row>
    <row r="1241" spans="1:14" x14ac:dyDescent="0.2">
      <c r="A1241" s="1">
        <v>45577</v>
      </c>
      <c r="B1241" s="2" t="s">
        <v>23</v>
      </c>
      <c r="C1241" s="2" t="s">
        <v>35</v>
      </c>
      <c r="D1241" s="2" t="s">
        <v>19</v>
      </c>
      <c r="E1241">
        <v>2543</v>
      </c>
      <c r="F1241">
        <v>40</v>
      </c>
      <c r="G1241">
        <v>4</v>
      </c>
      <c r="H1241">
        <v>635.04999999999995</v>
      </c>
      <c r="I1241">
        <v>1150.53</v>
      </c>
      <c r="J1241">
        <v>1.57</v>
      </c>
      <c r="K1241">
        <v>10</v>
      </c>
      <c r="L1241">
        <v>158.76</v>
      </c>
      <c r="M1241">
        <v>1.81</v>
      </c>
      <c r="N1241">
        <v>515.48</v>
      </c>
    </row>
    <row r="1242" spans="1:14" x14ac:dyDescent="0.2">
      <c r="A1242" s="1">
        <v>45577</v>
      </c>
      <c r="B1242" s="2" t="s">
        <v>24</v>
      </c>
      <c r="C1242" s="2" t="s">
        <v>35</v>
      </c>
      <c r="D1242" s="2" t="s">
        <v>16</v>
      </c>
      <c r="E1242">
        <v>13794</v>
      </c>
      <c r="F1242">
        <v>2364</v>
      </c>
      <c r="G1242">
        <v>289</v>
      </c>
      <c r="H1242">
        <v>119.74</v>
      </c>
      <c r="I1242">
        <v>47745.06</v>
      </c>
      <c r="J1242">
        <v>17.14</v>
      </c>
      <c r="K1242">
        <v>12.23</v>
      </c>
      <c r="L1242">
        <v>0.41</v>
      </c>
      <c r="M1242">
        <v>398.74</v>
      </c>
      <c r="N1242">
        <v>47625.32</v>
      </c>
    </row>
    <row r="1243" spans="1:14" x14ac:dyDescent="0.2">
      <c r="A1243" s="1">
        <v>45577</v>
      </c>
      <c r="B1243" s="2" t="s">
        <v>26</v>
      </c>
      <c r="C1243" s="2" t="s">
        <v>18</v>
      </c>
      <c r="D1243" s="2" t="s">
        <v>25</v>
      </c>
      <c r="E1243">
        <v>24154</v>
      </c>
      <c r="F1243">
        <v>1359</v>
      </c>
      <c r="G1243">
        <v>204</v>
      </c>
      <c r="H1243">
        <v>0</v>
      </c>
      <c r="I1243">
        <v>26748</v>
      </c>
      <c r="J1243">
        <v>5.63</v>
      </c>
      <c r="K1243">
        <v>15.01</v>
      </c>
      <c r="L1243">
        <v>0</v>
      </c>
      <c r="M1243">
        <v>0</v>
      </c>
      <c r="N1243">
        <v>26748</v>
      </c>
    </row>
    <row r="1244" spans="1:14" x14ac:dyDescent="0.2">
      <c r="A1244" s="1">
        <v>45577</v>
      </c>
      <c r="B1244" s="2" t="s">
        <v>27</v>
      </c>
      <c r="C1244" s="2" t="s">
        <v>21</v>
      </c>
      <c r="D1244" s="2" t="s">
        <v>25</v>
      </c>
      <c r="E1244">
        <v>24609</v>
      </c>
      <c r="F1244">
        <v>364</v>
      </c>
      <c r="G1244">
        <v>12</v>
      </c>
      <c r="H1244">
        <v>646.25</v>
      </c>
      <c r="I1244">
        <v>1361.38</v>
      </c>
      <c r="J1244">
        <v>1.48</v>
      </c>
      <c r="K1244">
        <v>3.3</v>
      </c>
      <c r="L1244">
        <v>53.85</v>
      </c>
      <c r="M1244">
        <v>2.11</v>
      </c>
      <c r="N1244">
        <v>715.13</v>
      </c>
    </row>
    <row r="1245" spans="1:14" x14ac:dyDescent="0.2">
      <c r="A1245" s="1">
        <v>45577</v>
      </c>
      <c r="B1245" s="2" t="s">
        <v>29</v>
      </c>
      <c r="C1245" s="2" t="s">
        <v>15</v>
      </c>
      <c r="D1245" s="2" t="s">
        <v>16</v>
      </c>
      <c r="E1245">
        <v>12055</v>
      </c>
      <c r="F1245">
        <v>186</v>
      </c>
      <c r="G1245">
        <v>14</v>
      </c>
      <c r="H1245">
        <v>760.74</v>
      </c>
      <c r="I1245">
        <v>1714.2</v>
      </c>
      <c r="J1245">
        <v>1.54</v>
      </c>
      <c r="K1245">
        <v>7.53</v>
      </c>
      <c r="L1245">
        <v>54.34</v>
      </c>
      <c r="M1245">
        <v>2.25</v>
      </c>
      <c r="N1245">
        <v>953.46</v>
      </c>
    </row>
    <row r="1246" spans="1:14" x14ac:dyDescent="0.2">
      <c r="A1246" s="1">
        <v>45577</v>
      </c>
      <c r="B1246" s="2" t="s">
        <v>30</v>
      </c>
      <c r="C1246" s="2" t="s">
        <v>21</v>
      </c>
      <c r="D1246" s="2" t="s">
        <v>36</v>
      </c>
      <c r="E1246">
        <v>6012</v>
      </c>
      <c r="F1246">
        <v>175</v>
      </c>
      <c r="G1246">
        <v>9</v>
      </c>
      <c r="H1246">
        <v>334.16</v>
      </c>
      <c r="I1246">
        <v>1033.8499999999999</v>
      </c>
      <c r="J1246">
        <v>2.91</v>
      </c>
      <c r="K1246">
        <v>5.14</v>
      </c>
      <c r="L1246">
        <v>37.130000000000003</v>
      </c>
      <c r="M1246">
        <v>3.09</v>
      </c>
      <c r="N1246">
        <v>699.69</v>
      </c>
    </row>
    <row r="1247" spans="1:14" x14ac:dyDescent="0.2">
      <c r="A1247" s="1">
        <v>45577</v>
      </c>
      <c r="B1247" s="2" t="s">
        <v>31</v>
      </c>
      <c r="C1247" s="2" t="s">
        <v>21</v>
      </c>
      <c r="D1247" s="2" t="s">
        <v>16</v>
      </c>
      <c r="E1247">
        <v>19893</v>
      </c>
      <c r="F1247">
        <v>557</v>
      </c>
      <c r="G1247">
        <v>32</v>
      </c>
      <c r="H1247">
        <v>516.38</v>
      </c>
      <c r="I1247">
        <v>3040.52</v>
      </c>
      <c r="J1247">
        <v>2.8</v>
      </c>
      <c r="K1247">
        <v>5.75</v>
      </c>
      <c r="L1247">
        <v>16.14</v>
      </c>
      <c r="M1247">
        <v>5.89</v>
      </c>
      <c r="N1247">
        <v>2524.14</v>
      </c>
    </row>
    <row r="1248" spans="1:14" x14ac:dyDescent="0.2">
      <c r="A1248" s="1">
        <v>45577</v>
      </c>
      <c r="B1248" s="2" t="s">
        <v>33</v>
      </c>
      <c r="C1248" s="2" t="s">
        <v>28</v>
      </c>
      <c r="D1248" s="2" t="s">
        <v>36</v>
      </c>
      <c r="E1248">
        <v>6992</v>
      </c>
      <c r="F1248">
        <v>340</v>
      </c>
      <c r="G1248">
        <v>41</v>
      </c>
      <c r="H1248">
        <v>232.07</v>
      </c>
      <c r="I1248">
        <v>5550.76</v>
      </c>
      <c r="J1248">
        <v>4.8600000000000003</v>
      </c>
      <c r="K1248">
        <v>12.06</v>
      </c>
      <c r="L1248">
        <v>5.66</v>
      </c>
      <c r="M1248">
        <v>23.92</v>
      </c>
      <c r="N1248">
        <v>5318.69</v>
      </c>
    </row>
    <row r="1249" spans="1:14" x14ac:dyDescent="0.2">
      <c r="A1249" s="1">
        <v>45577</v>
      </c>
      <c r="B1249" s="2" t="s">
        <v>34</v>
      </c>
      <c r="C1249" s="2" t="s">
        <v>21</v>
      </c>
      <c r="D1249" s="2" t="s">
        <v>19</v>
      </c>
      <c r="E1249">
        <v>4378</v>
      </c>
      <c r="F1249">
        <v>251</v>
      </c>
      <c r="G1249">
        <v>44</v>
      </c>
      <c r="H1249">
        <v>75.73</v>
      </c>
      <c r="I1249">
        <v>5967.31</v>
      </c>
      <c r="J1249">
        <v>5.73</v>
      </c>
      <c r="K1249">
        <v>17.53</v>
      </c>
      <c r="L1249">
        <v>1.72</v>
      </c>
      <c r="M1249">
        <v>78.8</v>
      </c>
      <c r="N1249">
        <v>5891.58</v>
      </c>
    </row>
    <row r="1250" spans="1:14" x14ac:dyDescent="0.2">
      <c r="A1250" s="1">
        <v>45578</v>
      </c>
      <c r="B1250" s="2" t="s">
        <v>14</v>
      </c>
      <c r="C1250" s="2" t="s">
        <v>18</v>
      </c>
      <c r="D1250" s="2" t="s">
        <v>16</v>
      </c>
      <c r="E1250">
        <v>5641</v>
      </c>
      <c r="F1250">
        <v>189</v>
      </c>
      <c r="G1250">
        <v>22</v>
      </c>
      <c r="H1250">
        <v>984.38</v>
      </c>
      <c r="I1250">
        <v>3062.66</v>
      </c>
      <c r="J1250">
        <v>3.35</v>
      </c>
      <c r="K1250">
        <v>11.64</v>
      </c>
      <c r="L1250">
        <v>44.74</v>
      </c>
      <c r="M1250">
        <v>3.11</v>
      </c>
      <c r="N1250">
        <v>2078.2800000000002</v>
      </c>
    </row>
    <row r="1251" spans="1:14" x14ac:dyDescent="0.2">
      <c r="A1251" s="1">
        <v>45578</v>
      </c>
      <c r="B1251" s="2" t="s">
        <v>17</v>
      </c>
      <c r="C1251" s="2" t="s">
        <v>35</v>
      </c>
      <c r="D1251" s="2" t="s">
        <v>25</v>
      </c>
      <c r="E1251">
        <v>13397</v>
      </c>
      <c r="F1251">
        <v>485</v>
      </c>
      <c r="G1251">
        <v>24</v>
      </c>
      <c r="H1251">
        <v>753.69</v>
      </c>
      <c r="I1251">
        <v>2521.66</v>
      </c>
      <c r="J1251">
        <v>3.62</v>
      </c>
      <c r="K1251">
        <v>4.95</v>
      </c>
      <c r="L1251">
        <v>31.4</v>
      </c>
      <c r="M1251">
        <v>3.35</v>
      </c>
      <c r="N1251">
        <v>1767.97</v>
      </c>
    </row>
    <row r="1252" spans="1:14" x14ac:dyDescent="0.2">
      <c r="A1252" s="1">
        <v>45578</v>
      </c>
      <c r="B1252" s="2" t="s">
        <v>20</v>
      </c>
      <c r="C1252" s="2" t="s">
        <v>32</v>
      </c>
      <c r="D1252" s="2" t="s">
        <v>16</v>
      </c>
      <c r="E1252">
        <v>7415</v>
      </c>
      <c r="F1252">
        <v>223</v>
      </c>
      <c r="G1252">
        <v>16</v>
      </c>
      <c r="H1252">
        <v>582.79999999999995</v>
      </c>
      <c r="I1252">
        <v>1715.63</v>
      </c>
      <c r="J1252">
        <v>3.01</v>
      </c>
      <c r="K1252">
        <v>7.17</v>
      </c>
      <c r="L1252">
        <v>36.42</v>
      </c>
      <c r="M1252">
        <v>2.94</v>
      </c>
      <c r="N1252">
        <v>1132.83</v>
      </c>
    </row>
    <row r="1253" spans="1:14" x14ac:dyDescent="0.2">
      <c r="A1253" s="1">
        <v>45578</v>
      </c>
      <c r="B1253" s="2" t="s">
        <v>23</v>
      </c>
      <c r="C1253" s="2" t="s">
        <v>35</v>
      </c>
      <c r="D1253" s="2" t="s">
        <v>19</v>
      </c>
      <c r="E1253">
        <v>3264</v>
      </c>
      <c r="F1253">
        <v>64</v>
      </c>
      <c r="G1253">
        <v>8</v>
      </c>
      <c r="H1253">
        <v>788.18</v>
      </c>
      <c r="I1253">
        <v>2621.3200000000002</v>
      </c>
      <c r="J1253">
        <v>1.96</v>
      </c>
      <c r="K1253">
        <v>12.5</v>
      </c>
      <c r="L1253">
        <v>98.52</v>
      </c>
      <c r="M1253">
        <v>3.33</v>
      </c>
      <c r="N1253">
        <v>1833.14</v>
      </c>
    </row>
    <row r="1254" spans="1:14" x14ac:dyDescent="0.2">
      <c r="A1254" s="1">
        <v>45578</v>
      </c>
      <c r="B1254" s="2" t="s">
        <v>24</v>
      </c>
      <c r="C1254" s="2" t="s">
        <v>28</v>
      </c>
      <c r="D1254" s="2" t="s">
        <v>25</v>
      </c>
      <c r="E1254">
        <v>16643</v>
      </c>
      <c r="F1254">
        <v>3554</v>
      </c>
      <c r="G1254">
        <v>376</v>
      </c>
      <c r="H1254">
        <v>71.08</v>
      </c>
      <c r="I1254">
        <v>61634.83</v>
      </c>
      <c r="J1254">
        <v>21.35</v>
      </c>
      <c r="K1254">
        <v>10.58</v>
      </c>
      <c r="L1254">
        <v>0.19</v>
      </c>
      <c r="M1254">
        <v>867.12</v>
      </c>
      <c r="N1254">
        <v>61563.75</v>
      </c>
    </row>
    <row r="1255" spans="1:14" x14ac:dyDescent="0.2">
      <c r="A1255" s="1">
        <v>45578</v>
      </c>
      <c r="B1255" s="2" t="s">
        <v>26</v>
      </c>
      <c r="C1255" s="2" t="s">
        <v>32</v>
      </c>
      <c r="D1255" s="2" t="s">
        <v>36</v>
      </c>
      <c r="E1255">
        <v>20750</v>
      </c>
      <c r="F1255">
        <v>963</v>
      </c>
      <c r="G1255">
        <v>135</v>
      </c>
      <c r="H1255">
        <v>0</v>
      </c>
      <c r="I1255">
        <v>20339.03</v>
      </c>
      <c r="J1255">
        <v>4.6399999999999997</v>
      </c>
      <c r="K1255">
        <v>14.02</v>
      </c>
      <c r="L1255">
        <v>0</v>
      </c>
      <c r="M1255">
        <v>0</v>
      </c>
      <c r="N1255">
        <v>20339.03</v>
      </c>
    </row>
    <row r="1256" spans="1:14" x14ac:dyDescent="0.2">
      <c r="A1256" s="1">
        <v>45578</v>
      </c>
      <c r="B1256" s="2" t="s">
        <v>27</v>
      </c>
      <c r="C1256" s="2" t="s">
        <v>21</v>
      </c>
      <c r="D1256" s="2" t="s">
        <v>25</v>
      </c>
      <c r="E1256">
        <v>25420</v>
      </c>
      <c r="F1256">
        <v>490</v>
      </c>
      <c r="G1256">
        <v>12</v>
      </c>
      <c r="H1256">
        <v>843.19</v>
      </c>
      <c r="I1256">
        <v>1102.3499999999999</v>
      </c>
      <c r="J1256">
        <v>1.93</v>
      </c>
      <c r="K1256">
        <v>2.4500000000000002</v>
      </c>
      <c r="L1256">
        <v>70.27</v>
      </c>
      <c r="M1256">
        <v>1.31</v>
      </c>
      <c r="N1256">
        <v>259.16000000000003</v>
      </c>
    </row>
    <row r="1257" spans="1:14" x14ac:dyDescent="0.2">
      <c r="A1257" s="1">
        <v>45578</v>
      </c>
      <c r="B1257" s="2" t="s">
        <v>29</v>
      </c>
      <c r="C1257" s="2" t="s">
        <v>28</v>
      </c>
      <c r="D1257" s="2" t="s">
        <v>19</v>
      </c>
      <c r="E1257">
        <v>12420</v>
      </c>
      <c r="F1257">
        <v>262</v>
      </c>
      <c r="G1257">
        <v>18</v>
      </c>
      <c r="H1257">
        <v>890.13</v>
      </c>
      <c r="I1257">
        <v>2082.16</v>
      </c>
      <c r="J1257">
        <v>2.11</v>
      </c>
      <c r="K1257">
        <v>6.87</v>
      </c>
      <c r="L1257">
        <v>49.45</v>
      </c>
      <c r="M1257">
        <v>2.34</v>
      </c>
      <c r="N1257">
        <v>1192.03</v>
      </c>
    </row>
    <row r="1258" spans="1:14" x14ac:dyDescent="0.2">
      <c r="A1258" s="1">
        <v>45578</v>
      </c>
      <c r="B1258" s="2" t="s">
        <v>30</v>
      </c>
      <c r="C1258" s="2" t="s">
        <v>21</v>
      </c>
      <c r="D1258" s="2" t="s">
        <v>16</v>
      </c>
      <c r="E1258">
        <v>7021</v>
      </c>
      <c r="F1258">
        <v>163</v>
      </c>
      <c r="G1258">
        <v>8</v>
      </c>
      <c r="H1258">
        <v>399.13</v>
      </c>
      <c r="I1258">
        <v>685.87</v>
      </c>
      <c r="J1258">
        <v>2.3199999999999998</v>
      </c>
      <c r="K1258">
        <v>4.91</v>
      </c>
      <c r="L1258">
        <v>49.89</v>
      </c>
      <c r="M1258">
        <v>1.72</v>
      </c>
      <c r="N1258">
        <v>286.74</v>
      </c>
    </row>
    <row r="1259" spans="1:14" x14ac:dyDescent="0.2">
      <c r="A1259" s="1">
        <v>45578</v>
      </c>
      <c r="B1259" s="2" t="s">
        <v>31</v>
      </c>
      <c r="C1259" s="2" t="s">
        <v>35</v>
      </c>
      <c r="D1259" s="2" t="s">
        <v>22</v>
      </c>
      <c r="E1259">
        <v>13456</v>
      </c>
      <c r="F1259">
        <v>366</v>
      </c>
      <c r="G1259">
        <v>24</v>
      </c>
      <c r="H1259">
        <v>543.4</v>
      </c>
      <c r="I1259">
        <v>1989.73</v>
      </c>
      <c r="J1259">
        <v>2.72</v>
      </c>
      <c r="K1259">
        <v>6.56</v>
      </c>
      <c r="L1259">
        <v>22.64</v>
      </c>
      <c r="M1259">
        <v>3.66</v>
      </c>
      <c r="N1259">
        <v>1446.33</v>
      </c>
    </row>
    <row r="1260" spans="1:14" x14ac:dyDescent="0.2">
      <c r="A1260" s="1">
        <v>45578</v>
      </c>
      <c r="B1260" s="2" t="s">
        <v>33</v>
      </c>
      <c r="C1260" s="2" t="s">
        <v>15</v>
      </c>
      <c r="D1260" s="2" t="s">
        <v>36</v>
      </c>
      <c r="E1260">
        <v>5310</v>
      </c>
      <c r="F1260">
        <v>215</v>
      </c>
      <c r="G1260">
        <v>17</v>
      </c>
      <c r="H1260">
        <v>449.35</v>
      </c>
      <c r="I1260">
        <v>1647.99</v>
      </c>
      <c r="J1260">
        <v>4.05</v>
      </c>
      <c r="K1260">
        <v>7.91</v>
      </c>
      <c r="L1260">
        <v>26.43</v>
      </c>
      <c r="M1260">
        <v>3.67</v>
      </c>
      <c r="N1260">
        <v>1198.6400000000001</v>
      </c>
    </row>
    <row r="1261" spans="1:14" x14ac:dyDescent="0.2">
      <c r="A1261" s="1">
        <v>45578</v>
      </c>
      <c r="B1261" s="2" t="s">
        <v>34</v>
      </c>
      <c r="C1261" s="2" t="s">
        <v>15</v>
      </c>
      <c r="D1261" s="2" t="s">
        <v>19</v>
      </c>
      <c r="E1261">
        <v>2524</v>
      </c>
      <c r="F1261">
        <v>219</v>
      </c>
      <c r="G1261">
        <v>29</v>
      </c>
      <c r="H1261">
        <v>71.08</v>
      </c>
      <c r="I1261">
        <v>3880.61</v>
      </c>
      <c r="J1261">
        <v>8.68</v>
      </c>
      <c r="K1261">
        <v>13.24</v>
      </c>
      <c r="L1261">
        <v>2.4500000000000002</v>
      </c>
      <c r="M1261">
        <v>54.59</v>
      </c>
      <c r="N1261">
        <v>3809.53</v>
      </c>
    </row>
    <row r="1262" spans="1:14" x14ac:dyDescent="0.2">
      <c r="A1262" s="1">
        <v>45579</v>
      </c>
      <c r="B1262" s="2" t="s">
        <v>14</v>
      </c>
      <c r="C1262" s="2" t="s">
        <v>15</v>
      </c>
      <c r="D1262" s="2" t="s">
        <v>22</v>
      </c>
      <c r="E1262">
        <v>14232</v>
      </c>
      <c r="F1262">
        <v>471</v>
      </c>
      <c r="G1262">
        <v>42</v>
      </c>
      <c r="H1262">
        <v>897.01</v>
      </c>
      <c r="I1262">
        <v>6558.79</v>
      </c>
      <c r="J1262">
        <v>3.31</v>
      </c>
      <c r="K1262">
        <v>8.92</v>
      </c>
      <c r="L1262">
        <v>21.36</v>
      </c>
      <c r="M1262">
        <v>7.31</v>
      </c>
      <c r="N1262">
        <v>5661.78</v>
      </c>
    </row>
    <row r="1263" spans="1:14" x14ac:dyDescent="0.2">
      <c r="A1263" s="1">
        <v>45579</v>
      </c>
      <c r="B1263" s="2" t="s">
        <v>17</v>
      </c>
      <c r="C1263" s="2" t="s">
        <v>18</v>
      </c>
      <c r="D1263" s="2" t="s">
        <v>19</v>
      </c>
      <c r="E1263">
        <v>17054</v>
      </c>
      <c r="F1263">
        <v>555</v>
      </c>
      <c r="G1263">
        <v>46</v>
      </c>
      <c r="H1263">
        <v>753.05</v>
      </c>
      <c r="I1263">
        <v>4214.7</v>
      </c>
      <c r="J1263">
        <v>3.25</v>
      </c>
      <c r="K1263">
        <v>8.2899999999999991</v>
      </c>
      <c r="L1263">
        <v>16.37</v>
      </c>
      <c r="M1263">
        <v>5.6</v>
      </c>
      <c r="N1263">
        <v>3461.65</v>
      </c>
    </row>
    <row r="1264" spans="1:14" x14ac:dyDescent="0.2">
      <c r="A1264" s="1">
        <v>45579</v>
      </c>
      <c r="B1264" s="2" t="s">
        <v>20</v>
      </c>
      <c r="C1264" s="2" t="s">
        <v>35</v>
      </c>
      <c r="D1264" s="2" t="s">
        <v>25</v>
      </c>
      <c r="E1264">
        <v>12843</v>
      </c>
      <c r="F1264">
        <v>526</v>
      </c>
      <c r="G1264">
        <v>24</v>
      </c>
      <c r="H1264">
        <v>660.45</v>
      </c>
      <c r="I1264">
        <v>2651.2</v>
      </c>
      <c r="J1264">
        <v>4.0999999999999996</v>
      </c>
      <c r="K1264">
        <v>4.5599999999999996</v>
      </c>
      <c r="L1264">
        <v>27.52</v>
      </c>
      <c r="M1264">
        <v>4.01</v>
      </c>
      <c r="N1264">
        <v>1990.75</v>
      </c>
    </row>
    <row r="1265" spans="1:14" x14ac:dyDescent="0.2">
      <c r="A1265" s="1">
        <v>45579</v>
      </c>
      <c r="B1265" s="2" t="s">
        <v>23</v>
      </c>
      <c r="C1265" s="2" t="s">
        <v>15</v>
      </c>
      <c r="D1265" s="2" t="s">
        <v>22</v>
      </c>
      <c r="E1265">
        <v>5164</v>
      </c>
      <c r="F1265">
        <v>110</v>
      </c>
      <c r="G1265">
        <v>15</v>
      </c>
      <c r="H1265">
        <v>1785.37</v>
      </c>
      <c r="I1265">
        <v>4802.58</v>
      </c>
      <c r="J1265">
        <v>2.13</v>
      </c>
      <c r="K1265">
        <v>13.64</v>
      </c>
      <c r="L1265">
        <v>119.02</v>
      </c>
      <c r="M1265">
        <v>2.69</v>
      </c>
      <c r="N1265">
        <v>3017.21</v>
      </c>
    </row>
    <row r="1266" spans="1:14" x14ac:dyDescent="0.2">
      <c r="A1266" s="1">
        <v>45579</v>
      </c>
      <c r="B1266" s="2" t="s">
        <v>24</v>
      </c>
      <c r="C1266" s="2" t="s">
        <v>21</v>
      </c>
      <c r="D1266" s="2" t="s">
        <v>25</v>
      </c>
      <c r="E1266">
        <v>18134</v>
      </c>
      <c r="F1266">
        <v>4128</v>
      </c>
      <c r="G1266">
        <v>448</v>
      </c>
      <c r="H1266">
        <v>229.02</v>
      </c>
      <c r="I1266">
        <v>54891.76</v>
      </c>
      <c r="J1266">
        <v>22.76</v>
      </c>
      <c r="K1266">
        <v>10.85</v>
      </c>
      <c r="L1266">
        <v>0.51</v>
      </c>
      <c r="M1266">
        <v>239.68</v>
      </c>
      <c r="N1266">
        <v>54662.74</v>
      </c>
    </row>
    <row r="1267" spans="1:14" x14ac:dyDescent="0.2">
      <c r="A1267" s="1">
        <v>45579</v>
      </c>
      <c r="B1267" s="2" t="s">
        <v>26</v>
      </c>
      <c r="C1267" s="2" t="s">
        <v>15</v>
      </c>
      <c r="D1267" s="2" t="s">
        <v>36</v>
      </c>
      <c r="E1267">
        <v>24089</v>
      </c>
      <c r="F1267">
        <v>1556</v>
      </c>
      <c r="G1267">
        <v>215</v>
      </c>
      <c r="H1267">
        <v>0</v>
      </c>
      <c r="I1267">
        <v>31613.25</v>
      </c>
      <c r="J1267">
        <v>6.46</v>
      </c>
      <c r="K1267">
        <v>13.82</v>
      </c>
      <c r="L1267">
        <v>0</v>
      </c>
      <c r="M1267">
        <v>0</v>
      </c>
      <c r="N1267">
        <v>31613.25</v>
      </c>
    </row>
    <row r="1268" spans="1:14" x14ac:dyDescent="0.2">
      <c r="A1268" s="1">
        <v>45579</v>
      </c>
      <c r="B1268" s="2" t="s">
        <v>27</v>
      </c>
      <c r="C1268" s="2" t="s">
        <v>28</v>
      </c>
      <c r="D1268" s="2" t="s">
        <v>25</v>
      </c>
      <c r="E1268">
        <v>28713</v>
      </c>
      <c r="F1268">
        <v>374</v>
      </c>
      <c r="G1268">
        <v>15</v>
      </c>
      <c r="H1268">
        <v>1277.44</v>
      </c>
      <c r="I1268">
        <v>1841.29</v>
      </c>
      <c r="J1268">
        <v>1.3</v>
      </c>
      <c r="K1268">
        <v>4.01</v>
      </c>
      <c r="L1268">
        <v>85.16</v>
      </c>
      <c r="M1268">
        <v>1.44</v>
      </c>
      <c r="N1268">
        <v>563.85</v>
      </c>
    </row>
    <row r="1269" spans="1:14" x14ac:dyDescent="0.2">
      <c r="A1269" s="1">
        <v>45579</v>
      </c>
      <c r="B1269" s="2" t="s">
        <v>29</v>
      </c>
      <c r="C1269" s="2" t="s">
        <v>35</v>
      </c>
      <c r="D1269" s="2" t="s">
        <v>16</v>
      </c>
      <c r="E1269">
        <v>16087</v>
      </c>
      <c r="F1269">
        <v>397</v>
      </c>
      <c r="G1269">
        <v>26</v>
      </c>
      <c r="H1269">
        <v>1298.3599999999999</v>
      </c>
      <c r="I1269">
        <v>3075.04</v>
      </c>
      <c r="J1269">
        <v>2.4700000000000002</v>
      </c>
      <c r="K1269">
        <v>6.55</v>
      </c>
      <c r="L1269">
        <v>49.94</v>
      </c>
      <c r="M1269">
        <v>2.37</v>
      </c>
      <c r="N1269">
        <v>1776.68</v>
      </c>
    </row>
    <row r="1270" spans="1:14" x14ac:dyDescent="0.2">
      <c r="A1270" s="1">
        <v>45579</v>
      </c>
      <c r="B1270" s="2" t="s">
        <v>30</v>
      </c>
      <c r="C1270" s="2" t="s">
        <v>28</v>
      </c>
      <c r="D1270" s="2" t="s">
        <v>16</v>
      </c>
      <c r="E1270">
        <v>11214</v>
      </c>
      <c r="F1270">
        <v>329</v>
      </c>
      <c r="G1270">
        <v>14</v>
      </c>
      <c r="H1270">
        <v>460.24</v>
      </c>
      <c r="I1270">
        <v>1271.55</v>
      </c>
      <c r="J1270">
        <v>2.93</v>
      </c>
      <c r="K1270">
        <v>4.26</v>
      </c>
      <c r="L1270">
        <v>32.869999999999997</v>
      </c>
      <c r="M1270">
        <v>2.76</v>
      </c>
      <c r="N1270">
        <v>811.31</v>
      </c>
    </row>
    <row r="1271" spans="1:14" x14ac:dyDescent="0.2">
      <c r="A1271" s="1">
        <v>45579</v>
      </c>
      <c r="B1271" s="2" t="s">
        <v>31</v>
      </c>
      <c r="C1271" s="2" t="s">
        <v>21</v>
      </c>
      <c r="D1271" s="2" t="s">
        <v>22</v>
      </c>
      <c r="E1271">
        <v>29205</v>
      </c>
      <c r="F1271">
        <v>1004</v>
      </c>
      <c r="G1271">
        <v>63</v>
      </c>
      <c r="H1271">
        <v>1053.22</v>
      </c>
      <c r="I1271">
        <v>4429.49</v>
      </c>
      <c r="J1271">
        <v>3.44</v>
      </c>
      <c r="K1271">
        <v>6.27</v>
      </c>
      <c r="L1271">
        <v>16.72</v>
      </c>
      <c r="M1271">
        <v>4.21</v>
      </c>
      <c r="N1271">
        <v>3376.27</v>
      </c>
    </row>
    <row r="1272" spans="1:14" x14ac:dyDescent="0.2">
      <c r="A1272" s="1">
        <v>45579</v>
      </c>
      <c r="B1272" s="2" t="s">
        <v>33</v>
      </c>
      <c r="C1272" s="2" t="s">
        <v>28</v>
      </c>
      <c r="D1272" s="2" t="s">
        <v>19</v>
      </c>
      <c r="E1272">
        <v>7221</v>
      </c>
      <c r="F1272">
        <v>307</v>
      </c>
      <c r="G1272">
        <v>39</v>
      </c>
      <c r="H1272">
        <v>483.12</v>
      </c>
      <c r="I1272">
        <v>4379.59</v>
      </c>
      <c r="J1272">
        <v>4.25</v>
      </c>
      <c r="K1272">
        <v>12.7</v>
      </c>
      <c r="L1272">
        <v>12.39</v>
      </c>
      <c r="M1272">
        <v>9.07</v>
      </c>
      <c r="N1272">
        <v>3896.47</v>
      </c>
    </row>
    <row r="1273" spans="1:14" x14ac:dyDescent="0.2">
      <c r="A1273" s="1">
        <v>45579</v>
      </c>
      <c r="B1273" s="2" t="s">
        <v>34</v>
      </c>
      <c r="C1273" s="2" t="s">
        <v>21</v>
      </c>
      <c r="D1273" s="2" t="s">
        <v>16</v>
      </c>
      <c r="E1273">
        <v>3301</v>
      </c>
      <c r="F1273">
        <v>240</v>
      </c>
      <c r="G1273">
        <v>29</v>
      </c>
      <c r="H1273">
        <v>182.98</v>
      </c>
      <c r="I1273">
        <v>4762.55</v>
      </c>
      <c r="J1273">
        <v>7.27</v>
      </c>
      <c r="K1273">
        <v>12.08</v>
      </c>
      <c r="L1273">
        <v>6.31</v>
      </c>
      <c r="M1273">
        <v>26.03</v>
      </c>
      <c r="N1273">
        <v>4579.57</v>
      </c>
    </row>
    <row r="1274" spans="1:14" x14ac:dyDescent="0.2">
      <c r="A1274" s="1">
        <v>45580</v>
      </c>
      <c r="B1274" s="2" t="s">
        <v>14</v>
      </c>
      <c r="C1274" s="2" t="s">
        <v>35</v>
      </c>
      <c r="D1274" s="2" t="s">
        <v>36</v>
      </c>
      <c r="E1274">
        <v>10520</v>
      </c>
      <c r="F1274">
        <v>411</v>
      </c>
      <c r="G1274">
        <v>36</v>
      </c>
      <c r="H1274">
        <v>1073.71</v>
      </c>
      <c r="I1274">
        <v>4723.21</v>
      </c>
      <c r="J1274">
        <v>3.91</v>
      </c>
      <c r="K1274">
        <v>8.76</v>
      </c>
      <c r="L1274">
        <v>29.83</v>
      </c>
      <c r="M1274">
        <v>4.4000000000000004</v>
      </c>
      <c r="N1274">
        <v>3649.5</v>
      </c>
    </row>
    <row r="1275" spans="1:14" x14ac:dyDescent="0.2">
      <c r="A1275" s="1">
        <v>45580</v>
      </c>
      <c r="B1275" s="2" t="s">
        <v>17</v>
      </c>
      <c r="C1275" s="2" t="s">
        <v>21</v>
      </c>
      <c r="D1275" s="2" t="s">
        <v>36</v>
      </c>
      <c r="E1275">
        <v>13544</v>
      </c>
      <c r="F1275">
        <v>490</v>
      </c>
      <c r="G1275">
        <v>28</v>
      </c>
      <c r="H1275">
        <v>863.42</v>
      </c>
      <c r="I1275">
        <v>3122.57</v>
      </c>
      <c r="J1275">
        <v>3.62</v>
      </c>
      <c r="K1275">
        <v>5.71</v>
      </c>
      <c r="L1275">
        <v>30.84</v>
      </c>
      <c r="M1275">
        <v>3.62</v>
      </c>
      <c r="N1275">
        <v>2259.15</v>
      </c>
    </row>
    <row r="1276" spans="1:14" x14ac:dyDescent="0.2">
      <c r="A1276" s="1">
        <v>45580</v>
      </c>
      <c r="B1276" s="2" t="s">
        <v>20</v>
      </c>
      <c r="C1276" s="2" t="s">
        <v>35</v>
      </c>
      <c r="D1276" s="2" t="s">
        <v>19</v>
      </c>
      <c r="E1276">
        <v>13722</v>
      </c>
      <c r="F1276">
        <v>604</v>
      </c>
      <c r="G1276">
        <v>30</v>
      </c>
      <c r="H1276">
        <v>643.75</v>
      </c>
      <c r="I1276">
        <v>3153.25</v>
      </c>
      <c r="J1276">
        <v>4.4000000000000004</v>
      </c>
      <c r="K1276">
        <v>4.97</v>
      </c>
      <c r="L1276">
        <v>21.46</v>
      </c>
      <c r="M1276">
        <v>4.9000000000000004</v>
      </c>
      <c r="N1276">
        <v>2509.5</v>
      </c>
    </row>
    <row r="1277" spans="1:14" x14ac:dyDescent="0.2">
      <c r="A1277" s="1">
        <v>45580</v>
      </c>
      <c r="B1277" s="2" t="s">
        <v>23</v>
      </c>
      <c r="C1277" s="2" t="s">
        <v>35</v>
      </c>
      <c r="D1277" s="2" t="s">
        <v>25</v>
      </c>
      <c r="E1277">
        <v>4338</v>
      </c>
      <c r="F1277">
        <v>126</v>
      </c>
      <c r="G1277">
        <v>15</v>
      </c>
      <c r="H1277">
        <v>1184</v>
      </c>
      <c r="I1277">
        <v>3679.66</v>
      </c>
      <c r="J1277">
        <v>2.9</v>
      </c>
      <c r="K1277">
        <v>11.9</v>
      </c>
      <c r="L1277">
        <v>78.930000000000007</v>
      </c>
      <c r="M1277">
        <v>3.11</v>
      </c>
      <c r="N1277">
        <v>2495.66</v>
      </c>
    </row>
    <row r="1278" spans="1:14" x14ac:dyDescent="0.2">
      <c r="A1278" s="1">
        <v>45580</v>
      </c>
      <c r="B1278" s="2" t="s">
        <v>24</v>
      </c>
      <c r="C1278" s="2" t="s">
        <v>15</v>
      </c>
      <c r="D1278" s="2" t="s">
        <v>25</v>
      </c>
      <c r="E1278">
        <v>15772</v>
      </c>
      <c r="F1278">
        <v>2780</v>
      </c>
      <c r="G1278">
        <v>278</v>
      </c>
      <c r="H1278">
        <v>125.54</v>
      </c>
      <c r="I1278">
        <v>38949.120000000003</v>
      </c>
      <c r="J1278">
        <v>17.63</v>
      </c>
      <c r="K1278">
        <v>10</v>
      </c>
      <c r="L1278">
        <v>0.45</v>
      </c>
      <c r="M1278">
        <v>310.25</v>
      </c>
      <c r="N1278">
        <v>38823.58</v>
      </c>
    </row>
    <row r="1279" spans="1:14" x14ac:dyDescent="0.2">
      <c r="A1279" s="1">
        <v>45580</v>
      </c>
      <c r="B1279" s="2" t="s">
        <v>26</v>
      </c>
      <c r="C1279" s="2" t="s">
        <v>18</v>
      </c>
      <c r="D1279" s="2" t="s">
        <v>19</v>
      </c>
      <c r="E1279">
        <v>26920</v>
      </c>
      <c r="F1279">
        <v>1430</v>
      </c>
      <c r="G1279">
        <v>198</v>
      </c>
      <c r="H1279">
        <v>0</v>
      </c>
      <c r="I1279">
        <v>22898.44</v>
      </c>
      <c r="J1279">
        <v>5.31</v>
      </c>
      <c r="K1279">
        <v>13.85</v>
      </c>
      <c r="L1279">
        <v>0</v>
      </c>
      <c r="M1279">
        <v>0</v>
      </c>
      <c r="N1279">
        <v>22898.44</v>
      </c>
    </row>
    <row r="1280" spans="1:14" x14ac:dyDescent="0.2">
      <c r="A1280" s="1">
        <v>45580</v>
      </c>
      <c r="B1280" s="2" t="s">
        <v>27</v>
      </c>
      <c r="C1280" s="2" t="s">
        <v>15</v>
      </c>
      <c r="D1280" s="2" t="s">
        <v>19</v>
      </c>
      <c r="E1280">
        <v>27548</v>
      </c>
      <c r="F1280">
        <v>346</v>
      </c>
      <c r="G1280">
        <v>12</v>
      </c>
      <c r="H1280">
        <v>821.49</v>
      </c>
      <c r="I1280">
        <v>1374.61</v>
      </c>
      <c r="J1280">
        <v>1.26</v>
      </c>
      <c r="K1280">
        <v>3.47</v>
      </c>
      <c r="L1280">
        <v>68.459999999999994</v>
      </c>
      <c r="M1280">
        <v>1.67</v>
      </c>
      <c r="N1280">
        <v>553.12</v>
      </c>
    </row>
    <row r="1281" spans="1:14" x14ac:dyDescent="0.2">
      <c r="A1281" s="1">
        <v>45580</v>
      </c>
      <c r="B1281" s="2" t="s">
        <v>29</v>
      </c>
      <c r="C1281" s="2" t="s">
        <v>15</v>
      </c>
      <c r="D1281" s="2" t="s">
        <v>22</v>
      </c>
      <c r="E1281">
        <v>16920</v>
      </c>
      <c r="F1281">
        <v>429</v>
      </c>
      <c r="G1281">
        <v>32</v>
      </c>
      <c r="H1281">
        <v>1202.8</v>
      </c>
      <c r="I1281">
        <v>2924.76</v>
      </c>
      <c r="J1281">
        <v>2.54</v>
      </c>
      <c r="K1281">
        <v>7.46</v>
      </c>
      <c r="L1281">
        <v>37.590000000000003</v>
      </c>
      <c r="M1281">
        <v>2.4300000000000002</v>
      </c>
      <c r="N1281">
        <v>1721.96</v>
      </c>
    </row>
    <row r="1282" spans="1:14" x14ac:dyDescent="0.2">
      <c r="A1282" s="1">
        <v>45580</v>
      </c>
      <c r="B1282" s="2" t="s">
        <v>30</v>
      </c>
      <c r="C1282" s="2" t="s">
        <v>18</v>
      </c>
      <c r="D1282" s="2" t="s">
        <v>16</v>
      </c>
      <c r="E1282">
        <v>13698</v>
      </c>
      <c r="F1282">
        <v>356</v>
      </c>
      <c r="G1282">
        <v>13</v>
      </c>
      <c r="H1282">
        <v>579.72</v>
      </c>
      <c r="I1282">
        <v>1112.69</v>
      </c>
      <c r="J1282">
        <v>2.6</v>
      </c>
      <c r="K1282">
        <v>3.65</v>
      </c>
      <c r="L1282">
        <v>44.59</v>
      </c>
      <c r="M1282">
        <v>1.92</v>
      </c>
      <c r="N1282">
        <v>532.97</v>
      </c>
    </row>
    <row r="1283" spans="1:14" x14ac:dyDescent="0.2">
      <c r="A1283" s="1">
        <v>45580</v>
      </c>
      <c r="B1283" s="2" t="s">
        <v>31</v>
      </c>
      <c r="C1283" s="2" t="s">
        <v>28</v>
      </c>
      <c r="D1283" s="2" t="s">
        <v>19</v>
      </c>
      <c r="E1283">
        <v>25781</v>
      </c>
      <c r="F1283">
        <v>740</v>
      </c>
      <c r="G1283">
        <v>27</v>
      </c>
      <c r="H1283">
        <v>780.21</v>
      </c>
      <c r="I1283">
        <v>2750.2</v>
      </c>
      <c r="J1283">
        <v>2.87</v>
      </c>
      <c r="K1283">
        <v>3.65</v>
      </c>
      <c r="L1283">
        <v>28.9</v>
      </c>
      <c r="M1283">
        <v>3.52</v>
      </c>
      <c r="N1283">
        <v>1969.99</v>
      </c>
    </row>
    <row r="1284" spans="1:14" x14ac:dyDescent="0.2">
      <c r="A1284" s="1">
        <v>45580</v>
      </c>
      <c r="B1284" s="2" t="s">
        <v>33</v>
      </c>
      <c r="C1284" s="2" t="s">
        <v>21</v>
      </c>
      <c r="D1284" s="2" t="s">
        <v>36</v>
      </c>
      <c r="E1284">
        <v>6281</v>
      </c>
      <c r="F1284">
        <v>380</v>
      </c>
      <c r="G1284">
        <v>37</v>
      </c>
      <c r="H1284">
        <v>519.25</v>
      </c>
      <c r="I1284">
        <v>3547.13</v>
      </c>
      <c r="J1284">
        <v>6.05</v>
      </c>
      <c r="K1284">
        <v>9.74</v>
      </c>
      <c r="L1284">
        <v>14.03</v>
      </c>
      <c r="M1284">
        <v>6.83</v>
      </c>
      <c r="N1284">
        <v>3027.88</v>
      </c>
    </row>
    <row r="1285" spans="1:14" x14ac:dyDescent="0.2">
      <c r="A1285" s="1">
        <v>45580</v>
      </c>
      <c r="B1285" s="2" t="s">
        <v>34</v>
      </c>
      <c r="C1285" s="2" t="s">
        <v>15</v>
      </c>
      <c r="D1285" s="2" t="s">
        <v>25</v>
      </c>
      <c r="E1285">
        <v>5257</v>
      </c>
      <c r="F1285">
        <v>445</v>
      </c>
      <c r="G1285">
        <v>57</v>
      </c>
      <c r="H1285">
        <v>94.08</v>
      </c>
      <c r="I1285">
        <v>7760.89</v>
      </c>
      <c r="J1285">
        <v>8.4600000000000009</v>
      </c>
      <c r="K1285">
        <v>12.81</v>
      </c>
      <c r="L1285">
        <v>1.65</v>
      </c>
      <c r="M1285">
        <v>82.49</v>
      </c>
      <c r="N1285">
        <v>7666.81</v>
      </c>
    </row>
    <row r="1286" spans="1:14" x14ac:dyDescent="0.2">
      <c r="A1286" s="1">
        <v>45581</v>
      </c>
      <c r="B1286" s="2" t="s">
        <v>14</v>
      </c>
      <c r="C1286" s="2" t="s">
        <v>15</v>
      </c>
      <c r="D1286" s="2" t="s">
        <v>19</v>
      </c>
      <c r="E1286">
        <v>11459</v>
      </c>
      <c r="F1286">
        <v>392</v>
      </c>
      <c r="G1286">
        <v>34</v>
      </c>
      <c r="H1286">
        <v>853.02</v>
      </c>
      <c r="I1286">
        <v>6497.4</v>
      </c>
      <c r="J1286">
        <v>3.42</v>
      </c>
      <c r="K1286">
        <v>8.67</v>
      </c>
      <c r="L1286">
        <v>25.09</v>
      </c>
      <c r="M1286">
        <v>7.62</v>
      </c>
      <c r="N1286">
        <v>5644.38</v>
      </c>
    </row>
    <row r="1287" spans="1:14" x14ac:dyDescent="0.2">
      <c r="A1287" s="1">
        <v>45581</v>
      </c>
      <c r="B1287" s="2" t="s">
        <v>17</v>
      </c>
      <c r="C1287" s="2" t="s">
        <v>15</v>
      </c>
      <c r="D1287" s="2" t="s">
        <v>16</v>
      </c>
      <c r="E1287">
        <v>13050</v>
      </c>
      <c r="F1287">
        <v>470</v>
      </c>
      <c r="G1287">
        <v>38</v>
      </c>
      <c r="H1287">
        <v>943.4</v>
      </c>
      <c r="I1287">
        <v>3559.56</v>
      </c>
      <c r="J1287">
        <v>3.6</v>
      </c>
      <c r="K1287">
        <v>8.09</v>
      </c>
      <c r="L1287">
        <v>24.83</v>
      </c>
      <c r="M1287">
        <v>3.77</v>
      </c>
      <c r="N1287">
        <v>2616.16</v>
      </c>
    </row>
    <row r="1288" spans="1:14" x14ac:dyDescent="0.2">
      <c r="A1288" s="1">
        <v>45581</v>
      </c>
      <c r="B1288" s="2" t="s">
        <v>20</v>
      </c>
      <c r="C1288" s="2" t="s">
        <v>15</v>
      </c>
      <c r="D1288" s="2" t="s">
        <v>19</v>
      </c>
      <c r="E1288">
        <v>10753</v>
      </c>
      <c r="F1288">
        <v>364</v>
      </c>
      <c r="G1288">
        <v>28</v>
      </c>
      <c r="H1288">
        <v>867.81</v>
      </c>
      <c r="I1288">
        <v>2575.98</v>
      </c>
      <c r="J1288">
        <v>3.39</v>
      </c>
      <c r="K1288">
        <v>7.69</v>
      </c>
      <c r="L1288">
        <v>30.99</v>
      </c>
      <c r="M1288">
        <v>2.97</v>
      </c>
      <c r="N1288">
        <v>1708.17</v>
      </c>
    </row>
    <row r="1289" spans="1:14" x14ac:dyDescent="0.2">
      <c r="A1289" s="1">
        <v>45581</v>
      </c>
      <c r="B1289" s="2" t="s">
        <v>23</v>
      </c>
      <c r="C1289" s="2" t="s">
        <v>35</v>
      </c>
      <c r="D1289" s="2" t="s">
        <v>25</v>
      </c>
      <c r="E1289">
        <v>4585</v>
      </c>
      <c r="F1289">
        <v>114</v>
      </c>
      <c r="G1289">
        <v>13</v>
      </c>
      <c r="H1289">
        <v>1341.3</v>
      </c>
      <c r="I1289">
        <v>3348.62</v>
      </c>
      <c r="J1289">
        <v>2.4900000000000002</v>
      </c>
      <c r="K1289">
        <v>11.4</v>
      </c>
      <c r="L1289">
        <v>103.18</v>
      </c>
      <c r="M1289">
        <v>2.5</v>
      </c>
      <c r="N1289">
        <v>2007.32</v>
      </c>
    </row>
    <row r="1290" spans="1:14" x14ac:dyDescent="0.2">
      <c r="A1290" s="1">
        <v>45581</v>
      </c>
      <c r="B1290" s="2" t="s">
        <v>24</v>
      </c>
      <c r="C1290" s="2" t="s">
        <v>21</v>
      </c>
      <c r="D1290" s="2" t="s">
        <v>22</v>
      </c>
      <c r="E1290">
        <v>18409</v>
      </c>
      <c r="F1290">
        <v>3782</v>
      </c>
      <c r="G1290">
        <v>477</v>
      </c>
      <c r="H1290">
        <v>291.02</v>
      </c>
      <c r="I1290">
        <v>59966.37</v>
      </c>
      <c r="J1290">
        <v>20.54</v>
      </c>
      <c r="K1290">
        <v>12.61</v>
      </c>
      <c r="L1290">
        <v>0.61</v>
      </c>
      <c r="M1290">
        <v>206.06</v>
      </c>
      <c r="N1290">
        <v>59675.35</v>
      </c>
    </row>
    <row r="1291" spans="1:14" x14ac:dyDescent="0.2">
      <c r="A1291" s="1">
        <v>45581</v>
      </c>
      <c r="B1291" s="2" t="s">
        <v>26</v>
      </c>
      <c r="C1291" s="2" t="s">
        <v>21</v>
      </c>
      <c r="D1291" s="2" t="s">
        <v>36</v>
      </c>
      <c r="E1291">
        <v>22602</v>
      </c>
      <c r="F1291">
        <v>1150</v>
      </c>
      <c r="G1291">
        <v>128</v>
      </c>
      <c r="H1291">
        <v>0</v>
      </c>
      <c r="I1291">
        <v>17527.72</v>
      </c>
      <c r="J1291">
        <v>5.09</v>
      </c>
      <c r="K1291">
        <v>11.13</v>
      </c>
      <c r="L1291">
        <v>0</v>
      </c>
      <c r="M1291">
        <v>0</v>
      </c>
      <c r="N1291">
        <v>17527.72</v>
      </c>
    </row>
    <row r="1292" spans="1:14" x14ac:dyDescent="0.2">
      <c r="A1292" s="1">
        <v>45581</v>
      </c>
      <c r="B1292" s="2" t="s">
        <v>27</v>
      </c>
      <c r="C1292" s="2" t="s">
        <v>21</v>
      </c>
      <c r="D1292" s="2" t="s">
        <v>36</v>
      </c>
      <c r="E1292">
        <v>32334</v>
      </c>
      <c r="F1292">
        <v>352</v>
      </c>
      <c r="G1292">
        <v>10</v>
      </c>
      <c r="H1292">
        <v>1003.63</v>
      </c>
      <c r="I1292">
        <v>871.45</v>
      </c>
      <c r="J1292">
        <v>1.0900000000000001</v>
      </c>
      <c r="K1292">
        <v>2.84</v>
      </c>
      <c r="L1292">
        <v>100.36</v>
      </c>
      <c r="M1292">
        <v>0.87</v>
      </c>
      <c r="N1292">
        <v>-132.18</v>
      </c>
    </row>
    <row r="1293" spans="1:14" x14ac:dyDescent="0.2">
      <c r="A1293" s="1">
        <v>45581</v>
      </c>
      <c r="B1293" s="2" t="s">
        <v>29</v>
      </c>
      <c r="C1293" s="2" t="s">
        <v>15</v>
      </c>
      <c r="D1293" s="2" t="s">
        <v>25</v>
      </c>
      <c r="E1293">
        <v>20747</v>
      </c>
      <c r="F1293">
        <v>517</v>
      </c>
      <c r="G1293">
        <v>29</v>
      </c>
      <c r="H1293">
        <v>979.32</v>
      </c>
      <c r="I1293">
        <v>3471.69</v>
      </c>
      <c r="J1293">
        <v>2.4900000000000002</v>
      </c>
      <c r="K1293">
        <v>5.61</v>
      </c>
      <c r="L1293">
        <v>33.770000000000003</v>
      </c>
      <c r="M1293">
        <v>3.55</v>
      </c>
      <c r="N1293">
        <v>2492.37</v>
      </c>
    </row>
    <row r="1294" spans="1:14" x14ac:dyDescent="0.2">
      <c r="A1294" s="1">
        <v>45581</v>
      </c>
      <c r="B1294" s="2" t="s">
        <v>30</v>
      </c>
      <c r="C1294" s="2" t="s">
        <v>35</v>
      </c>
      <c r="D1294" s="2" t="s">
        <v>36</v>
      </c>
      <c r="E1294">
        <v>11772</v>
      </c>
      <c r="F1294">
        <v>319</v>
      </c>
      <c r="G1294">
        <v>18</v>
      </c>
      <c r="H1294">
        <v>726.74</v>
      </c>
      <c r="I1294">
        <v>2074.06</v>
      </c>
      <c r="J1294">
        <v>2.71</v>
      </c>
      <c r="K1294">
        <v>5.64</v>
      </c>
      <c r="L1294">
        <v>40.369999999999997</v>
      </c>
      <c r="M1294">
        <v>2.85</v>
      </c>
      <c r="N1294">
        <v>1347.32</v>
      </c>
    </row>
    <row r="1295" spans="1:14" x14ac:dyDescent="0.2">
      <c r="A1295" s="1">
        <v>45581</v>
      </c>
      <c r="B1295" s="2" t="s">
        <v>31</v>
      </c>
      <c r="C1295" s="2" t="s">
        <v>15</v>
      </c>
      <c r="D1295" s="2" t="s">
        <v>25</v>
      </c>
      <c r="E1295">
        <v>22169</v>
      </c>
      <c r="F1295">
        <v>584</v>
      </c>
      <c r="G1295">
        <v>39</v>
      </c>
      <c r="H1295">
        <v>601.9</v>
      </c>
      <c r="I1295">
        <v>4286.04</v>
      </c>
      <c r="J1295">
        <v>2.63</v>
      </c>
      <c r="K1295">
        <v>6.68</v>
      </c>
      <c r="L1295">
        <v>15.43</v>
      </c>
      <c r="M1295">
        <v>7.12</v>
      </c>
      <c r="N1295">
        <v>3684.14</v>
      </c>
    </row>
    <row r="1296" spans="1:14" x14ac:dyDescent="0.2">
      <c r="A1296" s="1">
        <v>45581</v>
      </c>
      <c r="B1296" s="2" t="s">
        <v>33</v>
      </c>
      <c r="C1296" s="2" t="s">
        <v>28</v>
      </c>
      <c r="D1296" s="2" t="s">
        <v>25</v>
      </c>
      <c r="E1296">
        <v>7243</v>
      </c>
      <c r="F1296">
        <v>446</v>
      </c>
      <c r="G1296">
        <v>38</v>
      </c>
      <c r="H1296">
        <v>605.6</v>
      </c>
      <c r="I1296">
        <v>4538.99</v>
      </c>
      <c r="J1296">
        <v>6.16</v>
      </c>
      <c r="K1296">
        <v>8.52</v>
      </c>
      <c r="L1296">
        <v>15.94</v>
      </c>
      <c r="M1296">
        <v>7.5</v>
      </c>
      <c r="N1296">
        <v>3933.39</v>
      </c>
    </row>
    <row r="1297" spans="1:14" x14ac:dyDescent="0.2">
      <c r="A1297" s="1">
        <v>45581</v>
      </c>
      <c r="B1297" s="2" t="s">
        <v>34</v>
      </c>
      <c r="C1297" s="2" t="s">
        <v>15</v>
      </c>
      <c r="D1297" s="2" t="s">
        <v>22</v>
      </c>
      <c r="E1297">
        <v>6317</v>
      </c>
      <c r="F1297">
        <v>553</v>
      </c>
      <c r="G1297">
        <v>94</v>
      </c>
      <c r="H1297">
        <v>187.12</v>
      </c>
      <c r="I1297">
        <v>13416.82</v>
      </c>
      <c r="J1297">
        <v>8.75</v>
      </c>
      <c r="K1297">
        <v>17</v>
      </c>
      <c r="L1297">
        <v>1.99</v>
      </c>
      <c r="M1297">
        <v>71.7</v>
      </c>
      <c r="N1297">
        <v>13229.7</v>
      </c>
    </row>
    <row r="1298" spans="1:14" x14ac:dyDescent="0.2">
      <c r="A1298" s="1">
        <v>45582</v>
      </c>
      <c r="B1298" s="2" t="s">
        <v>14</v>
      </c>
      <c r="C1298" s="2" t="s">
        <v>21</v>
      </c>
      <c r="D1298" s="2" t="s">
        <v>25</v>
      </c>
      <c r="E1298">
        <v>10098</v>
      </c>
      <c r="F1298">
        <v>362</v>
      </c>
      <c r="G1298">
        <v>32</v>
      </c>
      <c r="H1298">
        <v>952.68</v>
      </c>
      <c r="I1298">
        <v>5157.72</v>
      </c>
      <c r="J1298">
        <v>3.58</v>
      </c>
      <c r="K1298">
        <v>8.84</v>
      </c>
      <c r="L1298">
        <v>29.77</v>
      </c>
      <c r="M1298">
        <v>5.41</v>
      </c>
      <c r="N1298">
        <v>4205.04</v>
      </c>
    </row>
    <row r="1299" spans="1:14" x14ac:dyDescent="0.2">
      <c r="A1299" s="1">
        <v>45582</v>
      </c>
      <c r="B1299" s="2" t="s">
        <v>17</v>
      </c>
      <c r="C1299" s="2" t="s">
        <v>18</v>
      </c>
      <c r="D1299" s="2" t="s">
        <v>25</v>
      </c>
      <c r="E1299">
        <v>16438</v>
      </c>
      <c r="F1299">
        <v>472</v>
      </c>
      <c r="G1299">
        <v>35</v>
      </c>
      <c r="H1299">
        <v>692.65</v>
      </c>
      <c r="I1299">
        <v>4699.17</v>
      </c>
      <c r="J1299">
        <v>2.87</v>
      </c>
      <c r="K1299">
        <v>7.42</v>
      </c>
      <c r="L1299">
        <v>19.79</v>
      </c>
      <c r="M1299">
        <v>6.78</v>
      </c>
      <c r="N1299">
        <v>4006.52</v>
      </c>
    </row>
    <row r="1300" spans="1:14" x14ac:dyDescent="0.2">
      <c r="A1300" s="1">
        <v>45582</v>
      </c>
      <c r="B1300" s="2" t="s">
        <v>20</v>
      </c>
      <c r="C1300" s="2" t="s">
        <v>28</v>
      </c>
      <c r="D1300" s="2" t="s">
        <v>25</v>
      </c>
      <c r="E1300">
        <v>13769</v>
      </c>
      <c r="F1300">
        <v>434</v>
      </c>
      <c r="G1300">
        <v>33</v>
      </c>
      <c r="H1300">
        <v>716.77</v>
      </c>
      <c r="I1300">
        <v>2929.11</v>
      </c>
      <c r="J1300">
        <v>3.15</v>
      </c>
      <c r="K1300">
        <v>7.6</v>
      </c>
      <c r="L1300">
        <v>21.72</v>
      </c>
      <c r="M1300">
        <v>4.09</v>
      </c>
      <c r="N1300">
        <v>2212.34</v>
      </c>
    </row>
    <row r="1301" spans="1:14" x14ac:dyDescent="0.2">
      <c r="A1301" s="1">
        <v>45582</v>
      </c>
      <c r="B1301" s="2" t="s">
        <v>23</v>
      </c>
      <c r="C1301" s="2" t="s">
        <v>15</v>
      </c>
      <c r="D1301" s="2" t="s">
        <v>19</v>
      </c>
      <c r="E1301">
        <v>3411</v>
      </c>
      <c r="F1301">
        <v>77</v>
      </c>
      <c r="G1301">
        <v>9</v>
      </c>
      <c r="H1301">
        <v>1420.41</v>
      </c>
      <c r="I1301">
        <v>1805.42</v>
      </c>
      <c r="J1301">
        <v>2.2599999999999998</v>
      </c>
      <c r="K1301">
        <v>11.69</v>
      </c>
      <c r="L1301">
        <v>157.82</v>
      </c>
      <c r="M1301">
        <v>1.27</v>
      </c>
      <c r="N1301">
        <v>385.01</v>
      </c>
    </row>
    <row r="1302" spans="1:14" x14ac:dyDescent="0.2">
      <c r="A1302" s="1">
        <v>45582</v>
      </c>
      <c r="B1302" s="2" t="s">
        <v>24</v>
      </c>
      <c r="C1302" s="2" t="s">
        <v>18</v>
      </c>
      <c r="D1302" s="2" t="s">
        <v>25</v>
      </c>
      <c r="E1302">
        <v>18075</v>
      </c>
      <c r="F1302">
        <v>3262</v>
      </c>
      <c r="G1302">
        <v>265</v>
      </c>
      <c r="H1302">
        <v>265.12</v>
      </c>
      <c r="I1302">
        <v>28377.75</v>
      </c>
      <c r="J1302">
        <v>18.05</v>
      </c>
      <c r="K1302">
        <v>8.1199999999999992</v>
      </c>
      <c r="L1302">
        <v>1</v>
      </c>
      <c r="M1302">
        <v>107.04</v>
      </c>
      <c r="N1302">
        <v>28112.63</v>
      </c>
    </row>
    <row r="1303" spans="1:14" x14ac:dyDescent="0.2">
      <c r="A1303" s="1">
        <v>45582</v>
      </c>
      <c r="B1303" s="2" t="s">
        <v>26</v>
      </c>
      <c r="C1303" s="2" t="s">
        <v>18</v>
      </c>
      <c r="D1303" s="2" t="s">
        <v>16</v>
      </c>
      <c r="E1303">
        <v>26068</v>
      </c>
      <c r="F1303">
        <v>1234</v>
      </c>
      <c r="G1303">
        <v>161</v>
      </c>
      <c r="H1303">
        <v>0</v>
      </c>
      <c r="I1303">
        <v>21628.47</v>
      </c>
      <c r="J1303">
        <v>4.7300000000000004</v>
      </c>
      <c r="K1303">
        <v>13.05</v>
      </c>
      <c r="L1303">
        <v>0</v>
      </c>
      <c r="M1303">
        <v>0</v>
      </c>
      <c r="N1303">
        <v>21628.47</v>
      </c>
    </row>
    <row r="1304" spans="1:14" x14ac:dyDescent="0.2">
      <c r="A1304" s="1">
        <v>45582</v>
      </c>
      <c r="B1304" s="2" t="s">
        <v>27</v>
      </c>
      <c r="C1304" s="2" t="s">
        <v>32</v>
      </c>
      <c r="D1304" s="2" t="s">
        <v>25</v>
      </c>
      <c r="E1304">
        <v>35079</v>
      </c>
      <c r="F1304">
        <v>442</v>
      </c>
      <c r="G1304">
        <v>14</v>
      </c>
      <c r="H1304">
        <v>770.1</v>
      </c>
      <c r="I1304">
        <v>1253.26</v>
      </c>
      <c r="J1304">
        <v>1.26</v>
      </c>
      <c r="K1304">
        <v>3.17</v>
      </c>
      <c r="L1304">
        <v>55.01</v>
      </c>
      <c r="M1304">
        <v>1.63</v>
      </c>
      <c r="N1304">
        <v>483.16</v>
      </c>
    </row>
    <row r="1305" spans="1:14" x14ac:dyDescent="0.2">
      <c r="A1305" s="1">
        <v>45582</v>
      </c>
      <c r="B1305" s="2" t="s">
        <v>29</v>
      </c>
      <c r="C1305" s="2" t="s">
        <v>21</v>
      </c>
      <c r="D1305" s="2" t="s">
        <v>25</v>
      </c>
      <c r="E1305">
        <v>23804</v>
      </c>
      <c r="F1305">
        <v>406</v>
      </c>
      <c r="G1305">
        <v>23</v>
      </c>
      <c r="H1305">
        <v>1323.21</v>
      </c>
      <c r="I1305">
        <v>2843.77</v>
      </c>
      <c r="J1305">
        <v>1.71</v>
      </c>
      <c r="K1305">
        <v>5.67</v>
      </c>
      <c r="L1305">
        <v>57.53</v>
      </c>
      <c r="M1305">
        <v>2.15</v>
      </c>
      <c r="N1305">
        <v>1520.56</v>
      </c>
    </row>
    <row r="1306" spans="1:14" x14ac:dyDescent="0.2">
      <c r="A1306" s="1">
        <v>45582</v>
      </c>
      <c r="B1306" s="2" t="s">
        <v>30</v>
      </c>
      <c r="C1306" s="2" t="s">
        <v>32</v>
      </c>
      <c r="D1306" s="2" t="s">
        <v>22</v>
      </c>
      <c r="E1306">
        <v>12210</v>
      </c>
      <c r="F1306">
        <v>263</v>
      </c>
      <c r="G1306">
        <v>10</v>
      </c>
      <c r="H1306">
        <v>450.31</v>
      </c>
      <c r="I1306">
        <v>1113.3</v>
      </c>
      <c r="J1306">
        <v>2.15</v>
      </c>
      <c r="K1306">
        <v>3.8</v>
      </c>
      <c r="L1306">
        <v>45.03</v>
      </c>
      <c r="M1306">
        <v>2.4700000000000002</v>
      </c>
      <c r="N1306">
        <v>662.99</v>
      </c>
    </row>
    <row r="1307" spans="1:14" x14ac:dyDescent="0.2">
      <c r="A1307" s="1">
        <v>45582</v>
      </c>
      <c r="B1307" s="2" t="s">
        <v>31</v>
      </c>
      <c r="C1307" s="2" t="s">
        <v>21</v>
      </c>
      <c r="D1307" s="2" t="s">
        <v>19</v>
      </c>
      <c r="E1307">
        <v>21730</v>
      </c>
      <c r="F1307">
        <v>891</v>
      </c>
      <c r="G1307">
        <v>35</v>
      </c>
      <c r="H1307">
        <v>609.45000000000005</v>
      </c>
      <c r="I1307">
        <v>2860.55</v>
      </c>
      <c r="J1307">
        <v>4.0999999999999996</v>
      </c>
      <c r="K1307">
        <v>3.93</v>
      </c>
      <c r="L1307">
        <v>17.41</v>
      </c>
      <c r="M1307">
        <v>4.6900000000000004</v>
      </c>
      <c r="N1307">
        <v>2251.1</v>
      </c>
    </row>
    <row r="1308" spans="1:14" x14ac:dyDescent="0.2">
      <c r="A1308" s="1">
        <v>45582</v>
      </c>
      <c r="B1308" s="2" t="s">
        <v>33</v>
      </c>
      <c r="C1308" s="2" t="s">
        <v>32</v>
      </c>
      <c r="D1308" s="2" t="s">
        <v>36</v>
      </c>
      <c r="E1308">
        <v>6697</v>
      </c>
      <c r="F1308">
        <v>358</v>
      </c>
      <c r="G1308">
        <v>46</v>
      </c>
      <c r="H1308">
        <v>310.2</v>
      </c>
      <c r="I1308">
        <v>5736.46</v>
      </c>
      <c r="J1308">
        <v>5.35</v>
      </c>
      <c r="K1308">
        <v>12.85</v>
      </c>
      <c r="L1308">
        <v>6.74</v>
      </c>
      <c r="M1308">
        <v>18.489999999999998</v>
      </c>
      <c r="N1308">
        <v>5426.26</v>
      </c>
    </row>
    <row r="1309" spans="1:14" x14ac:dyDescent="0.2">
      <c r="A1309" s="1">
        <v>45582</v>
      </c>
      <c r="B1309" s="2" t="s">
        <v>34</v>
      </c>
      <c r="C1309" s="2" t="s">
        <v>18</v>
      </c>
      <c r="D1309" s="2" t="s">
        <v>22</v>
      </c>
      <c r="E1309">
        <v>3790</v>
      </c>
      <c r="F1309">
        <v>257</v>
      </c>
      <c r="G1309">
        <v>36</v>
      </c>
      <c r="H1309">
        <v>63.2</v>
      </c>
      <c r="I1309">
        <v>5323.75</v>
      </c>
      <c r="J1309">
        <v>6.78</v>
      </c>
      <c r="K1309">
        <v>14.01</v>
      </c>
      <c r="L1309">
        <v>1.76</v>
      </c>
      <c r="M1309">
        <v>84.24</v>
      </c>
      <c r="N1309">
        <v>5260.55</v>
      </c>
    </row>
    <row r="1310" spans="1:14" x14ac:dyDescent="0.2">
      <c r="A1310" s="1">
        <v>45583</v>
      </c>
      <c r="B1310" s="2" t="s">
        <v>14</v>
      </c>
      <c r="C1310" s="2" t="s">
        <v>15</v>
      </c>
      <c r="D1310" s="2" t="s">
        <v>25</v>
      </c>
      <c r="E1310">
        <v>8405</v>
      </c>
      <c r="F1310">
        <v>286</v>
      </c>
      <c r="G1310">
        <v>23</v>
      </c>
      <c r="H1310">
        <v>1062.8900000000001</v>
      </c>
      <c r="I1310">
        <v>3521.59</v>
      </c>
      <c r="J1310">
        <v>3.4</v>
      </c>
      <c r="K1310">
        <v>8.0399999999999991</v>
      </c>
      <c r="L1310">
        <v>46.21</v>
      </c>
      <c r="M1310">
        <v>3.31</v>
      </c>
      <c r="N1310">
        <v>2458.6999999999998</v>
      </c>
    </row>
    <row r="1311" spans="1:14" x14ac:dyDescent="0.2">
      <c r="A1311" s="1">
        <v>45583</v>
      </c>
      <c r="B1311" s="2" t="s">
        <v>17</v>
      </c>
      <c r="C1311" s="2" t="s">
        <v>28</v>
      </c>
      <c r="D1311" s="2" t="s">
        <v>16</v>
      </c>
      <c r="E1311">
        <v>17868</v>
      </c>
      <c r="F1311">
        <v>512</v>
      </c>
      <c r="G1311">
        <v>36</v>
      </c>
      <c r="H1311">
        <v>932.56</v>
      </c>
      <c r="I1311">
        <v>4053.26</v>
      </c>
      <c r="J1311">
        <v>2.87</v>
      </c>
      <c r="K1311">
        <v>7.03</v>
      </c>
      <c r="L1311">
        <v>25.9</v>
      </c>
      <c r="M1311">
        <v>4.3499999999999996</v>
      </c>
      <c r="N1311">
        <v>3120.7</v>
      </c>
    </row>
    <row r="1312" spans="1:14" x14ac:dyDescent="0.2">
      <c r="A1312" s="1">
        <v>45583</v>
      </c>
      <c r="B1312" s="2" t="s">
        <v>20</v>
      </c>
      <c r="C1312" s="2" t="s">
        <v>32</v>
      </c>
      <c r="D1312" s="2" t="s">
        <v>36</v>
      </c>
      <c r="E1312">
        <v>16585</v>
      </c>
      <c r="F1312">
        <v>686</v>
      </c>
      <c r="G1312">
        <v>49</v>
      </c>
      <c r="H1312">
        <v>917.68</v>
      </c>
      <c r="I1312">
        <v>4517.2299999999996</v>
      </c>
      <c r="J1312">
        <v>4.1399999999999997</v>
      </c>
      <c r="K1312">
        <v>7.14</v>
      </c>
      <c r="L1312">
        <v>18.73</v>
      </c>
      <c r="M1312">
        <v>4.92</v>
      </c>
      <c r="N1312">
        <v>3599.55</v>
      </c>
    </row>
    <row r="1313" spans="1:14" x14ac:dyDescent="0.2">
      <c r="A1313" s="1">
        <v>45583</v>
      </c>
      <c r="B1313" s="2" t="s">
        <v>23</v>
      </c>
      <c r="C1313" s="2" t="s">
        <v>18</v>
      </c>
      <c r="D1313" s="2" t="s">
        <v>36</v>
      </c>
      <c r="E1313">
        <v>3123</v>
      </c>
      <c r="F1313">
        <v>52</v>
      </c>
      <c r="G1313">
        <v>7</v>
      </c>
      <c r="H1313">
        <v>1559.37</v>
      </c>
      <c r="I1313">
        <v>2221.4299999999998</v>
      </c>
      <c r="J1313">
        <v>1.67</v>
      </c>
      <c r="K1313">
        <v>13.46</v>
      </c>
      <c r="L1313">
        <v>222.77</v>
      </c>
      <c r="M1313">
        <v>1.42</v>
      </c>
      <c r="N1313">
        <v>662.06</v>
      </c>
    </row>
    <row r="1314" spans="1:14" x14ac:dyDescent="0.2">
      <c r="A1314" s="1">
        <v>45583</v>
      </c>
      <c r="B1314" s="2" t="s">
        <v>24</v>
      </c>
      <c r="C1314" s="2" t="s">
        <v>21</v>
      </c>
      <c r="D1314" s="2" t="s">
        <v>25</v>
      </c>
      <c r="E1314">
        <v>18684</v>
      </c>
      <c r="F1314">
        <v>2953</v>
      </c>
      <c r="G1314">
        <v>313</v>
      </c>
      <c r="H1314">
        <v>271.41000000000003</v>
      </c>
      <c r="I1314">
        <v>41148.71</v>
      </c>
      <c r="J1314">
        <v>15.8</v>
      </c>
      <c r="K1314">
        <v>10.6</v>
      </c>
      <c r="L1314">
        <v>0.87</v>
      </c>
      <c r="M1314">
        <v>151.61000000000001</v>
      </c>
      <c r="N1314">
        <v>40877.300000000003</v>
      </c>
    </row>
    <row r="1315" spans="1:14" x14ac:dyDescent="0.2">
      <c r="A1315" s="1">
        <v>45583</v>
      </c>
      <c r="B1315" s="2" t="s">
        <v>26</v>
      </c>
      <c r="C1315" s="2" t="s">
        <v>28</v>
      </c>
      <c r="D1315" s="2" t="s">
        <v>36</v>
      </c>
      <c r="E1315">
        <v>22132</v>
      </c>
      <c r="F1315">
        <v>1622</v>
      </c>
      <c r="G1315">
        <v>227</v>
      </c>
      <c r="H1315">
        <v>0</v>
      </c>
      <c r="I1315">
        <v>29123.64</v>
      </c>
      <c r="J1315">
        <v>7.33</v>
      </c>
      <c r="K1315">
        <v>14</v>
      </c>
      <c r="L1315">
        <v>0</v>
      </c>
      <c r="M1315">
        <v>0</v>
      </c>
      <c r="N1315">
        <v>29123.64</v>
      </c>
    </row>
    <row r="1316" spans="1:14" x14ac:dyDescent="0.2">
      <c r="A1316" s="1">
        <v>45583</v>
      </c>
      <c r="B1316" s="2" t="s">
        <v>27</v>
      </c>
      <c r="C1316" s="2" t="s">
        <v>32</v>
      </c>
      <c r="D1316" s="2" t="s">
        <v>16</v>
      </c>
      <c r="E1316">
        <v>29298</v>
      </c>
      <c r="F1316">
        <v>301</v>
      </c>
      <c r="G1316">
        <v>13</v>
      </c>
      <c r="H1316">
        <v>1258.01</v>
      </c>
      <c r="I1316">
        <v>1224.8399999999999</v>
      </c>
      <c r="J1316">
        <v>1.03</v>
      </c>
      <c r="K1316">
        <v>4.32</v>
      </c>
      <c r="L1316">
        <v>96.77</v>
      </c>
      <c r="M1316">
        <v>0.97</v>
      </c>
      <c r="N1316">
        <v>-33.17</v>
      </c>
    </row>
    <row r="1317" spans="1:14" x14ac:dyDescent="0.2">
      <c r="A1317" s="1">
        <v>45583</v>
      </c>
      <c r="B1317" s="2" t="s">
        <v>29</v>
      </c>
      <c r="C1317" s="2" t="s">
        <v>32</v>
      </c>
      <c r="D1317" s="2" t="s">
        <v>36</v>
      </c>
      <c r="E1317">
        <v>21941</v>
      </c>
      <c r="F1317">
        <v>604</v>
      </c>
      <c r="G1317">
        <v>27</v>
      </c>
      <c r="H1317">
        <v>1108.8399999999999</v>
      </c>
      <c r="I1317">
        <v>3261.1</v>
      </c>
      <c r="J1317">
        <v>2.75</v>
      </c>
      <c r="K1317">
        <v>4.47</v>
      </c>
      <c r="L1317">
        <v>41.07</v>
      </c>
      <c r="M1317">
        <v>2.94</v>
      </c>
      <c r="N1317">
        <v>2152.2600000000002</v>
      </c>
    </row>
    <row r="1318" spans="1:14" x14ac:dyDescent="0.2">
      <c r="A1318" s="1">
        <v>45583</v>
      </c>
      <c r="B1318" s="2" t="s">
        <v>30</v>
      </c>
      <c r="C1318" s="2" t="s">
        <v>15</v>
      </c>
      <c r="D1318" s="2" t="s">
        <v>19</v>
      </c>
      <c r="E1318">
        <v>9289</v>
      </c>
      <c r="F1318">
        <v>255</v>
      </c>
      <c r="G1318">
        <v>8</v>
      </c>
      <c r="H1318">
        <v>595.42999999999995</v>
      </c>
      <c r="I1318">
        <v>866.58</v>
      </c>
      <c r="J1318">
        <v>2.75</v>
      </c>
      <c r="K1318">
        <v>3.14</v>
      </c>
      <c r="L1318">
        <v>74.430000000000007</v>
      </c>
      <c r="M1318">
        <v>1.46</v>
      </c>
      <c r="N1318">
        <v>271.14999999999998</v>
      </c>
    </row>
    <row r="1319" spans="1:14" x14ac:dyDescent="0.2">
      <c r="A1319" s="1">
        <v>45583</v>
      </c>
      <c r="B1319" s="2" t="s">
        <v>31</v>
      </c>
      <c r="C1319" s="2" t="s">
        <v>15</v>
      </c>
      <c r="D1319" s="2" t="s">
        <v>16</v>
      </c>
      <c r="E1319">
        <v>22583</v>
      </c>
      <c r="F1319">
        <v>897</v>
      </c>
      <c r="G1319">
        <v>40</v>
      </c>
      <c r="H1319">
        <v>839.89</v>
      </c>
      <c r="I1319">
        <v>2756.72</v>
      </c>
      <c r="J1319">
        <v>3.97</v>
      </c>
      <c r="K1319">
        <v>4.46</v>
      </c>
      <c r="L1319">
        <v>21</v>
      </c>
      <c r="M1319">
        <v>3.28</v>
      </c>
      <c r="N1319">
        <v>1916.83</v>
      </c>
    </row>
    <row r="1320" spans="1:14" x14ac:dyDescent="0.2">
      <c r="A1320" s="1">
        <v>45583</v>
      </c>
      <c r="B1320" s="2" t="s">
        <v>33</v>
      </c>
      <c r="C1320" s="2" t="s">
        <v>28</v>
      </c>
      <c r="D1320" s="2" t="s">
        <v>19</v>
      </c>
      <c r="E1320">
        <v>8565</v>
      </c>
      <c r="F1320">
        <v>481</v>
      </c>
      <c r="G1320">
        <v>51</v>
      </c>
      <c r="H1320">
        <v>503.18</v>
      </c>
      <c r="I1320">
        <v>6672.22</v>
      </c>
      <c r="J1320">
        <v>5.62</v>
      </c>
      <c r="K1320">
        <v>10.6</v>
      </c>
      <c r="L1320">
        <v>9.8699999999999992</v>
      </c>
      <c r="M1320">
        <v>13.26</v>
      </c>
      <c r="N1320">
        <v>6169.04</v>
      </c>
    </row>
    <row r="1321" spans="1:14" x14ac:dyDescent="0.2">
      <c r="A1321" s="1">
        <v>45583</v>
      </c>
      <c r="B1321" s="2" t="s">
        <v>34</v>
      </c>
      <c r="C1321" s="2" t="s">
        <v>18</v>
      </c>
      <c r="D1321" s="2" t="s">
        <v>22</v>
      </c>
      <c r="E1321">
        <v>4638</v>
      </c>
      <c r="F1321">
        <v>282</v>
      </c>
      <c r="G1321">
        <v>35</v>
      </c>
      <c r="H1321">
        <v>190.67</v>
      </c>
      <c r="I1321">
        <v>4262.84</v>
      </c>
      <c r="J1321">
        <v>6.08</v>
      </c>
      <c r="K1321">
        <v>12.41</v>
      </c>
      <c r="L1321">
        <v>5.45</v>
      </c>
      <c r="M1321">
        <v>22.36</v>
      </c>
      <c r="N1321">
        <v>4072.17</v>
      </c>
    </row>
    <row r="1322" spans="1:14" x14ac:dyDescent="0.2">
      <c r="A1322" s="1">
        <v>45584</v>
      </c>
      <c r="B1322" s="2" t="s">
        <v>14</v>
      </c>
      <c r="C1322" s="2" t="s">
        <v>32</v>
      </c>
      <c r="D1322" s="2" t="s">
        <v>16</v>
      </c>
      <c r="E1322">
        <v>8201</v>
      </c>
      <c r="F1322">
        <v>282</v>
      </c>
      <c r="G1322">
        <v>24</v>
      </c>
      <c r="H1322">
        <v>578.91</v>
      </c>
      <c r="I1322">
        <v>4396.8100000000004</v>
      </c>
      <c r="J1322">
        <v>3.44</v>
      </c>
      <c r="K1322">
        <v>8.51</v>
      </c>
      <c r="L1322">
        <v>24.12</v>
      </c>
      <c r="M1322">
        <v>7.59</v>
      </c>
      <c r="N1322">
        <v>3817.9</v>
      </c>
    </row>
    <row r="1323" spans="1:14" x14ac:dyDescent="0.2">
      <c r="A1323" s="1">
        <v>45584</v>
      </c>
      <c r="B1323" s="2" t="s">
        <v>17</v>
      </c>
      <c r="C1323" s="2" t="s">
        <v>18</v>
      </c>
      <c r="D1323" s="2" t="s">
        <v>36</v>
      </c>
      <c r="E1323">
        <v>10301</v>
      </c>
      <c r="F1323">
        <v>212</v>
      </c>
      <c r="G1323">
        <v>16</v>
      </c>
      <c r="H1323">
        <v>794.19</v>
      </c>
      <c r="I1323">
        <v>1810.48</v>
      </c>
      <c r="J1323">
        <v>2.06</v>
      </c>
      <c r="K1323">
        <v>7.55</v>
      </c>
      <c r="L1323">
        <v>49.64</v>
      </c>
      <c r="M1323">
        <v>2.2799999999999998</v>
      </c>
      <c r="N1323">
        <v>1016.29</v>
      </c>
    </row>
    <row r="1324" spans="1:14" x14ac:dyDescent="0.2">
      <c r="A1324" s="1">
        <v>45584</v>
      </c>
      <c r="B1324" s="2" t="s">
        <v>20</v>
      </c>
      <c r="C1324" s="2" t="s">
        <v>35</v>
      </c>
      <c r="D1324" s="2" t="s">
        <v>16</v>
      </c>
      <c r="E1324">
        <v>7923</v>
      </c>
      <c r="F1324">
        <v>223</v>
      </c>
      <c r="G1324">
        <v>10</v>
      </c>
      <c r="H1324">
        <v>624.04</v>
      </c>
      <c r="I1324">
        <v>891.78</v>
      </c>
      <c r="J1324">
        <v>2.81</v>
      </c>
      <c r="K1324">
        <v>4.4800000000000004</v>
      </c>
      <c r="L1324">
        <v>62.4</v>
      </c>
      <c r="M1324">
        <v>1.43</v>
      </c>
      <c r="N1324">
        <v>267.74</v>
      </c>
    </row>
    <row r="1325" spans="1:14" x14ac:dyDescent="0.2">
      <c r="A1325" s="1">
        <v>45584</v>
      </c>
      <c r="B1325" s="2" t="s">
        <v>23</v>
      </c>
      <c r="C1325" s="2" t="s">
        <v>32</v>
      </c>
      <c r="D1325" s="2" t="s">
        <v>16</v>
      </c>
      <c r="E1325">
        <v>2420</v>
      </c>
      <c r="F1325">
        <v>45</v>
      </c>
      <c r="G1325">
        <v>5</v>
      </c>
      <c r="H1325">
        <v>756.74</v>
      </c>
      <c r="I1325">
        <v>1010.01</v>
      </c>
      <c r="J1325">
        <v>1.86</v>
      </c>
      <c r="K1325">
        <v>11.11</v>
      </c>
      <c r="L1325">
        <v>151.35</v>
      </c>
      <c r="M1325">
        <v>1.33</v>
      </c>
      <c r="N1325">
        <v>253.27</v>
      </c>
    </row>
    <row r="1326" spans="1:14" x14ac:dyDescent="0.2">
      <c r="A1326" s="1">
        <v>45584</v>
      </c>
      <c r="B1326" s="2" t="s">
        <v>24</v>
      </c>
      <c r="C1326" s="2" t="s">
        <v>18</v>
      </c>
      <c r="D1326" s="2" t="s">
        <v>36</v>
      </c>
      <c r="E1326">
        <v>13814</v>
      </c>
      <c r="F1326">
        <v>2770</v>
      </c>
      <c r="G1326">
        <v>300</v>
      </c>
      <c r="H1326">
        <v>163.77000000000001</v>
      </c>
      <c r="I1326">
        <v>38998.89</v>
      </c>
      <c r="J1326">
        <v>20.05</v>
      </c>
      <c r="K1326">
        <v>10.83</v>
      </c>
      <c r="L1326">
        <v>0.55000000000000004</v>
      </c>
      <c r="M1326">
        <v>238.13</v>
      </c>
      <c r="N1326">
        <v>38835.120000000003</v>
      </c>
    </row>
    <row r="1327" spans="1:14" x14ac:dyDescent="0.2">
      <c r="A1327" s="1">
        <v>45584</v>
      </c>
      <c r="B1327" s="2" t="s">
        <v>26</v>
      </c>
      <c r="C1327" s="2" t="s">
        <v>18</v>
      </c>
      <c r="D1327" s="2" t="s">
        <v>19</v>
      </c>
      <c r="E1327">
        <v>24199</v>
      </c>
      <c r="F1327">
        <v>1769</v>
      </c>
      <c r="G1327">
        <v>261</v>
      </c>
      <c r="H1327">
        <v>0</v>
      </c>
      <c r="I1327">
        <v>32294.03</v>
      </c>
      <c r="J1327">
        <v>7.31</v>
      </c>
      <c r="K1327">
        <v>14.75</v>
      </c>
      <c r="L1327">
        <v>0</v>
      </c>
      <c r="M1327">
        <v>0</v>
      </c>
      <c r="N1327">
        <v>32294.03</v>
      </c>
    </row>
    <row r="1328" spans="1:14" x14ac:dyDescent="0.2">
      <c r="A1328" s="1">
        <v>45584</v>
      </c>
      <c r="B1328" s="2" t="s">
        <v>27</v>
      </c>
      <c r="C1328" s="2" t="s">
        <v>28</v>
      </c>
      <c r="D1328" s="2" t="s">
        <v>22</v>
      </c>
      <c r="E1328">
        <v>18855</v>
      </c>
      <c r="F1328">
        <v>317</v>
      </c>
      <c r="G1328">
        <v>13</v>
      </c>
      <c r="H1328">
        <v>520.04999999999995</v>
      </c>
      <c r="I1328">
        <v>1275.99</v>
      </c>
      <c r="J1328">
        <v>1.68</v>
      </c>
      <c r="K1328">
        <v>4.0999999999999996</v>
      </c>
      <c r="L1328">
        <v>40</v>
      </c>
      <c r="M1328">
        <v>2.4500000000000002</v>
      </c>
      <c r="N1328">
        <v>755.94</v>
      </c>
    </row>
    <row r="1329" spans="1:14" x14ac:dyDescent="0.2">
      <c r="A1329" s="1">
        <v>45584</v>
      </c>
      <c r="B1329" s="2" t="s">
        <v>29</v>
      </c>
      <c r="C1329" s="2" t="s">
        <v>21</v>
      </c>
      <c r="D1329" s="2" t="s">
        <v>36</v>
      </c>
      <c r="E1329">
        <v>11363</v>
      </c>
      <c r="F1329">
        <v>235</v>
      </c>
      <c r="G1329">
        <v>18</v>
      </c>
      <c r="H1329">
        <v>788.42</v>
      </c>
      <c r="I1329">
        <v>2504.29</v>
      </c>
      <c r="J1329">
        <v>2.0699999999999998</v>
      </c>
      <c r="K1329">
        <v>7.66</v>
      </c>
      <c r="L1329">
        <v>43.8</v>
      </c>
      <c r="M1329">
        <v>3.18</v>
      </c>
      <c r="N1329">
        <v>1715.87</v>
      </c>
    </row>
    <row r="1330" spans="1:14" x14ac:dyDescent="0.2">
      <c r="A1330" s="1">
        <v>45584</v>
      </c>
      <c r="B1330" s="2" t="s">
        <v>30</v>
      </c>
      <c r="C1330" s="2" t="s">
        <v>35</v>
      </c>
      <c r="D1330" s="2" t="s">
        <v>36</v>
      </c>
      <c r="E1330">
        <v>7889</v>
      </c>
      <c r="F1330">
        <v>224</v>
      </c>
      <c r="G1330">
        <v>11</v>
      </c>
      <c r="H1330">
        <v>483.09</v>
      </c>
      <c r="I1330">
        <v>947.42</v>
      </c>
      <c r="J1330">
        <v>2.84</v>
      </c>
      <c r="K1330">
        <v>4.91</v>
      </c>
      <c r="L1330">
        <v>43.92</v>
      </c>
      <c r="M1330">
        <v>1.96</v>
      </c>
      <c r="N1330">
        <v>464.33</v>
      </c>
    </row>
    <row r="1331" spans="1:14" x14ac:dyDescent="0.2">
      <c r="A1331" s="1">
        <v>45584</v>
      </c>
      <c r="B1331" s="2" t="s">
        <v>31</v>
      </c>
      <c r="C1331" s="2" t="s">
        <v>28</v>
      </c>
      <c r="D1331" s="2" t="s">
        <v>36</v>
      </c>
      <c r="E1331">
        <v>18121</v>
      </c>
      <c r="F1331">
        <v>618</v>
      </c>
      <c r="G1331">
        <v>36</v>
      </c>
      <c r="H1331">
        <v>487.66</v>
      </c>
      <c r="I1331">
        <v>3391.01</v>
      </c>
      <c r="J1331">
        <v>3.41</v>
      </c>
      <c r="K1331">
        <v>5.83</v>
      </c>
      <c r="L1331">
        <v>13.55</v>
      </c>
      <c r="M1331">
        <v>6.95</v>
      </c>
      <c r="N1331">
        <v>2903.35</v>
      </c>
    </row>
    <row r="1332" spans="1:14" x14ac:dyDescent="0.2">
      <c r="A1332" s="1">
        <v>45584</v>
      </c>
      <c r="B1332" s="2" t="s">
        <v>33</v>
      </c>
      <c r="C1332" s="2" t="s">
        <v>28</v>
      </c>
      <c r="D1332" s="2" t="s">
        <v>16</v>
      </c>
      <c r="E1332">
        <v>3627</v>
      </c>
      <c r="F1332">
        <v>240</v>
      </c>
      <c r="G1332">
        <v>27</v>
      </c>
      <c r="H1332">
        <v>213.78</v>
      </c>
      <c r="I1332">
        <v>3127.11</v>
      </c>
      <c r="J1332">
        <v>6.62</v>
      </c>
      <c r="K1332">
        <v>11.25</v>
      </c>
      <c r="L1332">
        <v>7.92</v>
      </c>
      <c r="M1332">
        <v>14.63</v>
      </c>
      <c r="N1332">
        <v>2913.33</v>
      </c>
    </row>
    <row r="1333" spans="1:14" x14ac:dyDescent="0.2">
      <c r="A1333" s="1">
        <v>45584</v>
      </c>
      <c r="B1333" s="2" t="s">
        <v>34</v>
      </c>
      <c r="C1333" s="2" t="s">
        <v>15</v>
      </c>
      <c r="D1333" s="2" t="s">
        <v>25</v>
      </c>
      <c r="E1333">
        <v>4603</v>
      </c>
      <c r="F1333">
        <v>240</v>
      </c>
      <c r="G1333">
        <v>35</v>
      </c>
      <c r="H1333">
        <v>98.53</v>
      </c>
      <c r="I1333">
        <v>6455.67</v>
      </c>
      <c r="J1333">
        <v>5.21</v>
      </c>
      <c r="K1333">
        <v>14.58</v>
      </c>
      <c r="L1333">
        <v>2.82</v>
      </c>
      <c r="M1333">
        <v>65.52</v>
      </c>
      <c r="N1333">
        <v>6357.14</v>
      </c>
    </row>
    <row r="1334" spans="1:14" x14ac:dyDescent="0.2">
      <c r="A1334" s="1">
        <v>45585</v>
      </c>
      <c r="B1334" s="2" t="s">
        <v>14</v>
      </c>
      <c r="C1334" s="2" t="s">
        <v>21</v>
      </c>
      <c r="D1334" s="2" t="s">
        <v>19</v>
      </c>
      <c r="E1334">
        <v>9354</v>
      </c>
      <c r="F1334">
        <v>427</v>
      </c>
      <c r="G1334">
        <v>42</v>
      </c>
      <c r="H1334">
        <v>831.13</v>
      </c>
      <c r="I1334">
        <v>7568.77</v>
      </c>
      <c r="J1334">
        <v>4.5599999999999996</v>
      </c>
      <c r="K1334">
        <v>9.84</v>
      </c>
      <c r="L1334">
        <v>19.79</v>
      </c>
      <c r="M1334">
        <v>9.11</v>
      </c>
      <c r="N1334">
        <v>6737.64</v>
      </c>
    </row>
    <row r="1335" spans="1:14" x14ac:dyDescent="0.2">
      <c r="A1335" s="1">
        <v>45585</v>
      </c>
      <c r="B1335" s="2" t="s">
        <v>17</v>
      </c>
      <c r="C1335" s="2" t="s">
        <v>18</v>
      </c>
      <c r="D1335" s="2" t="s">
        <v>22</v>
      </c>
      <c r="E1335">
        <v>9240</v>
      </c>
      <c r="F1335">
        <v>343</v>
      </c>
      <c r="G1335">
        <v>28</v>
      </c>
      <c r="H1335">
        <v>532.67999999999995</v>
      </c>
      <c r="I1335">
        <v>3569.8</v>
      </c>
      <c r="J1335">
        <v>3.71</v>
      </c>
      <c r="K1335">
        <v>8.16</v>
      </c>
      <c r="L1335">
        <v>19.02</v>
      </c>
      <c r="M1335">
        <v>6.7</v>
      </c>
      <c r="N1335">
        <v>3037.12</v>
      </c>
    </row>
    <row r="1336" spans="1:14" x14ac:dyDescent="0.2">
      <c r="A1336" s="1">
        <v>45585</v>
      </c>
      <c r="B1336" s="2" t="s">
        <v>20</v>
      </c>
      <c r="C1336" s="2" t="s">
        <v>32</v>
      </c>
      <c r="D1336" s="2" t="s">
        <v>36</v>
      </c>
      <c r="E1336">
        <v>8423</v>
      </c>
      <c r="F1336">
        <v>287</v>
      </c>
      <c r="G1336">
        <v>13</v>
      </c>
      <c r="H1336">
        <v>481.64</v>
      </c>
      <c r="I1336">
        <v>1332.48</v>
      </c>
      <c r="J1336">
        <v>3.41</v>
      </c>
      <c r="K1336">
        <v>4.53</v>
      </c>
      <c r="L1336">
        <v>37.049999999999997</v>
      </c>
      <c r="M1336">
        <v>2.77</v>
      </c>
      <c r="N1336">
        <v>850.84</v>
      </c>
    </row>
    <row r="1337" spans="1:14" x14ac:dyDescent="0.2">
      <c r="A1337" s="1">
        <v>45585</v>
      </c>
      <c r="B1337" s="2" t="s">
        <v>23</v>
      </c>
      <c r="C1337" s="2" t="s">
        <v>32</v>
      </c>
      <c r="D1337" s="2" t="s">
        <v>22</v>
      </c>
      <c r="E1337">
        <v>3830</v>
      </c>
      <c r="F1337">
        <v>63</v>
      </c>
      <c r="G1337">
        <v>6</v>
      </c>
      <c r="H1337">
        <v>1259.93</v>
      </c>
      <c r="I1337">
        <v>1420.43</v>
      </c>
      <c r="J1337">
        <v>1.64</v>
      </c>
      <c r="K1337">
        <v>9.52</v>
      </c>
      <c r="L1337">
        <v>209.99</v>
      </c>
      <c r="M1337">
        <v>1.1299999999999999</v>
      </c>
      <c r="N1337">
        <v>160.5</v>
      </c>
    </row>
    <row r="1338" spans="1:14" x14ac:dyDescent="0.2">
      <c r="A1338" s="1">
        <v>45585</v>
      </c>
      <c r="B1338" s="2" t="s">
        <v>24</v>
      </c>
      <c r="C1338" s="2" t="s">
        <v>15</v>
      </c>
      <c r="D1338" s="2" t="s">
        <v>22</v>
      </c>
      <c r="E1338">
        <v>11964</v>
      </c>
      <c r="F1338">
        <v>2633</v>
      </c>
      <c r="G1338">
        <v>340</v>
      </c>
      <c r="H1338">
        <v>184.84</v>
      </c>
      <c r="I1338">
        <v>48362.77</v>
      </c>
      <c r="J1338">
        <v>22.01</v>
      </c>
      <c r="K1338">
        <v>12.91</v>
      </c>
      <c r="L1338">
        <v>0.54</v>
      </c>
      <c r="M1338">
        <v>261.64999999999998</v>
      </c>
      <c r="N1338">
        <v>48177.93</v>
      </c>
    </row>
    <row r="1339" spans="1:14" x14ac:dyDescent="0.2">
      <c r="A1339" s="1">
        <v>45585</v>
      </c>
      <c r="B1339" s="2" t="s">
        <v>26</v>
      </c>
      <c r="C1339" s="2" t="s">
        <v>18</v>
      </c>
      <c r="D1339" s="2" t="s">
        <v>16</v>
      </c>
      <c r="E1339">
        <v>19972</v>
      </c>
      <c r="F1339">
        <v>1506</v>
      </c>
      <c r="G1339">
        <v>159</v>
      </c>
      <c r="H1339">
        <v>0</v>
      </c>
      <c r="I1339">
        <v>17878.830000000002</v>
      </c>
      <c r="J1339">
        <v>7.54</v>
      </c>
      <c r="K1339">
        <v>10.56</v>
      </c>
      <c r="L1339">
        <v>0</v>
      </c>
      <c r="M1339">
        <v>0</v>
      </c>
      <c r="N1339">
        <v>17878.830000000002</v>
      </c>
    </row>
    <row r="1340" spans="1:14" x14ac:dyDescent="0.2">
      <c r="A1340" s="1">
        <v>45585</v>
      </c>
      <c r="B1340" s="2" t="s">
        <v>27</v>
      </c>
      <c r="C1340" s="2" t="s">
        <v>35</v>
      </c>
      <c r="D1340" s="2" t="s">
        <v>36</v>
      </c>
      <c r="E1340">
        <v>21848</v>
      </c>
      <c r="F1340">
        <v>309</v>
      </c>
      <c r="G1340">
        <v>7</v>
      </c>
      <c r="H1340">
        <v>758.49</v>
      </c>
      <c r="I1340">
        <v>645.28</v>
      </c>
      <c r="J1340">
        <v>1.41</v>
      </c>
      <c r="K1340">
        <v>2.27</v>
      </c>
      <c r="L1340">
        <v>108.36</v>
      </c>
      <c r="M1340">
        <v>0.85</v>
      </c>
      <c r="N1340">
        <v>-113.21</v>
      </c>
    </row>
    <row r="1341" spans="1:14" x14ac:dyDescent="0.2">
      <c r="A1341" s="1">
        <v>45585</v>
      </c>
      <c r="B1341" s="2" t="s">
        <v>29</v>
      </c>
      <c r="C1341" s="2" t="s">
        <v>15</v>
      </c>
      <c r="D1341" s="2" t="s">
        <v>25</v>
      </c>
      <c r="E1341">
        <v>15629</v>
      </c>
      <c r="F1341">
        <v>464</v>
      </c>
      <c r="G1341">
        <v>30</v>
      </c>
      <c r="H1341">
        <v>815.66</v>
      </c>
      <c r="I1341">
        <v>3351.92</v>
      </c>
      <c r="J1341">
        <v>2.97</v>
      </c>
      <c r="K1341">
        <v>6.47</v>
      </c>
      <c r="L1341">
        <v>27.19</v>
      </c>
      <c r="M1341">
        <v>4.1100000000000003</v>
      </c>
      <c r="N1341">
        <v>2536.2600000000002</v>
      </c>
    </row>
    <row r="1342" spans="1:14" x14ac:dyDescent="0.2">
      <c r="A1342" s="1">
        <v>45585</v>
      </c>
      <c r="B1342" s="2" t="s">
        <v>30</v>
      </c>
      <c r="C1342" s="2" t="s">
        <v>28</v>
      </c>
      <c r="D1342" s="2" t="s">
        <v>25</v>
      </c>
      <c r="E1342">
        <v>9162</v>
      </c>
      <c r="F1342">
        <v>186</v>
      </c>
      <c r="G1342">
        <v>7</v>
      </c>
      <c r="H1342">
        <v>365.95</v>
      </c>
      <c r="I1342">
        <v>756.13</v>
      </c>
      <c r="J1342">
        <v>2.0299999999999998</v>
      </c>
      <c r="K1342">
        <v>3.76</v>
      </c>
      <c r="L1342">
        <v>52.28</v>
      </c>
      <c r="M1342">
        <v>2.0699999999999998</v>
      </c>
      <c r="N1342">
        <v>390.18</v>
      </c>
    </row>
    <row r="1343" spans="1:14" x14ac:dyDescent="0.2">
      <c r="A1343" s="1">
        <v>45585</v>
      </c>
      <c r="B1343" s="2" t="s">
        <v>31</v>
      </c>
      <c r="C1343" s="2" t="s">
        <v>28</v>
      </c>
      <c r="D1343" s="2" t="s">
        <v>22</v>
      </c>
      <c r="E1343">
        <v>13940</v>
      </c>
      <c r="F1343">
        <v>410</v>
      </c>
      <c r="G1343">
        <v>26</v>
      </c>
      <c r="H1343">
        <v>513.51</v>
      </c>
      <c r="I1343">
        <v>2387.66</v>
      </c>
      <c r="J1343">
        <v>2.94</v>
      </c>
      <c r="K1343">
        <v>6.34</v>
      </c>
      <c r="L1343">
        <v>19.75</v>
      </c>
      <c r="M1343">
        <v>4.6500000000000004</v>
      </c>
      <c r="N1343">
        <v>1874.15</v>
      </c>
    </row>
    <row r="1344" spans="1:14" x14ac:dyDescent="0.2">
      <c r="A1344" s="1">
        <v>45585</v>
      </c>
      <c r="B1344" s="2" t="s">
        <v>33</v>
      </c>
      <c r="C1344" s="2" t="s">
        <v>21</v>
      </c>
      <c r="D1344" s="2" t="s">
        <v>36</v>
      </c>
      <c r="E1344">
        <v>4329</v>
      </c>
      <c r="F1344">
        <v>240</v>
      </c>
      <c r="G1344">
        <v>21</v>
      </c>
      <c r="H1344">
        <v>265.67</v>
      </c>
      <c r="I1344">
        <v>1978.83</v>
      </c>
      <c r="J1344">
        <v>5.54</v>
      </c>
      <c r="K1344">
        <v>8.75</v>
      </c>
      <c r="L1344">
        <v>12.65</v>
      </c>
      <c r="M1344">
        <v>7.45</v>
      </c>
      <c r="N1344">
        <v>1713.16</v>
      </c>
    </row>
    <row r="1345" spans="1:14" x14ac:dyDescent="0.2">
      <c r="A1345" s="1">
        <v>45585</v>
      </c>
      <c r="B1345" s="2" t="s">
        <v>34</v>
      </c>
      <c r="C1345" s="2" t="s">
        <v>35</v>
      </c>
      <c r="D1345" s="2" t="s">
        <v>22</v>
      </c>
      <c r="E1345">
        <v>3274</v>
      </c>
      <c r="F1345">
        <v>184</v>
      </c>
      <c r="G1345">
        <v>26</v>
      </c>
      <c r="H1345">
        <v>118.24</v>
      </c>
      <c r="I1345">
        <v>4242.07</v>
      </c>
      <c r="J1345">
        <v>5.62</v>
      </c>
      <c r="K1345">
        <v>14.13</v>
      </c>
      <c r="L1345">
        <v>4.55</v>
      </c>
      <c r="M1345">
        <v>35.880000000000003</v>
      </c>
      <c r="N1345">
        <v>4123.83</v>
      </c>
    </row>
    <row r="1346" spans="1:14" x14ac:dyDescent="0.2">
      <c r="A1346" s="1">
        <v>45586</v>
      </c>
      <c r="B1346" s="2" t="s">
        <v>14</v>
      </c>
      <c r="C1346" s="2" t="s">
        <v>35</v>
      </c>
      <c r="D1346" s="2" t="s">
        <v>22</v>
      </c>
      <c r="E1346">
        <v>10018</v>
      </c>
      <c r="F1346">
        <v>321</v>
      </c>
      <c r="G1346">
        <v>26</v>
      </c>
      <c r="H1346">
        <v>1039.93</v>
      </c>
      <c r="I1346">
        <v>3834.87</v>
      </c>
      <c r="J1346">
        <v>3.2</v>
      </c>
      <c r="K1346">
        <v>8.1</v>
      </c>
      <c r="L1346">
        <v>40</v>
      </c>
      <c r="M1346">
        <v>3.69</v>
      </c>
      <c r="N1346">
        <v>2794.94</v>
      </c>
    </row>
    <row r="1347" spans="1:14" x14ac:dyDescent="0.2">
      <c r="A1347" s="1">
        <v>45586</v>
      </c>
      <c r="B1347" s="2" t="s">
        <v>17</v>
      </c>
      <c r="C1347" s="2" t="s">
        <v>15</v>
      </c>
      <c r="D1347" s="2" t="s">
        <v>16</v>
      </c>
      <c r="E1347">
        <v>14783</v>
      </c>
      <c r="F1347">
        <v>583</v>
      </c>
      <c r="G1347">
        <v>42</v>
      </c>
      <c r="H1347">
        <v>1083.29</v>
      </c>
      <c r="I1347">
        <v>5944.44</v>
      </c>
      <c r="J1347">
        <v>3.94</v>
      </c>
      <c r="K1347">
        <v>7.2</v>
      </c>
      <c r="L1347">
        <v>25.79</v>
      </c>
      <c r="M1347">
        <v>5.49</v>
      </c>
      <c r="N1347">
        <v>4861.1499999999996</v>
      </c>
    </row>
    <row r="1348" spans="1:14" x14ac:dyDescent="0.2">
      <c r="A1348" s="1">
        <v>45586</v>
      </c>
      <c r="B1348" s="2" t="s">
        <v>20</v>
      </c>
      <c r="C1348" s="2" t="s">
        <v>18</v>
      </c>
      <c r="D1348" s="2" t="s">
        <v>36</v>
      </c>
      <c r="E1348">
        <v>11634</v>
      </c>
      <c r="F1348">
        <v>505</v>
      </c>
      <c r="G1348">
        <v>32</v>
      </c>
      <c r="H1348">
        <v>803.03</v>
      </c>
      <c r="I1348">
        <v>3320.17</v>
      </c>
      <c r="J1348">
        <v>4.34</v>
      </c>
      <c r="K1348">
        <v>6.34</v>
      </c>
      <c r="L1348">
        <v>25.09</v>
      </c>
      <c r="M1348">
        <v>4.13</v>
      </c>
      <c r="N1348">
        <v>2517.14</v>
      </c>
    </row>
    <row r="1349" spans="1:14" x14ac:dyDescent="0.2">
      <c r="A1349" s="1">
        <v>45586</v>
      </c>
      <c r="B1349" s="2" t="s">
        <v>23</v>
      </c>
      <c r="C1349" s="2" t="s">
        <v>32</v>
      </c>
      <c r="D1349" s="2" t="s">
        <v>16</v>
      </c>
      <c r="E1349">
        <v>5818</v>
      </c>
      <c r="F1349">
        <v>135</v>
      </c>
      <c r="G1349">
        <v>15</v>
      </c>
      <c r="H1349">
        <v>1355.06</v>
      </c>
      <c r="I1349">
        <v>4892.5600000000004</v>
      </c>
      <c r="J1349">
        <v>2.3199999999999998</v>
      </c>
      <c r="K1349">
        <v>11.11</v>
      </c>
      <c r="L1349">
        <v>90.34</v>
      </c>
      <c r="M1349">
        <v>3.61</v>
      </c>
      <c r="N1349">
        <v>3537.5</v>
      </c>
    </row>
    <row r="1350" spans="1:14" x14ac:dyDescent="0.2">
      <c r="A1350" s="1">
        <v>45586</v>
      </c>
      <c r="B1350" s="2" t="s">
        <v>24</v>
      </c>
      <c r="C1350" s="2" t="s">
        <v>21</v>
      </c>
      <c r="D1350" s="2" t="s">
        <v>22</v>
      </c>
      <c r="E1350">
        <v>15015</v>
      </c>
      <c r="F1350">
        <v>2867</v>
      </c>
      <c r="G1350">
        <v>325</v>
      </c>
      <c r="H1350">
        <v>296.91000000000003</v>
      </c>
      <c r="I1350">
        <v>37131.57</v>
      </c>
      <c r="J1350">
        <v>19.09</v>
      </c>
      <c r="K1350">
        <v>11.34</v>
      </c>
      <c r="L1350">
        <v>0.91</v>
      </c>
      <c r="M1350">
        <v>125.06</v>
      </c>
      <c r="N1350">
        <v>36834.660000000003</v>
      </c>
    </row>
    <row r="1351" spans="1:14" x14ac:dyDescent="0.2">
      <c r="A1351" s="1">
        <v>45586</v>
      </c>
      <c r="B1351" s="2" t="s">
        <v>26</v>
      </c>
      <c r="C1351" s="2" t="s">
        <v>18</v>
      </c>
      <c r="D1351" s="2" t="s">
        <v>16</v>
      </c>
      <c r="E1351">
        <v>30374</v>
      </c>
      <c r="F1351">
        <v>2187</v>
      </c>
      <c r="G1351">
        <v>326</v>
      </c>
      <c r="H1351">
        <v>0</v>
      </c>
      <c r="I1351">
        <v>46254.63</v>
      </c>
      <c r="J1351">
        <v>7.2</v>
      </c>
      <c r="K1351">
        <v>14.91</v>
      </c>
      <c r="L1351">
        <v>0</v>
      </c>
      <c r="M1351">
        <v>0</v>
      </c>
      <c r="N1351">
        <v>46254.63</v>
      </c>
    </row>
    <row r="1352" spans="1:14" x14ac:dyDescent="0.2">
      <c r="A1352" s="1">
        <v>45586</v>
      </c>
      <c r="B1352" s="2" t="s">
        <v>27</v>
      </c>
      <c r="C1352" s="2" t="s">
        <v>32</v>
      </c>
      <c r="D1352" s="2" t="s">
        <v>16</v>
      </c>
      <c r="E1352">
        <v>39201</v>
      </c>
      <c r="F1352">
        <v>582</v>
      </c>
      <c r="G1352">
        <v>22</v>
      </c>
      <c r="H1352">
        <v>1283.98</v>
      </c>
      <c r="I1352">
        <v>2812.85</v>
      </c>
      <c r="J1352">
        <v>1.48</v>
      </c>
      <c r="K1352">
        <v>3.78</v>
      </c>
      <c r="L1352">
        <v>58.36</v>
      </c>
      <c r="M1352">
        <v>2.19</v>
      </c>
      <c r="N1352">
        <v>1528.87</v>
      </c>
    </row>
    <row r="1353" spans="1:14" x14ac:dyDescent="0.2">
      <c r="A1353" s="1">
        <v>45586</v>
      </c>
      <c r="B1353" s="2" t="s">
        <v>29</v>
      </c>
      <c r="C1353" s="2" t="s">
        <v>28</v>
      </c>
      <c r="D1353" s="2" t="s">
        <v>25</v>
      </c>
      <c r="E1353">
        <v>17393</v>
      </c>
      <c r="F1353">
        <v>518</v>
      </c>
      <c r="G1353">
        <v>22</v>
      </c>
      <c r="H1353">
        <v>1244.99</v>
      </c>
      <c r="I1353">
        <v>2177.73</v>
      </c>
      <c r="J1353">
        <v>2.98</v>
      </c>
      <c r="K1353">
        <v>4.25</v>
      </c>
      <c r="L1353">
        <v>56.59</v>
      </c>
      <c r="M1353">
        <v>1.75</v>
      </c>
      <c r="N1353">
        <v>932.74</v>
      </c>
    </row>
    <row r="1354" spans="1:14" x14ac:dyDescent="0.2">
      <c r="A1354" s="1">
        <v>45586</v>
      </c>
      <c r="B1354" s="2" t="s">
        <v>30</v>
      </c>
      <c r="C1354" s="2" t="s">
        <v>15</v>
      </c>
      <c r="D1354" s="2" t="s">
        <v>16</v>
      </c>
      <c r="E1354">
        <v>10907</v>
      </c>
      <c r="F1354">
        <v>222</v>
      </c>
      <c r="G1354">
        <v>13</v>
      </c>
      <c r="H1354">
        <v>588.72</v>
      </c>
      <c r="I1354">
        <v>1285.22</v>
      </c>
      <c r="J1354">
        <v>2.04</v>
      </c>
      <c r="K1354">
        <v>5.86</v>
      </c>
      <c r="L1354">
        <v>45.29</v>
      </c>
      <c r="M1354">
        <v>2.1800000000000002</v>
      </c>
      <c r="N1354">
        <v>696.5</v>
      </c>
    </row>
    <row r="1355" spans="1:14" x14ac:dyDescent="0.2">
      <c r="A1355" s="1">
        <v>45586</v>
      </c>
      <c r="B1355" s="2" t="s">
        <v>31</v>
      </c>
      <c r="C1355" s="2" t="s">
        <v>21</v>
      </c>
      <c r="D1355" s="2" t="s">
        <v>16</v>
      </c>
      <c r="E1355">
        <v>22701</v>
      </c>
      <c r="F1355">
        <v>767</v>
      </c>
      <c r="G1355">
        <v>28</v>
      </c>
      <c r="H1355">
        <v>672.33</v>
      </c>
      <c r="I1355">
        <v>2588.86</v>
      </c>
      <c r="J1355">
        <v>3.38</v>
      </c>
      <c r="K1355">
        <v>3.65</v>
      </c>
      <c r="L1355">
        <v>24.01</v>
      </c>
      <c r="M1355">
        <v>3.85</v>
      </c>
      <c r="N1355">
        <v>1916.53</v>
      </c>
    </row>
    <row r="1356" spans="1:14" x14ac:dyDescent="0.2">
      <c r="A1356" s="1">
        <v>45586</v>
      </c>
      <c r="B1356" s="2" t="s">
        <v>33</v>
      </c>
      <c r="C1356" s="2" t="s">
        <v>28</v>
      </c>
      <c r="D1356" s="2" t="s">
        <v>36</v>
      </c>
      <c r="E1356">
        <v>8577</v>
      </c>
      <c r="F1356">
        <v>594</v>
      </c>
      <c r="G1356">
        <v>65</v>
      </c>
      <c r="H1356">
        <v>471.15</v>
      </c>
      <c r="I1356">
        <v>6908.32</v>
      </c>
      <c r="J1356">
        <v>6.93</v>
      </c>
      <c r="K1356">
        <v>10.94</v>
      </c>
      <c r="L1356">
        <v>7.25</v>
      </c>
      <c r="M1356">
        <v>14.66</v>
      </c>
      <c r="N1356">
        <v>6437.17</v>
      </c>
    </row>
    <row r="1357" spans="1:14" x14ac:dyDescent="0.2">
      <c r="A1357" s="1">
        <v>45586</v>
      </c>
      <c r="B1357" s="2" t="s">
        <v>34</v>
      </c>
      <c r="C1357" s="2" t="s">
        <v>21</v>
      </c>
      <c r="D1357" s="2" t="s">
        <v>25</v>
      </c>
      <c r="E1357">
        <v>5584</v>
      </c>
      <c r="F1357">
        <v>407</v>
      </c>
      <c r="G1357">
        <v>64</v>
      </c>
      <c r="H1357">
        <v>178.21</v>
      </c>
      <c r="I1357">
        <v>7494.49</v>
      </c>
      <c r="J1357">
        <v>7.29</v>
      </c>
      <c r="K1357">
        <v>15.72</v>
      </c>
      <c r="L1357">
        <v>2.78</v>
      </c>
      <c r="M1357">
        <v>42.05</v>
      </c>
      <c r="N1357">
        <v>7316.28</v>
      </c>
    </row>
    <row r="1358" spans="1:14" x14ac:dyDescent="0.2">
      <c r="A1358" s="1">
        <v>45587</v>
      </c>
      <c r="B1358" s="2" t="s">
        <v>14</v>
      </c>
      <c r="C1358" s="2" t="s">
        <v>21</v>
      </c>
      <c r="D1358" s="2" t="s">
        <v>16</v>
      </c>
      <c r="E1358">
        <v>14063</v>
      </c>
      <c r="F1358">
        <v>496</v>
      </c>
      <c r="G1358">
        <v>47</v>
      </c>
      <c r="H1358">
        <v>930.64</v>
      </c>
      <c r="I1358">
        <v>5503.38</v>
      </c>
      <c r="J1358">
        <v>3.53</v>
      </c>
      <c r="K1358">
        <v>9.48</v>
      </c>
      <c r="L1358">
        <v>19.8</v>
      </c>
      <c r="M1358">
        <v>5.91</v>
      </c>
      <c r="N1358">
        <v>4572.74</v>
      </c>
    </row>
    <row r="1359" spans="1:14" x14ac:dyDescent="0.2">
      <c r="A1359" s="1">
        <v>45587</v>
      </c>
      <c r="B1359" s="2" t="s">
        <v>17</v>
      </c>
      <c r="C1359" s="2" t="s">
        <v>21</v>
      </c>
      <c r="D1359" s="2" t="s">
        <v>25</v>
      </c>
      <c r="E1359">
        <v>19852</v>
      </c>
      <c r="F1359">
        <v>673</v>
      </c>
      <c r="G1359">
        <v>51</v>
      </c>
      <c r="H1359">
        <v>816.89</v>
      </c>
      <c r="I1359">
        <v>7175.04</v>
      </c>
      <c r="J1359">
        <v>3.39</v>
      </c>
      <c r="K1359">
        <v>7.58</v>
      </c>
      <c r="L1359">
        <v>16.02</v>
      </c>
      <c r="M1359">
        <v>8.7799999999999994</v>
      </c>
      <c r="N1359">
        <v>6358.15</v>
      </c>
    </row>
    <row r="1360" spans="1:14" x14ac:dyDescent="0.2">
      <c r="A1360" s="1">
        <v>45587</v>
      </c>
      <c r="B1360" s="2" t="s">
        <v>20</v>
      </c>
      <c r="C1360" s="2" t="s">
        <v>35</v>
      </c>
      <c r="D1360" s="2" t="s">
        <v>22</v>
      </c>
      <c r="E1360">
        <v>12464</v>
      </c>
      <c r="F1360">
        <v>360</v>
      </c>
      <c r="G1360">
        <v>25</v>
      </c>
      <c r="H1360">
        <v>770.36</v>
      </c>
      <c r="I1360">
        <v>2286.25</v>
      </c>
      <c r="J1360">
        <v>2.89</v>
      </c>
      <c r="K1360">
        <v>6.94</v>
      </c>
      <c r="L1360">
        <v>30.81</v>
      </c>
      <c r="M1360">
        <v>2.97</v>
      </c>
      <c r="N1360">
        <v>1515.89</v>
      </c>
    </row>
    <row r="1361" spans="1:14" x14ac:dyDescent="0.2">
      <c r="A1361" s="1">
        <v>45587</v>
      </c>
      <c r="B1361" s="2" t="s">
        <v>23</v>
      </c>
      <c r="C1361" s="2" t="s">
        <v>15</v>
      </c>
      <c r="D1361" s="2" t="s">
        <v>25</v>
      </c>
      <c r="E1361">
        <v>5023</v>
      </c>
      <c r="F1361">
        <v>97</v>
      </c>
      <c r="G1361">
        <v>14</v>
      </c>
      <c r="H1361">
        <v>1094.8900000000001</v>
      </c>
      <c r="I1361">
        <v>2870.03</v>
      </c>
      <c r="J1361">
        <v>1.93</v>
      </c>
      <c r="K1361">
        <v>14.43</v>
      </c>
      <c r="L1361">
        <v>78.209999999999994</v>
      </c>
      <c r="M1361">
        <v>2.62</v>
      </c>
      <c r="N1361">
        <v>1775.14</v>
      </c>
    </row>
    <row r="1362" spans="1:14" x14ac:dyDescent="0.2">
      <c r="A1362" s="1">
        <v>45587</v>
      </c>
      <c r="B1362" s="2" t="s">
        <v>24</v>
      </c>
      <c r="C1362" s="2" t="s">
        <v>35</v>
      </c>
      <c r="D1362" s="2" t="s">
        <v>25</v>
      </c>
      <c r="E1362">
        <v>18055</v>
      </c>
      <c r="F1362">
        <v>4419</v>
      </c>
      <c r="G1362">
        <v>450</v>
      </c>
      <c r="H1362">
        <v>184.71</v>
      </c>
      <c r="I1362">
        <v>52359.54</v>
      </c>
      <c r="J1362">
        <v>24.48</v>
      </c>
      <c r="K1362">
        <v>10.18</v>
      </c>
      <c r="L1362">
        <v>0.41</v>
      </c>
      <c r="M1362">
        <v>283.47000000000003</v>
      </c>
      <c r="N1362">
        <v>52174.83</v>
      </c>
    </row>
    <row r="1363" spans="1:14" x14ac:dyDescent="0.2">
      <c r="A1363" s="1">
        <v>45587</v>
      </c>
      <c r="B1363" s="2" t="s">
        <v>26</v>
      </c>
      <c r="C1363" s="2" t="s">
        <v>32</v>
      </c>
      <c r="D1363" s="2" t="s">
        <v>19</v>
      </c>
      <c r="E1363">
        <v>20155</v>
      </c>
      <c r="F1363">
        <v>947</v>
      </c>
      <c r="G1363">
        <v>135</v>
      </c>
      <c r="H1363">
        <v>0</v>
      </c>
      <c r="I1363">
        <v>15487.14</v>
      </c>
      <c r="J1363">
        <v>4.7</v>
      </c>
      <c r="K1363">
        <v>14.26</v>
      </c>
      <c r="L1363">
        <v>0</v>
      </c>
      <c r="M1363">
        <v>0</v>
      </c>
      <c r="N1363">
        <v>15487.14</v>
      </c>
    </row>
    <row r="1364" spans="1:14" x14ac:dyDescent="0.2">
      <c r="A1364" s="1">
        <v>45587</v>
      </c>
      <c r="B1364" s="2" t="s">
        <v>27</v>
      </c>
      <c r="C1364" s="2" t="s">
        <v>21</v>
      </c>
      <c r="D1364" s="2" t="s">
        <v>19</v>
      </c>
      <c r="E1364">
        <v>31328</v>
      </c>
      <c r="F1364">
        <v>392</v>
      </c>
      <c r="G1364">
        <v>12</v>
      </c>
      <c r="H1364">
        <v>1231.8499999999999</v>
      </c>
      <c r="I1364">
        <v>1509.63</v>
      </c>
      <c r="J1364">
        <v>1.25</v>
      </c>
      <c r="K1364">
        <v>3.06</v>
      </c>
      <c r="L1364">
        <v>102.65</v>
      </c>
      <c r="M1364">
        <v>1.23</v>
      </c>
      <c r="N1364">
        <v>277.77999999999997</v>
      </c>
    </row>
    <row r="1365" spans="1:14" x14ac:dyDescent="0.2">
      <c r="A1365" s="1">
        <v>45587</v>
      </c>
      <c r="B1365" s="2" t="s">
        <v>29</v>
      </c>
      <c r="C1365" s="2" t="s">
        <v>21</v>
      </c>
      <c r="D1365" s="2" t="s">
        <v>25</v>
      </c>
      <c r="E1365">
        <v>24613</v>
      </c>
      <c r="F1365">
        <v>522</v>
      </c>
      <c r="G1365">
        <v>28</v>
      </c>
      <c r="H1365">
        <v>1152.08</v>
      </c>
      <c r="I1365">
        <v>3291.26</v>
      </c>
      <c r="J1365">
        <v>2.12</v>
      </c>
      <c r="K1365">
        <v>5.36</v>
      </c>
      <c r="L1365">
        <v>41.15</v>
      </c>
      <c r="M1365">
        <v>2.86</v>
      </c>
      <c r="N1365">
        <v>2139.1799999999998</v>
      </c>
    </row>
    <row r="1366" spans="1:14" x14ac:dyDescent="0.2">
      <c r="A1366" s="1">
        <v>45587</v>
      </c>
      <c r="B1366" s="2" t="s">
        <v>30</v>
      </c>
      <c r="C1366" s="2" t="s">
        <v>21</v>
      </c>
      <c r="D1366" s="2" t="s">
        <v>36</v>
      </c>
      <c r="E1366">
        <v>10430</v>
      </c>
      <c r="F1366">
        <v>353</v>
      </c>
      <c r="G1366">
        <v>19</v>
      </c>
      <c r="H1366">
        <v>543.21</v>
      </c>
      <c r="I1366">
        <v>1810.09</v>
      </c>
      <c r="J1366">
        <v>3.38</v>
      </c>
      <c r="K1366">
        <v>5.38</v>
      </c>
      <c r="L1366">
        <v>28.59</v>
      </c>
      <c r="M1366">
        <v>3.33</v>
      </c>
      <c r="N1366">
        <v>1266.8800000000001</v>
      </c>
    </row>
    <row r="1367" spans="1:14" x14ac:dyDescent="0.2">
      <c r="A1367" s="1">
        <v>45587</v>
      </c>
      <c r="B1367" s="2" t="s">
        <v>31</v>
      </c>
      <c r="C1367" s="2" t="s">
        <v>35</v>
      </c>
      <c r="D1367" s="2" t="s">
        <v>19</v>
      </c>
      <c r="E1367">
        <v>18036</v>
      </c>
      <c r="F1367">
        <v>496</v>
      </c>
      <c r="G1367">
        <v>31</v>
      </c>
      <c r="H1367">
        <v>900.3</v>
      </c>
      <c r="I1367">
        <v>2620.34</v>
      </c>
      <c r="J1367">
        <v>2.75</v>
      </c>
      <c r="K1367">
        <v>6.25</v>
      </c>
      <c r="L1367">
        <v>29.04</v>
      </c>
      <c r="M1367">
        <v>2.91</v>
      </c>
      <c r="N1367">
        <v>1720.04</v>
      </c>
    </row>
    <row r="1368" spans="1:14" x14ac:dyDescent="0.2">
      <c r="A1368" s="1">
        <v>45587</v>
      </c>
      <c r="B1368" s="2" t="s">
        <v>33</v>
      </c>
      <c r="C1368" s="2" t="s">
        <v>18</v>
      </c>
      <c r="D1368" s="2" t="s">
        <v>25</v>
      </c>
      <c r="E1368">
        <v>7676</v>
      </c>
      <c r="F1368">
        <v>456</v>
      </c>
      <c r="G1368">
        <v>53</v>
      </c>
      <c r="H1368">
        <v>581.98</v>
      </c>
      <c r="I1368">
        <v>8416.32</v>
      </c>
      <c r="J1368">
        <v>5.94</v>
      </c>
      <c r="K1368">
        <v>11.62</v>
      </c>
      <c r="L1368">
        <v>10.98</v>
      </c>
      <c r="M1368">
        <v>14.46</v>
      </c>
      <c r="N1368">
        <v>7834.34</v>
      </c>
    </row>
    <row r="1369" spans="1:14" x14ac:dyDescent="0.2">
      <c r="A1369" s="1">
        <v>45587</v>
      </c>
      <c r="B1369" s="2" t="s">
        <v>34</v>
      </c>
      <c r="C1369" s="2" t="s">
        <v>32</v>
      </c>
      <c r="D1369" s="2" t="s">
        <v>22</v>
      </c>
      <c r="E1369">
        <v>5774</v>
      </c>
      <c r="F1369">
        <v>468</v>
      </c>
      <c r="G1369">
        <v>73</v>
      </c>
      <c r="H1369">
        <v>98.99</v>
      </c>
      <c r="I1369">
        <v>12354.25</v>
      </c>
      <c r="J1369">
        <v>8.11</v>
      </c>
      <c r="K1369">
        <v>15.6</v>
      </c>
      <c r="L1369">
        <v>1.36</v>
      </c>
      <c r="M1369">
        <v>124.8</v>
      </c>
      <c r="N1369">
        <v>12255.26</v>
      </c>
    </row>
    <row r="1370" spans="1:14" x14ac:dyDescent="0.2">
      <c r="A1370" s="1">
        <v>45588</v>
      </c>
      <c r="B1370" s="2" t="s">
        <v>14</v>
      </c>
      <c r="C1370" s="2" t="s">
        <v>15</v>
      </c>
      <c r="D1370" s="2" t="s">
        <v>36</v>
      </c>
      <c r="E1370">
        <v>8587</v>
      </c>
      <c r="F1370">
        <v>387</v>
      </c>
      <c r="G1370">
        <v>36</v>
      </c>
      <c r="H1370">
        <v>1102.95</v>
      </c>
      <c r="I1370">
        <v>4983.5600000000004</v>
      </c>
      <c r="J1370">
        <v>4.51</v>
      </c>
      <c r="K1370">
        <v>9.3000000000000007</v>
      </c>
      <c r="L1370">
        <v>30.64</v>
      </c>
      <c r="M1370">
        <v>4.5199999999999996</v>
      </c>
      <c r="N1370">
        <v>3880.61</v>
      </c>
    </row>
    <row r="1371" spans="1:14" x14ac:dyDescent="0.2">
      <c r="A1371" s="1">
        <v>45588</v>
      </c>
      <c r="B1371" s="2" t="s">
        <v>17</v>
      </c>
      <c r="C1371" s="2" t="s">
        <v>32</v>
      </c>
      <c r="D1371" s="2" t="s">
        <v>36</v>
      </c>
      <c r="E1371">
        <v>19115</v>
      </c>
      <c r="F1371">
        <v>410</v>
      </c>
      <c r="G1371">
        <v>29</v>
      </c>
      <c r="H1371">
        <v>987.28</v>
      </c>
      <c r="I1371">
        <v>3629.2</v>
      </c>
      <c r="J1371">
        <v>2.14</v>
      </c>
      <c r="K1371">
        <v>7.07</v>
      </c>
      <c r="L1371">
        <v>34.04</v>
      </c>
      <c r="M1371">
        <v>3.68</v>
      </c>
      <c r="N1371">
        <v>2641.92</v>
      </c>
    </row>
    <row r="1372" spans="1:14" x14ac:dyDescent="0.2">
      <c r="A1372" s="1">
        <v>45588</v>
      </c>
      <c r="B1372" s="2" t="s">
        <v>20</v>
      </c>
      <c r="C1372" s="2" t="s">
        <v>18</v>
      </c>
      <c r="D1372" s="2" t="s">
        <v>19</v>
      </c>
      <c r="E1372">
        <v>14918</v>
      </c>
      <c r="F1372">
        <v>427</v>
      </c>
      <c r="G1372">
        <v>23</v>
      </c>
      <c r="H1372">
        <v>601.73</v>
      </c>
      <c r="I1372">
        <v>2225.39</v>
      </c>
      <c r="J1372">
        <v>2.86</v>
      </c>
      <c r="K1372">
        <v>5.39</v>
      </c>
      <c r="L1372">
        <v>26.16</v>
      </c>
      <c r="M1372">
        <v>3.7</v>
      </c>
      <c r="N1372">
        <v>1623.66</v>
      </c>
    </row>
    <row r="1373" spans="1:14" x14ac:dyDescent="0.2">
      <c r="A1373" s="1">
        <v>45588</v>
      </c>
      <c r="B1373" s="2" t="s">
        <v>23</v>
      </c>
      <c r="C1373" s="2" t="s">
        <v>15</v>
      </c>
      <c r="D1373" s="2" t="s">
        <v>36</v>
      </c>
      <c r="E1373">
        <v>5063</v>
      </c>
      <c r="F1373">
        <v>80</v>
      </c>
      <c r="G1373">
        <v>9</v>
      </c>
      <c r="H1373">
        <v>989.21</v>
      </c>
      <c r="I1373">
        <v>3006.08</v>
      </c>
      <c r="J1373">
        <v>1.58</v>
      </c>
      <c r="K1373">
        <v>11.25</v>
      </c>
      <c r="L1373">
        <v>109.91</v>
      </c>
      <c r="M1373">
        <v>3.04</v>
      </c>
      <c r="N1373">
        <v>2016.87</v>
      </c>
    </row>
    <row r="1374" spans="1:14" x14ac:dyDescent="0.2">
      <c r="A1374" s="1">
        <v>45588</v>
      </c>
      <c r="B1374" s="2" t="s">
        <v>24</v>
      </c>
      <c r="C1374" s="2" t="s">
        <v>32</v>
      </c>
      <c r="D1374" s="2" t="s">
        <v>19</v>
      </c>
      <c r="E1374">
        <v>21790</v>
      </c>
      <c r="F1374">
        <v>4383</v>
      </c>
      <c r="G1374">
        <v>501</v>
      </c>
      <c r="H1374">
        <v>126.52</v>
      </c>
      <c r="I1374">
        <v>58932.98</v>
      </c>
      <c r="J1374">
        <v>20.11</v>
      </c>
      <c r="K1374">
        <v>11.43</v>
      </c>
      <c r="L1374">
        <v>0.25</v>
      </c>
      <c r="M1374">
        <v>465.8</v>
      </c>
      <c r="N1374">
        <v>58806.46</v>
      </c>
    </row>
    <row r="1375" spans="1:14" x14ac:dyDescent="0.2">
      <c r="A1375" s="1">
        <v>45588</v>
      </c>
      <c r="B1375" s="2" t="s">
        <v>26</v>
      </c>
      <c r="C1375" s="2" t="s">
        <v>15</v>
      </c>
      <c r="D1375" s="2" t="s">
        <v>36</v>
      </c>
      <c r="E1375">
        <v>33794</v>
      </c>
      <c r="F1375">
        <v>2005</v>
      </c>
      <c r="G1375">
        <v>217</v>
      </c>
      <c r="H1375">
        <v>0</v>
      </c>
      <c r="I1375">
        <v>31932.85</v>
      </c>
      <c r="J1375">
        <v>5.93</v>
      </c>
      <c r="K1375">
        <v>10.82</v>
      </c>
      <c r="L1375">
        <v>0</v>
      </c>
      <c r="M1375">
        <v>0</v>
      </c>
      <c r="N1375">
        <v>31932.85</v>
      </c>
    </row>
    <row r="1376" spans="1:14" x14ac:dyDescent="0.2">
      <c r="A1376" s="1">
        <v>45588</v>
      </c>
      <c r="B1376" s="2" t="s">
        <v>27</v>
      </c>
      <c r="C1376" s="2" t="s">
        <v>28</v>
      </c>
      <c r="D1376" s="2" t="s">
        <v>22</v>
      </c>
      <c r="E1376">
        <v>39108</v>
      </c>
      <c r="F1376">
        <v>759</v>
      </c>
      <c r="G1376">
        <v>18</v>
      </c>
      <c r="H1376">
        <v>1220.54</v>
      </c>
      <c r="I1376">
        <v>1797.6</v>
      </c>
      <c r="J1376">
        <v>1.94</v>
      </c>
      <c r="K1376">
        <v>2.37</v>
      </c>
      <c r="L1376">
        <v>67.81</v>
      </c>
      <c r="M1376">
        <v>1.47</v>
      </c>
      <c r="N1376">
        <v>577.05999999999995</v>
      </c>
    </row>
    <row r="1377" spans="1:14" x14ac:dyDescent="0.2">
      <c r="A1377" s="1">
        <v>45588</v>
      </c>
      <c r="B1377" s="2" t="s">
        <v>29</v>
      </c>
      <c r="C1377" s="2" t="s">
        <v>35</v>
      </c>
      <c r="D1377" s="2" t="s">
        <v>36</v>
      </c>
      <c r="E1377">
        <v>23010</v>
      </c>
      <c r="F1377">
        <v>388</v>
      </c>
      <c r="G1377">
        <v>28</v>
      </c>
      <c r="H1377">
        <v>1394.51</v>
      </c>
      <c r="I1377">
        <v>3934.66</v>
      </c>
      <c r="J1377">
        <v>1.69</v>
      </c>
      <c r="K1377">
        <v>7.22</v>
      </c>
      <c r="L1377">
        <v>49.8</v>
      </c>
      <c r="M1377">
        <v>2.82</v>
      </c>
      <c r="N1377">
        <v>2540.15</v>
      </c>
    </row>
    <row r="1378" spans="1:14" x14ac:dyDescent="0.2">
      <c r="A1378" s="1">
        <v>45588</v>
      </c>
      <c r="B1378" s="2" t="s">
        <v>30</v>
      </c>
      <c r="C1378" s="2" t="s">
        <v>21</v>
      </c>
      <c r="D1378" s="2" t="s">
        <v>25</v>
      </c>
      <c r="E1378">
        <v>10491</v>
      </c>
      <c r="F1378">
        <v>359</v>
      </c>
      <c r="G1378">
        <v>18</v>
      </c>
      <c r="H1378">
        <v>759.45</v>
      </c>
      <c r="I1378">
        <v>1393.6</v>
      </c>
      <c r="J1378">
        <v>3.42</v>
      </c>
      <c r="K1378">
        <v>5.01</v>
      </c>
      <c r="L1378">
        <v>42.19</v>
      </c>
      <c r="M1378">
        <v>1.84</v>
      </c>
      <c r="N1378">
        <v>634.15</v>
      </c>
    </row>
    <row r="1379" spans="1:14" x14ac:dyDescent="0.2">
      <c r="A1379" s="1">
        <v>45588</v>
      </c>
      <c r="B1379" s="2" t="s">
        <v>31</v>
      </c>
      <c r="C1379" s="2" t="s">
        <v>28</v>
      </c>
      <c r="D1379" s="2" t="s">
        <v>22</v>
      </c>
      <c r="E1379">
        <v>29196</v>
      </c>
      <c r="F1379">
        <v>814</v>
      </c>
      <c r="G1379">
        <v>34</v>
      </c>
      <c r="H1379">
        <v>702.07</v>
      </c>
      <c r="I1379">
        <v>3294.61</v>
      </c>
      <c r="J1379">
        <v>2.79</v>
      </c>
      <c r="K1379">
        <v>4.18</v>
      </c>
      <c r="L1379">
        <v>20.65</v>
      </c>
      <c r="M1379">
        <v>4.6900000000000004</v>
      </c>
      <c r="N1379">
        <v>2592.54</v>
      </c>
    </row>
    <row r="1380" spans="1:14" x14ac:dyDescent="0.2">
      <c r="A1380" s="1">
        <v>45588</v>
      </c>
      <c r="B1380" s="2" t="s">
        <v>33</v>
      </c>
      <c r="C1380" s="2" t="s">
        <v>21</v>
      </c>
      <c r="D1380" s="2" t="s">
        <v>19</v>
      </c>
      <c r="E1380">
        <v>5493</v>
      </c>
      <c r="F1380">
        <v>371</v>
      </c>
      <c r="G1380">
        <v>34</v>
      </c>
      <c r="H1380">
        <v>326.48</v>
      </c>
      <c r="I1380">
        <v>5404.61</v>
      </c>
      <c r="J1380">
        <v>6.75</v>
      </c>
      <c r="K1380">
        <v>9.16</v>
      </c>
      <c r="L1380">
        <v>9.6</v>
      </c>
      <c r="M1380">
        <v>16.55</v>
      </c>
      <c r="N1380">
        <v>5078.13</v>
      </c>
    </row>
    <row r="1381" spans="1:14" x14ac:dyDescent="0.2">
      <c r="A1381" s="1">
        <v>45588</v>
      </c>
      <c r="B1381" s="2" t="s">
        <v>34</v>
      </c>
      <c r="C1381" s="2" t="s">
        <v>15</v>
      </c>
      <c r="D1381" s="2" t="s">
        <v>22</v>
      </c>
      <c r="E1381">
        <v>6434</v>
      </c>
      <c r="F1381">
        <v>431</v>
      </c>
      <c r="G1381">
        <v>65</v>
      </c>
      <c r="H1381">
        <v>159.96</v>
      </c>
      <c r="I1381">
        <v>9296</v>
      </c>
      <c r="J1381">
        <v>6.7</v>
      </c>
      <c r="K1381">
        <v>15.08</v>
      </c>
      <c r="L1381">
        <v>2.46</v>
      </c>
      <c r="M1381">
        <v>58.11</v>
      </c>
      <c r="N1381">
        <v>9136.0400000000009</v>
      </c>
    </row>
    <row r="1382" spans="1:14" x14ac:dyDescent="0.2">
      <c r="A1382" s="1">
        <v>45589</v>
      </c>
      <c r="B1382" s="2" t="s">
        <v>14</v>
      </c>
      <c r="C1382" s="2" t="s">
        <v>28</v>
      </c>
      <c r="D1382" s="2" t="s">
        <v>16</v>
      </c>
      <c r="E1382">
        <v>11091</v>
      </c>
      <c r="F1382">
        <v>378</v>
      </c>
      <c r="G1382">
        <v>33</v>
      </c>
      <c r="H1382">
        <v>1216.81</v>
      </c>
      <c r="I1382">
        <v>5369.14</v>
      </c>
      <c r="J1382">
        <v>3.41</v>
      </c>
      <c r="K1382">
        <v>8.73</v>
      </c>
      <c r="L1382">
        <v>36.869999999999997</v>
      </c>
      <c r="M1382">
        <v>4.41</v>
      </c>
      <c r="N1382">
        <v>4152.33</v>
      </c>
    </row>
    <row r="1383" spans="1:14" x14ac:dyDescent="0.2">
      <c r="A1383" s="1">
        <v>45589</v>
      </c>
      <c r="B1383" s="2" t="s">
        <v>17</v>
      </c>
      <c r="C1383" s="2" t="s">
        <v>32</v>
      </c>
      <c r="D1383" s="2" t="s">
        <v>36</v>
      </c>
      <c r="E1383">
        <v>17376</v>
      </c>
      <c r="F1383">
        <v>668</v>
      </c>
      <c r="G1383">
        <v>34</v>
      </c>
      <c r="H1383">
        <v>710.74</v>
      </c>
      <c r="I1383">
        <v>4283.83</v>
      </c>
      <c r="J1383">
        <v>3.84</v>
      </c>
      <c r="K1383">
        <v>5.09</v>
      </c>
      <c r="L1383">
        <v>20.9</v>
      </c>
      <c r="M1383">
        <v>6.03</v>
      </c>
      <c r="N1383">
        <v>3573.09</v>
      </c>
    </row>
    <row r="1384" spans="1:14" x14ac:dyDescent="0.2">
      <c r="A1384" s="1">
        <v>45589</v>
      </c>
      <c r="B1384" s="2" t="s">
        <v>20</v>
      </c>
      <c r="C1384" s="2" t="s">
        <v>28</v>
      </c>
      <c r="D1384" s="2" t="s">
        <v>25</v>
      </c>
      <c r="E1384">
        <v>10497</v>
      </c>
      <c r="F1384">
        <v>379</v>
      </c>
      <c r="G1384">
        <v>17</v>
      </c>
      <c r="H1384">
        <v>863.06</v>
      </c>
      <c r="I1384">
        <v>1661.7</v>
      </c>
      <c r="J1384">
        <v>3.61</v>
      </c>
      <c r="K1384">
        <v>4.49</v>
      </c>
      <c r="L1384">
        <v>50.77</v>
      </c>
      <c r="M1384">
        <v>1.93</v>
      </c>
      <c r="N1384">
        <v>798.64</v>
      </c>
    </row>
    <row r="1385" spans="1:14" x14ac:dyDescent="0.2">
      <c r="A1385" s="1">
        <v>45589</v>
      </c>
      <c r="B1385" s="2" t="s">
        <v>23</v>
      </c>
      <c r="C1385" s="2" t="s">
        <v>32</v>
      </c>
      <c r="D1385" s="2" t="s">
        <v>22</v>
      </c>
      <c r="E1385">
        <v>3677</v>
      </c>
      <c r="F1385">
        <v>59</v>
      </c>
      <c r="G1385">
        <v>8</v>
      </c>
      <c r="H1385">
        <v>949.26</v>
      </c>
      <c r="I1385">
        <v>2326.2800000000002</v>
      </c>
      <c r="J1385">
        <v>1.6</v>
      </c>
      <c r="K1385">
        <v>13.56</v>
      </c>
      <c r="L1385">
        <v>118.66</v>
      </c>
      <c r="M1385">
        <v>2.4500000000000002</v>
      </c>
      <c r="N1385">
        <v>1377.02</v>
      </c>
    </row>
    <row r="1386" spans="1:14" x14ac:dyDescent="0.2">
      <c r="A1386" s="1">
        <v>45589</v>
      </c>
      <c r="B1386" s="2" t="s">
        <v>24</v>
      </c>
      <c r="C1386" s="2" t="s">
        <v>28</v>
      </c>
      <c r="D1386" s="2" t="s">
        <v>22</v>
      </c>
      <c r="E1386">
        <v>23327</v>
      </c>
      <c r="F1386">
        <v>5064</v>
      </c>
      <c r="G1386">
        <v>434</v>
      </c>
      <c r="H1386">
        <v>217.61</v>
      </c>
      <c r="I1386">
        <v>47145.919999999998</v>
      </c>
      <c r="J1386">
        <v>21.71</v>
      </c>
      <c r="K1386">
        <v>8.57</v>
      </c>
      <c r="L1386">
        <v>0.5</v>
      </c>
      <c r="M1386">
        <v>216.65</v>
      </c>
      <c r="N1386">
        <v>46928.31</v>
      </c>
    </row>
    <row r="1387" spans="1:14" x14ac:dyDescent="0.2">
      <c r="A1387" s="1">
        <v>45589</v>
      </c>
      <c r="B1387" s="2" t="s">
        <v>26</v>
      </c>
      <c r="C1387" s="2" t="s">
        <v>35</v>
      </c>
      <c r="D1387" s="2" t="s">
        <v>22</v>
      </c>
      <c r="E1387">
        <v>27919</v>
      </c>
      <c r="F1387">
        <v>2020</v>
      </c>
      <c r="G1387">
        <v>265</v>
      </c>
      <c r="H1387">
        <v>0</v>
      </c>
      <c r="I1387">
        <v>27299.17</v>
      </c>
      <c r="J1387">
        <v>7.24</v>
      </c>
      <c r="K1387">
        <v>13.12</v>
      </c>
      <c r="L1387">
        <v>0</v>
      </c>
      <c r="M1387">
        <v>0</v>
      </c>
      <c r="N1387">
        <v>27299.17</v>
      </c>
    </row>
    <row r="1388" spans="1:14" x14ac:dyDescent="0.2">
      <c r="A1388" s="1">
        <v>45589</v>
      </c>
      <c r="B1388" s="2" t="s">
        <v>27</v>
      </c>
      <c r="C1388" s="2" t="s">
        <v>35</v>
      </c>
      <c r="D1388" s="2" t="s">
        <v>16</v>
      </c>
      <c r="E1388">
        <v>31990</v>
      </c>
      <c r="F1388">
        <v>402</v>
      </c>
      <c r="G1388">
        <v>13</v>
      </c>
      <c r="H1388">
        <v>1195.32</v>
      </c>
      <c r="I1388">
        <v>1647.52</v>
      </c>
      <c r="J1388">
        <v>1.26</v>
      </c>
      <c r="K1388">
        <v>3.23</v>
      </c>
      <c r="L1388">
        <v>91.95</v>
      </c>
      <c r="M1388">
        <v>1.38</v>
      </c>
      <c r="N1388">
        <v>452.2</v>
      </c>
    </row>
    <row r="1389" spans="1:14" x14ac:dyDescent="0.2">
      <c r="A1389" s="1">
        <v>45589</v>
      </c>
      <c r="B1389" s="2" t="s">
        <v>29</v>
      </c>
      <c r="C1389" s="2" t="s">
        <v>28</v>
      </c>
      <c r="D1389" s="2" t="s">
        <v>19</v>
      </c>
      <c r="E1389">
        <v>24368</v>
      </c>
      <c r="F1389">
        <v>604</v>
      </c>
      <c r="G1389">
        <v>30</v>
      </c>
      <c r="H1389">
        <v>1381.47</v>
      </c>
      <c r="I1389">
        <v>3344.1</v>
      </c>
      <c r="J1389">
        <v>2.48</v>
      </c>
      <c r="K1389">
        <v>4.97</v>
      </c>
      <c r="L1389">
        <v>46.05</v>
      </c>
      <c r="M1389">
        <v>2.42</v>
      </c>
      <c r="N1389">
        <v>1962.63</v>
      </c>
    </row>
    <row r="1390" spans="1:14" x14ac:dyDescent="0.2">
      <c r="A1390" s="1">
        <v>45589</v>
      </c>
      <c r="B1390" s="2" t="s">
        <v>30</v>
      </c>
      <c r="C1390" s="2" t="s">
        <v>18</v>
      </c>
      <c r="D1390" s="2" t="s">
        <v>25</v>
      </c>
      <c r="E1390">
        <v>11785</v>
      </c>
      <c r="F1390">
        <v>260</v>
      </c>
      <c r="G1390">
        <v>9</v>
      </c>
      <c r="H1390">
        <v>505.81</v>
      </c>
      <c r="I1390">
        <v>733.3</v>
      </c>
      <c r="J1390">
        <v>2.21</v>
      </c>
      <c r="K1390">
        <v>3.46</v>
      </c>
      <c r="L1390">
        <v>56.2</v>
      </c>
      <c r="M1390">
        <v>1.45</v>
      </c>
      <c r="N1390">
        <v>227.49</v>
      </c>
    </row>
    <row r="1391" spans="1:14" x14ac:dyDescent="0.2">
      <c r="A1391" s="1">
        <v>45589</v>
      </c>
      <c r="B1391" s="2" t="s">
        <v>31</v>
      </c>
      <c r="C1391" s="2" t="s">
        <v>15</v>
      </c>
      <c r="D1391" s="2" t="s">
        <v>22</v>
      </c>
      <c r="E1391">
        <v>19312</v>
      </c>
      <c r="F1391">
        <v>860</v>
      </c>
      <c r="G1391">
        <v>59</v>
      </c>
      <c r="H1391">
        <v>786.96</v>
      </c>
      <c r="I1391">
        <v>6041.95</v>
      </c>
      <c r="J1391">
        <v>4.45</v>
      </c>
      <c r="K1391">
        <v>6.86</v>
      </c>
      <c r="L1391">
        <v>13.34</v>
      </c>
      <c r="M1391">
        <v>7.68</v>
      </c>
      <c r="N1391">
        <v>5254.99</v>
      </c>
    </row>
    <row r="1392" spans="1:14" x14ac:dyDescent="0.2">
      <c r="A1392" s="1">
        <v>45589</v>
      </c>
      <c r="B1392" s="2" t="s">
        <v>33</v>
      </c>
      <c r="C1392" s="2" t="s">
        <v>18</v>
      </c>
      <c r="D1392" s="2" t="s">
        <v>19</v>
      </c>
      <c r="E1392">
        <v>5210</v>
      </c>
      <c r="F1392">
        <v>267</v>
      </c>
      <c r="G1392">
        <v>34</v>
      </c>
      <c r="H1392">
        <v>396.76</v>
      </c>
      <c r="I1392">
        <v>5283.11</v>
      </c>
      <c r="J1392">
        <v>5.12</v>
      </c>
      <c r="K1392">
        <v>12.73</v>
      </c>
      <c r="L1392">
        <v>11.67</v>
      </c>
      <c r="M1392">
        <v>13.32</v>
      </c>
      <c r="N1392">
        <v>4886.3500000000004</v>
      </c>
    </row>
    <row r="1393" spans="1:14" x14ac:dyDescent="0.2">
      <c r="A1393" s="1">
        <v>45589</v>
      </c>
      <c r="B1393" s="2" t="s">
        <v>34</v>
      </c>
      <c r="C1393" s="2" t="s">
        <v>28</v>
      </c>
      <c r="D1393" s="2" t="s">
        <v>25</v>
      </c>
      <c r="E1393">
        <v>6178</v>
      </c>
      <c r="F1393">
        <v>332</v>
      </c>
      <c r="G1393">
        <v>55</v>
      </c>
      <c r="H1393">
        <v>139.72999999999999</v>
      </c>
      <c r="I1393">
        <v>7936.42</v>
      </c>
      <c r="J1393">
        <v>5.37</v>
      </c>
      <c r="K1393">
        <v>16.57</v>
      </c>
      <c r="L1393">
        <v>2.54</v>
      </c>
      <c r="M1393">
        <v>56.8</v>
      </c>
      <c r="N1393">
        <v>7796.69</v>
      </c>
    </row>
    <row r="1394" spans="1:14" x14ac:dyDescent="0.2">
      <c r="A1394" s="1">
        <v>45590</v>
      </c>
      <c r="B1394" s="2" t="s">
        <v>14</v>
      </c>
      <c r="C1394" s="2" t="s">
        <v>32</v>
      </c>
      <c r="D1394" s="2" t="s">
        <v>16</v>
      </c>
      <c r="E1394">
        <v>12871</v>
      </c>
      <c r="F1394">
        <v>509</v>
      </c>
      <c r="G1394">
        <v>41</v>
      </c>
      <c r="H1394">
        <v>1316.15</v>
      </c>
      <c r="I1394">
        <v>5893.98</v>
      </c>
      <c r="J1394">
        <v>3.95</v>
      </c>
      <c r="K1394">
        <v>8.06</v>
      </c>
      <c r="L1394">
        <v>32.1</v>
      </c>
      <c r="M1394">
        <v>4.4800000000000004</v>
      </c>
      <c r="N1394">
        <v>4577.83</v>
      </c>
    </row>
    <row r="1395" spans="1:14" x14ac:dyDescent="0.2">
      <c r="A1395" s="1">
        <v>45590</v>
      </c>
      <c r="B1395" s="2" t="s">
        <v>17</v>
      </c>
      <c r="C1395" s="2" t="s">
        <v>18</v>
      </c>
      <c r="D1395" s="2" t="s">
        <v>22</v>
      </c>
      <c r="E1395">
        <v>12879</v>
      </c>
      <c r="F1395">
        <v>437</v>
      </c>
      <c r="G1395">
        <v>37</v>
      </c>
      <c r="H1395">
        <v>1153.57</v>
      </c>
      <c r="I1395">
        <v>3815.64</v>
      </c>
      <c r="J1395">
        <v>3.39</v>
      </c>
      <c r="K1395">
        <v>8.4700000000000006</v>
      </c>
      <c r="L1395">
        <v>31.18</v>
      </c>
      <c r="M1395">
        <v>3.31</v>
      </c>
      <c r="N1395">
        <v>2662.07</v>
      </c>
    </row>
    <row r="1396" spans="1:14" x14ac:dyDescent="0.2">
      <c r="A1396" s="1">
        <v>45590</v>
      </c>
      <c r="B1396" s="2" t="s">
        <v>20</v>
      </c>
      <c r="C1396" s="2" t="s">
        <v>32</v>
      </c>
      <c r="D1396" s="2" t="s">
        <v>25</v>
      </c>
      <c r="E1396">
        <v>12963</v>
      </c>
      <c r="F1396">
        <v>525</v>
      </c>
      <c r="G1396">
        <v>28</v>
      </c>
      <c r="H1396">
        <v>702.89</v>
      </c>
      <c r="I1396">
        <v>3134.53</v>
      </c>
      <c r="J1396">
        <v>4.05</v>
      </c>
      <c r="K1396">
        <v>5.33</v>
      </c>
      <c r="L1396">
        <v>25.1</v>
      </c>
      <c r="M1396">
        <v>4.46</v>
      </c>
      <c r="N1396">
        <v>2431.64</v>
      </c>
    </row>
    <row r="1397" spans="1:14" x14ac:dyDescent="0.2">
      <c r="A1397" s="1">
        <v>45590</v>
      </c>
      <c r="B1397" s="2" t="s">
        <v>23</v>
      </c>
      <c r="C1397" s="2" t="s">
        <v>21</v>
      </c>
      <c r="D1397" s="2" t="s">
        <v>36</v>
      </c>
      <c r="E1397">
        <v>4866</v>
      </c>
      <c r="F1397">
        <v>113</v>
      </c>
      <c r="G1397">
        <v>15</v>
      </c>
      <c r="H1397">
        <v>1705.08</v>
      </c>
      <c r="I1397">
        <v>3834.67</v>
      </c>
      <c r="J1397">
        <v>2.3199999999999998</v>
      </c>
      <c r="K1397">
        <v>13.27</v>
      </c>
      <c r="L1397">
        <v>113.67</v>
      </c>
      <c r="M1397">
        <v>2.25</v>
      </c>
      <c r="N1397">
        <v>2129.59</v>
      </c>
    </row>
    <row r="1398" spans="1:14" x14ac:dyDescent="0.2">
      <c r="A1398" s="1">
        <v>45590</v>
      </c>
      <c r="B1398" s="2" t="s">
        <v>24</v>
      </c>
      <c r="C1398" s="2" t="s">
        <v>21</v>
      </c>
      <c r="D1398" s="2" t="s">
        <v>19</v>
      </c>
      <c r="E1398">
        <v>15011</v>
      </c>
      <c r="F1398">
        <v>3488</v>
      </c>
      <c r="G1398">
        <v>422</v>
      </c>
      <c r="H1398">
        <v>292</v>
      </c>
      <c r="I1398">
        <v>60089.27</v>
      </c>
      <c r="J1398">
        <v>23.24</v>
      </c>
      <c r="K1398">
        <v>12.1</v>
      </c>
      <c r="L1398">
        <v>0.69</v>
      </c>
      <c r="M1398">
        <v>205.79</v>
      </c>
      <c r="N1398">
        <v>59797.27</v>
      </c>
    </row>
    <row r="1399" spans="1:14" x14ac:dyDescent="0.2">
      <c r="A1399" s="1">
        <v>45590</v>
      </c>
      <c r="B1399" s="2" t="s">
        <v>26</v>
      </c>
      <c r="C1399" s="2" t="s">
        <v>35</v>
      </c>
      <c r="D1399" s="2" t="s">
        <v>16</v>
      </c>
      <c r="E1399">
        <v>20923</v>
      </c>
      <c r="F1399">
        <v>1228</v>
      </c>
      <c r="G1399">
        <v>150</v>
      </c>
      <c r="H1399">
        <v>0</v>
      </c>
      <c r="I1399">
        <v>22944.01</v>
      </c>
      <c r="J1399">
        <v>5.87</v>
      </c>
      <c r="K1399">
        <v>12.21</v>
      </c>
      <c r="L1399">
        <v>0</v>
      </c>
      <c r="M1399">
        <v>0</v>
      </c>
      <c r="N1399">
        <v>22944.01</v>
      </c>
    </row>
    <row r="1400" spans="1:14" x14ac:dyDescent="0.2">
      <c r="A1400" s="1">
        <v>45590</v>
      </c>
      <c r="B1400" s="2" t="s">
        <v>27</v>
      </c>
      <c r="C1400" s="2" t="s">
        <v>21</v>
      </c>
      <c r="D1400" s="2" t="s">
        <v>22</v>
      </c>
      <c r="E1400">
        <v>39893</v>
      </c>
      <c r="F1400">
        <v>791</v>
      </c>
      <c r="G1400">
        <v>35</v>
      </c>
      <c r="H1400">
        <v>995.88</v>
      </c>
      <c r="I1400">
        <v>4064.36</v>
      </c>
      <c r="J1400">
        <v>1.98</v>
      </c>
      <c r="K1400">
        <v>4.42</v>
      </c>
      <c r="L1400">
        <v>28.45</v>
      </c>
      <c r="M1400">
        <v>4.08</v>
      </c>
      <c r="N1400">
        <v>3068.48</v>
      </c>
    </row>
    <row r="1401" spans="1:14" x14ac:dyDescent="0.2">
      <c r="A1401" s="1">
        <v>45590</v>
      </c>
      <c r="B1401" s="2" t="s">
        <v>29</v>
      </c>
      <c r="C1401" s="2" t="s">
        <v>15</v>
      </c>
      <c r="D1401" s="2" t="s">
        <v>16</v>
      </c>
      <c r="E1401">
        <v>21779</v>
      </c>
      <c r="F1401">
        <v>459</v>
      </c>
      <c r="G1401">
        <v>28</v>
      </c>
      <c r="H1401">
        <v>994.47</v>
      </c>
      <c r="I1401">
        <v>3146.56</v>
      </c>
      <c r="J1401">
        <v>2.11</v>
      </c>
      <c r="K1401">
        <v>6.1</v>
      </c>
      <c r="L1401">
        <v>35.520000000000003</v>
      </c>
      <c r="M1401">
        <v>3.16</v>
      </c>
      <c r="N1401">
        <v>2152.09</v>
      </c>
    </row>
    <row r="1402" spans="1:14" x14ac:dyDescent="0.2">
      <c r="A1402" s="1">
        <v>45590</v>
      </c>
      <c r="B1402" s="2" t="s">
        <v>30</v>
      </c>
      <c r="C1402" s="2" t="s">
        <v>15</v>
      </c>
      <c r="D1402" s="2" t="s">
        <v>36</v>
      </c>
      <c r="E1402">
        <v>10306</v>
      </c>
      <c r="F1402">
        <v>252</v>
      </c>
      <c r="G1402">
        <v>8</v>
      </c>
      <c r="H1402">
        <v>640.51</v>
      </c>
      <c r="I1402">
        <v>703.14</v>
      </c>
      <c r="J1402">
        <v>2.4500000000000002</v>
      </c>
      <c r="K1402">
        <v>3.17</v>
      </c>
      <c r="L1402">
        <v>80.06</v>
      </c>
      <c r="M1402">
        <v>1.1000000000000001</v>
      </c>
      <c r="N1402">
        <v>62.63</v>
      </c>
    </row>
    <row r="1403" spans="1:14" x14ac:dyDescent="0.2">
      <c r="A1403" s="1">
        <v>45590</v>
      </c>
      <c r="B1403" s="2" t="s">
        <v>31</v>
      </c>
      <c r="C1403" s="2" t="s">
        <v>21</v>
      </c>
      <c r="D1403" s="2" t="s">
        <v>25</v>
      </c>
      <c r="E1403">
        <v>19273</v>
      </c>
      <c r="F1403">
        <v>794</v>
      </c>
      <c r="G1403">
        <v>39</v>
      </c>
      <c r="H1403">
        <v>661.36</v>
      </c>
      <c r="I1403">
        <v>4107.47</v>
      </c>
      <c r="J1403">
        <v>4.12</v>
      </c>
      <c r="K1403">
        <v>4.91</v>
      </c>
      <c r="L1403">
        <v>16.96</v>
      </c>
      <c r="M1403">
        <v>6.21</v>
      </c>
      <c r="N1403">
        <v>3446.11</v>
      </c>
    </row>
    <row r="1404" spans="1:14" x14ac:dyDescent="0.2">
      <c r="A1404" s="1">
        <v>45590</v>
      </c>
      <c r="B1404" s="2" t="s">
        <v>33</v>
      </c>
      <c r="C1404" s="2" t="s">
        <v>15</v>
      </c>
      <c r="D1404" s="2" t="s">
        <v>22</v>
      </c>
      <c r="E1404">
        <v>9921</v>
      </c>
      <c r="F1404">
        <v>530</v>
      </c>
      <c r="G1404">
        <v>49</v>
      </c>
      <c r="H1404">
        <v>347.68</v>
      </c>
      <c r="I1404">
        <v>6509.46</v>
      </c>
      <c r="J1404">
        <v>5.34</v>
      </c>
      <c r="K1404">
        <v>9.25</v>
      </c>
      <c r="L1404">
        <v>7.1</v>
      </c>
      <c r="M1404">
        <v>18.72</v>
      </c>
      <c r="N1404">
        <v>6161.78</v>
      </c>
    </row>
    <row r="1405" spans="1:14" x14ac:dyDescent="0.2">
      <c r="A1405" s="1">
        <v>45590</v>
      </c>
      <c r="B1405" s="2" t="s">
        <v>34</v>
      </c>
      <c r="C1405" s="2" t="s">
        <v>28</v>
      </c>
      <c r="D1405" s="2" t="s">
        <v>22</v>
      </c>
      <c r="E1405">
        <v>3402</v>
      </c>
      <c r="F1405">
        <v>295</v>
      </c>
      <c r="G1405">
        <v>40</v>
      </c>
      <c r="H1405">
        <v>130.84</v>
      </c>
      <c r="I1405">
        <v>6749.44</v>
      </c>
      <c r="J1405">
        <v>8.67</v>
      </c>
      <c r="K1405">
        <v>13.56</v>
      </c>
      <c r="L1405">
        <v>3.27</v>
      </c>
      <c r="M1405">
        <v>51.59</v>
      </c>
      <c r="N1405">
        <v>6618.6</v>
      </c>
    </row>
    <row r="1406" spans="1:14" x14ac:dyDescent="0.2">
      <c r="A1406" s="1">
        <v>45591</v>
      </c>
      <c r="B1406" s="2" t="s">
        <v>14</v>
      </c>
      <c r="C1406" s="2" t="s">
        <v>32</v>
      </c>
      <c r="D1406" s="2" t="s">
        <v>19</v>
      </c>
      <c r="E1406">
        <v>7412</v>
      </c>
      <c r="F1406">
        <v>280</v>
      </c>
      <c r="G1406">
        <v>23</v>
      </c>
      <c r="H1406">
        <v>1036.71</v>
      </c>
      <c r="I1406">
        <v>4004.58</v>
      </c>
      <c r="J1406">
        <v>3.78</v>
      </c>
      <c r="K1406">
        <v>8.2100000000000009</v>
      </c>
      <c r="L1406">
        <v>45.07</v>
      </c>
      <c r="M1406">
        <v>3.86</v>
      </c>
      <c r="N1406">
        <v>2967.87</v>
      </c>
    </row>
    <row r="1407" spans="1:14" x14ac:dyDescent="0.2">
      <c r="A1407" s="1">
        <v>45591</v>
      </c>
      <c r="B1407" s="2" t="s">
        <v>17</v>
      </c>
      <c r="C1407" s="2" t="s">
        <v>35</v>
      </c>
      <c r="D1407" s="2" t="s">
        <v>36</v>
      </c>
      <c r="E1407">
        <v>12003</v>
      </c>
      <c r="F1407">
        <v>370</v>
      </c>
      <c r="G1407">
        <v>18</v>
      </c>
      <c r="H1407">
        <v>790.77</v>
      </c>
      <c r="I1407">
        <v>1983.47</v>
      </c>
      <c r="J1407">
        <v>3.08</v>
      </c>
      <c r="K1407">
        <v>4.8600000000000003</v>
      </c>
      <c r="L1407">
        <v>43.93</v>
      </c>
      <c r="M1407">
        <v>2.5099999999999998</v>
      </c>
      <c r="N1407">
        <v>1192.7</v>
      </c>
    </row>
    <row r="1408" spans="1:14" x14ac:dyDescent="0.2">
      <c r="A1408" s="1">
        <v>45591</v>
      </c>
      <c r="B1408" s="2" t="s">
        <v>20</v>
      </c>
      <c r="C1408" s="2" t="s">
        <v>28</v>
      </c>
      <c r="D1408" s="2" t="s">
        <v>25</v>
      </c>
      <c r="E1408">
        <v>11356</v>
      </c>
      <c r="F1408">
        <v>465</v>
      </c>
      <c r="G1408">
        <v>25</v>
      </c>
      <c r="H1408">
        <v>690.3</v>
      </c>
      <c r="I1408">
        <v>2714.14</v>
      </c>
      <c r="J1408">
        <v>4.09</v>
      </c>
      <c r="K1408">
        <v>5.38</v>
      </c>
      <c r="L1408">
        <v>27.61</v>
      </c>
      <c r="M1408">
        <v>3.93</v>
      </c>
      <c r="N1408">
        <v>2023.84</v>
      </c>
    </row>
    <row r="1409" spans="1:14" x14ac:dyDescent="0.2">
      <c r="A1409" s="1">
        <v>45591</v>
      </c>
      <c r="B1409" s="2" t="s">
        <v>23</v>
      </c>
      <c r="C1409" s="2" t="s">
        <v>15</v>
      </c>
      <c r="D1409" s="2" t="s">
        <v>19</v>
      </c>
      <c r="E1409">
        <v>3283</v>
      </c>
      <c r="F1409">
        <v>55</v>
      </c>
      <c r="G1409">
        <v>6</v>
      </c>
      <c r="H1409">
        <v>1171.1500000000001</v>
      </c>
      <c r="I1409">
        <v>1725.45</v>
      </c>
      <c r="J1409">
        <v>1.68</v>
      </c>
      <c r="K1409">
        <v>10.91</v>
      </c>
      <c r="L1409">
        <v>195.19</v>
      </c>
      <c r="M1409">
        <v>1.47</v>
      </c>
      <c r="N1409">
        <v>554.29999999999995</v>
      </c>
    </row>
    <row r="1410" spans="1:14" x14ac:dyDescent="0.2">
      <c r="A1410" s="1">
        <v>45591</v>
      </c>
      <c r="B1410" s="2" t="s">
        <v>24</v>
      </c>
      <c r="C1410" s="2" t="s">
        <v>35</v>
      </c>
      <c r="D1410" s="2" t="s">
        <v>19</v>
      </c>
      <c r="E1410">
        <v>11916</v>
      </c>
      <c r="F1410">
        <v>2883</v>
      </c>
      <c r="G1410">
        <v>240</v>
      </c>
      <c r="H1410">
        <v>152.68</v>
      </c>
      <c r="I1410">
        <v>25438.560000000001</v>
      </c>
      <c r="J1410">
        <v>24.19</v>
      </c>
      <c r="K1410">
        <v>8.32</v>
      </c>
      <c r="L1410">
        <v>0.64</v>
      </c>
      <c r="M1410">
        <v>166.61</v>
      </c>
      <c r="N1410">
        <v>25285.88</v>
      </c>
    </row>
    <row r="1411" spans="1:14" x14ac:dyDescent="0.2">
      <c r="A1411" s="1">
        <v>45591</v>
      </c>
      <c r="B1411" s="2" t="s">
        <v>26</v>
      </c>
      <c r="C1411" s="2" t="s">
        <v>35</v>
      </c>
      <c r="D1411" s="2" t="s">
        <v>25</v>
      </c>
      <c r="E1411">
        <v>20353</v>
      </c>
      <c r="F1411">
        <v>1311</v>
      </c>
      <c r="G1411">
        <v>196</v>
      </c>
      <c r="H1411">
        <v>0</v>
      </c>
      <c r="I1411">
        <v>29738.68</v>
      </c>
      <c r="J1411">
        <v>6.44</v>
      </c>
      <c r="K1411">
        <v>14.95</v>
      </c>
      <c r="L1411">
        <v>0</v>
      </c>
      <c r="M1411">
        <v>0</v>
      </c>
      <c r="N1411">
        <v>29738.68</v>
      </c>
    </row>
    <row r="1412" spans="1:14" x14ac:dyDescent="0.2">
      <c r="A1412" s="1">
        <v>45591</v>
      </c>
      <c r="B1412" s="2" t="s">
        <v>27</v>
      </c>
      <c r="C1412" s="2" t="s">
        <v>28</v>
      </c>
      <c r="D1412" s="2" t="s">
        <v>36</v>
      </c>
      <c r="E1412">
        <v>27616</v>
      </c>
      <c r="F1412">
        <v>501</v>
      </c>
      <c r="G1412">
        <v>14</v>
      </c>
      <c r="H1412">
        <v>782.46</v>
      </c>
      <c r="I1412">
        <v>1562.93</v>
      </c>
      <c r="J1412">
        <v>1.81</v>
      </c>
      <c r="K1412">
        <v>2.79</v>
      </c>
      <c r="L1412">
        <v>55.89</v>
      </c>
      <c r="M1412">
        <v>2</v>
      </c>
      <c r="N1412">
        <v>780.47</v>
      </c>
    </row>
    <row r="1413" spans="1:14" x14ac:dyDescent="0.2">
      <c r="A1413" s="1">
        <v>45591</v>
      </c>
      <c r="B1413" s="2" t="s">
        <v>29</v>
      </c>
      <c r="C1413" s="2" t="s">
        <v>18</v>
      </c>
      <c r="D1413" s="2" t="s">
        <v>36</v>
      </c>
      <c r="E1413">
        <v>15158</v>
      </c>
      <c r="F1413">
        <v>275</v>
      </c>
      <c r="G1413">
        <v>14</v>
      </c>
      <c r="H1413">
        <v>971.47</v>
      </c>
      <c r="I1413">
        <v>1393.14</v>
      </c>
      <c r="J1413">
        <v>1.81</v>
      </c>
      <c r="K1413">
        <v>5.09</v>
      </c>
      <c r="L1413">
        <v>69.39</v>
      </c>
      <c r="M1413">
        <v>1.43</v>
      </c>
      <c r="N1413">
        <v>421.67</v>
      </c>
    </row>
    <row r="1414" spans="1:14" x14ac:dyDescent="0.2">
      <c r="A1414" s="1">
        <v>45591</v>
      </c>
      <c r="B1414" s="2" t="s">
        <v>30</v>
      </c>
      <c r="C1414" s="2" t="s">
        <v>35</v>
      </c>
      <c r="D1414" s="2" t="s">
        <v>22</v>
      </c>
      <c r="E1414">
        <v>5826</v>
      </c>
      <c r="F1414">
        <v>130</v>
      </c>
      <c r="G1414">
        <v>4</v>
      </c>
      <c r="H1414">
        <v>477.13</v>
      </c>
      <c r="I1414">
        <v>424.57</v>
      </c>
      <c r="J1414">
        <v>2.23</v>
      </c>
      <c r="K1414">
        <v>3.08</v>
      </c>
      <c r="L1414">
        <v>119.28</v>
      </c>
      <c r="M1414">
        <v>0.89</v>
      </c>
      <c r="N1414">
        <v>-52.56</v>
      </c>
    </row>
    <row r="1415" spans="1:14" x14ac:dyDescent="0.2">
      <c r="A1415" s="1">
        <v>45591</v>
      </c>
      <c r="B1415" s="2" t="s">
        <v>31</v>
      </c>
      <c r="C1415" s="2" t="s">
        <v>35</v>
      </c>
      <c r="D1415" s="2" t="s">
        <v>19</v>
      </c>
      <c r="E1415">
        <v>20959</v>
      </c>
      <c r="F1415">
        <v>583</v>
      </c>
      <c r="G1415">
        <v>25</v>
      </c>
      <c r="H1415">
        <v>516.53</v>
      </c>
      <c r="I1415">
        <v>2396.5500000000002</v>
      </c>
      <c r="J1415">
        <v>2.78</v>
      </c>
      <c r="K1415">
        <v>4.29</v>
      </c>
      <c r="L1415">
        <v>20.66</v>
      </c>
      <c r="M1415">
        <v>4.6399999999999997</v>
      </c>
      <c r="N1415">
        <v>1880.02</v>
      </c>
    </row>
    <row r="1416" spans="1:14" x14ac:dyDescent="0.2">
      <c r="A1416" s="1">
        <v>45591</v>
      </c>
      <c r="B1416" s="2" t="s">
        <v>33</v>
      </c>
      <c r="C1416" s="2" t="s">
        <v>28</v>
      </c>
      <c r="D1416" s="2" t="s">
        <v>16</v>
      </c>
      <c r="E1416">
        <v>3943</v>
      </c>
      <c r="F1416">
        <v>157</v>
      </c>
      <c r="G1416">
        <v>18</v>
      </c>
      <c r="H1416">
        <v>263.91000000000003</v>
      </c>
      <c r="I1416">
        <v>2642.47</v>
      </c>
      <c r="J1416">
        <v>3.98</v>
      </c>
      <c r="K1416">
        <v>11.46</v>
      </c>
      <c r="L1416">
        <v>14.66</v>
      </c>
      <c r="M1416">
        <v>10.01</v>
      </c>
      <c r="N1416">
        <v>2378.56</v>
      </c>
    </row>
    <row r="1417" spans="1:14" x14ac:dyDescent="0.2">
      <c r="A1417" s="1">
        <v>45591</v>
      </c>
      <c r="B1417" s="2" t="s">
        <v>34</v>
      </c>
      <c r="C1417" s="2" t="s">
        <v>32</v>
      </c>
      <c r="D1417" s="2" t="s">
        <v>22</v>
      </c>
      <c r="E1417">
        <v>2839</v>
      </c>
      <c r="F1417">
        <v>258</v>
      </c>
      <c r="G1417">
        <v>37</v>
      </c>
      <c r="H1417">
        <v>115.17</v>
      </c>
      <c r="I1417">
        <v>5452.24</v>
      </c>
      <c r="J1417">
        <v>9.09</v>
      </c>
      <c r="K1417">
        <v>14.34</v>
      </c>
      <c r="L1417">
        <v>3.11</v>
      </c>
      <c r="M1417">
        <v>47.34</v>
      </c>
      <c r="N1417">
        <v>5337.07</v>
      </c>
    </row>
    <row r="1418" spans="1:14" x14ac:dyDescent="0.2">
      <c r="A1418" s="1">
        <v>45592</v>
      </c>
      <c r="B1418" s="2" t="s">
        <v>14</v>
      </c>
      <c r="C1418" s="2" t="s">
        <v>15</v>
      </c>
      <c r="D1418" s="2" t="s">
        <v>22</v>
      </c>
      <c r="E1418">
        <v>9887</v>
      </c>
      <c r="F1418">
        <v>434</v>
      </c>
      <c r="G1418">
        <v>49</v>
      </c>
      <c r="H1418">
        <v>697.92</v>
      </c>
      <c r="I1418">
        <v>8212.64</v>
      </c>
      <c r="J1418">
        <v>4.3899999999999997</v>
      </c>
      <c r="K1418">
        <v>11.29</v>
      </c>
      <c r="L1418">
        <v>14.24</v>
      </c>
      <c r="M1418">
        <v>11.77</v>
      </c>
      <c r="N1418">
        <v>7514.72</v>
      </c>
    </row>
    <row r="1419" spans="1:14" x14ac:dyDescent="0.2">
      <c r="A1419" s="1">
        <v>45592</v>
      </c>
      <c r="B1419" s="2" t="s">
        <v>17</v>
      </c>
      <c r="C1419" s="2" t="s">
        <v>18</v>
      </c>
      <c r="D1419" s="2" t="s">
        <v>19</v>
      </c>
      <c r="E1419">
        <v>11636</v>
      </c>
      <c r="F1419">
        <v>420</v>
      </c>
      <c r="G1419">
        <v>27</v>
      </c>
      <c r="H1419">
        <v>621.96</v>
      </c>
      <c r="I1419">
        <v>2893.79</v>
      </c>
      <c r="J1419">
        <v>3.61</v>
      </c>
      <c r="K1419">
        <v>6.43</v>
      </c>
      <c r="L1419">
        <v>23.04</v>
      </c>
      <c r="M1419">
        <v>4.6500000000000004</v>
      </c>
      <c r="N1419">
        <v>2271.83</v>
      </c>
    </row>
    <row r="1420" spans="1:14" x14ac:dyDescent="0.2">
      <c r="A1420" s="1">
        <v>45592</v>
      </c>
      <c r="B1420" s="2" t="s">
        <v>20</v>
      </c>
      <c r="C1420" s="2" t="s">
        <v>32</v>
      </c>
      <c r="D1420" s="2" t="s">
        <v>25</v>
      </c>
      <c r="E1420">
        <v>11610</v>
      </c>
      <c r="F1420">
        <v>490</v>
      </c>
      <c r="G1420">
        <v>30</v>
      </c>
      <c r="H1420">
        <v>575.61</v>
      </c>
      <c r="I1420">
        <v>3801.81</v>
      </c>
      <c r="J1420">
        <v>4.22</v>
      </c>
      <c r="K1420">
        <v>6.12</v>
      </c>
      <c r="L1420">
        <v>19.190000000000001</v>
      </c>
      <c r="M1420">
        <v>6.6</v>
      </c>
      <c r="N1420">
        <v>3226.2</v>
      </c>
    </row>
    <row r="1421" spans="1:14" x14ac:dyDescent="0.2">
      <c r="A1421" s="1">
        <v>45592</v>
      </c>
      <c r="B1421" s="2" t="s">
        <v>23</v>
      </c>
      <c r="C1421" s="2" t="s">
        <v>32</v>
      </c>
      <c r="D1421" s="2" t="s">
        <v>36</v>
      </c>
      <c r="E1421">
        <v>3391</v>
      </c>
      <c r="F1421">
        <v>89</v>
      </c>
      <c r="G1421">
        <v>12</v>
      </c>
      <c r="H1421">
        <v>771.36</v>
      </c>
      <c r="I1421">
        <v>3879.07</v>
      </c>
      <c r="J1421">
        <v>2.62</v>
      </c>
      <c r="K1421">
        <v>13.48</v>
      </c>
      <c r="L1421">
        <v>64.28</v>
      </c>
      <c r="M1421">
        <v>5.03</v>
      </c>
      <c r="N1421">
        <v>3107.71</v>
      </c>
    </row>
    <row r="1422" spans="1:14" x14ac:dyDescent="0.2">
      <c r="A1422" s="1">
        <v>45592</v>
      </c>
      <c r="B1422" s="2" t="s">
        <v>24</v>
      </c>
      <c r="C1422" s="2" t="s">
        <v>35</v>
      </c>
      <c r="D1422" s="2" t="s">
        <v>22</v>
      </c>
      <c r="E1422">
        <v>15250</v>
      </c>
      <c r="F1422">
        <v>2449</v>
      </c>
      <c r="G1422">
        <v>200</v>
      </c>
      <c r="H1422">
        <v>183.44</v>
      </c>
      <c r="I1422">
        <v>24406.27</v>
      </c>
      <c r="J1422">
        <v>16.059999999999999</v>
      </c>
      <c r="K1422">
        <v>8.17</v>
      </c>
      <c r="L1422">
        <v>0.92</v>
      </c>
      <c r="M1422">
        <v>133.05000000000001</v>
      </c>
      <c r="N1422">
        <v>24222.83</v>
      </c>
    </row>
    <row r="1423" spans="1:14" x14ac:dyDescent="0.2">
      <c r="A1423" s="1">
        <v>45592</v>
      </c>
      <c r="B1423" s="2" t="s">
        <v>26</v>
      </c>
      <c r="C1423" s="2" t="s">
        <v>21</v>
      </c>
      <c r="D1423" s="2" t="s">
        <v>19</v>
      </c>
      <c r="E1423">
        <v>15791</v>
      </c>
      <c r="F1423">
        <v>902</v>
      </c>
      <c r="G1423">
        <v>122</v>
      </c>
      <c r="H1423">
        <v>0</v>
      </c>
      <c r="I1423">
        <v>14054.28</v>
      </c>
      <c r="J1423">
        <v>5.71</v>
      </c>
      <c r="K1423">
        <v>13.53</v>
      </c>
      <c r="L1423">
        <v>0</v>
      </c>
      <c r="M1423">
        <v>0</v>
      </c>
      <c r="N1423">
        <v>14054.28</v>
      </c>
    </row>
    <row r="1424" spans="1:14" x14ac:dyDescent="0.2">
      <c r="A1424" s="1">
        <v>45592</v>
      </c>
      <c r="B1424" s="2" t="s">
        <v>27</v>
      </c>
      <c r="C1424" s="2" t="s">
        <v>21</v>
      </c>
      <c r="D1424" s="2" t="s">
        <v>36</v>
      </c>
      <c r="E1424">
        <v>26621</v>
      </c>
      <c r="F1424">
        <v>319</v>
      </c>
      <c r="G1424">
        <v>14</v>
      </c>
      <c r="H1424">
        <v>517.61</v>
      </c>
      <c r="I1424">
        <v>1582.36</v>
      </c>
      <c r="J1424">
        <v>1.2</v>
      </c>
      <c r="K1424">
        <v>4.3899999999999997</v>
      </c>
      <c r="L1424">
        <v>36.97</v>
      </c>
      <c r="M1424">
        <v>3.06</v>
      </c>
      <c r="N1424">
        <v>1064.75</v>
      </c>
    </row>
    <row r="1425" spans="1:14" x14ac:dyDescent="0.2">
      <c r="A1425" s="1">
        <v>45592</v>
      </c>
      <c r="B1425" s="2" t="s">
        <v>29</v>
      </c>
      <c r="C1425" s="2" t="s">
        <v>32</v>
      </c>
      <c r="D1425" s="2" t="s">
        <v>22</v>
      </c>
      <c r="E1425">
        <v>14808</v>
      </c>
      <c r="F1425">
        <v>316</v>
      </c>
      <c r="G1425">
        <v>20</v>
      </c>
      <c r="H1425">
        <v>862.29</v>
      </c>
      <c r="I1425">
        <v>2398.0700000000002</v>
      </c>
      <c r="J1425">
        <v>2.13</v>
      </c>
      <c r="K1425">
        <v>6.33</v>
      </c>
      <c r="L1425">
        <v>43.11</v>
      </c>
      <c r="M1425">
        <v>2.78</v>
      </c>
      <c r="N1425">
        <v>1535.78</v>
      </c>
    </row>
    <row r="1426" spans="1:14" x14ac:dyDescent="0.2">
      <c r="A1426" s="1">
        <v>45592</v>
      </c>
      <c r="B1426" s="2" t="s">
        <v>30</v>
      </c>
      <c r="C1426" s="2" t="s">
        <v>28</v>
      </c>
      <c r="D1426" s="2" t="s">
        <v>25</v>
      </c>
      <c r="E1426">
        <v>5735</v>
      </c>
      <c r="F1426">
        <v>141</v>
      </c>
      <c r="G1426">
        <v>5</v>
      </c>
      <c r="H1426">
        <v>431.56</v>
      </c>
      <c r="I1426">
        <v>400.34</v>
      </c>
      <c r="J1426">
        <v>2.46</v>
      </c>
      <c r="K1426">
        <v>3.55</v>
      </c>
      <c r="L1426">
        <v>86.31</v>
      </c>
      <c r="M1426">
        <v>0.93</v>
      </c>
      <c r="N1426">
        <v>-31.22</v>
      </c>
    </row>
    <row r="1427" spans="1:14" x14ac:dyDescent="0.2">
      <c r="A1427" s="1">
        <v>45592</v>
      </c>
      <c r="B1427" s="2" t="s">
        <v>31</v>
      </c>
      <c r="C1427" s="2" t="s">
        <v>15</v>
      </c>
      <c r="D1427" s="2" t="s">
        <v>19</v>
      </c>
      <c r="E1427">
        <v>13941</v>
      </c>
      <c r="F1427">
        <v>532</v>
      </c>
      <c r="G1427">
        <v>21</v>
      </c>
      <c r="H1427">
        <v>460.1</v>
      </c>
      <c r="I1427">
        <v>1978.6</v>
      </c>
      <c r="J1427">
        <v>3.82</v>
      </c>
      <c r="K1427">
        <v>3.95</v>
      </c>
      <c r="L1427">
        <v>21.91</v>
      </c>
      <c r="M1427">
        <v>4.3</v>
      </c>
      <c r="N1427">
        <v>1518.5</v>
      </c>
    </row>
    <row r="1428" spans="1:14" x14ac:dyDescent="0.2">
      <c r="A1428" s="1">
        <v>45592</v>
      </c>
      <c r="B1428" s="2" t="s">
        <v>33</v>
      </c>
      <c r="C1428" s="2" t="s">
        <v>35</v>
      </c>
      <c r="D1428" s="2" t="s">
        <v>36</v>
      </c>
      <c r="E1428">
        <v>3522</v>
      </c>
      <c r="F1428">
        <v>161</v>
      </c>
      <c r="G1428">
        <v>20</v>
      </c>
      <c r="H1428">
        <v>288.35000000000002</v>
      </c>
      <c r="I1428">
        <v>2758.49</v>
      </c>
      <c r="J1428">
        <v>4.57</v>
      </c>
      <c r="K1428">
        <v>12.42</v>
      </c>
      <c r="L1428">
        <v>14.42</v>
      </c>
      <c r="M1428">
        <v>9.57</v>
      </c>
      <c r="N1428">
        <v>2470.14</v>
      </c>
    </row>
    <row r="1429" spans="1:14" x14ac:dyDescent="0.2">
      <c r="A1429" s="1">
        <v>45592</v>
      </c>
      <c r="B1429" s="2" t="s">
        <v>34</v>
      </c>
      <c r="C1429" s="2" t="s">
        <v>15</v>
      </c>
      <c r="D1429" s="2" t="s">
        <v>36</v>
      </c>
      <c r="E1429">
        <v>2185</v>
      </c>
      <c r="F1429">
        <v>172</v>
      </c>
      <c r="G1429">
        <v>24</v>
      </c>
      <c r="H1429">
        <v>81.87</v>
      </c>
      <c r="I1429">
        <v>3879.11</v>
      </c>
      <c r="J1429">
        <v>7.87</v>
      </c>
      <c r="K1429">
        <v>13.95</v>
      </c>
      <c r="L1429">
        <v>3.41</v>
      </c>
      <c r="M1429">
        <v>47.38</v>
      </c>
      <c r="N1429">
        <v>3797.24</v>
      </c>
    </row>
    <row r="1430" spans="1:14" x14ac:dyDescent="0.2">
      <c r="A1430" s="1">
        <v>45593</v>
      </c>
      <c r="B1430" s="2" t="s">
        <v>14</v>
      </c>
      <c r="C1430" s="2" t="s">
        <v>28</v>
      </c>
      <c r="D1430" s="2" t="s">
        <v>22</v>
      </c>
      <c r="E1430">
        <v>8909</v>
      </c>
      <c r="F1430">
        <v>358</v>
      </c>
      <c r="G1430">
        <v>40</v>
      </c>
      <c r="H1430">
        <v>831.55</v>
      </c>
      <c r="I1430">
        <v>6660.76</v>
      </c>
      <c r="J1430">
        <v>4.0199999999999996</v>
      </c>
      <c r="K1430">
        <v>11.17</v>
      </c>
      <c r="L1430">
        <v>20.79</v>
      </c>
      <c r="M1430">
        <v>8.01</v>
      </c>
      <c r="N1430">
        <v>5829.21</v>
      </c>
    </row>
    <row r="1431" spans="1:14" x14ac:dyDescent="0.2">
      <c r="A1431" s="1">
        <v>45593</v>
      </c>
      <c r="B1431" s="2" t="s">
        <v>17</v>
      </c>
      <c r="C1431" s="2" t="s">
        <v>15</v>
      </c>
      <c r="D1431" s="2" t="s">
        <v>19</v>
      </c>
      <c r="E1431">
        <v>13140</v>
      </c>
      <c r="F1431">
        <v>313</v>
      </c>
      <c r="G1431">
        <v>23</v>
      </c>
      <c r="H1431">
        <v>1139.5899999999999</v>
      </c>
      <c r="I1431">
        <v>2854.45</v>
      </c>
      <c r="J1431">
        <v>2.38</v>
      </c>
      <c r="K1431">
        <v>7.35</v>
      </c>
      <c r="L1431">
        <v>49.55</v>
      </c>
      <c r="M1431">
        <v>2.5</v>
      </c>
      <c r="N1431">
        <v>1714.86</v>
      </c>
    </row>
    <row r="1432" spans="1:14" x14ac:dyDescent="0.2">
      <c r="A1432" s="1">
        <v>45593</v>
      </c>
      <c r="B1432" s="2" t="s">
        <v>20</v>
      </c>
      <c r="C1432" s="2" t="s">
        <v>21</v>
      </c>
      <c r="D1432" s="2" t="s">
        <v>22</v>
      </c>
      <c r="E1432">
        <v>14000</v>
      </c>
      <c r="F1432">
        <v>429</v>
      </c>
      <c r="G1432">
        <v>18</v>
      </c>
      <c r="H1432">
        <v>553.30999999999995</v>
      </c>
      <c r="I1432">
        <v>1563.08</v>
      </c>
      <c r="J1432">
        <v>3.06</v>
      </c>
      <c r="K1432">
        <v>4.2</v>
      </c>
      <c r="L1432">
        <v>30.74</v>
      </c>
      <c r="M1432">
        <v>2.82</v>
      </c>
      <c r="N1432">
        <v>1009.77</v>
      </c>
    </row>
    <row r="1433" spans="1:14" x14ac:dyDescent="0.2">
      <c r="A1433" s="1">
        <v>45593</v>
      </c>
      <c r="B1433" s="2" t="s">
        <v>23</v>
      </c>
      <c r="C1433" s="2" t="s">
        <v>15</v>
      </c>
      <c r="D1433" s="2" t="s">
        <v>25</v>
      </c>
      <c r="E1433">
        <v>5319</v>
      </c>
      <c r="F1433">
        <v>101</v>
      </c>
      <c r="G1433">
        <v>10</v>
      </c>
      <c r="H1433">
        <v>914.49</v>
      </c>
      <c r="I1433">
        <v>2334.2600000000002</v>
      </c>
      <c r="J1433">
        <v>1.9</v>
      </c>
      <c r="K1433">
        <v>9.9</v>
      </c>
      <c r="L1433">
        <v>91.45</v>
      </c>
      <c r="M1433">
        <v>2.5499999999999998</v>
      </c>
      <c r="N1433">
        <v>1419.77</v>
      </c>
    </row>
    <row r="1434" spans="1:14" x14ac:dyDescent="0.2">
      <c r="A1434" s="1">
        <v>45593</v>
      </c>
      <c r="B1434" s="2" t="s">
        <v>24</v>
      </c>
      <c r="C1434" s="2" t="s">
        <v>28</v>
      </c>
      <c r="D1434" s="2" t="s">
        <v>22</v>
      </c>
      <c r="E1434">
        <v>22575</v>
      </c>
      <c r="F1434">
        <v>5267</v>
      </c>
      <c r="G1434">
        <v>434</v>
      </c>
      <c r="H1434">
        <v>282.48</v>
      </c>
      <c r="I1434">
        <v>68505.759999999995</v>
      </c>
      <c r="J1434">
        <v>23.33</v>
      </c>
      <c r="K1434">
        <v>8.24</v>
      </c>
      <c r="L1434">
        <v>0.65</v>
      </c>
      <c r="M1434">
        <v>242.52</v>
      </c>
      <c r="N1434">
        <v>68223.28</v>
      </c>
    </row>
    <row r="1435" spans="1:14" x14ac:dyDescent="0.2">
      <c r="A1435" s="1">
        <v>45593</v>
      </c>
      <c r="B1435" s="2" t="s">
        <v>26</v>
      </c>
      <c r="C1435" s="2" t="s">
        <v>32</v>
      </c>
      <c r="D1435" s="2" t="s">
        <v>16</v>
      </c>
      <c r="E1435">
        <v>28823</v>
      </c>
      <c r="F1435">
        <v>1576</v>
      </c>
      <c r="G1435">
        <v>181</v>
      </c>
      <c r="H1435">
        <v>0</v>
      </c>
      <c r="I1435">
        <v>24638.45</v>
      </c>
      <c r="J1435">
        <v>5.47</v>
      </c>
      <c r="K1435">
        <v>11.48</v>
      </c>
      <c r="L1435">
        <v>0</v>
      </c>
      <c r="M1435">
        <v>0</v>
      </c>
      <c r="N1435">
        <v>24638.45</v>
      </c>
    </row>
    <row r="1436" spans="1:14" x14ac:dyDescent="0.2">
      <c r="A1436" s="1">
        <v>45593</v>
      </c>
      <c r="B1436" s="2" t="s">
        <v>27</v>
      </c>
      <c r="C1436" s="2" t="s">
        <v>32</v>
      </c>
      <c r="D1436" s="2" t="s">
        <v>16</v>
      </c>
      <c r="E1436">
        <v>36534</v>
      </c>
      <c r="F1436">
        <v>574</v>
      </c>
      <c r="G1436">
        <v>24</v>
      </c>
      <c r="H1436">
        <v>1113.92</v>
      </c>
      <c r="I1436">
        <v>3148.62</v>
      </c>
      <c r="J1436">
        <v>1.57</v>
      </c>
      <c r="K1436">
        <v>4.18</v>
      </c>
      <c r="L1436">
        <v>46.41</v>
      </c>
      <c r="M1436">
        <v>2.83</v>
      </c>
      <c r="N1436">
        <v>2034.7</v>
      </c>
    </row>
    <row r="1437" spans="1:14" x14ac:dyDescent="0.2">
      <c r="A1437" s="1">
        <v>45593</v>
      </c>
      <c r="B1437" s="2" t="s">
        <v>29</v>
      </c>
      <c r="C1437" s="2" t="s">
        <v>18</v>
      </c>
      <c r="D1437" s="2" t="s">
        <v>16</v>
      </c>
      <c r="E1437">
        <v>16302</v>
      </c>
      <c r="F1437">
        <v>338</v>
      </c>
      <c r="G1437">
        <v>16</v>
      </c>
      <c r="H1437">
        <v>1237.1400000000001</v>
      </c>
      <c r="I1437">
        <v>2233.54</v>
      </c>
      <c r="J1437">
        <v>2.0699999999999998</v>
      </c>
      <c r="K1437">
        <v>4.7300000000000004</v>
      </c>
      <c r="L1437">
        <v>77.319999999999993</v>
      </c>
      <c r="M1437">
        <v>1.81</v>
      </c>
      <c r="N1437">
        <v>996.4</v>
      </c>
    </row>
    <row r="1438" spans="1:14" x14ac:dyDescent="0.2">
      <c r="A1438" s="1">
        <v>45593</v>
      </c>
      <c r="B1438" s="2" t="s">
        <v>30</v>
      </c>
      <c r="C1438" s="2" t="s">
        <v>18</v>
      </c>
      <c r="D1438" s="2" t="s">
        <v>36</v>
      </c>
      <c r="E1438">
        <v>12086</v>
      </c>
      <c r="F1438">
        <v>415</v>
      </c>
      <c r="G1438">
        <v>15</v>
      </c>
      <c r="H1438">
        <v>500.46</v>
      </c>
      <c r="I1438">
        <v>1312.57</v>
      </c>
      <c r="J1438">
        <v>3.43</v>
      </c>
      <c r="K1438">
        <v>3.61</v>
      </c>
      <c r="L1438">
        <v>33.36</v>
      </c>
      <c r="M1438">
        <v>2.62</v>
      </c>
      <c r="N1438">
        <v>812.11</v>
      </c>
    </row>
    <row r="1439" spans="1:14" x14ac:dyDescent="0.2">
      <c r="A1439" s="1">
        <v>45593</v>
      </c>
      <c r="B1439" s="2" t="s">
        <v>31</v>
      </c>
      <c r="C1439" s="2" t="s">
        <v>21</v>
      </c>
      <c r="D1439" s="2" t="s">
        <v>22</v>
      </c>
      <c r="E1439">
        <v>28348</v>
      </c>
      <c r="F1439">
        <v>968</v>
      </c>
      <c r="G1439">
        <v>62</v>
      </c>
      <c r="H1439">
        <v>998.42</v>
      </c>
      <c r="I1439">
        <v>6291.55</v>
      </c>
      <c r="J1439">
        <v>3.41</v>
      </c>
      <c r="K1439">
        <v>6.4</v>
      </c>
      <c r="L1439">
        <v>16.100000000000001</v>
      </c>
      <c r="M1439">
        <v>6.3</v>
      </c>
      <c r="N1439">
        <v>5293.13</v>
      </c>
    </row>
    <row r="1440" spans="1:14" x14ac:dyDescent="0.2">
      <c r="A1440" s="1">
        <v>45593</v>
      </c>
      <c r="B1440" s="2" t="s">
        <v>33</v>
      </c>
      <c r="C1440" s="2" t="s">
        <v>18</v>
      </c>
      <c r="D1440" s="2" t="s">
        <v>22</v>
      </c>
      <c r="E1440">
        <v>9007</v>
      </c>
      <c r="F1440">
        <v>603</v>
      </c>
      <c r="G1440">
        <v>64</v>
      </c>
      <c r="H1440">
        <v>628.74</v>
      </c>
      <c r="I1440">
        <v>6750.45</v>
      </c>
      <c r="J1440">
        <v>6.69</v>
      </c>
      <c r="K1440">
        <v>10.61</v>
      </c>
      <c r="L1440">
        <v>9.82</v>
      </c>
      <c r="M1440">
        <v>10.74</v>
      </c>
      <c r="N1440">
        <v>6121.71</v>
      </c>
    </row>
    <row r="1441" spans="1:14" x14ac:dyDescent="0.2">
      <c r="A1441" s="1">
        <v>45593</v>
      </c>
      <c r="B1441" s="2" t="s">
        <v>34</v>
      </c>
      <c r="C1441" s="2" t="s">
        <v>18</v>
      </c>
      <c r="D1441" s="2" t="s">
        <v>22</v>
      </c>
      <c r="E1441">
        <v>6310</v>
      </c>
      <c r="F1441">
        <v>468</v>
      </c>
      <c r="G1441">
        <v>65</v>
      </c>
      <c r="H1441">
        <v>64.16</v>
      </c>
      <c r="I1441">
        <v>10150.9</v>
      </c>
      <c r="J1441">
        <v>7.42</v>
      </c>
      <c r="K1441">
        <v>13.89</v>
      </c>
      <c r="L1441">
        <v>0.99</v>
      </c>
      <c r="M1441">
        <v>158.21</v>
      </c>
      <c r="N1441">
        <v>10086.74</v>
      </c>
    </row>
    <row r="1442" spans="1:14" x14ac:dyDescent="0.2">
      <c r="A1442" s="1">
        <v>45594</v>
      </c>
      <c r="B1442" s="2" t="s">
        <v>14</v>
      </c>
      <c r="C1442" s="2" t="s">
        <v>32</v>
      </c>
      <c r="D1442" s="2" t="s">
        <v>36</v>
      </c>
      <c r="E1442">
        <v>13486</v>
      </c>
      <c r="F1442">
        <v>612</v>
      </c>
      <c r="G1442">
        <v>56</v>
      </c>
      <c r="H1442">
        <v>1058.51</v>
      </c>
      <c r="I1442">
        <v>9885.5300000000007</v>
      </c>
      <c r="J1442">
        <v>4.54</v>
      </c>
      <c r="K1442">
        <v>9.15</v>
      </c>
      <c r="L1442">
        <v>18.899999999999999</v>
      </c>
      <c r="M1442">
        <v>9.34</v>
      </c>
      <c r="N1442">
        <v>8827.02</v>
      </c>
    </row>
    <row r="1443" spans="1:14" x14ac:dyDescent="0.2">
      <c r="A1443" s="1">
        <v>45594</v>
      </c>
      <c r="B1443" s="2" t="s">
        <v>17</v>
      </c>
      <c r="C1443" s="2" t="s">
        <v>35</v>
      </c>
      <c r="D1443" s="2" t="s">
        <v>16</v>
      </c>
      <c r="E1443">
        <v>15114</v>
      </c>
      <c r="F1443">
        <v>489</v>
      </c>
      <c r="G1443">
        <v>29</v>
      </c>
      <c r="H1443">
        <v>1125.2</v>
      </c>
      <c r="I1443">
        <v>3774.16</v>
      </c>
      <c r="J1443">
        <v>3.24</v>
      </c>
      <c r="K1443">
        <v>5.93</v>
      </c>
      <c r="L1443">
        <v>38.799999999999997</v>
      </c>
      <c r="M1443">
        <v>3.35</v>
      </c>
      <c r="N1443">
        <v>2648.96</v>
      </c>
    </row>
    <row r="1444" spans="1:14" x14ac:dyDescent="0.2">
      <c r="A1444" s="1">
        <v>45594</v>
      </c>
      <c r="B1444" s="2" t="s">
        <v>20</v>
      </c>
      <c r="C1444" s="2" t="s">
        <v>32</v>
      </c>
      <c r="D1444" s="2" t="s">
        <v>25</v>
      </c>
      <c r="E1444">
        <v>10563</v>
      </c>
      <c r="F1444">
        <v>288</v>
      </c>
      <c r="G1444">
        <v>14</v>
      </c>
      <c r="H1444">
        <v>806.92</v>
      </c>
      <c r="I1444">
        <v>1651.89</v>
      </c>
      <c r="J1444">
        <v>2.73</v>
      </c>
      <c r="K1444">
        <v>4.8600000000000003</v>
      </c>
      <c r="L1444">
        <v>57.64</v>
      </c>
      <c r="M1444">
        <v>2.0499999999999998</v>
      </c>
      <c r="N1444">
        <v>844.97</v>
      </c>
    </row>
    <row r="1445" spans="1:14" x14ac:dyDescent="0.2">
      <c r="A1445" s="1">
        <v>45594</v>
      </c>
      <c r="B1445" s="2" t="s">
        <v>23</v>
      </c>
      <c r="C1445" s="2" t="s">
        <v>28</v>
      </c>
      <c r="D1445" s="2" t="s">
        <v>36</v>
      </c>
      <c r="E1445">
        <v>4243</v>
      </c>
      <c r="F1445">
        <v>69</v>
      </c>
      <c r="G1445">
        <v>8</v>
      </c>
      <c r="H1445">
        <v>1094.8699999999999</v>
      </c>
      <c r="I1445">
        <v>1660.37</v>
      </c>
      <c r="J1445">
        <v>1.63</v>
      </c>
      <c r="K1445">
        <v>11.59</v>
      </c>
      <c r="L1445">
        <v>136.86000000000001</v>
      </c>
      <c r="M1445">
        <v>1.52</v>
      </c>
      <c r="N1445">
        <v>565.5</v>
      </c>
    </row>
    <row r="1446" spans="1:14" x14ac:dyDescent="0.2">
      <c r="A1446" s="1">
        <v>45594</v>
      </c>
      <c r="B1446" s="2" t="s">
        <v>24</v>
      </c>
      <c r="C1446" s="2" t="s">
        <v>18</v>
      </c>
      <c r="D1446" s="2" t="s">
        <v>16</v>
      </c>
      <c r="E1446">
        <v>19283</v>
      </c>
      <c r="F1446">
        <v>3638</v>
      </c>
      <c r="G1446">
        <v>296</v>
      </c>
      <c r="H1446">
        <v>229.93</v>
      </c>
      <c r="I1446">
        <v>44984.71</v>
      </c>
      <c r="J1446">
        <v>18.87</v>
      </c>
      <c r="K1446">
        <v>8.14</v>
      </c>
      <c r="L1446">
        <v>0.78</v>
      </c>
      <c r="M1446">
        <v>195.65</v>
      </c>
      <c r="N1446">
        <v>44754.78</v>
      </c>
    </row>
    <row r="1447" spans="1:14" x14ac:dyDescent="0.2">
      <c r="A1447" s="1">
        <v>45594</v>
      </c>
      <c r="B1447" s="2" t="s">
        <v>26</v>
      </c>
      <c r="C1447" s="2" t="s">
        <v>32</v>
      </c>
      <c r="D1447" s="2" t="s">
        <v>25</v>
      </c>
      <c r="E1447">
        <v>24417</v>
      </c>
      <c r="F1447">
        <v>1493</v>
      </c>
      <c r="G1447">
        <v>235</v>
      </c>
      <c r="H1447">
        <v>0</v>
      </c>
      <c r="I1447">
        <v>25336.07</v>
      </c>
      <c r="J1447">
        <v>6.11</v>
      </c>
      <c r="K1447">
        <v>15.74</v>
      </c>
      <c r="L1447">
        <v>0</v>
      </c>
      <c r="M1447">
        <v>0</v>
      </c>
      <c r="N1447">
        <v>25336.07</v>
      </c>
    </row>
    <row r="1448" spans="1:14" x14ac:dyDescent="0.2">
      <c r="A1448" s="1">
        <v>45594</v>
      </c>
      <c r="B1448" s="2" t="s">
        <v>27</v>
      </c>
      <c r="C1448" s="2" t="s">
        <v>28</v>
      </c>
      <c r="D1448" s="2" t="s">
        <v>16</v>
      </c>
      <c r="E1448">
        <v>35577</v>
      </c>
      <c r="F1448">
        <v>517</v>
      </c>
      <c r="G1448">
        <v>17</v>
      </c>
      <c r="H1448">
        <v>1194.32</v>
      </c>
      <c r="I1448">
        <v>2091.1999999999998</v>
      </c>
      <c r="J1448">
        <v>1.45</v>
      </c>
      <c r="K1448">
        <v>3.29</v>
      </c>
      <c r="L1448">
        <v>70.25</v>
      </c>
      <c r="M1448">
        <v>1.75</v>
      </c>
      <c r="N1448">
        <v>896.88</v>
      </c>
    </row>
    <row r="1449" spans="1:14" x14ac:dyDescent="0.2">
      <c r="A1449" s="1">
        <v>45594</v>
      </c>
      <c r="B1449" s="2" t="s">
        <v>29</v>
      </c>
      <c r="C1449" s="2" t="s">
        <v>18</v>
      </c>
      <c r="D1449" s="2" t="s">
        <v>25</v>
      </c>
      <c r="E1449">
        <v>15211</v>
      </c>
      <c r="F1449">
        <v>361</v>
      </c>
      <c r="G1449">
        <v>16</v>
      </c>
      <c r="H1449">
        <v>946.01</v>
      </c>
      <c r="I1449">
        <v>1863.38</v>
      </c>
      <c r="J1449">
        <v>2.37</v>
      </c>
      <c r="K1449">
        <v>4.43</v>
      </c>
      <c r="L1449">
        <v>59.13</v>
      </c>
      <c r="M1449">
        <v>1.97</v>
      </c>
      <c r="N1449">
        <v>917.37</v>
      </c>
    </row>
    <row r="1450" spans="1:14" x14ac:dyDescent="0.2">
      <c r="A1450" s="1">
        <v>45594</v>
      </c>
      <c r="B1450" s="2" t="s">
        <v>30</v>
      </c>
      <c r="C1450" s="2" t="s">
        <v>15</v>
      </c>
      <c r="D1450" s="2" t="s">
        <v>19</v>
      </c>
      <c r="E1450">
        <v>11142</v>
      </c>
      <c r="F1450">
        <v>280</v>
      </c>
      <c r="G1450">
        <v>13</v>
      </c>
      <c r="H1450">
        <v>777.84</v>
      </c>
      <c r="I1450">
        <v>1233.29</v>
      </c>
      <c r="J1450">
        <v>2.5099999999999998</v>
      </c>
      <c r="K1450">
        <v>4.6399999999999997</v>
      </c>
      <c r="L1450">
        <v>59.83</v>
      </c>
      <c r="M1450">
        <v>1.59</v>
      </c>
      <c r="N1450">
        <v>455.45</v>
      </c>
    </row>
    <row r="1451" spans="1:14" x14ac:dyDescent="0.2">
      <c r="A1451" s="1">
        <v>45594</v>
      </c>
      <c r="B1451" s="2" t="s">
        <v>31</v>
      </c>
      <c r="C1451" s="2" t="s">
        <v>32</v>
      </c>
      <c r="D1451" s="2" t="s">
        <v>19</v>
      </c>
      <c r="E1451">
        <v>27365</v>
      </c>
      <c r="F1451">
        <v>1159</v>
      </c>
      <c r="G1451">
        <v>42</v>
      </c>
      <c r="H1451">
        <v>982.47</v>
      </c>
      <c r="I1451">
        <v>4306.83</v>
      </c>
      <c r="J1451">
        <v>4.24</v>
      </c>
      <c r="K1451">
        <v>3.62</v>
      </c>
      <c r="L1451">
        <v>23.39</v>
      </c>
      <c r="M1451">
        <v>4.38</v>
      </c>
      <c r="N1451">
        <v>3324.36</v>
      </c>
    </row>
    <row r="1452" spans="1:14" x14ac:dyDescent="0.2">
      <c r="A1452" s="1">
        <v>45594</v>
      </c>
      <c r="B1452" s="2" t="s">
        <v>33</v>
      </c>
      <c r="C1452" s="2" t="s">
        <v>18</v>
      </c>
      <c r="D1452" s="2" t="s">
        <v>25</v>
      </c>
      <c r="E1452">
        <v>6432</v>
      </c>
      <c r="F1452">
        <v>449</v>
      </c>
      <c r="G1452">
        <v>40</v>
      </c>
      <c r="H1452">
        <v>632.9</v>
      </c>
      <c r="I1452">
        <v>5453.41</v>
      </c>
      <c r="J1452">
        <v>6.98</v>
      </c>
      <c r="K1452">
        <v>8.91</v>
      </c>
      <c r="L1452">
        <v>15.82</v>
      </c>
      <c r="M1452">
        <v>8.6199999999999992</v>
      </c>
      <c r="N1452">
        <v>4820.51</v>
      </c>
    </row>
    <row r="1453" spans="1:14" x14ac:dyDescent="0.2">
      <c r="A1453" s="1">
        <v>45594</v>
      </c>
      <c r="B1453" s="2" t="s">
        <v>34</v>
      </c>
      <c r="C1453" s="2" t="s">
        <v>15</v>
      </c>
      <c r="D1453" s="2" t="s">
        <v>36</v>
      </c>
      <c r="E1453">
        <v>5044</v>
      </c>
      <c r="F1453">
        <v>447</v>
      </c>
      <c r="G1453">
        <v>64</v>
      </c>
      <c r="H1453">
        <v>56.77</v>
      </c>
      <c r="I1453">
        <v>8202.7199999999993</v>
      </c>
      <c r="J1453">
        <v>8.86</v>
      </c>
      <c r="K1453">
        <v>14.32</v>
      </c>
      <c r="L1453">
        <v>0.89</v>
      </c>
      <c r="M1453">
        <v>144.49</v>
      </c>
      <c r="N1453">
        <v>8145.95</v>
      </c>
    </row>
    <row r="1454" spans="1:14" x14ac:dyDescent="0.2">
      <c r="A1454" s="1">
        <v>45595</v>
      </c>
      <c r="B1454" s="2" t="s">
        <v>14</v>
      </c>
      <c r="C1454" s="2" t="s">
        <v>21</v>
      </c>
      <c r="D1454" s="2" t="s">
        <v>16</v>
      </c>
      <c r="E1454">
        <v>13570</v>
      </c>
      <c r="F1454">
        <v>555</v>
      </c>
      <c r="G1454">
        <v>58</v>
      </c>
      <c r="H1454">
        <v>1186.52</v>
      </c>
      <c r="I1454">
        <v>10199.370000000001</v>
      </c>
      <c r="J1454">
        <v>4.09</v>
      </c>
      <c r="K1454">
        <v>10.45</v>
      </c>
      <c r="L1454">
        <v>20.46</v>
      </c>
      <c r="M1454">
        <v>8.6</v>
      </c>
      <c r="N1454">
        <v>9012.85</v>
      </c>
    </row>
    <row r="1455" spans="1:14" x14ac:dyDescent="0.2">
      <c r="A1455" s="1">
        <v>45595</v>
      </c>
      <c r="B1455" s="2" t="s">
        <v>17</v>
      </c>
      <c r="C1455" s="2" t="s">
        <v>18</v>
      </c>
      <c r="D1455" s="2" t="s">
        <v>25</v>
      </c>
      <c r="E1455">
        <v>18779</v>
      </c>
      <c r="F1455">
        <v>597</v>
      </c>
      <c r="G1455">
        <v>35</v>
      </c>
      <c r="H1455">
        <v>930.7</v>
      </c>
      <c r="I1455">
        <v>4446.25</v>
      </c>
      <c r="J1455">
        <v>3.18</v>
      </c>
      <c r="K1455">
        <v>5.86</v>
      </c>
      <c r="L1455">
        <v>26.59</v>
      </c>
      <c r="M1455">
        <v>4.78</v>
      </c>
      <c r="N1455">
        <v>3515.55</v>
      </c>
    </row>
    <row r="1456" spans="1:14" x14ac:dyDescent="0.2">
      <c r="A1456" s="1">
        <v>45595</v>
      </c>
      <c r="B1456" s="2" t="s">
        <v>20</v>
      </c>
      <c r="C1456" s="2" t="s">
        <v>21</v>
      </c>
      <c r="D1456" s="2" t="s">
        <v>22</v>
      </c>
      <c r="E1456">
        <v>12201</v>
      </c>
      <c r="F1456">
        <v>520</v>
      </c>
      <c r="G1456">
        <v>29</v>
      </c>
      <c r="H1456">
        <v>810.53</v>
      </c>
      <c r="I1456">
        <v>3059.23</v>
      </c>
      <c r="J1456">
        <v>4.26</v>
      </c>
      <c r="K1456">
        <v>5.58</v>
      </c>
      <c r="L1456">
        <v>27.95</v>
      </c>
      <c r="M1456">
        <v>3.77</v>
      </c>
      <c r="N1456">
        <v>2248.6999999999998</v>
      </c>
    </row>
    <row r="1457" spans="1:14" x14ac:dyDescent="0.2">
      <c r="A1457" s="1">
        <v>45595</v>
      </c>
      <c r="B1457" s="2" t="s">
        <v>23</v>
      </c>
      <c r="C1457" s="2" t="s">
        <v>21</v>
      </c>
      <c r="D1457" s="2" t="s">
        <v>25</v>
      </c>
      <c r="E1457">
        <v>5358</v>
      </c>
      <c r="F1457">
        <v>149</v>
      </c>
      <c r="G1457">
        <v>18</v>
      </c>
      <c r="H1457">
        <v>1626.18</v>
      </c>
      <c r="I1457">
        <v>5892.76</v>
      </c>
      <c r="J1457">
        <v>2.78</v>
      </c>
      <c r="K1457">
        <v>12.08</v>
      </c>
      <c r="L1457">
        <v>90.34</v>
      </c>
      <c r="M1457">
        <v>3.62</v>
      </c>
      <c r="N1457">
        <v>4266.58</v>
      </c>
    </row>
    <row r="1458" spans="1:14" x14ac:dyDescent="0.2">
      <c r="A1458" s="1">
        <v>45595</v>
      </c>
      <c r="B1458" s="2" t="s">
        <v>24</v>
      </c>
      <c r="C1458" s="2" t="s">
        <v>32</v>
      </c>
      <c r="D1458" s="2" t="s">
        <v>19</v>
      </c>
      <c r="E1458">
        <v>15892</v>
      </c>
      <c r="F1458">
        <v>3203</v>
      </c>
      <c r="G1458">
        <v>297</v>
      </c>
      <c r="H1458">
        <v>266.72000000000003</v>
      </c>
      <c r="I1458">
        <v>33316.15</v>
      </c>
      <c r="J1458">
        <v>20.149999999999999</v>
      </c>
      <c r="K1458">
        <v>9.27</v>
      </c>
      <c r="L1458">
        <v>0.9</v>
      </c>
      <c r="M1458">
        <v>124.91</v>
      </c>
      <c r="N1458">
        <v>33049.43</v>
      </c>
    </row>
    <row r="1459" spans="1:14" x14ac:dyDescent="0.2">
      <c r="A1459" s="1">
        <v>45595</v>
      </c>
      <c r="B1459" s="2" t="s">
        <v>26</v>
      </c>
      <c r="C1459" s="2" t="s">
        <v>35</v>
      </c>
      <c r="D1459" s="2" t="s">
        <v>19</v>
      </c>
      <c r="E1459">
        <v>26780</v>
      </c>
      <c r="F1459">
        <v>1447</v>
      </c>
      <c r="G1459">
        <v>162</v>
      </c>
      <c r="H1459">
        <v>0</v>
      </c>
      <c r="I1459">
        <v>25066.9</v>
      </c>
      <c r="J1459">
        <v>5.4</v>
      </c>
      <c r="K1459">
        <v>11.2</v>
      </c>
      <c r="L1459">
        <v>0</v>
      </c>
      <c r="M1459">
        <v>0</v>
      </c>
      <c r="N1459">
        <v>25066.9</v>
      </c>
    </row>
    <row r="1460" spans="1:14" x14ac:dyDescent="0.2">
      <c r="A1460" s="1">
        <v>45595</v>
      </c>
      <c r="B1460" s="2" t="s">
        <v>27</v>
      </c>
      <c r="C1460" s="2" t="s">
        <v>28</v>
      </c>
      <c r="D1460" s="2" t="s">
        <v>16</v>
      </c>
      <c r="E1460">
        <v>32357</v>
      </c>
      <c r="F1460">
        <v>362</v>
      </c>
      <c r="G1460">
        <v>7</v>
      </c>
      <c r="H1460">
        <v>874.06</v>
      </c>
      <c r="I1460">
        <v>760.13</v>
      </c>
      <c r="J1460">
        <v>1.1200000000000001</v>
      </c>
      <c r="K1460">
        <v>1.93</v>
      </c>
      <c r="L1460">
        <v>124.87</v>
      </c>
      <c r="M1460">
        <v>0.87</v>
      </c>
      <c r="N1460">
        <v>-113.93</v>
      </c>
    </row>
    <row r="1461" spans="1:14" x14ac:dyDescent="0.2">
      <c r="A1461" s="1">
        <v>45595</v>
      </c>
      <c r="B1461" s="2" t="s">
        <v>29</v>
      </c>
      <c r="C1461" s="2" t="s">
        <v>35</v>
      </c>
      <c r="D1461" s="2" t="s">
        <v>36</v>
      </c>
      <c r="E1461">
        <v>23463</v>
      </c>
      <c r="F1461">
        <v>676</v>
      </c>
      <c r="G1461">
        <v>39</v>
      </c>
      <c r="H1461">
        <v>805.05</v>
      </c>
      <c r="I1461">
        <v>4691.55</v>
      </c>
      <c r="J1461">
        <v>2.88</v>
      </c>
      <c r="K1461">
        <v>5.77</v>
      </c>
      <c r="L1461">
        <v>20.64</v>
      </c>
      <c r="M1461">
        <v>5.83</v>
      </c>
      <c r="N1461">
        <v>3886.5</v>
      </c>
    </row>
    <row r="1462" spans="1:14" x14ac:dyDescent="0.2">
      <c r="A1462" s="1">
        <v>45595</v>
      </c>
      <c r="B1462" s="2" t="s">
        <v>30</v>
      </c>
      <c r="C1462" s="2" t="s">
        <v>28</v>
      </c>
      <c r="D1462" s="2" t="s">
        <v>25</v>
      </c>
      <c r="E1462">
        <v>11117</v>
      </c>
      <c r="F1462">
        <v>345</v>
      </c>
      <c r="G1462">
        <v>11</v>
      </c>
      <c r="H1462">
        <v>513.14</v>
      </c>
      <c r="I1462">
        <v>1047.07</v>
      </c>
      <c r="J1462">
        <v>3.1</v>
      </c>
      <c r="K1462">
        <v>3.19</v>
      </c>
      <c r="L1462">
        <v>46.65</v>
      </c>
      <c r="M1462">
        <v>2.04</v>
      </c>
      <c r="N1462">
        <v>533.92999999999995</v>
      </c>
    </row>
    <row r="1463" spans="1:14" x14ac:dyDescent="0.2">
      <c r="A1463" s="1">
        <v>45595</v>
      </c>
      <c r="B1463" s="2" t="s">
        <v>31</v>
      </c>
      <c r="C1463" s="2" t="s">
        <v>21</v>
      </c>
      <c r="D1463" s="2" t="s">
        <v>22</v>
      </c>
      <c r="E1463">
        <v>18795</v>
      </c>
      <c r="F1463">
        <v>550</v>
      </c>
      <c r="G1463">
        <v>18</v>
      </c>
      <c r="H1463">
        <v>682.85</v>
      </c>
      <c r="I1463">
        <v>1287.6199999999999</v>
      </c>
      <c r="J1463">
        <v>2.93</v>
      </c>
      <c r="K1463">
        <v>3.27</v>
      </c>
      <c r="L1463">
        <v>37.94</v>
      </c>
      <c r="M1463">
        <v>1.89</v>
      </c>
      <c r="N1463">
        <v>604.77</v>
      </c>
    </row>
    <row r="1464" spans="1:14" x14ac:dyDescent="0.2">
      <c r="A1464" s="1">
        <v>45595</v>
      </c>
      <c r="B1464" s="2" t="s">
        <v>33</v>
      </c>
      <c r="C1464" s="2" t="s">
        <v>35</v>
      </c>
      <c r="D1464" s="2" t="s">
        <v>16</v>
      </c>
      <c r="E1464">
        <v>7986</v>
      </c>
      <c r="F1464">
        <v>438</v>
      </c>
      <c r="G1464">
        <v>43</v>
      </c>
      <c r="H1464">
        <v>378.52</v>
      </c>
      <c r="I1464">
        <v>5891.83</v>
      </c>
      <c r="J1464">
        <v>5.48</v>
      </c>
      <c r="K1464">
        <v>9.82</v>
      </c>
      <c r="L1464">
        <v>8.8000000000000007</v>
      </c>
      <c r="M1464">
        <v>15.57</v>
      </c>
      <c r="N1464">
        <v>5513.31</v>
      </c>
    </row>
    <row r="1465" spans="1:14" x14ac:dyDescent="0.2">
      <c r="A1465" s="1">
        <v>45595</v>
      </c>
      <c r="B1465" s="2" t="s">
        <v>34</v>
      </c>
      <c r="C1465" s="2" t="s">
        <v>15</v>
      </c>
      <c r="D1465" s="2" t="s">
        <v>16</v>
      </c>
      <c r="E1465">
        <v>5469</v>
      </c>
      <c r="F1465">
        <v>349</v>
      </c>
      <c r="G1465">
        <v>46</v>
      </c>
      <c r="H1465">
        <v>117.38</v>
      </c>
      <c r="I1465">
        <v>7540.26</v>
      </c>
      <c r="J1465">
        <v>6.38</v>
      </c>
      <c r="K1465">
        <v>13.18</v>
      </c>
      <c r="L1465">
        <v>2.5499999999999998</v>
      </c>
      <c r="M1465">
        <v>64.239999999999995</v>
      </c>
      <c r="N1465">
        <v>7422.88</v>
      </c>
    </row>
    <row r="1466" spans="1:14" x14ac:dyDescent="0.2">
      <c r="A1466" s="1">
        <v>45596</v>
      </c>
      <c r="B1466" s="2" t="s">
        <v>14</v>
      </c>
      <c r="C1466" s="2" t="s">
        <v>18</v>
      </c>
      <c r="D1466" s="2" t="s">
        <v>36</v>
      </c>
      <c r="E1466">
        <v>13709</v>
      </c>
      <c r="F1466">
        <v>682</v>
      </c>
      <c r="G1466">
        <v>68</v>
      </c>
      <c r="H1466">
        <v>1489.51</v>
      </c>
      <c r="I1466">
        <v>9959.26</v>
      </c>
      <c r="J1466">
        <v>4.97</v>
      </c>
      <c r="K1466">
        <v>9.9700000000000006</v>
      </c>
      <c r="L1466">
        <v>21.9</v>
      </c>
      <c r="M1466">
        <v>6.69</v>
      </c>
      <c r="N1466">
        <v>8469.75</v>
      </c>
    </row>
    <row r="1467" spans="1:14" x14ac:dyDescent="0.2">
      <c r="A1467" s="1">
        <v>45596</v>
      </c>
      <c r="B1467" s="2" t="s">
        <v>17</v>
      </c>
      <c r="C1467" s="2" t="s">
        <v>28</v>
      </c>
      <c r="D1467" s="2" t="s">
        <v>36</v>
      </c>
      <c r="E1467">
        <v>15517</v>
      </c>
      <c r="F1467">
        <v>570</v>
      </c>
      <c r="G1467">
        <v>41</v>
      </c>
      <c r="H1467">
        <v>922.09</v>
      </c>
      <c r="I1467">
        <v>4070.63</v>
      </c>
      <c r="J1467">
        <v>3.67</v>
      </c>
      <c r="K1467">
        <v>7.19</v>
      </c>
      <c r="L1467">
        <v>22.49</v>
      </c>
      <c r="M1467">
        <v>4.41</v>
      </c>
      <c r="N1467">
        <v>3148.54</v>
      </c>
    </row>
    <row r="1468" spans="1:14" x14ac:dyDescent="0.2">
      <c r="A1468" s="1">
        <v>45596</v>
      </c>
      <c r="B1468" s="2" t="s">
        <v>20</v>
      </c>
      <c r="C1468" s="2" t="s">
        <v>32</v>
      </c>
      <c r="D1468" s="2" t="s">
        <v>36</v>
      </c>
      <c r="E1468">
        <v>14121</v>
      </c>
      <c r="F1468">
        <v>592</v>
      </c>
      <c r="G1468">
        <v>29</v>
      </c>
      <c r="H1468">
        <v>854.94</v>
      </c>
      <c r="I1468">
        <v>3058</v>
      </c>
      <c r="J1468">
        <v>4.1900000000000004</v>
      </c>
      <c r="K1468">
        <v>4.9000000000000004</v>
      </c>
      <c r="L1468">
        <v>29.48</v>
      </c>
      <c r="M1468">
        <v>3.58</v>
      </c>
      <c r="N1468">
        <v>2203.06</v>
      </c>
    </row>
    <row r="1469" spans="1:14" x14ac:dyDescent="0.2">
      <c r="A1469" s="1">
        <v>45596</v>
      </c>
      <c r="B1469" s="2" t="s">
        <v>23</v>
      </c>
      <c r="C1469" s="2" t="s">
        <v>18</v>
      </c>
      <c r="D1469" s="2" t="s">
        <v>16</v>
      </c>
      <c r="E1469">
        <v>3201</v>
      </c>
      <c r="F1469">
        <v>90</v>
      </c>
      <c r="G1469">
        <v>11</v>
      </c>
      <c r="H1469">
        <v>1222.28</v>
      </c>
      <c r="I1469">
        <v>3133.88</v>
      </c>
      <c r="J1469">
        <v>2.81</v>
      </c>
      <c r="K1469">
        <v>12.22</v>
      </c>
      <c r="L1469">
        <v>111.12</v>
      </c>
      <c r="M1469">
        <v>2.56</v>
      </c>
      <c r="N1469">
        <v>1911.6</v>
      </c>
    </row>
    <row r="1470" spans="1:14" x14ac:dyDescent="0.2">
      <c r="A1470" s="1">
        <v>45596</v>
      </c>
      <c r="B1470" s="2" t="s">
        <v>24</v>
      </c>
      <c r="C1470" s="2" t="s">
        <v>15</v>
      </c>
      <c r="D1470" s="2" t="s">
        <v>22</v>
      </c>
      <c r="E1470">
        <v>19873</v>
      </c>
      <c r="F1470">
        <v>4898</v>
      </c>
      <c r="G1470">
        <v>607</v>
      </c>
      <c r="H1470">
        <v>249.49</v>
      </c>
      <c r="I1470">
        <v>84852.44</v>
      </c>
      <c r="J1470">
        <v>24.65</v>
      </c>
      <c r="K1470">
        <v>12.39</v>
      </c>
      <c r="L1470">
        <v>0.41</v>
      </c>
      <c r="M1470">
        <v>340.1</v>
      </c>
      <c r="N1470">
        <v>84602.95</v>
      </c>
    </row>
    <row r="1471" spans="1:14" x14ac:dyDescent="0.2">
      <c r="A1471" s="1">
        <v>45596</v>
      </c>
      <c r="B1471" s="2" t="s">
        <v>26</v>
      </c>
      <c r="C1471" s="2" t="s">
        <v>18</v>
      </c>
      <c r="D1471" s="2" t="s">
        <v>36</v>
      </c>
      <c r="E1471">
        <v>24896</v>
      </c>
      <c r="F1471">
        <v>1354</v>
      </c>
      <c r="G1471">
        <v>211</v>
      </c>
      <c r="H1471">
        <v>0</v>
      </c>
      <c r="I1471">
        <v>26428.38</v>
      </c>
      <c r="J1471">
        <v>5.44</v>
      </c>
      <c r="K1471">
        <v>15.58</v>
      </c>
      <c r="L1471">
        <v>0</v>
      </c>
      <c r="M1471">
        <v>0</v>
      </c>
      <c r="N1471">
        <v>26428.38</v>
      </c>
    </row>
    <row r="1472" spans="1:14" x14ac:dyDescent="0.2">
      <c r="A1472" s="1">
        <v>45596</v>
      </c>
      <c r="B1472" s="2" t="s">
        <v>27</v>
      </c>
      <c r="C1472" s="2" t="s">
        <v>28</v>
      </c>
      <c r="D1472" s="2" t="s">
        <v>19</v>
      </c>
      <c r="E1472">
        <v>28311</v>
      </c>
      <c r="F1472">
        <v>351</v>
      </c>
      <c r="G1472">
        <v>13</v>
      </c>
      <c r="H1472">
        <v>824.66</v>
      </c>
      <c r="I1472">
        <v>1399.07</v>
      </c>
      <c r="J1472">
        <v>1.24</v>
      </c>
      <c r="K1472">
        <v>3.7</v>
      </c>
      <c r="L1472">
        <v>63.44</v>
      </c>
      <c r="M1472">
        <v>1.7</v>
      </c>
      <c r="N1472">
        <v>574.41</v>
      </c>
    </row>
    <row r="1473" spans="1:14" x14ac:dyDescent="0.2">
      <c r="A1473" s="1">
        <v>45596</v>
      </c>
      <c r="B1473" s="2" t="s">
        <v>29</v>
      </c>
      <c r="C1473" s="2" t="s">
        <v>32</v>
      </c>
      <c r="D1473" s="2" t="s">
        <v>16</v>
      </c>
      <c r="E1473">
        <v>21938</v>
      </c>
      <c r="F1473">
        <v>398</v>
      </c>
      <c r="G1473">
        <v>20</v>
      </c>
      <c r="H1473">
        <v>1332.03</v>
      </c>
      <c r="I1473">
        <v>2261.94</v>
      </c>
      <c r="J1473">
        <v>1.81</v>
      </c>
      <c r="K1473">
        <v>5.03</v>
      </c>
      <c r="L1473">
        <v>66.599999999999994</v>
      </c>
      <c r="M1473">
        <v>1.7</v>
      </c>
      <c r="N1473">
        <v>929.91</v>
      </c>
    </row>
    <row r="1474" spans="1:14" x14ac:dyDescent="0.2">
      <c r="A1474" s="1">
        <v>45596</v>
      </c>
      <c r="B1474" s="2" t="s">
        <v>30</v>
      </c>
      <c r="C1474" s="2" t="s">
        <v>32</v>
      </c>
      <c r="D1474" s="2" t="s">
        <v>16</v>
      </c>
      <c r="E1474">
        <v>11794</v>
      </c>
      <c r="F1474">
        <v>319</v>
      </c>
      <c r="G1474">
        <v>10</v>
      </c>
      <c r="H1474">
        <v>744.89</v>
      </c>
      <c r="I1474">
        <v>1006.79</v>
      </c>
      <c r="J1474">
        <v>2.7</v>
      </c>
      <c r="K1474">
        <v>3.13</v>
      </c>
      <c r="L1474">
        <v>74.489999999999995</v>
      </c>
      <c r="M1474">
        <v>1.35</v>
      </c>
      <c r="N1474">
        <v>261.89999999999998</v>
      </c>
    </row>
    <row r="1475" spans="1:14" x14ac:dyDescent="0.2">
      <c r="A1475" s="1">
        <v>45596</v>
      </c>
      <c r="B1475" s="2" t="s">
        <v>31</v>
      </c>
      <c r="C1475" s="2" t="s">
        <v>21</v>
      </c>
      <c r="D1475" s="2" t="s">
        <v>22</v>
      </c>
      <c r="E1475">
        <v>29317</v>
      </c>
      <c r="F1475">
        <v>983</v>
      </c>
      <c r="G1475">
        <v>31</v>
      </c>
      <c r="H1475">
        <v>971.08</v>
      </c>
      <c r="I1475">
        <v>3243.65</v>
      </c>
      <c r="J1475">
        <v>3.35</v>
      </c>
      <c r="K1475">
        <v>3.15</v>
      </c>
      <c r="L1475">
        <v>31.33</v>
      </c>
      <c r="M1475">
        <v>3.34</v>
      </c>
      <c r="N1475">
        <v>2272.5700000000002</v>
      </c>
    </row>
    <row r="1476" spans="1:14" x14ac:dyDescent="0.2">
      <c r="A1476" s="1">
        <v>45596</v>
      </c>
      <c r="B1476" s="2" t="s">
        <v>33</v>
      </c>
      <c r="C1476" s="2" t="s">
        <v>15</v>
      </c>
      <c r="D1476" s="2" t="s">
        <v>25</v>
      </c>
      <c r="E1476">
        <v>9558</v>
      </c>
      <c r="F1476">
        <v>560</v>
      </c>
      <c r="G1476">
        <v>59</v>
      </c>
      <c r="H1476">
        <v>631.37</v>
      </c>
      <c r="I1476">
        <v>8882.69</v>
      </c>
      <c r="J1476">
        <v>5.86</v>
      </c>
      <c r="K1476">
        <v>10.54</v>
      </c>
      <c r="L1476">
        <v>10.7</v>
      </c>
      <c r="M1476">
        <v>14.07</v>
      </c>
      <c r="N1476">
        <v>8251.32</v>
      </c>
    </row>
    <row r="1477" spans="1:14" x14ac:dyDescent="0.2">
      <c r="A1477" s="1">
        <v>45596</v>
      </c>
      <c r="B1477" s="2" t="s">
        <v>34</v>
      </c>
      <c r="C1477" s="2" t="s">
        <v>28</v>
      </c>
      <c r="D1477" s="2" t="s">
        <v>19</v>
      </c>
      <c r="E1477">
        <v>3677</v>
      </c>
      <c r="F1477">
        <v>331</v>
      </c>
      <c r="G1477">
        <v>40</v>
      </c>
      <c r="H1477">
        <v>172.01</v>
      </c>
      <c r="I1477">
        <v>7029.07</v>
      </c>
      <c r="J1477">
        <v>9</v>
      </c>
      <c r="K1477">
        <v>12.08</v>
      </c>
      <c r="L1477">
        <v>4.3</v>
      </c>
      <c r="M1477">
        <v>40.86</v>
      </c>
      <c r="N1477">
        <v>6857.06</v>
      </c>
    </row>
    <row r="1478" spans="1:14" x14ac:dyDescent="0.2">
      <c r="A1478" s="1">
        <v>45597</v>
      </c>
      <c r="B1478" s="2" t="s">
        <v>14</v>
      </c>
      <c r="C1478" s="2" t="s">
        <v>18</v>
      </c>
      <c r="D1478" s="2" t="s">
        <v>16</v>
      </c>
      <c r="E1478">
        <v>11797</v>
      </c>
      <c r="F1478">
        <v>379</v>
      </c>
      <c r="G1478">
        <v>35</v>
      </c>
      <c r="H1478">
        <v>1248.04</v>
      </c>
      <c r="I1478">
        <v>4725.1000000000004</v>
      </c>
      <c r="J1478">
        <v>3.21</v>
      </c>
      <c r="K1478">
        <v>9.23</v>
      </c>
      <c r="L1478">
        <v>35.659999999999997</v>
      </c>
      <c r="M1478">
        <v>3.79</v>
      </c>
      <c r="N1478">
        <v>3477.06</v>
      </c>
    </row>
    <row r="1479" spans="1:14" x14ac:dyDescent="0.2">
      <c r="A1479" s="1">
        <v>45597</v>
      </c>
      <c r="B1479" s="2" t="s">
        <v>17</v>
      </c>
      <c r="C1479" s="2" t="s">
        <v>15</v>
      </c>
      <c r="D1479" s="2" t="s">
        <v>19</v>
      </c>
      <c r="E1479">
        <v>22491</v>
      </c>
      <c r="F1479">
        <v>474</v>
      </c>
      <c r="G1479">
        <v>37</v>
      </c>
      <c r="H1479">
        <v>916.54</v>
      </c>
      <c r="I1479">
        <v>4950.67</v>
      </c>
      <c r="J1479">
        <v>2.11</v>
      </c>
      <c r="K1479">
        <v>7.81</v>
      </c>
      <c r="L1479">
        <v>24.77</v>
      </c>
      <c r="M1479">
        <v>5.4</v>
      </c>
      <c r="N1479">
        <v>4034.13</v>
      </c>
    </row>
    <row r="1480" spans="1:14" x14ac:dyDescent="0.2">
      <c r="A1480" s="1">
        <v>45597</v>
      </c>
      <c r="B1480" s="2" t="s">
        <v>20</v>
      </c>
      <c r="C1480" s="2" t="s">
        <v>32</v>
      </c>
      <c r="D1480" s="2" t="s">
        <v>25</v>
      </c>
      <c r="E1480">
        <v>18902</v>
      </c>
      <c r="F1480">
        <v>805</v>
      </c>
      <c r="G1480">
        <v>39</v>
      </c>
      <c r="H1480">
        <v>745.54</v>
      </c>
      <c r="I1480">
        <v>4651.93</v>
      </c>
      <c r="J1480">
        <v>4.26</v>
      </c>
      <c r="K1480">
        <v>4.84</v>
      </c>
      <c r="L1480">
        <v>19.12</v>
      </c>
      <c r="M1480">
        <v>6.24</v>
      </c>
      <c r="N1480">
        <v>3906.39</v>
      </c>
    </row>
    <row r="1481" spans="1:14" x14ac:dyDescent="0.2">
      <c r="A1481" s="1">
        <v>45597</v>
      </c>
      <c r="B1481" s="2" t="s">
        <v>23</v>
      </c>
      <c r="C1481" s="2" t="s">
        <v>15</v>
      </c>
      <c r="D1481" s="2" t="s">
        <v>16</v>
      </c>
      <c r="E1481">
        <v>5594</v>
      </c>
      <c r="F1481">
        <v>133</v>
      </c>
      <c r="G1481">
        <v>15</v>
      </c>
      <c r="H1481">
        <v>1484.5</v>
      </c>
      <c r="I1481">
        <v>4867.4799999999996</v>
      </c>
      <c r="J1481">
        <v>2.38</v>
      </c>
      <c r="K1481">
        <v>11.28</v>
      </c>
      <c r="L1481">
        <v>98.97</v>
      </c>
      <c r="M1481">
        <v>3.28</v>
      </c>
      <c r="N1481">
        <v>3382.98</v>
      </c>
    </row>
    <row r="1482" spans="1:14" x14ac:dyDescent="0.2">
      <c r="A1482" s="1">
        <v>45597</v>
      </c>
      <c r="B1482" s="2" t="s">
        <v>24</v>
      </c>
      <c r="C1482" s="2" t="s">
        <v>21</v>
      </c>
      <c r="D1482" s="2" t="s">
        <v>19</v>
      </c>
      <c r="E1482">
        <v>34000</v>
      </c>
      <c r="F1482">
        <v>7359</v>
      </c>
      <c r="G1482">
        <v>834</v>
      </c>
      <c r="H1482">
        <v>281.74</v>
      </c>
      <c r="I1482">
        <v>128833.74</v>
      </c>
      <c r="J1482">
        <v>21.64</v>
      </c>
      <c r="K1482">
        <v>11.33</v>
      </c>
      <c r="L1482">
        <v>0.34</v>
      </c>
      <c r="M1482">
        <v>457.28</v>
      </c>
      <c r="N1482">
        <v>128552</v>
      </c>
    </row>
    <row r="1483" spans="1:14" x14ac:dyDescent="0.2">
      <c r="A1483" s="1">
        <v>45597</v>
      </c>
      <c r="B1483" s="2" t="s">
        <v>26</v>
      </c>
      <c r="C1483" s="2" t="s">
        <v>18</v>
      </c>
      <c r="D1483" s="2" t="s">
        <v>22</v>
      </c>
      <c r="E1483">
        <v>48594</v>
      </c>
      <c r="F1483">
        <v>3694</v>
      </c>
      <c r="G1483">
        <v>579</v>
      </c>
      <c r="H1483">
        <v>0</v>
      </c>
      <c r="I1483">
        <v>76499.710000000006</v>
      </c>
      <c r="J1483">
        <v>7.6</v>
      </c>
      <c r="K1483">
        <v>15.67</v>
      </c>
      <c r="L1483">
        <v>0</v>
      </c>
      <c r="M1483">
        <v>0</v>
      </c>
      <c r="N1483">
        <v>76499.710000000006</v>
      </c>
    </row>
    <row r="1484" spans="1:14" x14ac:dyDescent="0.2">
      <c r="A1484" s="1">
        <v>45597</v>
      </c>
      <c r="B1484" s="2" t="s">
        <v>27</v>
      </c>
      <c r="C1484" s="2" t="s">
        <v>32</v>
      </c>
      <c r="D1484" s="2" t="s">
        <v>22</v>
      </c>
      <c r="E1484">
        <v>48734</v>
      </c>
      <c r="F1484">
        <v>800</v>
      </c>
      <c r="G1484">
        <v>35</v>
      </c>
      <c r="H1484">
        <v>1240.83</v>
      </c>
      <c r="I1484">
        <v>4288.6499999999996</v>
      </c>
      <c r="J1484">
        <v>1.64</v>
      </c>
      <c r="K1484">
        <v>4.38</v>
      </c>
      <c r="L1484">
        <v>35.450000000000003</v>
      </c>
      <c r="M1484">
        <v>3.46</v>
      </c>
      <c r="N1484">
        <v>3047.82</v>
      </c>
    </row>
    <row r="1485" spans="1:14" x14ac:dyDescent="0.2">
      <c r="A1485" s="1">
        <v>45597</v>
      </c>
      <c r="B1485" s="2" t="s">
        <v>29</v>
      </c>
      <c r="C1485" s="2" t="s">
        <v>15</v>
      </c>
      <c r="D1485" s="2" t="s">
        <v>36</v>
      </c>
      <c r="E1485">
        <v>31165</v>
      </c>
      <c r="F1485">
        <v>672</v>
      </c>
      <c r="G1485">
        <v>32</v>
      </c>
      <c r="H1485">
        <v>1399.9</v>
      </c>
      <c r="I1485">
        <v>4966.25</v>
      </c>
      <c r="J1485">
        <v>2.16</v>
      </c>
      <c r="K1485">
        <v>4.76</v>
      </c>
      <c r="L1485">
        <v>43.75</v>
      </c>
      <c r="M1485">
        <v>3.55</v>
      </c>
      <c r="N1485">
        <v>3566.35</v>
      </c>
    </row>
    <row r="1486" spans="1:14" x14ac:dyDescent="0.2">
      <c r="A1486" s="1">
        <v>45597</v>
      </c>
      <c r="B1486" s="2" t="s">
        <v>30</v>
      </c>
      <c r="C1486" s="2" t="s">
        <v>18</v>
      </c>
      <c r="D1486" s="2" t="s">
        <v>19</v>
      </c>
      <c r="E1486">
        <v>17778</v>
      </c>
      <c r="F1486">
        <v>571</v>
      </c>
      <c r="G1486">
        <v>26</v>
      </c>
      <c r="H1486">
        <v>906.6</v>
      </c>
      <c r="I1486">
        <v>2065.21</v>
      </c>
      <c r="J1486">
        <v>3.21</v>
      </c>
      <c r="K1486">
        <v>4.55</v>
      </c>
      <c r="L1486">
        <v>34.869999999999997</v>
      </c>
      <c r="M1486">
        <v>2.2799999999999998</v>
      </c>
      <c r="N1486">
        <v>1158.6099999999999</v>
      </c>
    </row>
    <row r="1487" spans="1:14" x14ac:dyDescent="0.2">
      <c r="A1487" s="1">
        <v>45597</v>
      </c>
      <c r="B1487" s="2" t="s">
        <v>31</v>
      </c>
      <c r="C1487" s="2" t="s">
        <v>21</v>
      </c>
      <c r="D1487" s="2" t="s">
        <v>25</v>
      </c>
      <c r="E1487">
        <v>29457</v>
      </c>
      <c r="F1487">
        <v>1191</v>
      </c>
      <c r="G1487">
        <v>67</v>
      </c>
      <c r="H1487">
        <v>1124.01</v>
      </c>
      <c r="I1487">
        <v>5881.68</v>
      </c>
      <c r="J1487">
        <v>4.04</v>
      </c>
      <c r="K1487">
        <v>5.63</v>
      </c>
      <c r="L1487">
        <v>16.78</v>
      </c>
      <c r="M1487">
        <v>5.23</v>
      </c>
      <c r="N1487">
        <v>4757.67</v>
      </c>
    </row>
    <row r="1488" spans="1:14" x14ac:dyDescent="0.2">
      <c r="A1488" s="1">
        <v>45597</v>
      </c>
      <c r="B1488" s="2" t="s">
        <v>33</v>
      </c>
      <c r="C1488" s="2" t="s">
        <v>21</v>
      </c>
      <c r="D1488" s="2" t="s">
        <v>25</v>
      </c>
      <c r="E1488">
        <v>11197</v>
      </c>
      <c r="F1488">
        <v>726</v>
      </c>
      <c r="G1488">
        <v>85</v>
      </c>
      <c r="H1488">
        <v>850.82</v>
      </c>
      <c r="I1488">
        <v>10540</v>
      </c>
      <c r="J1488">
        <v>6.48</v>
      </c>
      <c r="K1488">
        <v>11.71</v>
      </c>
      <c r="L1488">
        <v>10.01</v>
      </c>
      <c r="M1488">
        <v>12.39</v>
      </c>
      <c r="N1488">
        <v>9689.18</v>
      </c>
    </row>
    <row r="1489" spans="1:14" x14ac:dyDescent="0.2">
      <c r="A1489" s="1">
        <v>45597</v>
      </c>
      <c r="B1489" s="2" t="s">
        <v>34</v>
      </c>
      <c r="C1489" s="2" t="s">
        <v>28</v>
      </c>
      <c r="D1489" s="2" t="s">
        <v>25</v>
      </c>
      <c r="E1489">
        <v>7140</v>
      </c>
      <c r="F1489">
        <v>701</v>
      </c>
      <c r="G1489">
        <v>98</v>
      </c>
      <c r="H1489">
        <v>156.34</v>
      </c>
      <c r="I1489">
        <v>13507.17</v>
      </c>
      <c r="J1489">
        <v>9.82</v>
      </c>
      <c r="K1489">
        <v>13.98</v>
      </c>
      <c r="L1489">
        <v>1.6</v>
      </c>
      <c r="M1489">
        <v>86.4</v>
      </c>
      <c r="N1489">
        <v>13350.83</v>
      </c>
    </row>
    <row r="1490" spans="1:14" x14ac:dyDescent="0.2">
      <c r="A1490" s="1">
        <v>45598</v>
      </c>
      <c r="B1490" s="2" t="s">
        <v>14</v>
      </c>
      <c r="C1490" s="2" t="s">
        <v>35</v>
      </c>
      <c r="D1490" s="2" t="s">
        <v>36</v>
      </c>
      <c r="E1490">
        <v>10332</v>
      </c>
      <c r="F1490">
        <v>312</v>
      </c>
      <c r="G1490">
        <v>29</v>
      </c>
      <c r="H1490">
        <v>1030.1400000000001</v>
      </c>
      <c r="I1490">
        <v>4409.7299999999996</v>
      </c>
      <c r="J1490">
        <v>3.02</v>
      </c>
      <c r="K1490">
        <v>9.2899999999999991</v>
      </c>
      <c r="L1490">
        <v>35.520000000000003</v>
      </c>
      <c r="M1490">
        <v>4.28</v>
      </c>
      <c r="N1490">
        <v>3379.59</v>
      </c>
    </row>
    <row r="1491" spans="1:14" x14ac:dyDescent="0.2">
      <c r="A1491" s="1">
        <v>45598</v>
      </c>
      <c r="B1491" s="2" t="s">
        <v>17</v>
      </c>
      <c r="C1491" s="2" t="s">
        <v>15</v>
      </c>
      <c r="D1491" s="2" t="s">
        <v>22</v>
      </c>
      <c r="E1491">
        <v>19132</v>
      </c>
      <c r="F1491">
        <v>657</v>
      </c>
      <c r="G1491">
        <v>39</v>
      </c>
      <c r="H1491">
        <v>1091.48</v>
      </c>
      <c r="I1491">
        <v>4250.5600000000004</v>
      </c>
      <c r="J1491">
        <v>3.43</v>
      </c>
      <c r="K1491">
        <v>5.94</v>
      </c>
      <c r="L1491">
        <v>27.99</v>
      </c>
      <c r="M1491">
        <v>3.89</v>
      </c>
      <c r="N1491">
        <v>3159.08</v>
      </c>
    </row>
    <row r="1492" spans="1:14" x14ac:dyDescent="0.2">
      <c r="A1492" s="1">
        <v>45598</v>
      </c>
      <c r="B1492" s="2" t="s">
        <v>20</v>
      </c>
      <c r="C1492" s="2" t="s">
        <v>15</v>
      </c>
      <c r="D1492" s="2" t="s">
        <v>16</v>
      </c>
      <c r="E1492">
        <v>16630</v>
      </c>
      <c r="F1492">
        <v>614</v>
      </c>
      <c r="G1492">
        <v>29</v>
      </c>
      <c r="H1492">
        <v>817.99</v>
      </c>
      <c r="I1492">
        <v>2815.36</v>
      </c>
      <c r="J1492">
        <v>3.69</v>
      </c>
      <c r="K1492">
        <v>4.72</v>
      </c>
      <c r="L1492">
        <v>28.21</v>
      </c>
      <c r="M1492">
        <v>3.44</v>
      </c>
      <c r="N1492">
        <v>1997.37</v>
      </c>
    </row>
    <row r="1493" spans="1:14" x14ac:dyDescent="0.2">
      <c r="A1493" s="1">
        <v>45598</v>
      </c>
      <c r="B1493" s="2" t="s">
        <v>23</v>
      </c>
      <c r="C1493" s="2" t="s">
        <v>32</v>
      </c>
      <c r="D1493" s="2" t="s">
        <v>19</v>
      </c>
      <c r="E1493">
        <v>4561</v>
      </c>
      <c r="F1493">
        <v>81</v>
      </c>
      <c r="G1493">
        <v>9</v>
      </c>
      <c r="H1493">
        <v>1030.79</v>
      </c>
      <c r="I1493">
        <v>2477.27</v>
      </c>
      <c r="J1493">
        <v>1.78</v>
      </c>
      <c r="K1493">
        <v>11.11</v>
      </c>
      <c r="L1493">
        <v>114.53</v>
      </c>
      <c r="M1493">
        <v>2.4</v>
      </c>
      <c r="N1493">
        <v>1446.48</v>
      </c>
    </row>
    <row r="1494" spans="1:14" x14ac:dyDescent="0.2">
      <c r="A1494" s="1">
        <v>45598</v>
      </c>
      <c r="B1494" s="2" t="s">
        <v>24</v>
      </c>
      <c r="C1494" s="2" t="s">
        <v>18</v>
      </c>
      <c r="D1494" s="2" t="s">
        <v>16</v>
      </c>
      <c r="E1494">
        <v>16438</v>
      </c>
      <c r="F1494">
        <v>3987</v>
      </c>
      <c r="G1494">
        <v>360</v>
      </c>
      <c r="H1494">
        <v>211.66</v>
      </c>
      <c r="I1494">
        <v>40172.74</v>
      </c>
      <c r="J1494">
        <v>24.25</v>
      </c>
      <c r="K1494">
        <v>9.0299999999999994</v>
      </c>
      <c r="L1494">
        <v>0.59</v>
      </c>
      <c r="M1494">
        <v>189.8</v>
      </c>
      <c r="N1494">
        <v>39961.08</v>
      </c>
    </row>
    <row r="1495" spans="1:14" x14ac:dyDescent="0.2">
      <c r="A1495" s="1">
        <v>45598</v>
      </c>
      <c r="B1495" s="2" t="s">
        <v>26</v>
      </c>
      <c r="C1495" s="2" t="s">
        <v>28</v>
      </c>
      <c r="D1495" s="2" t="s">
        <v>22</v>
      </c>
      <c r="E1495">
        <v>21598</v>
      </c>
      <c r="F1495">
        <v>1058</v>
      </c>
      <c r="G1495">
        <v>130</v>
      </c>
      <c r="H1495">
        <v>0</v>
      </c>
      <c r="I1495">
        <v>14591.61</v>
      </c>
      <c r="J1495">
        <v>4.9000000000000004</v>
      </c>
      <c r="K1495">
        <v>12.29</v>
      </c>
      <c r="L1495">
        <v>0</v>
      </c>
      <c r="M1495">
        <v>0</v>
      </c>
      <c r="N1495">
        <v>14591.61</v>
      </c>
    </row>
    <row r="1496" spans="1:14" x14ac:dyDescent="0.2">
      <c r="A1496" s="1">
        <v>45598</v>
      </c>
      <c r="B1496" s="2" t="s">
        <v>27</v>
      </c>
      <c r="C1496" s="2" t="s">
        <v>18</v>
      </c>
      <c r="D1496" s="2" t="s">
        <v>19</v>
      </c>
      <c r="E1496">
        <v>37525</v>
      </c>
      <c r="F1496">
        <v>629</v>
      </c>
      <c r="G1496">
        <v>30</v>
      </c>
      <c r="H1496">
        <v>1246.26</v>
      </c>
      <c r="I1496">
        <v>3777.78</v>
      </c>
      <c r="J1496">
        <v>1.68</v>
      </c>
      <c r="K1496">
        <v>4.7699999999999996</v>
      </c>
      <c r="L1496">
        <v>41.54</v>
      </c>
      <c r="M1496">
        <v>3.03</v>
      </c>
      <c r="N1496">
        <v>2531.52</v>
      </c>
    </row>
    <row r="1497" spans="1:14" x14ac:dyDescent="0.2">
      <c r="A1497" s="1">
        <v>45598</v>
      </c>
      <c r="B1497" s="2" t="s">
        <v>29</v>
      </c>
      <c r="C1497" s="2" t="s">
        <v>32</v>
      </c>
      <c r="D1497" s="2" t="s">
        <v>25</v>
      </c>
      <c r="E1497">
        <v>15716</v>
      </c>
      <c r="F1497">
        <v>271</v>
      </c>
      <c r="G1497">
        <v>18</v>
      </c>
      <c r="H1497">
        <v>925.53</v>
      </c>
      <c r="I1497">
        <v>2350.9299999999998</v>
      </c>
      <c r="J1497">
        <v>1.72</v>
      </c>
      <c r="K1497">
        <v>6.64</v>
      </c>
      <c r="L1497">
        <v>51.42</v>
      </c>
      <c r="M1497">
        <v>2.54</v>
      </c>
      <c r="N1497">
        <v>1425.4</v>
      </c>
    </row>
    <row r="1498" spans="1:14" x14ac:dyDescent="0.2">
      <c r="A1498" s="1">
        <v>45598</v>
      </c>
      <c r="B1498" s="2" t="s">
        <v>30</v>
      </c>
      <c r="C1498" s="2" t="s">
        <v>32</v>
      </c>
      <c r="D1498" s="2" t="s">
        <v>36</v>
      </c>
      <c r="E1498">
        <v>8504</v>
      </c>
      <c r="F1498">
        <v>170</v>
      </c>
      <c r="G1498">
        <v>7</v>
      </c>
      <c r="H1498">
        <v>708.17</v>
      </c>
      <c r="I1498">
        <v>740.28</v>
      </c>
      <c r="J1498">
        <v>2</v>
      </c>
      <c r="K1498">
        <v>4.12</v>
      </c>
      <c r="L1498">
        <v>101.17</v>
      </c>
      <c r="M1498">
        <v>1.05</v>
      </c>
      <c r="N1498">
        <v>32.11</v>
      </c>
    </row>
    <row r="1499" spans="1:14" x14ac:dyDescent="0.2">
      <c r="A1499" s="1">
        <v>45598</v>
      </c>
      <c r="B1499" s="2" t="s">
        <v>31</v>
      </c>
      <c r="C1499" s="2" t="s">
        <v>35</v>
      </c>
      <c r="D1499" s="2" t="s">
        <v>16</v>
      </c>
      <c r="E1499">
        <v>26021</v>
      </c>
      <c r="F1499">
        <v>1034</v>
      </c>
      <c r="G1499">
        <v>31</v>
      </c>
      <c r="H1499">
        <v>802.82</v>
      </c>
      <c r="I1499">
        <v>2929.28</v>
      </c>
      <c r="J1499">
        <v>3.97</v>
      </c>
      <c r="K1499">
        <v>3</v>
      </c>
      <c r="L1499">
        <v>25.9</v>
      </c>
      <c r="M1499">
        <v>3.65</v>
      </c>
      <c r="N1499">
        <v>2126.46</v>
      </c>
    </row>
    <row r="1500" spans="1:14" x14ac:dyDescent="0.2">
      <c r="A1500" s="1">
        <v>45598</v>
      </c>
      <c r="B1500" s="2" t="s">
        <v>33</v>
      </c>
      <c r="C1500" s="2" t="s">
        <v>15</v>
      </c>
      <c r="D1500" s="2" t="s">
        <v>19</v>
      </c>
      <c r="E1500">
        <v>7182</v>
      </c>
      <c r="F1500">
        <v>496</v>
      </c>
      <c r="G1500">
        <v>59</v>
      </c>
      <c r="H1500">
        <v>580.23</v>
      </c>
      <c r="I1500">
        <v>7691.35</v>
      </c>
      <c r="J1500">
        <v>6.91</v>
      </c>
      <c r="K1500">
        <v>11.9</v>
      </c>
      <c r="L1500">
        <v>9.83</v>
      </c>
      <c r="M1500">
        <v>13.26</v>
      </c>
      <c r="N1500">
        <v>7111.12</v>
      </c>
    </row>
    <row r="1501" spans="1:14" x14ac:dyDescent="0.2">
      <c r="A1501" s="1">
        <v>45598</v>
      </c>
      <c r="B1501" s="2" t="s">
        <v>34</v>
      </c>
      <c r="C1501" s="2" t="s">
        <v>28</v>
      </c>
      <c r="D1501" s="2" t="s">
        <v>36</v>
      </c>
      <c r="E1501">
        <v>5932</v>
      </c>
      <c r="F1501">
        <v>468</v>
      </c>
      <c r="G1501">
        <v>70</v>
      </c>
      <c r="H1501">
        <v>70.81</v>
      </c>
      <c r="I1501">
        <v>11328.25</v>
      </c>
      <c r="J1501">
        <v>7.89</v>
      </c>
      <c r="K1501">
        <v>14.96</v>
      </c>
      <c r="L1501">
        <v>1.01</v>
      </c>
      <c r="M1501">
        <v>159.97999999999999</v>
      </c>
      <c r="N1501">
        <v>11257.44</v>
      </c>
    </row>
    <row r="1502" spans="1:14" x14ac:dyDescent="0.2">
      <c r="A1502" s="1">
        <v>45599</v>
      </c>
      <c r="B1502" s="2" t="s">
        <v>14</v>
      </c>
      <c r="C1502" s="2" t="s">
        <v>21</v>
      </c>
      <c r="D1502" s="2" t="s">
        <v>19</v>
      </c>
      <c r="E1502">
        <v>14309</v>
      </c>
      <c r="F1502">
        <v>557</v>
      </c>
      <c r="G1502">
        <v>45</v>
      </c>
      <c r="H1502">
        <v>1190.53</v>
      </c>
      <c r="I1502">
        <v>8557.52</v>
      </c>
      <c r="J1502">
        <v>3.89</v>
      </c>
      <c r="K1502">
        <v>8.08</v>
      </c>
      <c r="L1502">
        <v>26.46</v>
      </c>
      <c r="M1502">
        <v>7.19</v>
      </c>
      <c r="N1502">
        <v>7366.99</v>
      </c>
    </row>
    <row r="1503" spans="1:14" x14ac:dyDescent="0.2">
      <c r="A1503" s="1">
        <v>45599</v>
      </c>
      <c r="B1503" s="2" t="s">
        <v>17</v>
      </c>
      <c r="C1503" s="2" t="s">
        <v>32</v>
      </c>
      <c r="D1503" s="2" t="s">
        <v>36</v>
      </c>
      <c r="E1503">
        <v>14966</v>
      </c>
      <c r="F1503">
        <v>545</v>
      </c>
      <c r="G1503">
        <v>32</v>
      </c>
      <c r="H1503">
        <v>929.63</v>
      </c>
      <c r="I1503">
        <v>4769.6099999999997</v>
      </c>
      <c r="J1503">
        <v>3.64</v>
      </c>
      <c r="K1503">
        <v>5.87</v>
      </c>
      <c r="L1503">
        <v>29.05</v>
      </c>
      <c r="M1503">
        <v>5.13</v>
      </c>
      <c r="N1503">
        <v>3839.98</v>
      </c>
    </row>
    <row r="1504" spans="1:14" x14ac:dyDescent="0.2">
      <c r="A1504" s="1">
        <v>45599</v>
      </c>
      <c r="B1504" s="2" t="s">
        <v>20</v>
      </c>
      <c r="C1504" s="2" t="s">
        <v>28</v>
      </c>
      <c r="D1504" s="2" t="s">
        <v>22</v>
      </c>
      <c r="E1504">
        <v>10346</v>
      </c>
      <c r="F1504">
        <v>309</v>
      </c>
      <c r="G1504">
        <v>23</v>
      </c>
      <c r="H1504">
        <v>886.35</v>
      </c>
      <c r="I1504">
        <v>2276.16</v>
      </c>
      <c r="J1504">
        <v>2.99</v>
      </c>
      <c r="K1504">
        <v>7.44</v>
      </c>
      <c r="L1504">
        <v>38.54</v>
      </c>
      <c r="M1504">
        <v>2.57</v>
      </c>
      <c r="N1504">
        <v>1389.81</v>
      </c>
    </row>
    <row r="1505" spans="1:14" x14ac:dyDescent="0.2">
      <c r="A1505" s="1">
        <v>45599</v>
      </c>
      <c r="B1505" s="2" t="s">
        <v>23</v>
      </c>
      <c r="C1505" s="2" t="s">
        <v>15</v>
      </c>
      <c r="D1505" s="2" t="s">
        <v>25</v>
      </c>
      <c r="E1505">
        <v>4409</v>
      </c>
      <c r="F1505">
        <v>82</v>
      </c>
      <c r="G1505">
        <v>10</v>
      </c>
      <c r="H1505">
        <v>1118.19</v>
      </c>
      <c r="I1505">
        <v>3486.92</v>
      </c>
      <c r="J1505">
        <v>1.86</v>
      </c>
      <c r="K1505">
        <v>12.2</v>
      </c>
      <c r="L1505">
        <v>111.82</v>
      </c>
      <c r="M1505">
        <v>3.12</v>
      </c>
      <c r="N1505">
        <v>2368.73</v>
      </c>
    </row>
    <row r="1506" spans="1:14" x14ac:dyDescent="0.2">
      <c r="A1506" s="1">
        <v>45599</v>
      </c>
      <c r="B1506" s="2" t="s">
        <v>24</v>
      </c>
      <c r="C1506" s="2" t="s">
        <v>15</v>
      </c>
      <c r="D1506" s="2" t="s">
        <v>36</v>
      </c>
      <c r="E1506">
        <v>19835</v>
      </c>
      <c r="F1506">
        <v>3736</v>
      </c>
      <c r="G1506">
        <v>324</v>
      </c>
      <c r="H1506">
        <v>170.51</v>
      </c>
      <c r="I1506">
        <v>41238.720000000001</v>
      </c>
      <c r="J1506">
        <v>18.84</v>
      </c>
      <c r="K1506">
        <v>8.67</v>
      </c>
      <c r="L1506">
        <v>0.53</v>
      </c>
      <c r="M1506">
        <v>241.86</v>
      </c>
      <c r="N1506">
        <v>41068.21</v>
      </c>
    </row>
    <row r="1507" spans="1:14" x14ac:dyDescent="0.2">
      <c r="A1507" s="1">
        <v>45599</v>
      </c>
      <c r="B1507" s="2" t="s">
        <v>26</v>
      </c>
      <c r="C1507" s="2" t="s">
        <v>18</v>
      </c>
      <c r="D1507" s="2" t="s">
        <v>25</v>
      </c>
      <c r="E1507">
        <v>24086</v>
      </c>
      <c r="F1507">
        <v>1275</v>
      </c>
      <c r="G1507">
        <v>177</v>
      </c>
      <c r="H1507">
        <v>0</v>
      </c>
      <c r="I1507">
        <v>24974.49</v>
      </c>
      <c r="J1507">
        <v>5.29</v>
      </c>
      <c r="K1507">
        <v>13.88</v>
      </c>
      <c r="L1507">
        <v>0</v>
      </c>
      <c r="M1507">
        <v>0</v>
      </c>
      <c r="N1507">
        <v>24974.49</v>
      </c>
    </row>
    <row r="1508" spans="1:14" x14ac:dyDescent="0.2">
      <c r="A1508" s="1">
        <v>45599</v>
      </c>
      <c r="B1508" s="2" t="s">
        <v>27</v>
      </c>
      <c r="C1508" s="2" t="s">
        <v>35</v>
      </c>
      <c r="D1508" s="2" t="s">
        <v>22</v>
      </c>
      <c r="E1508">
        <v>25880</v>
      </c>
      <c r="F1508">
        <v>476</v>
      </c>
      <c r="G1508">
        <v>21</v>
      </c>
      <c r="H1508">
        <v>1256.93</v>
      </c>
      <c r="I1508">
        <v>2524.42</v>
      </c>
      <c r="J1508">
        <v>1.84</v>
      </c>
      <c r="K1508">
        <v>4.41</v>
      </c>
      <c r="L1508">
        <v>59.85</v>
      </c>
      <c r="M1508">
        <v>2.0099999999999998</v>
      </c>
      <c r="N1508">
        <v>1267.49</v>
      </c>
    </row>
    <row r="1509" spans="1:14" x14ac:dyDescent="0.2">
      <c r="A1509" s="1">
        <v>45599</v>
      </c>
      <c r="B1509" s="2" t="s">
        <v>29</v>
      </c>
      <c r="C1509" s="2" t="s">
        <v>15</v>
      </c>
      <c r="D1509" s="2" t="s">
        <v>16</v>
      </c>
      <c r="E1509">
        <v>23514</v>
      </c>
      <c r="F1509">
        <v>463</v>
      </c>
      <c r="G1509">
        <v>30</v>
      </c>
      <c r="H1509">
        <v>1064.27</v>
      </c>
      <c r="I1509">
        <v>4395.76</v>
      </c>
      <c r="J1509">
        <v>1.97</v>
      </c>
      <c r="K1509">
        <v>6.48</v>
      </c>
      <c r="L1509">
        <v>35.479999999999997</v>
      </c>
      <c r="M1509">
        <v>4.13</v>
      </c>
      <c r="N1509">
        <v>3331.49</v>
      </c>
    </row>
    <row r="1510" spans="1:14" x14ac:dyDescent="0.2">
      <c r="A1510" s="1">
        <v>45599</v>
      </c>
      <c r="B1510" s="2" t="s">
        <v>30</v>
      </c>
      <c r="C1510" s="2" t="s">
        <v>18</v>
      </c>
      <c r="D1510" s="2" t="s">
        <v>19</v>
      </c>
      <c r="E1510">
        <v>12593</v>
      </c>
      <c r="F1510">
        <v>403</v>
      </c>
      <c r="G1510">
        <v>12</v>
      </c>
      <c r="H1510">
        <v>622.62</v>
      </c>
      <c r="I1510">
        <v>981.18</v>
      </c>
      <c r="J1510">
        <v>3.2</v>
      </c>
      <c r="K1510">
        <v>2.98</v>
      </c>
      <c r="L1510">
        <v>51.88</v>
      </c>
      <c r="M1510">
        <v>1.58</v>
      </c>
      <c r="N1510">
        <v>358.56</v>
      </c>
    </row>
    <row r="1511" spans="1:14" x14ac:dyDescent="0.2">
      <c r="A1511" s="1">
        <v>45599</v>
      </c>
      <c r="B1511" s="2" t="s">
        <v>31</v>
      </c>
      <c r="C1511" s="2" t="s">
        <v>21</v>
      </c>
      <c r="D1511" s="2" t="s">
        <v>36</v>
      </c>
      <c r="E1511">
        <v>28308</v>
      </c>
      <c r="F1511">
        <v>801</v>
      </c>
      <c r="G1511">
        <v>49</v>
      </c>
      <c r="H1511">
        <v>672.18</v>
      </c>
      <c r="I1511">
        <v>4948.67</v>
      </c>
      <c r="J1511">
        <v>2.83</v>
      </c>
      <c r="K1511">
        <v>6.12</v>
      </c>
      <c r="L1511">
        <v>13.72</v>
      </c>
      <c r="M1511">
        <v>7.36</v>
      </c>
      <c r="N1511">
        <v>4276.49</v>
      </c>
    </row>
    <row r="1512" spans="1:14" x14ac:dyDescent="0.2">
      <c r="A1512" s="1">
        <v>45599</v>
      </c>
      <c r="B1512" s="2" t="s">
        <v>33</v>
      </c>
      <c r="C1512" s="2" t="s">
        <v>15</v>
      </c>
      <c r="D1512" s="2" t="s">
        <v>22</v>
      </c>
      <c r="E1512">
        <v>9259</v>
      </c>
      <c r="F1512">
        <v>513</v>
      </c>
      <c r="G1512">
        <v>66</v>
      </c>
      <c r="H1512">
        <v>334.97</v>
      </c>
      <c r="I1512">
        <v>8535.19</v>
      </c>
      <c r="J1512">
        <v>5.54</v>
      </c>
      <c r="K1512">
        <v>12.87</v>
      </c>
      <c r="L1512">
        <v>5.08</v>
      </c>
      <c r="M1512">
        <v>25.48</v>
      </c>
      <c r="N1512">
        <v>8200.2199999999993</v>
      </c>
    </row>
    <row r="1513" spans="1:14" x14ac:dyDescent="0.2">
      <c r="A1513" s="1">
        <v>45599</v>
      </c>
      <c r="B1513" s="2" t="s">
        <v>34</v>
      </c>
      <c r="C1513" s="2" t="s">
        <v>15</v>
      </c>
      <c r="D1513" s="2" t="s">
        <v>36</v>
      </c>
      <c r="E1513">
        <v>5237</v>
      </c>
      <c r="F1513">
        <v>397</v>
      </c>
      <c r="G1513">
        <v>49</v>
      </c>
      <c r="H1513">
        <v>178.87</v>
      </c>
      <c r="I1513">
        <v>6011.02</v>
      </c>
      <c r="J1513">
        <v>7.58</v>
      </c>
      <c r="K1513">
        <v>12.34</v>
      </c>
      <c r="L1513">
        <v>3.65</v>
      </c>
      <c r="M1513">
        <v>33.61</v>
      </c>
      <c r="N1513">
        <v>5832.15</v>
      </c>
    </row>
    <row r="1514" spans="1:14" x14ac:dyDescent="0.2">
      <c r="A1514" s="1">
        <v>45600</v>
      </c>
      <c r="B1514" s="2" t="s">
        <v>14</v>
      </c>
      <c r="C1514" s="2" t="s">
        <v>35</v>
      </c>
      <c r="D1514" s="2" t="s">
        <v>19</v>
      </c>
      <c r="E1514">
        <v>11554</v>
      </c>
      <c r="F1514">
        <v>401</v>
      </c>
      <c r="G1514">
        <v>35</v>
      </c>
      <c r="H1514">
        <v>1993.78</v>
      </c>
      <c r="I1514">
        <v>5686.45</v>
      </c>
      <c r="J1514">
        <v>3.47</v>
      </c>
      <c r="K1514">
        <v>8.73</v>
      </c>
      <c r="L1514">
        <v>56.97</v>
      </c>
      <c r="M1514">
        <v>2.85</v>
      </c>
      <c r="N1514">
        <v>3692.67</v>
      </c>
    </row>
    <row r="1515" spans="1:14" x14ac:dyDescent="0.2">
      <c r="A1515" s="1">
        <v>45600</v>
      </c>
      <c r="B1515" s="2" t="s">
        <v>17</v>
      </c>
      <c r="C1515" s="2" t="s">
        <v>18</v>
      </c>
      <c r="D1515" s="2" t="s">
        <v>16</v>
      </c>
      <c r="E1515">
        <v>26413</v>
      </c>
      <c r="F1515">
        <v>1007</v>
      </c>
      <c r="G1515">
        <v>78</v>
      </c>
      <c r="H1515">
        <v>1246.92</v>
      </c>
      <c r="I1515">
        <v>10937.98</v>
      </c>
      <c r="J1515">
        <v>3.81</v>
      </c>
      <c r="K1515">
        <v>7.75</v>
      </c>
      <c r="L1515">
        <v>15.99</v>
      </c>
      <c r="M1515">
        <v>8.77</v>
      </c>
      <c r="N1515">
        <v>9691.06</v>
      </c>
    </row>
    <row r="1516" spans="1:14" x14ac:dyDescent="0.2">
      <c r="A1516" s="1">
        <v>45600</v>
      </c>
      <c r="B1516" s="2" t="s">
        <v>20</v>
      </c>
      <c r="C1516" s="2" t="s">
        <v>18</v>
      </c>
      <c r="D1516" s="2" t="s">
        <v>19</v>
      </c>
      <c r="E1516">
        <v>20475</v>
      </c>
      <c r="F1516">
        <v>596</v>
      </c>
      <c r="G1516">
        <v>32</v>
      </c>
      <c r="H1516">
        <v>1051.75</v>
      </c>
      <c r="I1516">
        <v>3555.98</v>
      </c>
      <c r="J1516">
        <v>2.91</v>
      </c>
      <c r="K1516">
        <v>5.37</v>
      </c>
      <c r="L1516">
        <v>32.869999999999997</v>
      </c>
      <c r="M1516">
        <v>3.38</v>
      </c>
      <c r="N1516">
        <v>2504.23</v>
      </c>
    </row>
    <row r="1517" spans="1:14" x14ac:dyDescent="0.2">
      <c r="A1517" s="1">
        <v>45600</v>
      </c>
      <c r="B1517" s="2" t="s">
        <v>23</v>
      </c>
      <c r="C1517" s="2" t="s">
        <v>28</v>
      </c>
      <c r="D1517" s="2" t="s">
        <v>19</v>
      </c>
      <c r="E1517">
        <v>7195</v>
      </c>
      <c r="F1517">
        <v>189</v>
      </c>
      <c r="G1517">
        <v>22</v>
      </c>
      <c r="H1517">
        <v>1801.49</v>
      </c>
      <c r="I1517">
        <v>4338.32</v>
      </c>
      <c r="J1517">
        <v>2.63</v>
      </c>
      <c r="K1517">
        <v>11.64</v>
      </c>
      <c r="L1517">
        <v>81.89</v>
      </c>
      <c r="M1517">
        <v>2.41</v>
      </c>
      <c r="N1517">
        <v>2536.83</v>
      </c>
    </row>
    <row r="1518" spans="1:14" x14ac:dyDescent="0.2">
      <c r="A1518" s="1">
        <v>45600</v>
      </c>
      <c r="B1518" s="2" t="s">
        <v>24</v>
      </c>
      <c r="C1518" s="2" t="s">
        <v>35</v>
      </c>
      <c r="D1518" s="2" t="s">
        <v>16</v>
      </c>
      <c r="E1518">
        <v>32401</v>
      </c>
      <c r="F1518">
        <v>7667</v>
      </c>
      <c r="G1518">
        <v>757</v>
      </c>
      <c r="H1518">
        <v>361.17</v>
      </c>
      <c r="I1518">
        <v>111771.59</v>
      </c>
      <c r="J1518">
        <v>23.66</v>
      </c>
      <c r="K1518">
        <v>9.8699999999999992</v>
      </c>
      <c r="L1518">
        <v>0.48</v>
      </c>
      <c r="M1518">
        <v>309.47000000000003</v>
      </c>
      <c r="N1518">
        <v>111410.42</v>
      </c>
    </row>
    <row r="1519" spans="1:14" x14ac:dyDescent="0.2">
      <c r="A1519" s="1">
        <v>45600</v>
      </c>
      <c r="B1519" s="2" t="s">
        <v>26</v>
      </c>
      <c r="C1519" s="2" t="s">
        <v>21</v>
      </c>
      <c r="D1519" s="2" t="s">
        <v>16</v>
      </c>
      <c r="E1519">
        <v>32766</v>
      </c>
      <c r="F1519">
        <v>2483</v>
      </c>
      <c r="G1519">
        <v>340</v>
      </c>
      <c r="H1519">
        <v>0</v>
      </c>
      <c r="I1519">
        <v>40730.620000000003</v>
      </c>
      <c r="J1519">
        <v>7.58</v>
      </c>
      <c r="K1519">
        <v>13.69</v>
      </c>
      <c r="L1519">
        <v>0</v>
      </c>
      <c r="M1519">
        <v>0</v>
      </c>
      <c r="N1519">
        <v>40730.620000000003</v>
      </c>
    </row>
    <row r="1520" spans="1:14" x14ac:dyDescent="0.2">
      <c r="A1520" s="1">
        <v>45600</v>
      </c>
      <c r="B1520" s="2" t="s">
        <v>27</v>
      </c>
      <c r="C1520" s="2" t="s">
        <v>21</v>
      </c>
      <c r="D1520" s="2" t="s">
        <v>36</v>
      </c>
      <c r="E1520">
        <v>50708</v>
      </c>
      <c r="F1520">
        <v>1009</v>
      </c>
      <c r="G1520">
        <v>42</v>
      </c>
      <c r="H1520">
        <v>1753.8</v>
      </c>
      <c r="I1520">
        <v>3729.73</v>
      </c>
      <c r="J1520">
        <v>1.99</v>
      </c>
      <c r="K1520">
        <v>4.16</v>
      </c>
      <c r="L1520">
        <v>41.76</v>
      </c>
      <c r="M1520">
        <v>2.13</v>
      </c>
      <c r="N1520">
        <v>1975.93</v>
      </c>
    </row>
    <row r="1521" spans="1:14" x14ac:dyDescent="0.2">
      <c r="A1521" s="1">
        <v>45600</v>
      </c>
      <c r="B1521" s="2" t="s">
        <v>29</v>
      </c>
      <c r="C1521" s="2" t="s">
        <v>28</v>
      </c>
      <c r="D1521" s="2" t="s">
        <v>25</v>
      </c>
      <c r="E1521">
        <v>27323</v>
      </c>
      <c r="F1521">
        <v>596</v>
      </c>
      <c r="G1521">
        <v>28</v>
      </c>
      <c r="H1521">
        <v>1944.09</v>
      </c>
      <c r="I1521">
        <v>2953.01</v>
      </c>
      <c r="J1521">
        <v>2.1800000000000002</v>
      </c>
      <c r="K1521">
        <v>4.7</v>
      </c>
      <c r="L1521">
        <v>69.430000000000007</v>
      </c>
      <c r="M1521">
        <v>1.52</v>
      </c>
      <c r="N1521">
        <v>1008.92</v>
      </c>
    </row>
    <row r="1522" spans="1:14" x14ac:dyDescent="0.2">
      <c r="A1522" s="1">
        <v>45600</v>
      </c>
      <c r="B1522" s="2" t="s">
        <v>30</v>
      </c>
      <c r="C1522" s="2" t="s">
        <v>32</v>
      </c>
      <c r="D1522" s="2" t="s">
        <v>25</v>
      </c>
      <c r="E1522">
        <v>17935</v>
      </c>
      <c r="F1522">
        <v>537</v>
      </c>
      <c r="G1522">
        <v>29</v>
      </c>
      <c r="H1522">
        <v>950.31</v>
      </c>
      <c r="I1522">
        <v>2719.25</v>
      </c>
      <c r="J1522">
        <v>2.99</v>
      </c>
      <c r="K1522">
        <v>5.4</v>
      </c>
      <c r="L1522">
        <v>32.770000000000003</v>
      </c>
      <c r="M1522">
        <v>2.86</v>
      </c>
      <c r="N1522">
        <v>1768.94</v>
      </c>
    </row>
    <row r="1523" spans="1:14" x14ac:dyDescent="0.2">
      <c r="A1523" s="1">
        <v>45600</v>
      </c>
      <c r="B1523" s="2" t="s">
        <v>31</v>
      </c>
      <c r="C1523" s="2" t="s">
        <v>28</v>
      </c>
      <c r="D1523" s="2" t="s">
        <v>16</v>
      </c>
      <c r="E1523">
        <v>26090</v>
      </c>
      <c r="F1523">
        <v>796</v>
      </c>
      <c r="G1523">
        <v>29</v>
      </c>
      <c r="H1523">
        <v>1437.11</v>
      </c>
      <c r="I1523">
        <v>2969.55</v>
      </c>
      <c r="J1523">
        <v>3.05</v>
      </c>
      <c r="K1523">
        <v>3.64</v>
      </c>
      <c r="L1523">
        <v>49.56</v>
      </c>
      <c r="M1523">
        <v>2.0699999999999998</v>
      </c>
      <c r="N1523">
        <v>1532.44</v>
      </c>
    </row>
    <row r="1524" spans="1:14" x14ac:dyDescent="0.2">
      <c r="A1524" s="1">
        <v>45600</v>
      </c>
      <c r="B1524" s="2" t="s">
        <v>33</v>
      </c>
      <c r="C1524" s="2" t="s">
        <v>18</v>
      </c>
      <c r="D1524" s="2" t="s">
        <v>16</v>
      </c>
      <c r="E1524">
        <v>8884</v>
      </c>
      <c r="F1524">
        <v>561</v>
      </c>
      <c r="G1524">
        <v>49</v>
      </c>
      <c r="H1524">
        <v>821.33</v>
      </c>
      <c r="I1524">
        <v>5120.28</v>
      </c>
      <c r="J1524">
        <v>6.31</v>
      </c>
      <c r="K1524">
        <v>8.73</v>
      </c>
      <c r="L1524">
        <v>16.760000000000002</v>
      </c>
      <c r="M1524">
        <v>6.23</v>
      </c>
      <c r="N1524">
        <v>4298.95</v>
      </c>
    </row>
    <row r="1525" spans="1:14" x14ac:dyDescent="0.2">
      <c r="A1525" s="1">
        <v>45600</v>
      </c>
      <c r="B1525" s="2" t="s">
        <v>34</v>
      </c>
      <c r="C1525" s="2" t="s">
        <v>35</v>
      </c>
      <c r="D1525" s="2" t="s">
        <v>25</v>
      </c>
      <c r="E1525">
        <v>7029</v>
      </c>
      <c r="F1525">
        <v>674</v>
      </c>
      <c r="G1525">
        <v>82</v>
      </c>
      <c r="H1525">
        <v>194.77</v>
      </c>
      <c r="I1525">
        <v>12464.54</v>
      </c>
      <c r="J1525">
        <v>9.59</v>
      </c>
      <c r="K1525">
        <v>12.17</v>
      </c>
      <c r="L1525">
        <v>2.38</v>
      </c>
      <c r="M1525">
        <v>64</v>
      </c>
      <c r="N1525">
        <v>12269.77</v>
      </c>
    </row>
    <row r="1526" spans="1:14" x14ac:dyDescent="0.2">
      <c r="A1526" s="1">
        <v>45601</v>
      </c>
      <c r="B1526" s="2" t="s">
        <v>14</v>
      </c>
      <c r="C1526" s="2" t="s">
        <v>18</v>
      </c>
      <c r="D1526" s="2" t="s">
        <v>25</v>
      </c>
      <c r="E1526">
        <v>11774</v>
      </c>
      <c r="F1526">
        <v>477</v>
      </c>
      <c r="G1526">
        <v>54</v>
      </c>
      <c r="H1526">
        <v>1225.53</v>
      </c>
      <c r="I1526">
        <v>9906.49</v>
      </c>
      <c r="J1526">
        <v>4.05</v>
      </c>
      <c r="K1526">
        <v>11.32</v>
      </c>
      <c r="L1526">
        <v>22.7</v>
      </c>
      <c r="M1526">
        <v>8.08</v>
      </c>
      <c r="N1526">
        <v>8680.9599999999991</v>
      </c>
    </row>
    <row r="1527" spans="1:14" x14ac:dyDescent="0.2">
      <c r="A1527" s="1">
        <v>45601</v>
      </c>
      <c r="B1527" s="2" t="s">
        <v>17</v>
      </c>
      <c r="C1527" s="2" t="s">
        <v>32</v>
      </c>
      <c r="D1527" s="2" t="s">
        <v>19</v>
      </c>
      <c r="E1527">
        <v>24010</v>
      </c>
      <c r="F1527">
        <v>508</v>
      </c>
      <c r="G1527">
        <v>39</v>
      </c>
      <c r="H1527">
        <v>1444.67</v>
      </c>
      <c r="I1527">
        <v>4887.3999999999996</v>
      </c>
      <c r="J1527">
        <v>2.12</v>
      </c>
      <c r="K1527">
        <v>7.68</v>
      </c>
      <c r="L1527">
        <v>37.04</v>
      </c>
      <c r="M1527">
        <v>3.38</v>
      </c>
      <c r="N1527">
        <v>3442.73</v>
      </c>
    </row>
    <row r="1528" spans="1:14" x14ac:dyDescent="0.2">
      <c r="A1528" s="1">
        <v>45601</v>
      </c>
      <c r="B1528" s="2" t="s">
        <v>20</v>
      </c>
      <c r="C1528" s="2" t="s">
        <v>28</v>
      </c>
      <c r="D1528" s="2" t="s">
        <v>16</v>
      </c>
      <c r="E1528">
        <v>18433</v>
      </c>
      <c r="F1528">
        <v>644</v>
      </c>
      <c r="G1528">
        <v>29</v>
      </c>
      <c r="H1528">
        <v>1051.43</v>
      </c>
      <c r="I1528">
        <v>3213.15</v>
      </c>
      <c r="J1528">
        <v>3.49</v>
      </c>
      <c r="K1528">
        <v>4.5</v>
      </c>
      <c r="L1528">
        <v>36.26</v>
      </c>
      <c r="M1528">
        <v>3.06</v>
      </c>
      <c r="N1528">
        <v>2161.7199999999998</v>
      </c>
    </row>
    <row r="1529" spans="1:14" x14ac:dyDescent="0.2">
      <c r="A1529" s="1">
        <v>45601</v>
      </c>
      <c r="B1529" s="2" t="s">
        <v>23</v>
      </c>
      <c r="C1529" s="2" t="s">
        <v>35</v>
      </c>
      <c r="D1529" s="2" t="s">
        <v>36</v>
      </c>
      <c r="E1529">
        <v>7470</v>
      </c>
      <c r="F1529">
        <v>165</v>
      </c>
      <c r="G1529">
        <v>19</v>
      </c>
      <c r="H1529">
        <v>1984.74</v>
      </c>
      <c r="I1529">
        <v>4557.37</v>
      </c>
      <c r="J1529">
        <v>2.21</v>
      </c>
      <c r="K1529">
        <v>11.52</v>
      </c>
      <c r="L1529">
        <v>104.46</v>
      </c>
      <c r="M1529">
        <v>2.2999999999999998</v>
      </c>
      <c r="N1529">
        <v>2572.63</v>
      </c>
    </row>
    <row r="1530" spans="1:14" x14ac:dyDescent="0.2">
      <c r="A1530" s="1">
        <v>45601</v>
      </c>
      <c r="B1530" s="2" t="s">
        <v>24</v>
      </c>
      <c r="C1530" s="2" t="s">
        <v>28</v>
      </c>
      <c r="D1530" s="2" t="s">
        <v>16</v>
      </c>
      <c r="E1530">
        <v>23975</v>
      </c>
      <c r="F1530">
        <v>5633</v>
      </c>
      <c r="G1530">
        <v>732</v>
      </c>
      <c r="H1530">
        <v>207.15</v>
      </c>
      <c r="I1530">
        <v>103549.87</v>
      </c>
      <c r="J1530">
        <v>23.5</v>
      </c>
      <c r="K1530">
        <v>12.99</v>
      </c>
      <c r="L1530">
        <v>0.28000000000000003</v>
      </c>
      <c r="M1530">
        <v>499.88</v>
      </c>
      <c r="N1530">
        <v>103342.72</v>
      </c>
    </row>
    <row r="1531" spans="1:14" x14ac:dyDescent="0.2">
      <c r="A1531" s="1">
        <v>45601</v>
      </c>
      <c r="B1531" s="2" t="s">
        <v>26</v>
      </c>
      <c r="C1531" s="2" t="s">
        <v>15</v>
      </c>
      <c r="D1531" s="2" t="s">
        <v>25</v>
      </c>
      <c r="E1531">
        <v>47054</v>
      </c>
      <c r="F1531">
        <v>2149</v>
      </c>
      <c r="G1531">
        <v>224</v>
      </c>
      <c r="H1531">
        <v>0</v>
      </c>
      <c r="I1531">
        <v>30455.24</v>
      </c>
      <c r="J1531">
        <v>4.57</v>
      </c>
      <c r="K1531">
        <v>10.42</v>
      </c>
      <c r="L1531">
        <v>0</v>
      </c>
      <c r="M1531">
        <v>0</v>
      </c>
      <c r="N1531">
        <v>30455.24</v>
      </c>
    </row>
    <row r="1532" spans="1:14" x14ac:dyDescent="0.2">
      <c r="A1532" s="1">
        <v>45601</v>
      </c>
      <c r="B1532" s="2" t="s">
        <v>27</v>
      </c>
      <c r="C1532" s="2" t="s">
        <v>21</v>
      </c>
      <c r="D1532" s="2" t="s">
        <v>25</v>
      </c>
      <c r="E1532">
        <v>39607</v>
      </c>
      <c r="F1532">
        <v>572</v>
      </c>
      <c r="G1532">
        <v>11</v>
      </c>
      <c r="H1532">
        <v>1300.4100000000001</v>
      </c>
      <c r="I1532">
        <v>1360.11</v>
      </c>
      <c r="J1532">
        <v>1.44</v>
      </c>
      <c r="K1532">
        <v>1.92</v>
      </c>
      <c r="L1532">
        <v>118.22</v>
      </c>
      <c r="M1532">
        <v>1.05</v>
      </c>
      <c r="N1532">
        <v>59.7</v>
      </c>
    </row>
    <row r="1533" spans="1:14" x14ac:dyDescent="0.2">
      <c r="A1533" s="1">
        <v>45601</v>
      </c>
      <c r="B1533" s="2" t="s">
        <v>29</v>
      </c>
      <c r="C1533" s="2" t="s">
        <v>32</v>
      </c>
      <c r="D1533" s="2" t="s">
        <v>22</v>
      </c>
      <c r="E1533">
        <v>28781</v>
      </c>
      <c r="F1533">
        <v>454</v>
      </c>
      <c r="G1533">
        <v>30</v>
      </c>
      <c r="H1533">
        <v>1390.39</v>
      </c>
      <c r="I1533">
        <v>3178.73</v>
      </c>
      <c r="J1533">
        <v>1.58</v>
      </c>
      <c r="K1533">
        <v>6.61</v>
      </c>
      <c r="L1533">
        <v>46.35</v>
      </c>
      <c r="M1533">
        <v>2.29</v>
      </c>
      <c r="N1533">
        <v>1788.34</v>
      </c>
    </row>
    <row r="1534" spans="1:14" x14ac:dyDescent="0.2">
      <c r="A1534" s="1">
        <v>45601</v>
      </c>
      <c r="B1534" s="2" t="s">
        <v>30</v>
      </c>
      <c r="C1534" s="2" t="s">
        <v>15</v>
      </c>
      <c r="D1534" s="2" t="s">
        <v>36</v>
      </c>
      <c r="E1534">
        <v>18618</v>
      </c>
      <c r="F1534">
        <v>501</v>
      </c>
      <c r="G1534">
        <v>25</v>
      </c>
      <c r="H1534">
        <v>668.52</v>
      </c>
      <c r="I1534">
        <v>2329.16</v>
      </c>
      <c r="J1534">
        <v>2.69</v>
      </c>
      <c r="K1534">
        <v>4.99</v>
      </c>
      <c r="L1534">
        <v>26.74</v>
      </c>
      <c r="M1534">
        <v>3.48</v>
      </c>
      <c r="N1534">
        <v>1660.64</v>
      </c>
    </row>
    <row r="1535" spans="1:14" x14ac:dyDescent="0.2">
      <c r="A1535" s="1">
        <v>45601</v>
      </c>
      <c r="B1535" s="2" t="s">
        <v>31</v>
      </c>
      <c r="C1535" s="2" t="s">
        <v>21</v>
      </c>
      <c r="D1535" s="2" t="s">
        <v>22</v>
      </c>
      <c r="E1535">
        <v>37808</v>
      </c>
      <c r="F1535">
        <v>1405</v>
      </c>
      <c r="G1535">
        <v>56</v>
      </c>
      <c r="H1535">
        <v>880.65</v>
      </c>
      <c r="I1535">
        <v>5806.9</v>
      </c>
      <c r="J1535">
        <v>3.72</v>
      </c>
      <c r="K1535">
        <v>3.99</v>
      </c>
      <c r="L1535">
        <v>15.73</v>
      </c>
      <c r="M1535">
        <v>6.59</v>
      </c>
      <c r="N1535">
        <v>4926.25</v>
      </c>
    </row>
    <row r="1536" spans="1:14" x14ac:dyDescent="0.2">
      <c r="A1536" s="1">
        <v>45601</v>
      </c>
      <c r="B1536" s="2" t="s">
        <v>33</v>
      </c>
      <c r="C1536" s="2" t="s">
        <v>35</v>
      </c>
      <c r="D1536" s="2" t="s">
        <v>19</v>
      </c>
      <c r="E1536">
        <v>13839</v>
      </c>
      <c r="F1536">
        <v>729</v>
      </c>
      <c r="G1536">
        <v>77</v>
      </c>
      <c r="H1536">
        <v>493.19</v>
      </c>
      <c r="I1536">
        <v>10420.57</v>
      </c>
      <c r="J1536">
        <v>5.27</v>
      </c>
      <c r="K1536">
        <v>10.56</v>
      </c>
      <c r="L1536">
        <v>6.41</v>
      </c>
      <c r="M1536">
        <v>21.13</v>
      </c>
      <c r="N1536">
        <v>9927.3799999999992</v>
      </c>
    </row>
    <row r="1537" spans="1:14" x14ac:dyDescent="0.2">
      <c r="A1537" s="1">
        <v>45601</v>
      </c>
      <c r="B1537" s="2" t="s">
        <v>34</v>
      </c>
      <c r="C1537" s="2" t="s">
        <v>35</v>
      </c>
      <c r="D1537" s="2" t="s">
        <v>36</v>
      </c>
      <c r="E1537">
        <v>8925</v>
      </c>
      <c r="F1537">
        <v>659</v>
      </c>
      <c r="G1537">
        <v>102</v>
      </c>
      <c r="H1537">
        <v>137.66999999999999</v>
      </c>
      <c r="I1537">
        <v>12928.23</v>
      </c>
      <c r="J1537">
        <v>7.38</v>
      </c>
      <c r="K1537">
        <v>15.48</v>
      </c>
      <c r="L1537">
        <v>1.35</v>
      </c>
      <c r="M1537">
        <v>93.91</v>
      </c>
      <c r="N1537">
        <v>12790.56</v>
      </c>
    </row>
    <row r="1538" spans="1:14" x14ac:dyDescent="0.2">
      <c r="A1538" s="1">
        <v>45602</v>
      </c>
      <c r="B1538" s="2" t="s">
        <v>14</v>
      </c>
      <c r="C1538" s="2" t="s">
        <v>21</v>
      </c>
      <c r="D1538" s="2" t="s">
        <v>16</v>
      </c>
      <c r="E1538">
        <v>16476</v>
      </c>
      <c r="F1538">
        <v>635</v>
      </c>
      <c r="G1538">
        <v>70</v>
      </c>
      <c r="H1538">
        <v>1438.68</v>
      </c>
      <c r="I1538">
        <v>10844.37</v>
      </c>
      <c r="J1538">
        <v>3.85</v>
      </c>
      <c r="K1538">
        <v>11.02</v>
      </c>
      <c r="L1538">
        <v>20.55</v>
      </c>
      <c r="M1538">
        <v>7.54</v>
      </c>
      <c r="N1538">
        <v>9405.69</v>
      </c>
    </row>
    <row r="1539" spans="1:14" x14ac:dyDescent="0.2">
      <c r="A1539" s="1">
        <v>45602</v>
      </c>
      <c r="B1539" s="2" t="s">
        <v>17</v>
      </c>
      <c r="C1539" s="2" t="s">
        <v>21</v>
      </c>
      <c r="D1539" s="2" t="s">
        <v>36</v>
      </c>
      <c r="E1539">
        <v>25555</v>
      </c>
      <c r="F1539">
        <v>610</v>
      </c>
      <c r="G1539">
        <v>35</v>
      </c>
      <c r="H1539">
        <v>1279.32</v>
      </c>
      <c r="I1539">
        <v>3954.56</v>
      </c>
      <c r="J1539">
        <v>2.39</v>
      </c>
      <c r="K1539">
        <v>5.74</v>
      </c>
      <c r="L1539">
        <v>36.549999999999997</v>
      </c>
      <c r="M1539">
        <v>3.09</v>
      </c>
      <c r="N1539">
        <v>2675.24</v>
      </c>
    </row>
    <row r="1540" spans="1:14" x14ac:dyDescent="0.2">
      <c r="A1540" s="1">
        <v>45602</v>
      </c>
      <c r="B1540" s="2" t="s">
        <v>20</v>
      </c>
      <c r="C1540" s="2" t="s">
        <v>35</v>
      </c>
      <c r="D1540" s="2" t="s">
        <v>36</v>
      </c>
      <c r="E1540">
        <v>18040</v>
      </c>
      <c r="F1540">
        <v>624</v>
      </c>
      <c r="G1540">
        <v>28</v>
      </c>
      <c r="H1540">
        <v>984.31</v>
      </c>
      <c r="I1540">
        <v>2655.57</v>
      </c>
      <c r="J1540">
        <v>3.46</v>
      </c>
      <c r="K1540">
        <v>4.49</v>
      </c>
      <c r="L1540">
        <v>35.15</v>
      </c>
      <c r="M1540">
        <v>2.7</v>
      </c>
      <c r="N1540">
        <v>1671.26</v>
      </c>
    </row>
    <row r="1541" spans="1:14" x14ac:dyDescent="0.2">
      <c r="A1541" s="1">
        <v>45602</v>
      </c>
      <c r="B1541" s="2" t="s">
        <v>23</v>
      </c>
      <c r="C1541" s="2" t="s">
        <v>35</v>
      </c>
      <c r="D1541" s="2" t="s">
        <v>36</v>
      </c>
      <c r="E1541">
        <v>4414</v>
      </c>
      <c r="F1541">
        <v>75</v>
      </c>
      <c r="G1541">
        <v>7</v>
      </c>
      <c r="H1541">
        <v>1770.13</v>
      </c>
      <c r="I1541">
        <v>1983.02</v>
      </c>
      <c r="J1541">
        <v>1.7</v>
      </c>
      <c r="K1541">
        <v>9.33</v>
      </c>
      <c r="L1541">
        <v>252.88</v>
      </c>
      <c r="M1541">
        <v>1.1200000000000001</v>
      </c>
      <c r="N1541">
        <v>212.89</v>
      </c>
    </row>
    <row r="1542" spans="1:14" x14ac:dyDescent="0.2">
      <c r="A1542" s="1">
        <v>45602</v>
      </c>
      <c r="B1542" s="2" t="s">
        <v>24</v>
      </c>
      <c r="C1542" s="2" t="s">
        <v>18</v>
      </c>
      <c r="D1542" s="2" t="s">
        <v>19</v>
      </c>
      <c r="E1542">
        <v>22064</v>
      </c>
      <c r="F1542">
        <v>3852</v>
      </c>
      <c r="G1542">
        <v>317</v>
      </c>
      <c r="H1542">
        <v>231.52</v>
      </c>
      <c r="I1542">
        <v>36824.21</v>
      </c>
      <c r="J1542">
        <v>17.46</v>
      </c>
      <c r="K1542">
        <v>8.23</v>
      </c>
      <c r="L1542">
        <v>0.73</v>
      </c>
      <c r="M1542">
        <v>159.05000000000001</v>
      </c>
      <c r="N1542">
        <v>36592.69</v>
      </c>
    </row>
    <row r="1543" spans="1:14" x14ac:dyDescent="0.2">
      <c r="A1543" s="1">
        <v>45602</v>
      </c>
      <c r="B1543" s="2" t="s">
        <v>26</v>
      </c>
      <c r="C1543" s="2" t="s">
        <v>35</v>
      </c>
      <c r="D1543" s="2" t="s">
        <v>22</v>
      </c>
      <c r="E1543">
        <v>45421</v>
      </c>
      <c r="F1543">
        <v>2149</v>
      </c>
      <c r="G1543">
        <v>308</v>
      </c>
      <c r="H1543">
        <v>0</v>
      </c>
      <c r="I1543">
        <v>43710.68</v>
      </c>
      <c r="J1543">
        <v>4.7300000000000004</v>
      </c>
      <c r="K1543">
        <v>14.33</v>
      </c>
      <c r="L1543">
        <v>0</v>
      </c>
      <c r="M1543">
        <v>0</v>
      </c>
      <c r="N1543">
        <v>43710.68</v>
      </c>
    </row>
    <row r="1544" spans="1:14" x14ac:dyDescent="0.2">
      <c r="A1544" s="1">
        <v>45602</v>
      </c>
      <c r="B1544" s="2" t="s">
        <v>27</v>
      </c>
      <c r="C1544" s="2" t="s">
        <v>15</v>
      </c>
      <c r="D1544" s="2" t="s">
        <v>36</v>
      </c>
      <c r="E1544">
        <v>45542</v>
      </c>
      <c r="F1544">
        <v>645</v>
      </c>
      <c r="G1544">
        <v>19</v>
      </c>
      <c r="H1544">
        <v>1377.81</v>
      </c>
      <c r="I1544">
        <v>2299.3000000000002</v>
      </c>
      <c r="J1544">
        <v>1.42</v>
      </c>
      <c r="K1544">
        <v>2.95</v>
      </c>
      <c r="L1544">
        <v>72.52</v>
      </c>
      <c r="M1544">
        <v>1.67</v>
      </c>
      <c r="N1544">
        <v>921.49</v>
      </c>
    </row>
    <row r="1545" spans="1:14" x14ac:dyDescent="0.2">
      <c r="A1545" s="1">
        <v>45602</v>
      </c>
      <c r="B1545" s="2" t="s">
        <v>29</v>
      </c>
      <c r="C1545" s="2" t="s">
        <v>32</v>
      </c>
      <c r="D1545" s="2" t="s">
        <v>25</v>
      </c>
      <c r="E1545">
        <v>33366</v>
      </c>
      <c r="F1545">
        <v>628</v>
      </c>
      <c r="G1545">
        <v>33</v>
      </c>
      <c r="H1545">
        <v>1420.66</v>
      </c>
      <c r="I1545">
        <v>4133.6400000000003</v>
      </c>
      <c r="J1545">
        <v>1.88</v>
      </c>
      <c r="K1545">
        <v>5.25</v>
      </c>
      <c r="L1545">
        <v>43.05</v>
      </c>
      <c r="M1545">
        <v>2.91</v>
      </c>
      <c r="N1545">
        <v>2712.98</v>
      </c>
    </row>
    <row r="1546" spans="1:14" x14ac:dyDescent="0.2">
      <c r="A1546" s="1">
        <v>45602</v>
      </c>
      <c r="B1546" s="2" t="s">
        <v>30</v>
      </c>
      <c r="C1546" s="2" t="s">
        <v>21</v>
      </c>
      <c r="D1546" s="2" t="s">
        <v>36</v>
      </c>
      <c r="E1546">
        <v>17066</v>
      </c>
      <c r="F1546">
        <v>474</v>
      </c>
      <c r="G1546">
        <v>14</v>
      </c>
      <c r="H1546">
        <v>1083.83</v>
      </c>
      <c r="I1546">
        <v>1346</v>
      </c>
      <c r="J1546">
        <v>2.78</v>
      </c>
      <c r="K1546">
        <v>2.95</v>
      </c>
      <c r="L1546">
        <v>77.42</v>
      </c>
      <c r="M1546">
        <v>1.24</v>
      </c>
      <c r="N1546">
        <v>262.17</v>
      </c>
    </row>
    <row r="1547" spans="1:14" x14ac:dyDescent="0.2">
      <c r="A1547" s="1">
        <v>45602</v>
      </c>
      <c r="B1547" s="2" t="s">
        <v>31</v>
      </c>
      <c r="C1547" s="2" t="s">
        <v>18</v>
      </c>
      <c r="D1547" s="2" t="s">
        <v>22</v>
      </c>
      <c r="E1547">
        <v>41252</v>
      </c>
      <c r="F1547">
        <v>1694</v>
      </c>
      <c r="G1547">
        <v>85</v>
      </c>
      <c r="H1547">
        <v>1268.02</v>
      </c>
      <c r="I1547">
        <v>9262.27</v>
      </c>
      <c r="J1547">
        <v>4.1100000000000003</v>
      </c>
      <c r="K1547">
        <v>5.0199999999999996</v>
      </c>
      <c r="L1547">
        <v>14.92</v>
      </c>
      <c r="M1547">
        <v>7.3</v>
      </c>
      <c r="N1547">
        <v>7994.25</v>
      </c>
    </row>
    <row r="1548" spans="1:14" x14ac:dyDescent="0.2">
      <c r="A1548" s="1">
        <v>45602</v>
      </c>
      <c r="B1548" s="2" t="s">
        <v>33</v>
      </c>
      <c r="C1548" s="2" t="s">
        <v>35</v>
      </c>
      <c r="D1548" s="2" t="s">
        <v>16</v>
      </c>
      <c r="E1548">
        <v>12657</v>
      </c>
      <c r="F1548">
        <v>753</v>
      </c>
      <c r="G1548">
        <v>71</v>
      </c>
      <c r="H1548">
        <v>577.14</v>
      </c>
      <c r="I1548">
        <v>10419.51</v>
      </c>
      <c r="J1548">
        <v>5.95</v>
      </c>
      <c r="K1548">
        <v>9.43</v>
      </c>
      <c r="L1548">
        <v>8.1300000000000008</v>
      </c>
      <c r="M1548">
        <v>18.05</v>
      </c>
      <c r="N1548">
        <v>9842.3700000000008</v>
      </c>
    </row>
    <row r="1549" spans="1:14" x14ac:dyDescent="0.2">
      <c r="A1549" s="1">
        <v>45602</v>
      </c>
      <c r="B1549" s="2" t="s">
        <v>34</v>
      </c>
      <c r="C1549" s="2" t="s">
        <v>28</v>
      </c>
      <c r="D1549" s="2" t="s">
        <v>19</v>
      </c>
      <c r="E1549">
        <v>4565</v>
      </c>
      <c r="F1549">
        <v>298</v>
      </c>
      <c r="G1549">
        <v>51</v>
      </c>
      <c r="H1549">
        <v>100.08</v>
      </c>
      <c r="I1549">
        <v>7766.76</v>
      </c>
      <c r="J1549">
        <v>6.53</v>
      </c>
      <c r="K1549">
        <v>17.11</v>
      </c>
      <c r="L1549">
        <v>1.96</v>
      </c>
      <c r="M1549">
        <v>77.61</v>
      </c>
      <c r="N1549">
        <v>7666.68</v>
      </c>
    </row>
    <row r="1550" spans="1:14" x14ac:dyDescent="0.2">
      <c r="A1550" s="1">
        <v>45603</v>
      </c>
      <c r="B1550" s="2" t="s">
        <v>14</v>
      </c>
      <c r="C1550" s="2" t="s">
        <v>32</v>
      </c>
      <c r="D1550" s="2" t="s">
        <v>36</v>
      </c>
      <c r="E1550">
        <v>12383</v>
      </c>
      <c r="F1550">
        <v>443</v>
      </c>
      <c r="G1550">
        <v>46</v>
      </c>
      <c r="H1550">
        <v>1636.16</v>
      </c>
      <c r="I1550">
        <v>6851.67</v>
      </c>
      <c r="J1550">
        <v>3.58</v>
      </c>
      <c r="K1550">
        <v>10.38</v>
      </c>
      <c r="L1550">
        <v>35.57</v>
      </c>
      <c r="M1550">
        <v>4.1900000000000004</v>
      </c>
      <c r="N1550">
        <v>5215.51</v>
      </c>
    </row>
    <row r="1551" spans="1:14" x14ac:dyDescent="0.2">
      <c r="A1551" s="1">
        <v>45603</v>
      </c>
      <c r="B1551" s="2" t="s">
        <v>17</v>
      </c>
      <c r="C1551" s="2" t="s">
        <v>35</v>
      </c>
      <c r="D1551" s="2" t="s">
        <v>36</v>
      </c>
      <c r="E1551">
        <v>16962</v>
      </c>
      <c r="F1551">
        <v>372</v>
      </c>
      <c r="G1551">
        <v>25</v>
      </c>
      <c r="H1551">
        <v>1597.98</v>
      </c>
      <c r="I1551">
        <v>3372.61</v>
      </c>
      <c r="J1551">
        <v>2.19</v>
      </c>
      <c r="K1551">
        <v>6.72</v>
      </c>
      <c r="L1551">
        <v>63.92</v>
      </c>
      <c r="M1551">
        <v>2.11</v>
      </c>
      <c r="N1551">
        <v>1774.63</v>
      </c>
    </row>
    <row r="1552" spans="1:14" x14ac:dyDescent="0.2">
      <c r="A1552" s="1">
        <v>45603</v>
      </c>
      <c r="B1552" s="2" t="s">
        <v>20</v>
      </c>
      <c r="C1552" s="2" t="s">
        <v>35</v>
      </c>
      <c r="D1552" s="2" t="s">
        <v>36</v>
      </c>
      <c r="E1552">
        <v>17845</v>
      </c>
      <c r="F1552">
        <v>737</v>
      </c>
      <c r="G1552">
        <v>44</v>
      </c>
      <c r="H1552">
        <v>737.74</v>
      </c>
      <c r="I1552">
        <v>4589.75</v>
      </c>
      <c r="J1552">
        <v>4.13</v>
      </c>
      <c r="K1552">
        <v>5.97</v>
      </c>
      <c r="L1552">
        <v>16.77</v>
      </c>
      <c r="M1552">
        <v>6.22</v>
      </c>
      <c r="N1552">
        <v>3852.01</v>
      </c>
    </row>
    <row r="1553" spans="1:14" x14ac:dyDescent="0.2">
      <c r="A1553" s="1">
        <v>45603</v>
      </c>
      <c r="B1553" s="2" t="s">
        <v>23</v>
      </c>
      <c r="C1553" s="2" t="s">
        <v>15</v>
      </c>
      <c r="D1553" s="2" t="s">
        <v>25</v>
      </c>
      <c r="E1553">
        <v>6584</v>
      </c>
      <c r="F1553">
        <v>145</v>
      </c>
      <c r="G1553">
        <v>18</v>
      </c>
      <c r="H1553">
        <v>1938.73</v>
      </c>
      <c r="I1553">
        <v>5913.61</v>
      </c>
      <c r="J1553">
        <v>2.2000000000000002</v>
      </c>
      <c r="K1553">
        <v>12.41</v>
      </c>
      <c r="L1553">
        <v>107.71</v>
      </c>
      <c r="M1553">
        <v>3.05</v>
      </c>
      <c r="N1553">
        <v>3974.88</v>
      </c>
    </row>
    <row r="1554" spans="1:14" x14ac:dyDescent="0.2">
      <c r="A1554" s="1">
        <v>45603</v>
      </c>
      <c r="B1554" s="2" t="s">
        <v>24</v>
      </c>
      <c r="C1554" s="2" t="s">
        <v>21</v>
      </c>
      <c r="D1554" s="2" t="s">
        <v>19</v>
      </c>
      <c r="E1554">
        <v>24220</v>
      </c>
      <c r="F1554">
        <v>5331</v>
      </c>
      <c r="G1554">
        <v>674</v>
      </c>
      <c r="H1554">
        <v>392.39</v>
      </c>
      <c r="I1554">
        <v>78402.84</v>
      </c>
      <c r="J1554">
        <v>22.01</v>
      </c>
      <c r="K1554">
        <v>12.64</v>
      </c>
      <c r="L1554">
        <v>0.57999999999999996</v>
      </c>
      <c r="M1554">
        <v>199.81</v>
      </c>
      <c r="N1554">
        <v>78010.45</v>
      </c>
    </row>
    <row r="1555" spans="1:14" x14ac:dyDescent="0.2">
      <c r="A1555" s="1">
        <v>45603</v>
      </c>
      <c r="B1555" s="2" t="s">
        <v>26</v>
      </c>
      <c r="C1555" s="2" t="s">
        <v>35</v>
      </c>
      <c r="D1555" s="2" t="s">
        <v>25</v>
      </c>
      <c r="E1555">
        <v>31604</v>
      </c>
      <c r="F1555">
        <v>1597</v>
      </c>
      <c r="G1555">
        <v>233</v>
      </c>
      <c r="H1555">
        <v>0</v>
      </c>
      <c r="I1555">
        <v>30257.5</v>
      </c>
      <c r="J1555">
        <v>5.05</v>
      </c>
      <c r="K1555">
        <v>14.59</v>
      </c>
      <c r="L1555">
        <v>0</v>
      </c>
      <c r="M1555">
        <v>0</v>
      </c>
      <c r="N1555">
        <v>30257.5</v>
      </c>
    </row>
    <row r="1556" spans="1:14" x14ac:dyDescent="0.2">
      <c r="A1556" s="1">
        <v>45603</v>
      </c>
      <c r="B1556" s="2" t="s">
        <v>27</v>
      </c>
      <c r="C1556" s="2" t="s">
        <v>15</v>
      </c>
      <c r="D1556" s="2" t="s">
        <v>22</v>
      </c>
      <c r="E1556">
        <v>41769</v>
      </c>
      <c r="F1556">
        <v>544</v>
      </c>
      <c r="G1556">
        <v>12</v>
      </c>
      <c r="H1556">
        <v>1705.51</v>
      </c>
      <c r="I1556">
        <v>1440.11</v>
      </c>
      <c r="J1556">
        <v>1.3</v>
      </c>
      <c r="K1556">
        <v>2.21</v>
      </c>
      <c r="L1556">
        <v>142.13</v>
      </c>
      <c r="M1556">
        <v>0.84</v>
      </c>
      <c r="N1556">
        <v>-265.39999999999998</v>
      </c>
    </row>
    <row r="1557" spans="1:14" x14ac:dyDescent="0.2">
      <c r="A1557" s="1">
        <v>45603</v>
      </c>
      <c r="B1557" s="2" t="s">
        <v>29</v>
      </c>
      <c r="C1557" s="2" t="s">
        <v>28</v>
      </c>
      <c r="D1557" s="2" t="s">
        <v>19</v>
      </c>
      <c r="E1557">
        <v>22152</v>
      </c>
      <c r="F1557">
        <v>424</v>
      </c>
      <c r="G1557">
        <v>29</v>
      </c>
      <c r="H1557">
        <v>1692.18</v>
      </c>
      <c r="I1557">
        <v>2736.75</v>
      </c>
      <c r="J1557">
        <v>1.91</v>
      </c>
      <c r="K1557">
        <v>6.84</v>
      </c>
      <c r="L1557">
        <v>58.35</v>
      </c>
      <c r="M1557">
        <v>1.62</v>
      </c>
      <c r="N1557">
        <v>1044.57</v>
      </c>
    </row>
    <row r="1558" spans="1:14" x14ac:dyDescent="0.2">
      <c r="A1558" s="1">
        <v>45603</v>
      </c>
      <c r="B1558" s="2" t="s">
        <v>30</v>
      </c>
      <c r="C1558" s="2" t="s">
        <v>21</v>
      </c>
      <c r="D1558" s="2" t="s">
        <v>36</v>
      </c>
      <c r="E1558">
        <v>17158</v>
      </c>
      <c r="F1558">
        <v>574</v>
      </c>
      <c r="G1558">
        <v>19</v>
      </c>
      <c r="H1558">
        <v>975.67</v>
      </c>
      <c r="I1558">
        <v>1999.87</v>
      </c>
      <c r="J1558">
        <v>3.35</v>
      </c>
      <c r="K1558">
        <v>3.31</v>
      </c>
      <c r="L1558">
        <v>51.35</v>
      </c>
      <c r="M1558">
        <v>2.0499999999999998</v>
      </c>
      <c r="N1558">
        <v>1024.2</v>
      </c>
    </row>
    <row r="1559" spans="1:14" x14ac:dyDescent="0.2">
      <c r="A1559" s="1">
        <v>45603</v>
      </c>
      <c r="B1559" s="2" t="s">
        <v>31</v>
      </c>
      <c r="C1559" s="2" t="s">
        <v>35</v>
      </c>
      <c r="D1559" s="2" t="s">
        <v>19</v>
      </c>
      <c r="E1559">
        <v>26966</v>
      </c>
      <c r="F1559">
        <v>1027</v>
      </c>
      <c r="G1559">
        <v>61</v>
      </c>
      <c r="H1559">
        <v>921.63</v>
      </c>
      <c r="I1559">
        <v>5180.9399999999996</v>
      </c>
      <c r="J1559">
        <v>3.81</v>
      </c>
      <c r="K1559">
        <v>5.94</v>
      </c>
      <c r="L1559">
        <v>15.11</v>
      </c>
      <c r="M1559">
        <v>5.62</v>
      </c>
      <c r="N1559">
        <v>4259.3100000000004</v>
      </c>
    </row>
    <row r="1560" spans="1:14" x14ac:dyDescent="0.2">
      <c r="A1560" s="1">
        <v>45603</v>
      </c>
      <c r="B1560" s="2" t="s">
        <v>33</v>
      </c>
      <c r="C1560" s="2" t="s">
        <v>15</v>
      </c>
      <c r="D1560" s="2" t="s">
        <v>36</v>
      </c>
      <c r="E1560">
        <v>11596</v>
      </c>
      <c r="F1560">
        <v>593</v>
      </c>
      <c r="G1560">
        <v>72</v>
      </c>
      <c r="H1560">
        <v>498.26</v>
      </c>
      <c r="I1560">
        <v>8827.1299999999992</v>
      </c>
      <c r="J1560">
        <v>5.1100000000000003</v>
      </c>
      <c r="K1560">
        <v>12.14</v>
      </c>
      <c r="L1560">
        <v>6.92</v>
      </c>
      <c r="M1560">
        <v>17.72</v>
      </c>
      <c r="N1560">
        <v>8328.8700000000008</v>
      </c>
    </row>
    <row r="1561" spans="1:14" x14ac:dyDescent="0.2">
      <c r="A1561" s="1">
        <v>45603</v>
      </c>
      <c r="B1561" s="2" t="s">
        <v>34</v>
      </c>
      <c r="C1561" s="2" t="s">
        <v>32</v>
      </c>
      <c r="D1561" s="2" t="s">
        <v>22</v>
      </c>
      <c r="E1561">
        <v>6914</v>
      </c>
      <c r="F1561">
        <v>614</v>
      </c>
      <c r="G1561">
        <v>92</v>
      </c>
      <c r="H1561">
        <v>210.48</v>
      </c>
      <c r="I1561">
        <v>11359.02</v>
      </c>
      <c r="J1561">
        <v>8.8800000000000008</v>
      </c>
      <c r="K1561">
        <v>14.98</v>
      </c>
      <c r="L1561">
        <v>2.29</v>
      </c>
      <c r="M1561">
        <v>53.97</v>
      </c>
      <c r="N1561">
        <v>11148.54</v>
      </c>
    </row>
    <row r="1562" spans="1:14" x14ac:dyDescent="0.2">
      <c r="A1562" s="1">
        <v>45604</v>
      </c>
      <c r="B1562" s="2" t="s">
        <v>14</v>
      </c>
      <c r="C1562" s="2" t="s">
        <v>35</v>
      </c>
      <c r="D1562" s="2" t="s">
        <v>36</v>
      </c>
      <c r="E1562">
        <v>13405</v>
      </c>
      <c r="F1562">
        <v>575</v>
      </c>
      <c r="G1562">
        <v>65</v>
      </c>
      <c r="H1562">
        <v>1409.76</v>
      </c>
      <c r="I1562">
        <v>8492.34</v>
      </c>
      <c r="J1562">
        <v>4.29</v>
      </c>
      <c r="K1562">
        <v>11.3</v>
      </c>
      <c r="L1562">
        <v>21.69</v>
      </c>
      <c r="M1562">
        <v>6.02</v>
      </c>
      <c r="N1562">
        <v>7082.58</v>
      </c>
    </row>
    <row r="1563" spans="1:14" x14ac:dyDescent="0.2">
      <c r="A1563" s="1">
        <v>45604</v>
      </c>
      <c r="B1563" s="2" t="s">
        <v>17</v>
      </c>
      <c r="C1563" s="2" t="s">
        <v>35</v>
      </c>
      <c r="D1563" s="2" t="s">
        <v>36</v>
      </c>
      <c r="E1563">
        <v>27234</v>
      </c>
      <c r="F1563">
        <v>989</v>
      </c>
      <c r="G1563">
        <v>81</v>
      </c>
      <c r="H1563">
        <v>1234.1400000000001</v>
      </c>
      <c r="I1563">
        <v>10156.49</v>
      </c>
      <c r="J1563">
        <v>3.63</v>
      </c>
      <c r="K1563">
        <v>8.19</v>
      </c>
      <c r="L1563">
        <v>15.24</v>
      </c>
      <c r="M1563">
        <v>8.23</v>
      </c>
      <c r="N1563">
        <v>8922.35</v>
      </c>
    </row>
    <row r="1564" spans="1:14" x14ac:dyDescent="0.2">
      <c r="A1564" s="1">
        <v>45604</v>
      </c>
      <c r="B1564" s="2" t="s">
        <v>20</v>
      </c>
      <c r="C1564" s="2" t="s">
        <v>35</v>
      </c>
      <c r="D1564" s="2" t="s">
        <v>16</v>
      </c>
      <c r="E1564">
        <v>15751</v>
      </c>
      <c r="F1564">
        <v>442</v>
      </c>
      <c r="G1564">
        <v>25</v>
      </c>
      <c r="H1564">
        <v>835.73</v>
      </c>
      <c r="I1564">
        <v>2364.83</v>
      </c>
      <c r="J1564">
        <v>2.81</v>
      </c>
      <c r="K1564">
        <v>5.66</v>
      </c>
      <c r="L1564">
        <v>33.43</v>
      </c>
      <c r="M1564">
        <v>2.83</v>
      </c>
      <c r="N1564">
        <v>1529.1</v>
      </c>
    </row>
    <row r="1565" spans="1:14" x14ac:dyDescent="0.2">
      <c r="A1565" s="1">
        <v>45604</v>
      </c>
      <c r="B1565" s="2" t="s">
        <v>23</v>
      </c>
      <c r="C1565" s="2" t="s">
        <v>32</v>
      </c>
      <c r="D1565" s="2" t="s">
        <v>22</v>
      </c>
      <c r="E1565">
        <v>7722</v>
      </c>
      <c r="F1565">
        <v>123</v>
      </c>
      <c r="G1565">
        <v>12</v>
      </c>
      <c r="H1565">
        <v>1847.78</v>
      </c>
      <c r="I1565">
        <v>4251.24</v>
      </c>
      <c r="J1565">
        <v>1.59</v>
      </c>
      <c r="K1565">
        <v>9.76</v>
      </c>
      <c r="L1565">
        <v>153.97999999999999</v>
      </c>
      <c r="M1565">
        <v>2.2999999999999998</v>
      </c>
      <c r="N1565">
        <v>2403.46</v>
      </c>
    </row>
    <row r="1566" spans="1:14" x14ac:dyDescent="0.2">
      <c r="A1566" s="1">
        <v>45604</v>
      </c>
      <c r="B1566" s="2" t="s">
        <v>24</v>
      </c>
      <c r="C1566" s="2" t="s">
        <v>32</v>
      </c>
      <c r="D1566" s="2" t="s">
        <v>25</v>
      </c>
      <c r="E1566">
        <v>26451</v>
      </c>
      <c r="F1566">
        <v>4922</v>
      </c>
      <c r="G1566">
        <v>623</v>
      </c>
      <c r="H1566">
        <v>367.3</v>
      </c>
      <c r="I1566">
        <v>80275.14</v>
      </c>
      <c r="J1566">
        <v>18.61</v>
      </c>
      <c r="K1566">
        <v>12.66</v>
      </c>
      <c r="L1566">
        <v>0.59</v>
      </c>
      <c r="M1566">
        <v>218.55</v>
      </c>
      <c r="N1566">
        <v>79907.839999999997</v>
      </c>
    </row>
    <row r="1567" spans="1:14" x14ac:dyDescent="0.2">
      <c r="A1567" s="1">
        <v>45604</v>
      </c>
      <c r="B1567" s="2" t="s">
        <v>26</v>
      </c>
      <c r="C1567" s="2" t="s">
        <v>21</v>
      </c>
      <c r="D1567" s="2" t="s">
        <v>25</v>
      </c>
      <c r="E1567">
        <v>48582</v>
      </c>
      <c r="F1567">
        <v>3848</v>
      </c>
      <c r="G1567">
        <v>534</v>
      </c>
      <c r="H1567">
        <v>0</v>
      </c>
      <c r="I1567">
        <v>79969.81</v>
      </c>
      <c r="J1567">
        <v>7.92</v>
      </c>
      <c r="K1567">
        <v>13.88</v>
      </c>
      <c r="L1567">
        <v>0</v>
      </c>
      <c r="M1567">
        <v>0</v>
      </c>
      <c r="N1567">
        <v>79969.81</v>
      </c>
    </row>
    <row r="1568" spans="1:14" x14ac:dyDescent="0.2">
      <c r="A1568" s="1">
        <v>45604</v>
      </c>
      <c r="B1568" s="2" t="s">
        <v>27</v>
      </c>
      <c r="C1568" s="2" t="s">
        <v>18</v>
      </c>
      <c r="D1568" s="2" t="s">
        <v>36</v>
      </c>
      <c r="E1568">
        <v>38368</v>
      </c>
      <c r="F1568">
        <v>711</v>
      </c>
      <c r="G1568">
        <v>29</v>
      </c>
      <c r="H1568">
        <v>1722.33</v>
      </c>
      <c r="I1568">
        <v>4024.51</v>
      </c>
      <c r="J1568">
        <v>1.85</v>
      </c>
      <c r="K1568">
        <v>4.08</v>
      </c>
      <c r="L1568">
        <v>59.39</v>
      </c>
      <c r="M1568">
        <v>2.34</v>
      </c>
      <c r="N1568">
        <v>2302.1799999999998</v>
      </c>
    </row>
    <row r="1569" spans="1:14" x14ac:dyDescent="0.2">
      <c r="A1569" s="1">
        <v>45604</v>
      </c>
      <c r="B1569" s="2" t="s">
        <v>29</v>
      </c>
      <c r="C1569" s="2" t="s">
        <v>15</v>
      </c>
      <c r="D1569" s="2" t="s">
        <v>22</v>
      </c>
      <c r="E1569">
        <v>29159</v>
      </c>
      <c r="F1569">
        <v>779</v>
      </c>
      <c r="G1569">
        <v>32</v>
      </c>
      <c r="H1569">
        <v>1122</v>
      </c>
      <c r="I1569">
        <v>3608.19</v>
      </c>
      <c r="J1569">
        <v>2.67</v>
      </c>
      <c r="K1569">
        <v>4.1100000000000003</v>
      </c>
      <c r="L1569">
        <v>35.06</v>
      </c>
      <c r="M1569">
        <v>3.22</v>
      </c>
      <c r="N1569">
        <v>2486.19</v>
      </c>
    </row>
    <row r="1570" spans="1:14" x14ac:dyDescent="0.2">
      <c r="A1570" s="1">
        <v>45604</v>
      </c>
      <c r="B1570" s="2" t="s">
        <v>30</v>
      </c>
      <c r="C1570" s="2" t="s">
        <v>28</v>
      </c>
      <c r="D1570" s="2" t="s">
        <v>19</v>
      </c>
      <c r="E1570">
        <v>15980</v>
      </c>
      <c r="F1570">
        <v>354</v>
      </c>
      <c r="G1570">
        <v>11</v>
      </c>
      <c r="H1570">
        <v>763.13</v>
      </c>
      <c r="I1570">
        <v>841.09</v>
      </c>
      <c r="J1570">
        <v>2.2200000000000002</v>
      </c>
      <c r="K1570">
        <v>3.11</v>
      </c>
      <c r="L1570">
        <v>69.38</v>
      </c>
      <c r="M1570">
        <v>1.1000000000000001</v>
      </c>
      <c r="N1570">
        <v>77.959999999999994</v>
      </c>
    </row>
    <row r="1571" spans="1:14" x14ac:dyDescent="0.2">
      <c r="A1571" s="1">
        <v>45604</v>
      </c>
      <c r="B1571" s="2" t="s">
        <v>31</v>
      </c>
      <c r="C1571" s="2" t="s">
        <v>15</v>
      </c>
      <c r="D1571" s="2" t="s">
        <v>16</v>
      </c>
      <c r="E1571">
        <v>25684</v>
      </c>
      <c r="F1571">
        <v>1146</v>
      </c>
      <c r="G1571">
        <v>50</v>
      </c>
      <c r="H1571">
        <v>1392.69</v>
      </c>
      <c r="I1571">
        <v>4392.8900000000003</v>
      </c>
      <c r="J1571">
        <v>4.46</v>
      </c>
      <c r="K1571">
        <v>4.3600000000000003</v>
      </c>
      <c r="L1571">
        <v>27.85</v>
      </c>
      <c r="M1571">
        <v>3.15</v>
      </c>
      <c r="N1571">
        <v>3000.2</v>
      </c>
    </row>
    <row r="1572" spans="1:14" x14ac:dyDescent="0.2">
      <c r="A1572" s="1">
        <v>45604</v>
      </c>
      <c r="B1572" s="2" t="s">
        <v>33</v>
      </c>
      <c r="C1572" s="2" t="s">
        <v>28</v>
      </c>
      <c r="D1572" s="2" t="s">
        <v>36</v>
      </c>
      <c r="E1572">
        <v>10840</v>
      </c>
      <c r="F1572">
        <v>673</v>
      </c>
      <c r="G1572">
        <v>81</v>
      </c>
      <c r="H1572">
        <v>533.30999999999995</v>
      </c>
      <c r="I1572">
        <v>9495.23</v>
      </c>
      <c r="J1572">
        <v>6.21</v>
      </c>
      <c r="K1572">
        <v>12.04</v>
      </c>
      <c r="L1572">
        <v>6.58</v>
      </c>
      <c r="M1572">
        <v>17.8</v>
      </c>
      <c r="N1572">
        <v>8961.92</v>
      </c>
    </row>
    <row r="1573" spans="1:14" x14ac:dyDescent="0.2">
      <c r="A1573" s="1">
        <v>45604</v>
      </c>
      <c r="B1573" s="2" t="s">
        <v>34</v>
      </c>
      <c r="C1573" s="2" t="s">
        <v>21</v>
      </c>
      <c r="D1573" s="2" t="s">
        <v>19</v>
      </c>
      <c r="E1573">
        <v>4267</v>
      </c>
      <c r="F1573">
        <v>372</v>
      </c>
      <c r="G1573">
        <v>51</v>
      </c>
      <c r="H1573">
        <v>251.18</v>
      </c>
      <c r="I1573">
        <v>8169.11</v>
      </c>
      <c r="J1573">
        <v>8.7200000000000006</v>
      </c>
      <c r="K1573">
        <v>13.71</v>
      </c>
      <c r="L1573">
        <v>4.93</v>
      </c>
      <c r="M1573">
        <v>32.520000000000003</v>
      </c>
      <c r="N1573">
        <v>7917.93</v>
      </c>
    </row>
    <row r="1574" spans="1:14" x14ac:dyDescent="0.2">
      <c r="A1574" s="1">
        <v>45605</v>
      </c>
      <c r="B1574" s="2" t="s">
        <v>14</v>
      </c>
      <c r="C1574" s="2" t="s">
        <v>21</v>
      </c>
      <c r="D1574" s="2" t="s">
        <v>19</v>
      </c>
      <c r="E1574">
        <v>14371</v>
      </c>
      <c r="F1574">
        <v>685</v>
      </c>
      <c r="G1574">
        <v>56</v>
      </c>
      <c r="H1574">
        <v>825.69</v>
      </c>
      <c r="I1574">
        <v>8418.18</v>
      </c>
      <c r="J1574">
        <v>4.7699999999999996</v>
      </c>
      <c r="K1574">
        <v>8.18</v>
      </c>
      <c r="L1574">
        <v>14.74</v>
      </c>
      <c r="M1574">
        <v>10.199999999999999</v>
      </c>
      <c r="N1574">
        <v>7592.49</v>
      </c>
    </row>
    <row r="1575" spans="1:14" x14ac:dyDescent="0.2">
      <c r="A1575" s="1">
        <v>45605</v>
      </c>
      <c r="B1575" s="2" t="s">
        <v>17</v>
      </c>
      <c r="C1575" s="2" t="s">
        <v>15</v>
      </c>
      <c r="D1575" s="2" t="s">
        <v>22</v>
      </c>
      <c r="E1575">
        <v>16671</v>
      </c>
      <c r="F1575">
        <v>391</v>
      </c>
      <c r="G1575">
        <v>27</v>
      </c>
      <c r="H1575">
        <v>912.97</v>
      </c>
      <c r="I1575">
        <v>3137.08</v>
      </c>
      <c r="J1575">
        <v>2.35</v>
      </c>
      <c r="K1575">
        <v>6.91</v>
      </c>
      <c r="L1575">
        <v>33.81</v>
      </c>
      <c r="M1575">
        <v>3.44</v>
      </c>
      <c r="N1575">
        <v>2224.11</v>
      </c>
    </row>
    <row r="1576" spans="1:14" x14ac:dyDescent="0.2">
      <c r="A1576" s="1">
        <v>45605</v>
      </c>
      <c r="B1576" s="2" t="s">
        <v>20</v>
      </c>
      <c r="C1576" s="2" t="s">
        <v>15</v>
      </c>
      <c r="D1576" s="2" t="s">
        <v>36</v>
      </c>
      <c r="E1576">
        <v>10457</v>
      </c>
      <c r="F1576">
        <v>434</v>
      </c>
      <c r="G1576">
        <v>22</v>
      </c>
      <c r="H1576">
        <v>502.72</v>
      </c>
      <c r="I1576">
        <v>2349.4</v>
      </c>
      <c r="J1576">
        <v>4.1500000000000004</v>
      </c>
      <c r="K1576">
        <v>5.07</v>
      </c>
      <c r="L1576">
        <v>22.85</v>
      </c>
      <c r="M1576">
        <v>4.67</v>
      </c>
      <c r="N1576">
        <v>1846.68</v>
      </c>
    </row>
    <row r="1577" spans="1:14" x14ac:dyDescent="0.2">
      <c r="A1577" s="1">
        <v>45605</v>
      </c>
      <c r="B1577" s="2" t="s">
        <v>23</v>
      </c>
      <c r="C1577" s="2" t="s">
        <v>28</v>
      </c>
      <c r="D1577" s="2" t="s">
        <v>16</v>
      </c>
      <c r="E1577">
        <v>4611</v>
      </c>
      <c r="F1577">
        <v>129</v>
      </c>
      <c r="G1577">
        <v>17</v>
      </c>
      <c r="H1577">
        <v>1244</v>
      </c>
      <c r="I1577">
        <v>5406.63</v>
      </c>
      <c r="J1577">
        <v>2.8</v>
      </c>
      <c r="K1577">
        <v>13.18</v>
      </c>
      <c r="L1577">
        <v>73.180000000000007</v>
      </c>
      <c r="M1577">
        <v>4.3499999999999996</v>
      </c>
      <c r="N1577">
        <v>4162.63</v>
      </c>
    </row>
    <row r="1578" spans="1:14" x14ac:dyDescent="0.2">
      <c r="A1578" s="1">
        <v>45605</v>
      </c>
      <c r="B1578" s="2" t="s">
        <v>24</v>
      </c>
      <c r="C1578" s="2" t="s">
        <v>28</v>
      </c>
      <c r="D1578" s="2" t="s">
        <v>25</v>
      </c>
      <c r="E1578">
        <v>22674</v>
      </c>
      <c r="F1578">
        <v>5190</v>
      </c>
      <c r="G1578">
        <v>509</v>
      </c>
      <c r="H1578">
        <v>181.22</v>
      </c>
      <c r="I1578">
        <v>63741.67</v>
      </c>
      <c r="J1578">
        <v>22.89</v>
      </c>
      <c r="K1578">
        <v>9.81</v>
      </c>
      <c r="L1578">
        <v>0.36</v>
      </c>
      <c r="M1578">
        <v>351.74</v>
      </c>
      <c r="N1578">
        <v>63560.45</v>
      </c>
    </row>
    <row r="1579" spans="1:14" x14ac:dyDescent="0.2">
      <c r="A1579" s="1">
        <v>45605</v>
      </c>
      <c r="B1579" s="2" t="s">
        <v>26</v>
      </c>
      <c r="C1579" s="2" t="s">
        <v>28</v>
      </c>
      <c r="D1579" s="2" t="s">
        <v>25</v>
      </c>
      <c r="E1579">
        <v>22364</v>
      </c>
      <c r="F1579">
        <v>1716</v>
      </c>
      <c r="G1579">
        <v>256</v>
      </c>
      <c r="H1579">
        <v>0</v>
      </c>
      <c r="I1579">
        <v>35360.5</v>
      </c>
      <c r="J1579">
        <v>7.67</v>
      </c>
      <c r="K1579">
        <v>14.92</v>
      </c>
      <c r="L1579">
        <v>0</v>
      </c>
      <c r="M1579">
        <v>0</v>
      </c>
      <c r="N1579">
        <v>35360.5</v>
      </c>
    </row>
    <row r="1580" spans="1:14" x14ac:dyDescent="0.2">
      <c r="A1580" s="1">
        <v>45605</v>
      </c>
      <c r="B1580" s="2" t="s">
        <v>27</v>
      </c>
      <c r="C1580" s="2" t="s">
        <v>28</v>
      </c>
      <c r="D1580" s="2" t="s">
        <v>25</v>
      </c>
      <c r="E1580">
        <v>25335</v>
      </c>
      <c r="F1580">
        <v>470</v>
      </c>
      <c r="G1580">
        <v>14</v>
      </c>
      <c r="H1580">
        <v>891.72</v>
      </c>
      <c r="I1580">
        <v>1776.21</v>
      </c>
      <c r="J1580">
        <v>1.86</v>
      </c>
      <c r="K1580">
        <v>2.98</v>
      </c>
      <c r="L1580">
        <v>63.69</v>
      </c>
      <c r="M1580">
        <v>1.99</v>
      </c>
      <c r="N1580">
        <v>884.49</v>
      </c>
    </row>
    <row r="1581" spans="1:14" x14ac:dyDescent="0.2">
      <c r="A1581" s="1">
        <v>45605</v>
      </c>
      <c r="B1581" s="2" t="s">
        <v>29</v>
      </c>
      <c r="C1581" s="2" t="s">
        <v>32</v>
      </c>
      <c r="D1581" s="2" t="s">
        <v>36</v>
      </c>
      <c r="E1581">
        <v>23778</v>
      </c>
      <c r="F1581">
        <v>618</v>
      </c>
      <c r="G1581">
        <v>31</v>
      </c>
      <c r="H1581">
        <v>1166.92</v>
      </c>
      <c r="I1581">
        <v>4080.42</v>
      </c>
      <c r="J1581">
        <v>2.6</v>
      </c>
      <c r="K1581">
        <v>5.0199999999999996</v>
      </c>
      <c r="L1581">
        <v>37.64</v>
      </c>
      <c r="M1581">
        <v>3.5</v>
      </c>
      <c r="N1581">
        <v>2913.5</v>
      </c>
    </row>
    <row r="1582" spans="1:14" x14ac:dyDescent="0.2">
      <c r="A1582" s="1">
        <v>45605</v>
      </c>
      <c r="B1582" s="2" t="s">
        <v>30</v>
      </c>
      <c r="C1582" s="2" t="s">
        <v>32</v>
      </c>
      <c r="D1582" s="2" t="s">
        <v>16</v>
      </c>
      <c r="E1582">
        <v>8439</v>
      </c>
      <c r="F1582">
        <v>179</v>
      </c>
      <c r="G1582">
        <v>9</v>
      </c>
      <c r="H1582">
        <v>426.05</v>
      </c>
      <c r="I1582">
        <v>877.13</v>
      </c>
      <c r="J1582">
        <v>2.12</v>
      </c>
      <c r="K1582">
        <v>5.03</v>
      </c>
      <c r="L1582">
        <v>47.34</v>
      </c>
      <c r="M1582">
        <v>2.06</v>
      </c>
      <c r="N1582">
        <v>451.08</v>
      </c>
    </row>
    <row r="1583" spans="1:14" x14ac:dyDescent="0.2">
      <c r="A1583" s="1">
        <v>45605</v>
      </c>
      <c r="B1583" s="2" t="s">
        <v>31</v>
      </c>
      <c r="C1583" s="2" t="s">
        <v>35</v>
      </c>
      <c r="D1583" s="2" t="s">
        <v>25</v>
      </c>
      <c r="E1583">
        <v>26447</v>
      </c>
      <c r="F1583">
        <v>828</v>
      </c>
      <c r="G1583">
        <v>42</v>
      </c>
      <c r="H1583">
        <v>749.23</v>
      </c>
      <c r="I1583">
        <v>3810.77</v>
      </c>
      <c r="J1583">
        <v>3.13</v>
      </c>
      <c r="K1583">
        <v>5.07</v>
      </c>
      <c r="L1583">
        <v>17.84</v>
      </c>
      <c r="M1583">
        <v>5.09</v>
      </c>
      <c r="N1583">
        <v>3061.54</v>
      </c>
    </row>
    <row r="1584" spans="1:14" x14ac:dyDescent="0.2">
      <c r="A1584" s="1">
        <v>45605</v>
      </c>
      <c r="B1584" s="2" t="s">
        <v>33</v>
      </c>
      <c r="C1584" s="2" t="s">
        <v>32</v>
      </c>
      <c r="D1584" s="2" t="s">
        <v>16</v>
      </c>
      <c r="E1584">
        <v>7024</v>
      </c>
      <c r="F1584">
        <v>318</v>
      </c>
      <c r="G1584">
        <v>29</v>
      </c>
      <c r="H1584">
        <v>595.80999999999995</v>
      </c>
      <c r="I1584">
        <v>4249.51</v>
      </c>
      <c r="J1584">
        <v>4.53</v>
      </c>
      <c r="K1584">
        <v>9.1199999999999992</v>
      </c>
      <c r="L1584">
        <v>20.55</v>
      </c>
      <c r="M1584">
        <v>7.13</v>
      </c>
      <c r="N1584">
        <v>3653.7</v>
      </c>
    </row>
    <row r="1585" spans="1:14" x14ac:dyDescent="0.2">
      <c r="A1585" s="1">
        <v>45605</v>
      </c>
      <c r="B1585" s="2" t="s">
        <v>34</v>
      </c>
      <c r="C1585" s="2" t="s">
        <v>18</v>
      </c>
      <c r="D1585" s="2" t="s">
        <v>22</v>
      </c>
      <c r="E1585">
        <v>4928</v>
      </c>
      <c r="F1585">
        <v>293</v>
      </c>
      <c r="G1585">
        <v>39</v>
      </c>
      <c r="H1585">
        <v>76.56</v>
      </c>
      <c r="I1585">
        <v>4608.82</v>
      </c>
      <c r="J1585">
        <v>5.95</v>
      </c>
      <c r="K1585">
        <v>13.31</v>
      </c>
      <c r="L1585">
        <v>1.96</v>
      </c>
      <c r="M1585">
        <v>60.2</v>
      </c>
      <c r="N1585">
        <v>4532.26</v>
      </c>
    </row>
    <row r="1586" spans="1:14" x14ac:dyDescent="0.2">
      <c r="A1586" s="1">
        <v>45606</v>
      </c>
      <c r="B1586" s="2" t="s">
        <v>14</v>
      </c>
      <c r="C1586" s="2" t="s">
        <v>15</v>
      </c>
      <c r="D1586" s="2" t="s">
        <v>19</v>
      </c>
      <c r="E1586">
        <v>8482</v>
      </c>
      <c r="F1586">
        <v>338</v>
      </c>
      <c r="G1586">
        <v>26</v>
      </c>
      <c r="H1586">
        <v>1237.3499999999999</v>
      </c>
      <c r="I1586">
        <v>4336.6000000000004</v>
      </c>
      <c r="J1586">
        <v>3.98</v>
      </c>
      <c r="K1586">
        <v>7.69</v>
      </c>
      <c r="L1586">
        <v>47.59</v>
      </c>
      <c r="M1586">
        <v>3.5</v>
      </c>
      <c r="N1586">
        <v>3099.25</v>
      </c>
    </row>
    <row r="1587" spans="1:14" x14ac:dyDescent="0.2">
      <c r="A1587" s="1">
        <v>45606</v>
      </c>
      <c r="B1587" s="2" t="s">
        <v>17</v>
      </c>
      <c r="C1587" s="2" t="s">
        <v>21</v>
      </c>
      <c r="D1587" s="2" t="s">
        <v>25</v>
      </c>
      <c r="E1587">
        <v>17034</v>
      </c>
      <c r="F1587">
        <v>553</v>
      </c>
      <c r="G1587">
        <v>35</v>
      </c>
      <c r="H1587">
        <v>743.49</v>
      </c>
      <c r="I1587">
        <v>3468.53</v>
      </c>
      <c r="J1587">
        <v>3.25</v>
      </c>
      <c r="K1587">
        <v>6.33</v>
      </c>
      <c r="L1587">
        <v>21.24</v>
      </c>
      <c r="M1587">
        <v>4.67</v>
      </c>
      <c r="N1587">
        <v>2725.04</v>
      </c>
    </row>
    <row r="1588" spans="1:14" x14ac:dyDescent="0.2">
      <c r="A1588" s="1">
        <v>45606</v>
      </c>
      <c r="B1588" s="2" t="s">
        <v>20</v>
      </c>
      <c r="C1588" s="2" t="s">
        <v>18</v>
      </c>
      <c r="D1588" s="2" t="s">
        <v>25</v>
      </c>
      <c r="E1588">
        <v>15945</v>
      </c>
      <c r="F1588">
        <v>663</v>
      </c>
      <c r="G1588">
        <v>34</v>
      </c>
      <c r="H1588">
        <v>778.76</v>
      </c>
      <c r="I1588">
        <v>3405.06</v>
      </c>
      <c r="J1588">
        <v>4.16</v>
      </c>
      <c r="K1588">
        <v>5.13</v>
      </c>
      <c r="L1588">
        <v>22.9</v>
      </c>
      <c r="M1588">
        <v>4.37</v>
      </c>
      <c r="N1588">
        <v>2626.3</v>
      </c>
    </row>
    <row r="1589" spans="1:14" x14ac:dyDescent="0.2">
      <c r="A1589" s="1">
        <v>45606</v>
      </c>
      <c r="B1589" s="2" t="s">
        <v>23</v>
      </c>
      <c r="C1589" s="2" t="s">
        <v>15</v>
      </c>
      <c r="D1589" s="2" t="s">
        <v>36</v>
      </c>
      <c r="E1589">
        <v>3827</v>
      </c>
      <c r="F1589">
        <v>104</v>
      </c>
      <c r="G1589">
        <v>10</v>
      </c>
      <c r="H1589">
        <v>1033.1199999999999</v>
      </c>
      <c r="I1589">
        <v>2151.62</v>
      </c>
      <c r="J1589">
        <v>2.72</v>
      </c>
      <c r="K1589">
        <v>9.6199999999999992</v>
      </c>
      <c r="L1589">
        <v>103.31</v>
      </c>
      <c r="M1589">
        <v>2.08</v>
      </c>
      <c r="N1589">
        <v>1118.5</v>
      </c>
    </row>
    <row r="1590" spans="1:14" x14ac:dyDescent="0.2">
      <c r="A1590" s="1">
        <v>45606</v>
      </c>
      <c r="B1590" s="2" t="s">
        <v>24</v>
      </c>
      <c r="C1590" s="2" t="s">
        <v>35</v>
      </c>
      <c r="D1590" s="2" t="s">
        <v>36</v>
      </c>
      <c r="E1590">
        <v>24154</v>
      </c>
      <c r="F1590">
        <v>5502</v>
      </c>
      <c r="G1590">
        <v>731</v>
      </c>
      <c r="H1590">
        <v>129.13999999999999</v>
      </c>
      <c r="I1590">
        <v>100705.85</v>
      </c>
      <c r="J1590">
        <v>22.78</v>
      </c>
      <c r="K1590">
        <v>13.29</v>
      </c>
      <c r="L1590">
        <v>0.18</v>
      </c>
      <c r="M1590">
        <v>779.82</v>
      </c>
      <c r="N1590">
        <v>100576.71</v>
      </c>
    </row>
    <row r="1591" spans="1:14" x14ac:dyDescent="0.2">
      <c r="A1591" s="1">
        <v>45606</v>
      </c>
      <c r="B1591" s="2" t="s">
        <v>26</v>
      </c>
      <c r="C1591" s="2" t="s">
        <v>18</v>
      </c>
      <c r="D1591" s="2" t="s">
        <v>16</v>
      </c>
      <c r="E1591">
        <v>30503</v>
      </c>
      <c r="F1591">
        <v>1664</v>
      </c>
      <c r="G1591">
        <v>190</v>
      </c>
      <c r="H1591">
        <v>0</v>
      </c>
      <c r="I1591">
        <v>19604.400000000001</v>
      </c>
      <c r="J1591">
        <v>5.46</v>
      </c>
      <c r="K1591">
        <v>11.42</v>
      </c>
      <c r="L1591">
        <v>0</v>
      </c>
      <c r="M1591">
        <v>0</v>
      </c>
      <c r="N1591">
        <v>19604.400000000001</v>
      </c>
    </row>
    <row r="1592" spans="1:14" x14ac:dyDescent="0.2">
      <c r="A1592" s="1">
        <v>45606</v>
      </c>
      <c r="B1592" s="2" t="s">
        <v>27</v>
      </c>
      <c r="C1592" s="2" t="s">
        <v>18</v>
      </c>
      <c r="D1592" s="2" t="s">
        <v>19</v>
      </c>
      <c r="E1592">
        <v>38126</v>
      </c>
      <c r="F1592">
        <v>629</v>
      </c>
      <c r="G1592">
        <v>28</v>
      </c>
      <c r="H1592">
        <v>1108.3800000000001</v>
      </c>
      <c r="I1592">
        <v>2260.5</v>
      </c>
      <c r="J1592">
        <v>1.65</v>
      </c>
      <c r="K1592">
        <v>4.45</v>
      </c>
      <c r="L1592">
        <v>39.58</v>
      </c>
      <c r="M1592">
        <v>2.04</v>
      </c>
      <c r="N1592">
        <v>1152.1199999999999</v>
      </c>
    </row>
    <row r="1593" spans="1:14" x14ac:dyDescent="0.2">
      <c r="A1593" s="1">
        <v>45606</v>
      </c>
      <c r="B1593" s="2" t="s">
        <v>29</v>
      </c>
      <c r="C1593" s="2" t="s">
        <v>21</v>
      </c>
      <c r="D1593" s="2" t="s">
        <v>25</v>
      </c>
      <c r="E1593">
        <v>14872</v>
      </c>
      <c r="F1593">
        <v>404</v>
      </c>
      <c r="G1593">
        <v>23</v>
      </c>
      <c r="H1593">
        <v>891.17</v>
      </c>
      <c r="I1593">
        <v>3463.97</v>
      </c>
      <c r="J1593">
        <v>2.72</v>
      </c>
      <c r="K1593">
        <v>5.69</v>
      </c>
      <c r="L1593">
        <v>38.75</v>
      </c>
      <c r="M1593">
        <v>3.89</v>
      </c>
      <c r="N1593">
        <v>2572.8000000000002</v>
      </c>
    </row>
    <row r="1594" spans="1:14" x14ac:dyDescent="0.2">
      <c r="A1594" s="1">
        <v>45606</v>
      </c>
      <c r="B1594" s="2" t="s">
        <v>30</v>
      </c>
      <c r="C1594" s="2" t="s">
        <v>15</v>
      </c>
      <c r="D1594" s="2" t="s">
        <v>25</v>
      </c>
      <c r="E1594">
        <v>8159</v>
      </c>
      <c r="F1594">
        <v>179</v>
      </c>
      <c r="G1594">
        <v>9</v>
      </c>
      <c r="H1594">
        <v>484.73</v>
      </c>
      <c r="I1594">
        <v>762.93</v>
      </c>
      <c r="J1594">
        <v>2.19</v>
      </c>
      <c r="K1594">
        <v>5.03</v>
      </c>
      <c r="L1594">
        <v>53.86</v>
      </c>
      <c r="M1594">
        <v>1.57</v>
      </c>
      <c r="N1594">
        <v>278.2</v>
      </c>
    </row>
    <row r="1595" spans="1:14" x14ac:dyDescent="0.2">
      <c r="A1595" s="1">
        <v>45606</v>
      </c>
      <c r="B1595" s="2" t="s">
        <v>31</v>
      </c>
      <c r="C1595" s="2" t="s">
        <v>32</v>
      </c>
      <c r="D1595" s="2" t="s">
        <v>25</v>
      </c>
      <c r="E1595">
        <v>26989</v>
      </c>
      <c r="F1595">
        <v>749</v>
      </c>
      <c r="G1595">
        <v>38</v>
      </c>
      <c r="H1595">
        <v>803.99</v>
      </c>
      <c r="I1595">
        <v>3473.66</v>
      </c>
      <c r="J1595">
        <v>2.78</v>
      </c>
      <c r="K1595">
        <v>5.07</v>
      </c>
      <c r="L1595">
        <v>21.16</v>
      </c>
      <c r="M1595">
        <v>4.32</v>
      </c>
      <c r="N1595">
        <v>2669.67</v>
      </c>
    </row>
    <row r="1596" spans="1:14" x14ac:dyDescent="0.2">
      <c r="A1596" s="1">
        <v>45606</v>
      </c>
      <c r="B1596" s="2" t="s">
        <v>33</v>
      </c>
      <c r="C1596" s="2" t="s">
        <v>15</v>
      </c>
      <c r="D1596" s="2" t="s">
        <v>25</v>
      </c>
      <c r="E1596">
        <v>5318</v>
      </c>
      <c r="F1596">
        <v>314</v>
      </c>
      <c r="G1596">
        <v>31</v>
      </c>
      <c r="H1596">
        <v>318.8</v>
      </c>
      <c r="I1596">
        <v>3585.21</v>
      </c>
      <c r="J1596">
        <v>5.9</v>
      </c>
      <c r="K1596">
        <v>9.8699999999999992</v>
      </c>
      <c r="L1596">
        <v>10.28</v>
      </c>
      <c r="M1596">
        <v>11.25</v>
      </c>
      <c r="N1596">
        <v>3266.41</v>
      </c>
    </row>
    <row r="1597" spans="1:14" x14ac:dyDescent="0.2">
      <c r="A1597" s="1">
        <v>45606</v>
      </c>
      <c r="B1597" s="2" t="s">
        <v>34</v>
      </c>
      <c r="C1597" s="2" t="s">
        <v>21</v>
      </c>
      <c r="D1597" s="2" t="s">
        <v>36</v>
      </c>
      <c r="E1597">
        <v>3430</v>
      </c>
      <c r="F1597">
        <v>192</v>
      </c>
      <c r="G1597">
        <v>27</v>
      </c>
      <c r="H1597">
        <v>86.37</v>
      </c>
      <c r="I1597">
        <v>4427.95</v>
      </c>
      <c r="J1597">
        <v>5.6</v>
      </c>
      <c r="K1597">
        <v>14.06</v>
      </c>
      <c r="L1597">
        <v>3.2</v>
      </c>
      <c r="M1597">
        <v>51.27</v>
      </c>
      <c r="N1597">
        <v>4341.58</v>
      </c>
    </row>
    <row r="1598" spans="1:14" x14ac:dyDescent="0.2">
      <c r="A1598" s="1">
        <v>45607</v>
      </c>
      <c r="B1598" s="2" t="s">
        <v>14</v>
      </c>
      <c r="C1598" s="2" t="s">
        <v>35</v>
      </c>
      <c r="D1598" s="2" t="s">
        <v>36</v>
      </c>
      <c r="E1598">
        <v>18145</v>
      </c>
      <c r="F1598">
        <v>834</v>
      </c>
      <c r="G1598">
        <v>67</v>
      </c>
      <c r="H1598">
        <v>2025.81</v>
      </c>
      <c r="I1598">
        <v>9213.5400000000009</v>
      </c>
      <c r="J1598">
        <v>4.5999999999999996</v>
      </c>
      <c r="K1598">
        <v>8.0299999999999994</v>
      </c>
      <c r="L1598">
        <v>30.24</v>
      </c>
      <c r="M1598">
        <v>4.55</v>
      </c>
      <c r="N1598">
        <v>7187.73</v>
      </c>
    </row>
    <row r="1599" spans="1:14" x14ac:dyDescent="0.2">
      <c r="A1599" s="1">
        <v>45607</v>
      </c>
      <c r="B1599" s="2" t="s">
        <v>17</v>
      </c>
      <c r="C1599" s="2" t="s">
        <v>28</v>
      </c>
      <c r="D1599" s="2" t="s">
        <v>25</v>
      </c>
      <c r="E1599">
        <v>23247</v>
      </c>
      <c r="F1599">
        <v>576</v>
      </c>
      <c r="G1599">
        <v>44</v>
      </c>
      <c r="H1599">
        <v>857.21</v>
      </c>
      <c r="I1599">
        <v>5426.98</v>
      </c>
      <c r="J1599">
        <v>2.48</v>
      </c>
      <c r="K1599">
        <v>7.64</v>
      </c>
      <c r="L1599">
        <v>19.48</v>
      </c>
      <c r="M1599">
        <v>6.33</v>
      </c>
      <c r="N1599">
        <v>4569.7700000000004</v>
      </c>
    </row>
    <row r="1600" spans="1:14" x14ac:dyDescent="0.2">
      <c r="A1600" s="1">
        <v>45607</v>
      </c>
      <c r="B1600" s="2" t="s">
        <v>20</v>
      </c>
      <c r="C1600" s="2" t="s">
        <v>15</v>
      </c>
      <c r="D1600" s="2" t="s">
        <v>25</v>
      </c>
      <c r="E1600">
        <v>14110</v>
      </c>
      <c r="F1600">
        <v>470</v>
      </c>
      <c r="G1600">
        <v>19</v>
      </c>
      <c r="H1600">
        <v>927.45</v>
      </c>
      <c r="I1600">
        <v>1448.46</v>
      </c>
      <c r="J1600">
        <v>3.33</v>
      </c>
      <c r="K1600">
        <v>4.04</v>
      </c>
      <c r="L1600">
        <v>48.81</v>
      </c>
      <c r="M1600">
        <v>1.56</v>
      </c>
      <c r="N1600">
        <v>521.01</v>
      </c>
    </row>
    <row r="1601" spans="1:14" x14ac:dyDescent="0.2">
      <c r="A1601" s="1">
        <v>45607</v>
      </c>
      <c r="B1601" s="2" t="s">
        <v>23</v>
      </c>
      <c r="C1601" s="2" t="s">
        <v>21</v>
      </c>
      <c r="D1601" s="2" t="s">
        <v>19</v>
      </c>
      <c r="E1601">
        <v>7537</v>
      </c>
      <c r="F1601">
        <v>186</v>
      </c>
      <c r="G1601">
        <v>18</v>
      </c>
      <c r="H1601">
        <v>2016.47</v>
      </c>
      <c r="I1601">
        <v>5233.74</v>
      </c>
      <c r="J1601">
        <v>2.4700000000000002</v>
      </c>
      <c r="K1601">
        <v>9.68</v>
      </c>
      <c r="L1601">
        <v>112.03</v>
      </c>
      <c r="M1601">
        <v>2.6</v>
      </c>
      <c r="N1601">
        <v>3217.27</v>
      </c>
    </row>
    <row r="1602" spans="1:14" x14ac:dyDescent="0.2">
      <c r="A1602" s="1">
        <v>45607</v>
      </c>
      <c r="B1602" s="2" t="s">
        <v>24</v>
      </c>
      <c r="C1602" s="2" t="s">
        <v>18</v>
      </c>
      <c r="D1602" s="2" t="s">
        <v>36</v>
      </c>
      <c r="E1602">
        <v>31548</v>
      </c>
      <c r="F1602">
        <v>5906</v>
      </c>
      <c r="G1602">
        <v>541</v>
      </c>
      <c r="H1602">
        <v>412.52</v>
      </c>
      <c r="I1602">
        <v>78894.070000000007</v>
      </c>
      <c r="J1602">
        <v>18.72</v>
      </c>
      <c r="K1602">
        <v>9.16</v>
      </c>
      <c r="L1602">
        <v>0.76</v>
      </c>
      <c r="M1602">
        <v>191.25</v>
      </c>
      <c r="N1602">
        <v>78481.55</v>
      </c>
    </row>
    <row r="1603" spans="1:14" x14ac:dyDescent="0.2">
      <c r="A1603" s="1">
        <v>45607</v>
      </c>
      <c r="B1603" s="2" t="s">
        <v>26</v>
      </c>
      <c r="C1603" s="2" t="s">
        <v>18</v>
      </c>
      <c r="D1603" s="2" t="s">
        <v>19</v>
      </c>
      <c r="E1603">
        <v>29390</v>
      </c>
      <c r="F1603">
        <v>1276</v>
      </c>
      <c r="G1603">
        <v>165</v>
      </c>
      <c r="H1603">
        <v>0</v>
      </c>
      <c r="I1603">
        <v>22808.880000000001</v>
      </c>
      <c r="J1603">
        <v>4.34</v>
      </c>
      <c r="K1603">
        <v>12.93</v>
      </c>
      <c r="L1603">
        <v>0</v>
      </c>
      <c r="M1603">
        <v>0</v>
      </c>
      <c r="N1603">
        <v>22808.880000000001</v>
      </c>
    </row>
    <row r="1604" spans="1:14" x14ac:dyDescent="0.2">
      <c r="A1604" s="1">
        <v>45607</v>
      </c>
      <c r="B1604" s="2" t="s">
        <v>27</v>
      </c>
      <c r="C1604" s="2" t="s">
        <v>28</v>
      </c>
      <c r="D1604" s="2" t="s">
        <v>16</v>
      </c>
      <c r="E1604">
        <v>35376</v>
      </c>
      <c r="F1604">
        <v>547</v>
      </c>
      <c r="G1604">
        <v>19</v>
      </c>
      <c r="H1604">
        <v>1469.39</v>
      </c>
      <c r="I1604">
        <v>1714.21</v>
      </c>
      <c r="J1604">
        <v>1.55</v>
      </c>
      <c r="K1604">
        <v>3.47</v>
      </c>
      <c r="L1604">
        <v>77.34</v>
      </c>
      <c r="M1604">
        <v>1.17</v>
      </c>
      <c r="N1604">
        <v>244.82</v>
      </c>
    </row>
    <row r="1605" spans="1:14" x14ac:dyDescent="0.2">
      <c r="A1605" s="1">
        <v>45607</v>
      </c>
      <c r="B1605" s="2" t="s">
        <v>29</v>
      </c>
      <c r="C1605" s="2" t="s">
        <v>18</v>
      </c>
      <c r="D1605" s="2" t="s">
        <v>22</v>
      </c>
      <c r="E1605">
        <v>28646</v>
      </c>
      <c r="F1605">
        <v>814</v>
      </c>
      <c r="G1605">
        <v>43</v>
      </c>
      <c r="H1605">
        <v>1400.77</v>
      </c>
      <c r="I1605">
        <v>5093.54</v>
      </c>
      <c r="J1605">
        <v>2.84</v>
      </c>
      <c r="K1605">
        <v>5.28</v>
      </c>
      <c r="L1605">
        <v>32.58</v>
      </c>
      <c r="M1605">
        <v>3.64</v>
      </c>
      <c r="N1605">
        <v>3692.77</v>
      </c>
    </row>
    <row r="1606" spans="1:14" x14ac:dyDescent="0.2">
      <c r="A1606" s="1">
        <v>45607</v>
      </c>
      <c r="B1606" s="2" t="s">
        <v>30</v>
      </c>
      <c r="C1606" s="2" t="s">
        <v>35</v>
      </c>
      <c r="D1606" s="2" t="s">
        <v>19</v>
      </c>
      <c r="E1606">
        <v>11512</v>
      </c>
      <c r="F1606">
        <v>347</v>
      </c>
      <c r="G1606">
        <v>18</v>
      </c>
      <c r="H1606">
        <v>878.82</v>
      </c>
      <c r="I1606">
        <v>1898.66</v>
      </c>
      <c r="J1606">
        <v>3.01</v>
      </c>
      <c r="K1606">
        <v>5.19</v>
      </c>
      <c r="L1606">
        <v>48.82</v>
      </c>
      <c r="M1606">
        <v>2.16</v>
      </c>
      <c r="N1606">
        <v>1019.84</v>
      </c>
    </row>
    <row r="1607" spans="1:14" x14ac:dyDescent="0.2">
      <c r="A1607" s="1">
        <v>45607</v>
      </c>
      <c r="B1607" s="2" t="s">
        <v>31</v>
      </c>
      <c r="C1607" s="2" t="s">
        <v>35</v>
      </c>
      <c r="D1607" s="2" t="s">
        <v>36</v>
      </c>
      <c r="E1607">
        <v>33357</v>
      </c>
      <c r="F1607">
        <v>841</v>
      </c>
      <c r="G1607">
        <v>37</v>
      </c>
      <c r="H1607">
        <v>1278.1500000000001</v>
      </c>
      <c r="I1607">
        <v>2679.84</v>
      </c>
      <c r="J1607">
        <v>2.52</v>
      </c>
      <c r="K1607">
        <v>4.4000000000000004</v>
      </c>
      <c r="L1607">
        <v>34.54</v>
      </c>
      <c r="M1607">
        <v>2.1</v>
      </c>
      <c r="N1607">
        <v>1401.69</v>
      </c>
    </row>
    <row r="1608" spans="1:14" x14ac:dyDescent="0.2">
      <c r="A1608" s="1">
        <v>45607</v>
      </c>
      <c r="B1608" s="2" t="s">
        <v>33</v>
      </c>
      <c r="C1608" s="2" t="s">
        <v>21</v>
      </c>
      <c r="D1608" s="2" t="s">
        <v>25</v>
      </c>
      <c r="E1608">
        <v>10390</v>
      </c>
      <c r="F1608">
        <v>519</v>
      </c>
      <c r="G1608">
        <v>46</v>
      </c>
      <c r="H1608">
        <v>971.18</v>
      </c>
      <c r="I1608">
        <v>6587.43</v>
      </c>
      <c r="J1608">
        <v>5</v>
      </c>
      <c r="K1608">
        <v>8.86</v>
      </c>
      <c r="L1608">
        <v>21.11</v>
      </c>
      <c r="M1608">
        <v>6.78</v>
      </c>
      <c r="N1608">
        <v>5616.25</v>
      </c>
    </row>
    <row r="1609" spans="1:14" x14ac:dyDescent="0.2">
      <c r="A1609" s="1">
        <v>45607</v>
      </c>
      <c r="B1609" s="2" t="s">
        <v>34</v>
      </c>
      <c r="C1609" s="2" t="s">
        <v>28</v>
      </c>
      <c r="D1609" s="2" t="s">
        <v>19</v>
      </c>
      <c r="E1609">
        <v>9126</v>
      </c>
      <c r="F1609">
        <v>844</v>
      </c>
      <c r="G1609">
        <v>141</v>
      </c>
      <c r="H1609">
        <v>148.22</v>
      </c>
      <c r="I1609">
        <v>23812.49</v>
      </c>
      <c r="J1609">
        <v>9.25</v>
      </c>
      <c r="K1609">
        <v>16.71</v>
      </c>
      <c r="L1609">
        <v>1.05</v>
      </c>
      <c r="M1609">
        <v>160.66</v>
      </c>
      <c r="N1609">
        <v>23664.27</v>
      </c>
    </row>
    <row r="1610" spans="1:14" x14ac:dyDescent="0.2">
      <c r="A1610" s="1">
        <v>45608</v>
      </c>
      <c r="B1610" s="2" t="s">
        <v>14</v>
      </c>
      <c r="C1610" s="2" t="s">
        <v>28</v>
      </c>
      <c r="D1610" s="2" t="s">
        <v>16</v>
      </c>
      <c r="E1610">
        <v>13487</v>
      </c>
      <c r="F1610">
        <v>567</v>
      </c>
      <c r="G1610">
        <v>67</v>
      </c>
      <c r="H1610">
        <v>1817.87</v>
      </c>
      <c r="I1610">
        <v>8311.5499999999993</v>
      </c>
      <c r="J1610">
        <v>4.2</v>
      </c>
      <c r="K1610">
        <v>11.82</v>
      </c>
      <c r="L1610">
        <v>27.13</v>
      </c>
      <c r="M1610">
        <v>4.57</v>
      </c>
      <c r="N1610">
        <v>6493.68</v>
      </c>
    </row>
    <row r="1611" spans="1:14" x14ac:dyDescent="0.2">
      <c r="A1611" s="1">
        <v>45608</v>
      </c>
      <c r="B1611" s="2" t="s">
        <v>17</v>
      </c>
      <c r="C1611" s="2" t="s">
        <v>28</v>
      </c>
      <c r="D1611" s="2" t="s">
        <v>36</v>
      </c>
      <c r="E1611">
        <v>21144</v>
      </c>
      <c r="F1611">
        <v>530</v>
      </c>
      <c r="G1611">
        <v>36</v>
      </c>
      <c r="H1611">
        <v>1289.8</v>
      </c>
      <c r="I1611">
        <v>4773.9399999999996</v>
      </c>
      <c r="J1611">
        <v>2.5099999999999998</v>
      </c>
      <c r="K1611">
        <v>6.79</v>
      </c>
      <c r="L1611">
        <v>35.83</v>
      </c>
      <c r="M1611">
        <v>3.7</v>
      </c>
      <c r="N1611">
        <v>3484.14</v>
      </c>
    </row>
    <row r="1612" spans="1:14" x14ac:dyDescent="0.2">
      <c r="A1612" s="1">
        <v>45608</v>
      </c>
      <c r="B1612" s="2" t="s">
        <v>20</v>
      </c>
      <c r="C1612" s="2" t="s">
        <v>35</v>
      </c>
      <c r="D1612" s="2" t="s">
        <v>16</v>
      </c>
      <c r="E1612">
        <v>24704</v>
      </c>
      <c r="F1612">
        <v>652</v>
      </c>
      <c r="G1612">
        <v>35</v>
      </c>
      <c r="H1612">
        <v>1334.35</v>
      </c>
      <c r="I1612">
        <v>4151.4799999999996</v>
      </c>
      <c r="J1612">
        <v>2.64</v>
      </c>
      <c r="K1612">
        <v>5.37</v>
      </c>
      <c r="L1612">
        <v>38.119999999999997</v>
      </c>
      <c r="M1612">
        <v>3.11</v>
      </c>
      <c r="N1612">
        <v>2817.13</v>
      </c>
    </row>
    <row r="1613" spans="1:14" x14ac:dyDescent="0.2">
      <c r="A1613" s="1">
        <v>45608</v>
      </c>
      <c r="B1613" s="2" t="s">
        <v>23</v>
      </c>
      <c r="C1613" s="2" t="s">
        <v>35</v>
      </c>
      <c r="D1613" s="2" t="s">
        <v>16</v>
      </c>
      <c r="E1613">
        <v>4582</v>
      </c>
      <c r="F1613">
        <v>106</v>
      </c>
      <c r="G1613">
        <v>12</v>
      </c>
      <c r="H1613">
        <v>2362.85</v>
      </c>
      <c r="I1613">
        <v>2883.69</v>
      </c>
      <c r="J1613">
        <v>2.31</v>
      </c>
      <c r="K1613">
        <v>11.32</v>
      </c>
      <c r="L1613">
        <v>196.9</v>
      </c>
      <c r="M1613">
        <v>1.22</v>
      </c>
      <c r="N1613">
        <v>520.84</v>
      </c>
    </row>
    <row r="1614" spans="1:14" x14ac:dyDescent="0.2">
      <c r="A1614" s="1">
        <v>45608</v>
      </c>
      <c r="B1614" s="2" t="s">
        <v>24</v>
      </c>
      <c r="C1614" s="2" t="s">
        <v>15</v>
      </c>
      <c r="D1614" s="2" t="s">
        <v>16</v>
      </c>
      <c r="E1614">
        <v>31744</v>
      </c>
      <c r="F1614">
        <v>5626</v>
      </c>
      <c r="G1614">
        <v>579</v>
      </c>
      <c r="H1614">
        <v>146.12</v>
      </c>
      <c r="I1614">
        <v>83982.17</v>
      </c>
      <c r="J1614">
        <v>17.72</v>
      </c>
      <c r="K1614">
        <v>10.29</v>
      </c>
      <c r="L1614">
        <v>0.25</v>
      </c>
      <c r="M1614">
        <v>574.75</v>
      </c>
      <c r="N1614">
        <v>83836.05</v>
      </c>
    </row>
    <row r="1615" spans="1:14" x14ac:dyDescent="0.2">
      <c r="A1615" s="1">
        <v>45608</v>
      </c>
      <c r="B1615" s="2" t="s">
        <v>26</v>
      </c>
      <c r="C1615" s="2" t="s">
        <v>18</v>
      </c>
      <c r="D1615" s="2" t="s">
        <v>19</v>
      </c>
      <c r="E1615">
        <v>37902</v>
      </c>
      <c r="F1615">
        <v>2879</v>
      </c>
      <c r="G1615">
        <v>334</v>
      </c>
      <c r="H1615">
        <v>0</v>
      </c>
      <c r="I1615">
        <v>37757.35</v>
      </c>
      <c r="J1615">
        <v>7.6</v>
      </c>
      <c r="K1615">
        <v>11.6</v>
      </c>
      <c r="L1615">
        <v>0</v>
      </c>
      <c r="M1615">
        <v>0</v>
      </c>
      <c r="N1615">
        <v>37757.35</v>
      </c>
    </row>
    <row r="1616" spans="1:14" x14ac:dyDescent="0.2">
      <c r="A1616" s="1">
        <v>45608</v>
      </c>
      <c r="B1616" s="2" t="s">
        <v>27</v>
      </c>
      <c r="C1616" s="2" t="s">
        <v>15</v>
      </c>
      <c r="D1616" s="2" t="s">
        <v>16</v>
      </c>
      <c r="E1616">
        <v>52938</v>
      </c>
      <c r="F1616">
        <v>652</v>
      </c>
      <c r="G1616">
        <v>22</v>
      </c>
      <c r="H1616">
        <v>1558.11</v>
      </c>
      <c r="I1616">
        <v>2428.16</v>
      </c>
      <c r="J1616">
        <v>1.23</v>
      </c>
      <c r="K1616">
        <v>3.37</v>
      </c>
      <c r="L1616">
        <v>70.819999999999993</v>
      </c>
      <c r="M1616">
        <v>1.56</v>
      </c>
      <c r="N1616">
        <v>870.05</v>
      </c>
    </row>
    <row r="1617" spans="1:14" x14ac:dyDescent="0.2">
      <c r="A1617" s="1">
        <v>45608</v>
      </c>
      <c r="B1617" s="2" t="s">
        <v>29</v>
      </c>
      <c r="C1617" s="2" t="s">
        <v>15</v>
      </c>
      <c r="D1617" s="2" t="s">
        <v>22</v>
      </c>
      <c r="E1617">
        <v>31606</v>
      </c>
      <c r="F1617">
        <v>882</v>
      </c>
      <c r="G1617">
        <v>68</v>
      </c>
      <c r="H1617">
        <v>1643.76</v>
      </c>
      <c r="I1617">
        <v>6714.17</v>
      </c>
      <c r="J1617">
        <v>2.79</v>
      </c>
      <c r="K1617">
        <v>7.71</v>
      </c>
      <c r="L1617">
        <v>24.17</v>
      </c>
      <c r="M1617">
        <v>4.08</v>
      </c>
      <c r="N1617">
        <v>5070.41</v>
      </c>
    </row>
    <row r="1618" spans="1:14" x14ac:dyDescent="0.2">
      <c r="A1618" s="1">
        <v>45608</v>
      </c>
      <c r="B1618" s="2" t="s">
        <v>30</v>
      </c>
      <c r="C1618" s="2" t="s">
        <v>15</v>
      </c>
      <c r="D1618" s="2" t="s">
        <v>22</v>
      </c>
      <c r="E1618">
        <v>18860</v>
      </c>
      <c r="F1618">
        <v>503</v>
      </c>
      <c r="G1618">
        <v>22</v>
      </c>
      <c r="H1618">
        <v>864.31</v>
      </c>
      <c r="I1618">
        <v>2240.3200000000002</v>
      </c>
      <c r="J1618">
        <v>2.67</v>
      </c>
      <c r="K1618">
        <v>4.37</v>
      </c>
      <c r="L1618">
        <v>39.29</v>
      </c>
      <c r="M1618">
        <v>2.59</v>
      </c>
      <c r="N1618">
        <v>1376.01</v>
      </c>
    </row>
    <row r="1619" spans="1:14" x14ac:dyDescent="0.2">
      <c r="A1619" s="1">
        <v>45608</v>
      </c>
      <c r="B1619" s="2" t="s">
        <v>31</v>
      </c>
      <c r="C1619" s="2" t="s">
        <v>32</v>
      </c>
      <c r="D1619" s="2" t="s">
        <v>22</v>
      </c>
      <c r="E1619">
        <v>41907</v>
      </c>
      <c r="F1619">
        <v>1166</v>
      </c>
      <c r="G1619">
        <v>53</v>
      </c>
      <c r="H1619">
        <v>1044.1199999999999</v>
      </c>
      <c r="I1619">
        <v>5567.22</v>
      </c>
      <c r="J1619">
        <v>2.78</v>
      </c>
      <c r="K1619">
        <v>4.55</v>
      </c>
      <c r="L1619">
        <v>19.7</v>
      </c>
      <c r="M1619">
        <v>5.33</v>
      </c>
      <c r="N1619">
        <v>4523.1000000000004</v>
      </c>
    </row>
    <row r="1620" spans="1:14" x14ac:dyDescent="0.2">
      <c r="A1620" s="1">
        <v>45608</v>
      </c>
      <c r="B1620" s="2" t="s">
        <v>33</v>
      </c>
      <c r="C1620" s="2" t="s">
        <v>32</v>
      </c>
      <c r="D1620" s="2" t="s">
        <v>22</v>
      </c>
      <c r="E1620">
        <v>13680</v>
      </c>
      <c r="F1620">
        <v>620</v>
      </c>
      <c r="G1620">
        <v>51</v>
      </c>
      <c r="H1620">
        <v>734.57</v>
      </c>
      <c r="I1620">
        <v>6707.23</v>
      </c>
      <c r="J1620">
        <v>4.53</v>
      </c>
      <c r="K1620">
        <v>8.23</v>
      </c>
      <c r="L1620">
        <v>14.4</v>
      </c>
      <c r="M1620">
        <v>9.1300000000000008</v>
      </c>
      <c r="N1620">
        <v>5972.66</v>
      </c>
    </row>
    <row r="1621" spans="1:14" x14ac:dyDescent="0.2">
      <c r="A1621" s="1">
        <v>45608</v>
      </c>
      <c r="B1621" s="2" t="s">
        <v>34</v>
      </c>
      <c r="C1621" s="2" t="s">
        <v>35</v>
      </c>
      <c r="D1621" s="2" t="s">
        <v>25</v>
      </c>
      <c r="E1621">
        <v>6552</v>
      </c>
      <c r="F1621">
        <v>337</v>
      </c>
      <c r="G1621">
        <v>39</v>
      </c>
      <c r="H1621">
        <v>276.58999999999997</v>
      </c>
      <c r="I1621">
        <v>5122.51</v>
      </c>
      <c r="J1621">
        <v>5.14</v>
      </c>
      <c r="K1621">
        <v>11.57</v>
      </c>
      <c r="L1621">
        <v>7.09</v>
      </c>
      <c r="M1621">
        <v>18.52</v>
      </c>
      <c r="N1621">
        <v>4845.92</v>
      </c>
    </row>
    <row r="1622" spans="1:14" x14ac:dyDescent="0.2">
      <c r="A1622" s="1">
        <v>45609</v>
      </c>
      <c r="B1622" s="2" t="s">
        <v>14</v>
      </c>
      <c r="C1622" s="2" t="s">
        <v>28</v>
      </c>
      <c r="D1622" s="2" t="s">
        <v>36</v>
      </c>
      <c r="E1622">
        <v>18807</v>
      </c>
      <c r="F1622">
        <v>911</v>
      </c>
      <c r="G1622">
        <v>93</v>
      </c>
      <c r="H1622">
        <v>2033.79</v>
      </c>
      <c r="I1622">
        <v>12551.69</v>
      </c>
      <c r="J1622">
        <v>4.84</v>
      </c>
      <c r="K1622">
        <v>10.210000000000001</v>
      </c>
      <c r="L1622">
        <v>21.87</v>
      </c>
      <c r="M1622">
        <v>6.17</v>
      </c>
      <c r="N1622">
        <v>10517.9</v>
      </c>
    </row>
    <row r="1623" spans="1:14" x14ac:dyDescent="0.2">
      <c r="A1623" s="1">
        <v>45609</v>
      </c>
      <c r="B1623" s="2" t="s">
        <v>17</v>
      </c>
      <c r="C1623" s="2" t="s">
        <v>21</v>
      </c>
      <c r="D1623" s="2" t="s">
        <v>36</v>
      </c>
      <c r="E1623">
        <v>23350</v>
      </c>
      <c r="F1623">
        <v>869</v>
      </c>
      <c r="G1623">
        <v>60</v>
      </c>
      <c r="H1623">
        <v>1361.92</v>
      </c>
      <c r="I1623">
        <v>7972.44</v>
      </c>
      <c r="J1623">
        <v>3.72</v>
      </c>
      <c r="K1623">
        <v>6.9</v>
      </c>
      <c r="L1623">
        <v>22.7</v>
      </c>
      <c r="M1623">
        <v>5.85</v>
      </c>
      <c r="N1623">
        <v>6610.52</v>
      </c>
    </row>
    <row r="1624" spans="1:14" x14ac:dyDescent="0.2">
      <c r="A1624" s="1">
        <v>45609</v>
      </c>
      <c r="B1624" s="2" t="s">
        <v>20</v>
      </c>
      <c r="C1624" s="2" t="s">
        <v>15</v>
      </c>
      <c r="D1624" s="2" t="s">
        <v>22</v>
      </c>
      <c r="E1624">
        <v>18817</v>
      </c>
      <c r="F1624">
        <v>733</v>
      </c>
      <c r="G1624">
        <v>36</v>
      </c>
      <c r="H1624">
        <v>1117.49</v>
      </c>
      <c r="I1624">
        <v>3008.63</v>
      </c>
      <c r="J1624">
        <v>3.9</v>
      </c>
      <c r="K1624">
        <v>4.91</v>
      </c>
      <c r="L1624">
        <v>31.04</v>
      </c>
      <c r="M1624">
        <v>2.69</v>
      </c>
      <c r="N1624">
        <v>1891.14</v>
      </c>
    </row>
    <row r="1625" spans="1:14" x14ac:dyDescent="0.2">
      <c r="A1625" s="1">
        <v>45609</v>
      </c>
      <c r="B1625" s="2" t="s">
        <v>23</v>
      </c>
      <c r="C1625" s="2" t="s">
        <v>21</v>
      </c>
      <c r="D1625" s="2" t="s">
        <v>36</v>
      </c>
      <c r="E1625">
        <v>4869</v>
      </c>
      <c r="F1625">
        <v>144</v>
      </c>
      <c r="G1625">
        <v>16</v>
      </c>
      <c r="H1625">
        <v>2203.67</v>
      </c>
      <c r="I1625">
        <v>3455.67</v>
      </c>
      <c r="J1625">
        <v>2.96</v>
      </c>
      <c r="K1625">
        <v>11.11</v>
      </c>
      <c r="L1625">
        <v>137.72999999999999</v>
      </c>
      <c r="M1625">
        <v>1.57</v>
      </c>
      <c r="N1625">
        <v>1252</v>
      </c>
    </row>
    <row r="1626" spans="1:14" x14ac:dyDescent="0.2">
      <c r="A1626" s="1">
        <v>45609</v>
      </c>
      <c r="B1626" s="2" t="s">
        <v>24</v>
      </c>
      <c r="C1626" s="2" t="s">
        <v>28</v>
      </c>
      <c r="D1626" s="2" t="s">
        <v>16</v>
      </c>
      <c r="E1626">
        <v>28497</v>
      </c>
      <c r="F1626">
        <v>4557</v>
      </c>
      <c r="G1626">
        <v>432</v>
      </c>
      <c r="H1626">
        <v>244.63</v>
      </c>
      <c r="I1626">
        <v>55624.959999999999</v>
      </c>
      <c r="J1626">
        <v>15.99</v>
      </c>
      <c r="K1626">
        <v>9.48</v>
      </c>
      <c r="L1626">
        <v>0.56999999999999995</v>
      </c>
      <c r="M1626">
        <v>227.38</v>
      </c>
      <c r="N1626">
        <v>55380.33</v>
      </c>
    </row>
    <row r="1627" spans="1:14" x14ac:dyDescent="0.2">
      <c r="A1627" s="1">
        <v>45609</v>
      </c>
      <c r="B1627" s="2" t="s">
        <v>26</v>
      </c>
      <c r="C1627" s="2" t="s">
        <v>15</v>
      </c>
      <c r="D1627" s="2" t="s">
        <v>25</v>
      </c>
      <c r="E1627">
        <v>32391</v>
      </c>
      <c r="F1627">
        <v>2356</v>
      </c>
      <c r="G1627">
        <v>373</v>
      </c>
      <c r="H1627">
        <v>0</v>
      </c>
      <c r="I1627">
        <v>45704.14</v>
      </c>
      <c r="J1627">
        <v>7.27</v>
      </c>
      <c r="K1627">
        <v>15.83</v>
      </c>
      <c r="L1627">
        <v>0</v>
      </c>
      <c r="M1627">
        <v>0</v>
      </c>
      <c r="N1627">
        <v>45704.14</v>
      </c>
    </row>
    <row r="1628" spans="1:14" x14ac:dyDescent="0.2">
      <c r="A1628" s="1">
        <v>45609</v>
      </c>
      <c r="B1628" s="2" t="s">
        <v>27</v>
      </c>
      <c r="C1628" s="2" t="s">
        <v>21</v>
      </c>
      <c r="D1628" s="2" t="s">
        <v>36</v>
      </c>
      <c r="E1628">
        <v>49697</v>
      </c>
      <c r="F1628">
        <v>761</v>
      </c>
      <c r="G1628">
        <v>25</v>
      </c>
      <c r="H1628">
        <v>1519.68</v>
      </c>
      <c r="I1628">
        <v>2421.1</v>
      </c>
      <c r="J1628">
        <v>1.53</v>
      </c>
      <c r="K1628">
        <v>3.29</v>
      </c>
      <c r="L1628">
        <v>60.79</v>
      </c>
      <c r="M1628">
        <v>1.59</v>
      </c>
      <c r="N1628">
        <v>901.42</v>
      </c>
    </row>
    <row r="1629" spans="1:14" x14ac:dyDescent="0.2">
      <c r="A1629" s="1">
        <v>45609</v>
      </c>
      <c r="B1629" s="2" t="s">
        <v>29</v>
      </c>
      <c r="C1629" s="2" t="s">
        <v>32</v>
      </c>
      <c r="D1629" s="2" t="s">
        <v>36</v>
      </c>
      <c r="E1629">
        <v>26710</v>
      </c>
      <c r="F1629">
        <v>688</v>
      </c>
      <c r="G1629">
        <v>49</v>
      </c>
      <c r="H1629">
        <v>1683.77</v>
      </c>
      <c r="I1629">
        <v>5643.86</v>
      </c>
      <c r="J1629">
        <v>2.58</v>
      </c>
      <c r="K1629">
        <v>7.12</v>
      </c>
      <c r="L1629">
        <v>34.36</v>
      </c>
      <c r="M1629">
        <v>3.35</v>
      </c>
      <c r="N1629">
        <v>3960.09</v>
      </c>
    </row>
    <row r="1630" spans="1:14" x14ac:dyDescent="0.2">
      <c r="A1630" s="1">
        <v>45609</v>
      </c>
      <c r="B1630" s="2" t="s">
        <v>30</v>
      </c>
      <c r="C1630" s="2" t="s">
        <v>28</v>
      </c>
      <c r="D1630" s="2" t="s">
        <v>16</v>
      </c>
      <c r="E1630">
        <v>18785</v>
      </c>
      <c r="F1630">
        <v>555</v>
      </c>
      <c r="G1630">
        <v>26</v>
      </c>
      <c r="H1630">
        <v>880.31</v>
      </c>
      <c r="I1630">
        <v>2599.96</v>
      </c>
      <c r="J1630">
        <v>2.95</v>
      </c>
      <c r="K1630">
        <v>4.68</v>
      </c>
      <c r="L1630">
        <v>33.86</v>
      </c>
      <c r="M1630">
        <v>2.95</v>
      </c>
      <c r="N1630">
        <v>1719.65</v>
      </c>
    </row>
    <row r="1631" spans="1:14" x14ac:dyDescent="0.2">
      <c r="A1631" s="1">
        <v>45609</v>
      </c>
      <c r="B1631" s="2" t="s">
        <v>31</v>
      </c>
      <c r="C1631" s="2" t="s">
        <v>15</v>
      </c>
      <c r="D1631" s="2" t="s">
        <v>22</v>
      </c>
      <c r="E1631">
        <v>35670</v>
      </c>
      <c r="F1631">
        <v>1132</v>
      </c>
      <c r="G1631">
        <v>56</v>
      </c>
      <c r="H1631">
        <v>1268.8699999999999</v>
      </c>
      <c r="I1631">
        <v>4774.45</v>
      </c>
      <c r="J1631">
        <v>3.17</v>
      </c>
      <c r="K1631">
        <v>4.95</v>
      </c>
      <c r="L1631">
        <v>22.66</v>
      </c>
      <c r="M1631">
        <v>3.76</v>
      </c>
      <c r="N1631">
        <v>3505.58</v>
      </c>
    </row>
    <row r="1632" spans="1:14" x14ac:dyDescent="0.2">
      <c r="A1632" s="1">
        <v>45609</v>
      </c>
      <c r="B1632" s="2" t="s">
        <v>33</v>
      </c>
      <c r="C1632" s="2" t="s">
        <v>21</v>
      </c>
      <c r="D1632" s="2" t="s">
        <v>19</v>
      </c>
      <c r="E1632">
        <v>10778</v>
      </c>
      <c r="F1632">
        <v>637</v>
      </c>
      <c r="G1632">
        <v>77</v>
      </c>
      <c r="H1632">
        <v>652.16</v>
      </c>
      <c r="I1632">
        <v>7702.82</v>
      </c>
      <c r="J1632">
        <v>5.91</v>
      </c>
      <c r="K1632">
        <v>12.09</v>
      </c>
      <c r="L1632">
        <v>8.4700000000000006</v>
      </c>
      <c r="M1632">
        <v>11.81</v>
      </c>
      <c r="N1632">
        <v>7050.66</v>
      </c>
    </row>
    <row r="1633" spans="1:14" x14ac:dyDescent="0.2">
      <c r="A1633" s="1">
        <v>45609</v>
      </c>
      <c r="B1633" s="2" t="s">
        <v>34</v>
      </c>
      <c r="C1633" s="2" t="s">
        <v>15</v>
      </c>
      <c r="D1633" s="2" t="s">
        <v>16</v>
      </c>
      <c r="E1633">
        <v>4359</v>
      </c>
      <c r="F1633">
        <v>246</v>
      </c>
      <c r="G1633">
        <v>36</v>
      </c>
      <c r="H1633">
        <v>212.61</v>
      </c>
      <c r="I1633">
        <v>4776.43</v>
      </c>
      <c r="J1633">
        <v>5.64</v>
      </c>
      <c r="K1633">
        <v>14.63</v>
      </c>
      <c r="L1633">
        <v>5.91</v>
      </c>
      <c r="M1633">
        <v>22.47</v>
      </c>
      <c r="N1633">
        <v>4563.82</v>
      </c>
    </row>
    <row r="1634" spans="1:14" x14ac:dyDescent="0.2">
      <c r="A1634" s="1">
        <v>45610</v>
      </c>
      <c r="B1634" s="2" t="s">
        <v>14</v>
      </c>
      <c r="C1634" s="2" t="s">
        <v>32</v>
      </c>
      <c r="D1634" s="2" t="s">
        <v>16</v>
      </c>
      <c r="E1634">
        <v>11880</v>
      </c>
      <c r="F1634">
        <v>373</v>
      </c>
      <c r="G1634">
        <v>44</v>
      </c>
      <c r="H1634">
        <v>1787.43</v>
      </c>
      <c r="I1634">
        <v>6973.27</v>
      </c>
      <c r="J1634">
        <v>3.14</v>
      </c>
      <c r="K1634">
        <v>11.8</v>
      </c>
      <c r="L1634">
        <v>40.619999999999997</v>
      </c>
      <c r="M1634">
        <v>3.9</v>
      </c>
      <c r="N1634">
        <v>5185.84</v>
      </c>
    </row>
    <row r="1635" spans="1:14" x14ac:dyDescent="0.2">
      <c r="A1635" s="1">
        <v>45610</v>
      </c>
      <c r="B1635" s="2" t="s">
        <v>17</v>
      </c>
      <c r="C1635" s="2" t="s">
        <v>32</v>
      </c>
      <c r="D1635" s="2" t="s">
        <v>22</v>
      </c>
      <c r="E1635">
        <v>23044</v>
      </c>
      <c r="F1635">
        <v>513</v>
      </c>
      <c r="G1635">
        <v>33</v>
      </c>
      <c r="H1635">
        <v>1564.27</v>
      </c>
      <c r="I1635">
        <v>3379.82</v>
      </c>
      <c r="J1635">
        <v>2.23</v>
      </c>
      <c r="K1635">
        <v>6.43</v>
      </c>
      <c r="L1635">
        <v>47.4</v>
      </c>
      <c r="M1635">
        <v>2.16</v>
      </c>
      <c r="N1635">
        <v>1815.55</v>
      </c>
    </row>
    <row r="1636" spans="1:14" x14ac:dyDescent="0.2">
      <c r="A1636" s="1">
        <v>45610</v>
      </c>
      <c r="B1636" s="2" t="s">
        <v>20</v>
      </c>
      <c r="C1636" s="2" t="s">
        <v>35</v>
      </c>
      <c r="D1636" s="2" t="s">
        <v>19</v>
      </c>
      <c r="E1636">
        <v>15280</v>
      </c>
      <c r="F1636">
        <v>399</v>
      </c>
      <c r="G1636">
        <v>25</v>
      </c>
      <c r="H1636">
        <v>1329.38</v>
      </c>
      <c r="I1636">
        <v>2646.08</v>
      </c>
      <c r="J1636">
        <v>2.61</v>
      </c>
      <c r="K1636">
        <v>6.27</v>
      </c>
      <c r="L1636">
        <v>53.18</v>
      </c>
      <c r="M1636">
        <v>1.99</v>
      </c>
      <c r="N1636">
        <v>1316.7</v>
      </c>
    </row>
    <row r="1637" spans="1:14" x14ac:dyDescent="0.2">
      <c r="A1637" s="1">
        <v>45610</v>
      </c>
      <c r="B1637" s="2" t="s">
        <v>23</v>
      </c>
      <c r="C1637" s="2" t="s">
        <v>21</v>
      </c>
      <c r="D1637" s="2" t="s">
        <v>36</v>
      </c>
      <c r="E1637">
        <v>6399</v>
      </c>
      <c r="F1637">
        <v>145</v>
      </c>
      <c r="G1637">
        <v>16</v>
      </c>
      <c r="H1637">
        <v>1529.76</v>
      </c>
      <c r="I1637">
        <v>4908.83</v>
      </c>
      <c r="J1637">
        <v>2.27</v>
      </c>
      <c r="K1637">
        <v>11.03</v>
      </c>
      <c r="L1637">
        <v>95.61</v>
      </c>
      <c r="M1637">
        <v>3.21</v>
      </c>
      <c r="N1637">
        <v>3379.07</v>
      </c>
    </row>
    <row r="1638" spans="1:14" x14ac:dyDescent="0.2">
      <c r="A1638" s="1">
        <v>45610</v>
      </c>
      <c r="B1638" s="2" t="s">
        <v>24</v>
      </c>
      <c r="C1638" s="2" t="s">
        <v>18</v>
      </c>
      <c r="D1638" s="2" t="s">
        <v>19</v>
      </c>
      <c r="E1638">
        <v>31463</v>
      </c>
      <c r="F1638">
        <v>5822</v>
      </c>
      <c r="G1638">
        <v>539</v>
      </c>
      <c r="H1638">
        <v>253.88</v>
      </c>
      <c r="I1638">
        <v>80514.039999999994</v>
      </c>
      <c r="J1638">
        <v>18.5</v>
      </c>
      <c r="K1638">
        <v>9.26</v>
      </c>
      <c r="L1638">
        <v>0.47</v>
      </c>
      <c r="M1638">
        <v>317.13</v>
      </c>
      <c r="N1638">
        <v>80260.160000000003</v>
      </c>
    </row>
    <row r="1639" spans="1:14" x14ac:dyDescent="0.2">
      <c r="A1639" s="1">
        <v>45610</v>
      </c>
      <c r="B1639" s="2" t="s">
        <v>26</v>
      </c>
      <c r="C1639" s="2" t="s">
        <v>15</v>
      </c>
      <c r="D1639" s="2" t="s">
        <v>36</v>
      </c>
      <c r="E1639">
        <v>39046</v>
      </c>
      <c r="F1639">
        <v>2703</v>
      </c>
      <c r="G1639">
        <v>288</v>
      </c>
      <c r="H1639">
        <v>0</v>
      </c>
      <c r="I1639">
        <v>40194.230000000003</v>
      </c>
      <c r="J1639">
        <v>6.92</v>
      </c>
      <c r="K1639">
        <v>10.65</v>
      </c>
      <c r="L1639">
        <v>0</v>
      </c>
      <c r="M1639">
        <v>0</v>
      </c>
      <c r="N1639">
        <v>40194.230000000003</v>
      </c>
    </row>
    <row r="1640" spans="1:14" x14ac:dyDescent="0.2">
      <c r="A1640" s="1">
        <v>45610</v>
      </c>
      <c r="B1640" s="2" t="s">
        <v>27</v>
      </c>
      <c r="C1640" s="2" t="s">
        <v>32</v>
      </c>
      <c r="D1640" s="2" t="s">
        <v>19</v>
      </c>
      <c r="E1640">
        <v>51004</v>
      </c>
      <c r="F1640">
        <v>578</v>
      </c>
      <c r="G1640">
        <v>12</v>
      </c>
      <c r="H1640">
        <v>1198</v>
      </c>
      <c r="I1640">
        <v>1315.45</v>
      </c>
      <c r="J1640">
        <v>1.1299999999999999</v>
      </c>
      <c r="K1640">
        <v>2.08</v>
      </c>
      <c r="L1640">
        <v>99.83</v>
      </c>
      <c r="M1640">
        <v>1.1000000000000001</v>
      </c>
      <c r="N1640">
        <v>117.45</v>
      </c>
    </row>
    <row r="1641" spans="1:14" x14ac:dyDescent="0.2">
      <c r="A1641" s="1">
        <v>45610</v>
      </c>
      <c r="B1641" s="2" t="s">
        <v>29</v>
      </c>
      <c r="C1641" s="2" t="s">
        <v>32</v>
      </c>
      <c r="D1641" s="2" t="s">
        <v>36</v>
      </c>
      <c r="E1641">
        <v>25009</v>
      </c>
      <c r="F1641">
        <v>541</v>
      </c>
      <c r="G1641">
        <v>36</v>
      </c>
      <c r="H1641">
        <v>1874.9</v>
      </c>
      <c r="I1641">
        <v>3275.25</v>
      </c>
      <c r="J1641">
        <v>2.16</v>
      </c>
      <c r="K1641">
        <v>6.65</v>
      </c>
      <c r="L1641">
        <v>52.08</v>
      </c>
      <c r="M1641">
        <v>1.75</v>
      </c>
      <c r="N1641">
        <v>1400.35</v>
      </c>
    </row>
    <row r="1642" spans="1:14" x14ac:dyDescent="0.2">
      <c r="A1642" s="1">
        <v>45610</v>
      </c>
      <c r="B1642" s="2" t="s">
        <v>30</v>
      </c>
      <c r="C1642" s="2" t="s">
        <v>32</v>
      </c>
      <c r="D1642" s="2" t="s">
        <v>36</v>
      </c>
      <c r="E1642">
        <v>15217</v>
      </c>
      <c r="F1642">
        <v>408</v>
      </c>
      <c r="G1642">
        <v>16</v>
      </c>
      <c r="H1642">
        <v>721.58</v>
      </c>
      <c r="I1642">
        <v>1980.79</v>
      </c>
      <c r="J1642">
        <v>2.68</v>
      </c>
      <c r="K1642">
        <v>3.92</v>
      </c>
      <c r="L1642">
        <v>45.1</v>
      </c>
      <c r="M1642">
        <v>2.75</v>
      </c>
      <c r="N1642">
        <v>1259.21</v>
      </c>
    </row>
    <row r="1643" spans="1:14" x14ac:dyDescent="0.2">
      <c r="A1643" s="1">
        <v>45610</v>
      </c>
      <c r="B1643" s="2" t="s">
        <v>31</v>
      </c>
      <c r="C1643" s="2" t="s">
        <v>32</v>
      </c>
      <c r="D1643" s="2" t="s">
        <v>16</v>
      </c>
      <c r="E1643">
        <v>29565</v>
      </c>
      <c r="F1643">
        <v>1325</v>
      </c>
      <c r="G1643">
        <v>42</v>
      </c>
      <c r="H1643">
        <v>1030.53</v>
      </c>
      <c r="I1643">
        <v>2873.21</v>
      </c>
      <c r="J1643">
        <v>4.4800000000000004</v>
      </c>
      <c r="K1643">
        <v>3.17</v>
      </c>
      <c r="L1643">
        <v>24.54</v>
      </c>
      <c r="M1643">
        <v>2.79</v>
      </c>
      <c r="N1643">
        <v>1842.68</v>
      </c>
    </row>
    <row r="1644" spans="1:14" x14ac:dyDescent="0.2">
      <c r="A1644" s="1">
        <v>45610</v>
      </c>
      <c r="B1644" s="2" t="s">
        <v>33</v>
      </c>
      <c r="C1644" s="2" t="s">
        <v>35</v>
      </c>
      <c r="D1644" s="2" t="s">
        <v>19</v>
      </c>
      <c r="E1644">
        <v>8761</v>
      </c>
      <c r="F1644">
        <v>554</v>
      </c>
      <c r="G1644">
        <v>65</v>
      </c>
      <c r="H1644">
        <v>464.38</v>
      </c>
      <c r="I1644">
        <v>9738.83</v>
      </c>
      <c r="J1644">
        <v>6.32</v>
      </c>
      <c r="K1644">
        <v>11.73</v>
      </c>
      <c r="L1644">
        <v>7.14</v>
      </c>
      <c r="M1644">
        <v>20.97</v>
      </c>
      <c r="N1644">
        <v>9274.4500000000007</v>
      </c>
    </row>
    <row r="1645" spans="1:14" x14ac:dyDescent="0.2">
      <c r="A1645" s="1">
        <v>45610</v>
      </c>
      <c r="B1645" s="2" t="s">
        <v>34</v>
      </c>
      <c r="C1645" s="2" t="s">
        <v>28</v>
      </c>
      <c r="D1645" s="2" t="s">
        <v>25</v>
      </c>
      <c r="E1645">
        <v>4270</v>
      </c>
      <c r="F1645">
        <v>222</v>
      </c>
      <c r="G1645">
        <v>33</v>
      </c>
      <c r="H1645">
        <v>190.46</v>
      </c>
      <c r="I1645">
        <v>4770.91</v>
      </c>
      <c r="J1645">
        <v>5.2</v>
      </c>
      <c r="K1645">
        <v>14.86</v>
      </c>
      <c r="L1645">
        <v>5.77</v>
      </c>
      <c r="M1645">
        <v>25.05</v>
      </c>
      <c r="N1645">
        <v>4580.45</v>
      </c>
    </row>
    <row r="1646" spans="1:14" x14ac:dyDescent="0.2">
      <c r="A1646" s="1">
        <v>45611</v>
      </c>
      <c r="B1646" s="2" t="s">
        <v>14</v>
      </c>
      <c r="C1646" s="2" t="s">
        <v>21</v>
      </c>
      <c r="D1646" s="2" t="s">
        <v>19</v>
      </c>
      <c r="E1646">
        <v>11916</v>
      </c>
      <c r="F1646">
        <v>567</v>
      </c>
      <c r="G1646">
        <v>47</v>
      </c>
      <c r="H1646">
        <v>1842.07</v>
      </c>
      <c r="I1646">
        <v>7773.63</v>
      </c>
      <c r="J1646">
        <v>4.76</v>
      </c>
      <c r="K1646">
        <v>8.2899999999999991</v>
      </c>
      <c r="L1646">
        <v>39.19</v>
      </c>
      <c r="M1646">
        <v>4.22</v>
      </c>
      <c r="N1646">
        <v>5931.56</v>
      </c>
    </row>
    <row r="1647" spans="1:14" x14ac:dyDescent="0.2">
      <c r="A1647" s="1">
        <v>45611</v>
      </c>
      <c r="B1647" s="2" t="s">
        <v>17</v>
      </c>
      <c r="C1647" s="2" t="s">
        <v>32</v>
      </c>
      <c r="D1647" s="2" t="s">
        <v>25</v>
      </c>
      <c r="E1647">
        <v>25172</v>
      </c>
      <c r="F1647">
        <v>984</v>
      </c>
      <c r="G1647">
        <v>54</v>
      </c>
      <c r="H1647">
        <v>1388.34</v>
      </c>
      <c r="I1647">
        <v>6425.32</v>
      </c>
      <c r="J1647">
        <v>3.91</v>
      </c>
      <c r="K1647">
        <v>5.49</v>
      </c>
      <c r="L1647">
        <v>25.71</v>
      </c>
      <c r="M1647">
        <v>4.63</v>
      </c>
      <c r="N1647">
        <v>5036.9799999999996</v>
      </c>
    </row>
    <row r="1648" spans="1:14" x14ac:dyDescent="0.2">
      <c r="A1648" s="1">
        <v>45611</v>
      </c>
      <c r="B1648" s="2" t="s">
        <v>20</v>
      </c>
      <c r="C1648" s="2" t="s">
        <v>18</v>
      </c>
      <c r="D1648" s="2" t="s">
        <v>22</v>
      </c>
      <c r="E1648">
        <v>17347</v>
      </c>
      <c r="F1648">
        <v>721</v>
      </c>
      <c r="G1648">
        <v>28</v>
      </c>
      <c r="H1648">
        <v>1302.19</v>
      </c>
      <c r="I1648">
        <v>2164.6799999999998</v>
      </c>
      <c r="J1648">
        <v>4.16</v>
      </c>
      <c r="K1648">
        <v>3.88</v>
      </c>
      <c r="L1648">
        <v>46.51</v>
      </c>
      <c r="M1648">
        <v>1.66</v>
      </c>
      <c r="N1648">
        <v>862.49</v>
      </c>
    </row>
    <row r="1649" spans="1:14" x14ac:dyDescent="0.2">
      <c r="A1649" s="1">
        <v>45611</v>
      </c>
      <c r="B1649" s="2" t="s">
        <v>23</v>
      </c>
      <c r="C1649" s="2" t="s">
        <v>35</v>
      </c>
      <c r="D1649" s="2" t="s">
        <v>16</v>
      </c>
      <c r="E1649">
        <v>7475</v>
      </c>
      <c r="F1649">
        <v>214</v>
      </c>
      <c r="G1649">
        <v>30</v>
      </c>
      <c r="H1649">
        <v>1847.13</v>
      </c>
      <c r="I1649">
        <v>8893.43</v>
      </c>
      <c r="J1649">
        <v>2.86</v>
      </c>
      <c r="K1649">
        <v>14.02</v>
      </c>
      <c r="L1649">
        <v>61.57</v>
      </c>
      <c r="M1649">
        <v>4.8099999999999996</v>
      </c>
      <c r="N1649">
        <v>7046.3</v>
      </c>
    </row>
    <row r="1650" spans="1:14" x14ac:dyDescent="0.2">
      <c r="A1650" s="1">
        <v>45611</v>
      </c>
      <c r="B1650" s="2" t="s">
        <v>24</v>
      </c>
      <c r="C1650" s="2" t="s">
        <v>21</v>
      </c>
      <c r="D1650" s="2" t="s">
        <v>19</v>
      </c>
      <c r="E1650">
        <v>29420</v>
      </c>
      <c r="F1650">
        <v>7198</v>
      </c>
      <c r="G1650">
        <v>807</v>
      </c>
      <c r="H1650">
        <v>324.37</v>
      </c>
      <c r="I1650">
        <v>92645.99</v>
      </c>
      <c r="J1650">
        <v>24.47</v>
      </c>
      <c r="K1650">
        <v>11.21</v>
      </c>
      <c r="L1650">
        <v>0.4</v>
      </c>
      <c r="M1650">
        <v>285.62</v>
      </c>
      <c r="N1650">
        <v>92321.62</v>
      </c>
    </row>
    <row r="1651" spans="1:14" x14ac:dyDescent="0.2">
      <c r="A1651" s="1">
        <v>45611</v>
      </c>
      <c r="B1651" s="2" t="s">
        <v>26</v>
      </c>
      <c r="C1651" s="2" t="s">
        <v>18</v>
      </c>
      <c r="D1651" s="2" t="s">
        <v>22</v>
      </c>
      <c r="E1651">
        <v>31005</v>
      </c>
      <c r="F1651">
        <v>1486</v>
      </c>
      <c r="G1651">
        <v>233</v>
      </c>
      <c r="H1651">
        <v>0</v>
      </c>
      <c r="I1651">
        <v>32762.27</v>
      </c>
      <c r="J1651">
        <v>4.79</v>
      </c>
      <c r="K1651">
        <v>15.68</v>
      </c>
      <c r="L1651">
        <v>0</v>
      </c>
      <c r="M1651">
        <v>0</v>
      </c>
      <c r="N1651">
        <v>32762.27</v>
      </c>
    </row>
    <row r="1652" spans="1:14" x14ac:dyDescent="0.2">
      <c r="A1652" s="1">
        <v>45611</v>
      </c>
      <c r="B1652" s="2" t="s">
        <v>27</v>
      </c>
      <c r="C1652" s="2" t="s">
        <v>35</v>
      </c>
      <c r="D1652" s="2" t="s">
        <v>22</v>
      </c>
      <c r="E1652">
        <v>55727</v>
      </c>
      <c r="F1652">
        <v>662</v>
      </c>
      <c r="G1652">
        <v>25</v>
      </c>
      <c r="H1652">
        <v>1729.15</v>
      </c>
      <c r="I1652">
        <v>2365.4899999999998</v>
      </c>
      <c r="J1652">
        <v>1.19</v>
      </c>
      <c r="K1652">
        <v>3.78</v>
      </c>
      <c r="L1652">
        <v>69.17</v>
      </c>
      <c r="M1652">
        <v>1.37</v>
      </c>
      <c r="N1652">
        <v>636.34</v>
      </c>
    </row>
    <row r="1653" spans="1:14" x14ac:dyDescent="0.2">
      <c r="A1653" s="1">
        <v>45611</v>
      </c>
      <c r="B1653" s="2" t="s">
        <v>29</v>
      </c>
      <c r="C1653" s="2" t="s">
        <v>32</v>
      </c>
      <c r="D1653" s="2" t="s">
        <v>36</v>
      </c>
      <c r="E1653">
        <v>21953</v>
      </c>
      <c r="F1653">
        <v>558</v>
      </c>
      <c r="G1653">
        <v>22</v>
      </c>
      <c r="H1653">
        <v>1613.07</v>
      </c>
      <c r="I1653">
        <v>3266.97</v>
      </c>
      <c r="J1653">
        <v>2.54</v>
      </c>
      <c r="K1653">
        <v>3.94</v>
      </c>
      <c r="L1653">
        <v>73.319999999999993</v>
      </c>
      <c r="M1653">
        <v>2.0299999999999998</v>
      </c>
      <c r="N1653">
        <v>1653.9</v>
      </c>
    </row>
    <row r="1654" spans="1:14" x14ac:dyDescent="0.2">
      <c r="A1654" s="1">
        <v>45611</v>
      </c>
      <c r="B1654" s="2" t="s">
        <v>30</v>
      </c>
      <c r="C1654" s="2" t="s">
        <v>28</v>
      </c>
      <c r="D1654" s="2" t="s">
        <v>25</v>
      </c>
      <c r="E1654">
        <v>18247</v>
      </c>
      <c r="F1654">
        <v>431</v>
      </c>
      <c r="G1654">
        <v>12</v>
      </c>
      <c r="H1654">
        <v>802.52</v>
      </c>
      <c r="I1654">
        <v>1074.6099999999999</v>
      </c>
      <c r="J1654">
        <v>2.36</v>
      </c>
      <c r="K1654">
        <v>2.78</v>
      </c>
      <c r="L1654">
        <v>66.88</v>
      </c>
      <c r="M1654">
        <v>1.34</v>
      </c>
      <c r="N1654">
        <v>272.08999999999997</v>
      </c>
    </row>
    <row r="1655" spans="1:14" x14ac:dyDescent="0.2">
      <c r="A1655" s="1">
        <v>45611</v>
      </c>
      <c r="B1655" s="2" t="s">
        <v>31</v>
      </c>
      <c r="C1655" s="2" t="s">
        <v>21</v>
      </c>
      <c r="D1655" s="2" t="s">
        <v>25</v>
      </c>
      <c r="E1655">
        <v>37853</v>
      </c>
      <c r="F1655">
        <v>1268</v>
      </c>
      <c r="G1655">
        <v>70</v>
      </c>
      <c r="H1655">
        <v>1538.59</v>
      </c>
      <c r="I1655">
        <v>5392.9</v>
      </c>
      <c r="J1655">
        <v>3.35</v>
      </c>
      <c r="K1655">
        <v>5.52</v>
      </c>
      <c r="L1655">
        <v>21.98</v>
      </c>
      <c r="M1655">
        <v>3.51</v>
      </c>
      <c r="N1655">
        <v>3854.31</v>
      </c>
    </row>
    <row r="1656" spans="1:14" x14ac:dyDescent="0.2">
      <c r="A1656" s="1">
        <v>45611</v>
      </c>
      <c r="B1656" s="2" t="s">
        <v>33</v>
      </c>
      <c r="C1656" s="2" t="s">
        <v>28</v>
      </c>
      <c r="D1656" s="2" t="s">
        <v>36</v>
      </c>
      <c r="E1656">
        <v>13477</v>
      </c>
      <c r="F1656">
        <v>861</v>
      </c>
      <c r="G1656">
        <v>95</v>
      </c>
      <c r="H1656">
        <v>860.16</v>
      </c>
      <c r="I1656">
        <v>12038.47</v>
      </c>
      <c r="J1656">
        <v>6.39</v>
      </c>
      <c r="K1656">
        <v>11.03</v>
      </c>
      <c r="L1656">
        <v>9.0500000000000007</v>
      </c>
      <c r="M1656">
        <v>14</v>
      </c>
      <c r="N1656">
        <v>11178.31</v>
      </c>
    </row>
    <row r="1657" spans="1:14" x14ac:dyDescent="0.2">
      <c r="A1657" s="1">
        <v>45611</v>
      </c>
      <c r="B1657" s="2" t="s">
        <v>34</v>
      </c>
      <c r="C1657" s="2" t="s">
        <v>21</v>
      </c>
      <c r="D1657" s="2" t="s">
        <v>36</v>
      </c>
      <c r="E1657">
        <v>6392</v>
      </c>
      <c r="F1657">
        <v>414</v>
      </c>
      <c r="G1657">
        <v>53</v>
      </c>
      <c r="H1657">
        <v>274.97000000000003</v>
      </c>
      <c r="I1657">
        <v>7864.11</v>
      </c>
      <c r="J1657">
        <v>6.48</v>
      </c>
      <c r="K1657">
        <v>12.8</v>
      </c>
      <c r="L1657">
        <v>5.19</v>
      </c>
      <c r="M1657">
        <v>28.6</v>
      </c>
      <c r="N1657">
        <v>7589.14</v>
      </c>
    </row>
    <row r="1658" spans="1:14" x14ac:dyDescent="0.2">
      <c r="A1658" s="1">
        <v>45612</v>
      </c>
      <c r="B1658" s="2" t="s">
        <v>14</v>
      </c>
      <c r="C1658" s="2" t="s">
        <v>15</v>
      </c>
      <c r="D1658" s="2" t="s">
        <v>25</v>
      </c>
      <c r="E1658">
        <v>11866</v>
      </c>
      <c r="F1658">
        <v>487</v>
      </c>
      <c r="G1658">
        <v>42</v>
      </c>
      <c r="H1658">
        <v>1378.17</v>
      </c>
      <c r="I1658">
        <v>5024.6000000000004</v>
      </c>
      <c r="J1658">
        <v>4.0999999999999996</v>
      </c>
      <c r="K1658">
        <v>8.6199999999999992</v>
      </c>
      <c r="L1658">
        <v>32.81</v>
      </c>
      <c r="M1658">
        <v>3.65</v>
      </c>
      <c r="N1658">
        <v>3646.43</v>
      </c>
    </row>
    <row r="1659" spans="1:14" x14ac:dyDescent="0.2">
      <c r="A1659" s="1">
        <v>45612</v>
      </c>
      <c r="B1659" s="2" t="s">
        <v>17</v>
      </c>
      <c r="C1659" s="2" t="s">
        <v>15</v>
      </c>
      <c r="D1659" s="2" t="s">
        <v>22</v>
      </c>
      <c r="E1659">
        <v>18069</v>
      </c>
      <c r="F1659">
        <v>695</v>
      </c>
      <c r="G1659">
        <v>42</v>
      </c>
      <c r="H1659">
        <v>812.9</v>
      </c>
      <c r="I1659">
        <v>5468.48</v>
      </c>
      <c r="J1659">
        <v>3.85</v>
      </c>
      <c r="K1659">
        <v>6.04</v>
      </c>
      <c r="L1659">
        <v>19.350000000000001</v>
      </c>
      <c r="M1659">
        <v>6.73</v>
      </c>
      <c r="N1659">
        <v>4655.58</v>
      </c>
    </row>
    <row r="1660" spans="1:14" x14ac:dyDescent="0.2">
      <c r="A1660" s="1">
        <v>45612</v>
      </c>
      <c r="B1660" s="2" t="s">
        <v>20</v>
      </c>
      <c r="C1660" s="2" t="s">
        <v>32</v>
      </c>
      <c r="D1660" s="2" t="s">
        <v>22</v>
      </c>
      <c r="E1660">
        <v>15252</v>
      </c>
      <c r="F1660">
        <v>640</v>
      </c>
      <c r="G1660">
        <v>27</v>
      </c>
      <c r="H1660">
        <v>572.58000000000004</v>
      </c>
      <c r="I1660">
        <v>2285.67</v>
      </c>
      <c r="J1660">
        <v>4.2</v>
      </c>
      <c r="K1660">
        <v>4.22</v>
      </c>
      <c r="L1660">
        <v>21.21</v>
      </c>
      <c r="M1660">
        <v>3.99</v>
      </c>
      <c r="N1660">
        <v>1713.09</v>
      </c>
    </row>
    <row r="1661" spans="1:14" x14ac:dyDescent="0.2">
      <c r="A1661" s="1">
        <v>45612</v>
      </c>
      <c r="B1661" s="2" t="s">
        <v>23</v>
      </c>
      <c r="C1661" s="2" t="s">
        <v>28</v>
      </c>
      <c r="D1661" s="2" t="s">
        <v>19</v>
      </c>
      <c r="E1661">
        <v>4483</v>
      </c>
      <c r="F1661">
        <v>120</v>
      </c>
      <c r="G1661">
        <v>12</v>
      </c>
      <c r="H1661">
        <v>1531.14</v>
      </c>
      <c r="I1661">
        <v>2371.08</v>
      </c>
      <c r="J1661">
        <v>2.68</v>
      </c>
      <c r="K1661">
        <v>10</v>
      </c>
      <c r="L1661">
        <v>127.6</v>
      </c>
      <c r="M1661">
        <v>1.55</v>
      </c>
      <c r="N1661">
        <v>839.94</v>
      </c>
    </row>
    <row r="1662" spans="1:14" x14ac:dyDescent="0.2">
      <c r="A1662" s="1">
        <v>45612</v>
      </c>
      <c r="B1662" s="2" t="s">
        <v>24</v>
      </c>
      <c r="C1662" s="2" t="s">
        <v>21</v>
      </c>
      <c r="D1662" s="2" t="s">
        <v>22</v>
      </c>
      <c r="E1662">
        <v>16173</v>
      </c>
      <c r="F1662">
        <v>3867</v>
      </c>
      <c r="G1662">
        <v>521</v>
      </c>
      <c r="H1662">
        <v>134.88999999999999</v>
      </c>
      <c r="I1662">
        <v>69876.7</v>
      </c>
      <c r="J1662">
        <v>23.91</v>
      </c>
      <c r="K1662">
        <v>13.47</v>
      </c>
      <c r="L1662">
        <v>0.26</v>
      </c>
      <c r="M1662">
        <v>518.03</v>
      </c>
      <c r="N1662">
        <v>69741.81</v>
      </c>
    </row>
    <row r="1663" spans="1:14" x14ac:dyDescent="0.2">
      <c r="A1663" s="1">
        <v>45612</v>
      </c>
      <c r="B1663" s="2" t="s">
        <v>26</v>
      </c>
      <c r="C1663" s="2" t="s">
        <v>35</v>
      </c>
      <c r="D1663" s="2" t="s">
        <v>36</v>
      </c>
      <c r="E1663">
        <v>25915</v>
      </c>
      <c r="F1663">
        <v>1968</v>
      </c>
      <c r="G1663">
        <v>284</v>
      </c>
      <c r="H1663">
        <v>0</v>
      </c>
      <c r="I1663">
        <v>39866.76</v>
      </c>
      <c r="J1663">
        <v>7.59</v>
      </c>
      <c r="K1663">
        <v>14.43</v>
      </c>
      <c r="L1663">
        <v>0</v>
      </c>
      <c r="M1663">
        <v>0</v>
      </c>
      <c r="N1663">
        <v>39866.76</v>
      </c>
    </row>
    <row r="1664" spans="1:14" x14ac:dyDescent="0.2">
      <c r="A1664" s="1">
        <v>45612</v>
      </c>
      <c r="B1664" s="2" t="s">
        <v>27</v>
      </c>
      <c r="C1664" s="2" t="s">
        <v>32</v>
      </c>
      <c r="D1664" s="2" t="s">
        <v>16</v>
      </c>
      <c r="E1664">
        <v>30111</v>
      </c>
      <c r="F1664">
        <v>596</v>
      </c>
      <c r="G1664">
        <v>26</v>
      </c>
      <c r="H1664">
        <v>1223.6500000000001</v>
      </c>
      <c r="I1664">
        <v>2243.08</v>
      </c>
      <c r="J1664">
        <v>1.98</v>
      </c>
      <c r="K1664">
        <v>4.3600000000000003</v>
      </c>
      <c r="L1664">
        <v>47.06</v>
      </c>
      <c r="M1664">
        <v>1.83</v>
      </c>
      <c r="N1664">
        <v>1019.43</v>
      </c>
    </row>
    <row r="1665" spans="1:14" x14ac:dyDescent="0.2">
      <c r="A1665" s="1">
        <v>45612</v>
      </c>
      <c r="B1665" s="2" t="s">
        <v>29</v>
      </c>
      <c r="C1665" s="2" t="s">
        <v>35</v>
      </c>
      <c r="D1665" s="2" t="s">
        <v>16</v>
      </c>
      <c r="E1665">
        <v>24096</v>
      </c>
      <c r="F1665">
        <v>561</v>
      </c>
      <c r="G1665">
        <v>32</v>
      </c>
      <c r="H1665">
        <v>1119.69</v>
      </c>
      <c r="I1665">
        <v>4305.12</v>
      </c>
      <c r="J1665">
        <v>2.33</v>
      </c>
      <c r="K1665">
        <v>5.7</v>
      </c>
      <c r="L1665">
        <v>34.99</v>
      </c>
      <c r="M1665">
        <v>3.84</v>
      </c>
      <c r="N1665">
        <v>3185.43</v>
      </c>
    </row>
    <row r="1666" spans="1:14" x14ac:dyDescent="0.2">
      <c r="A1666" s="1">
        <v>45612</v>
      </c>
      <c r="B1666" s="2" t="s">
        <v>30</v>
      </c>
      <c r="C1666" s="2" t="s">
        <v>28</v>
      </c>
      <c r="D1666" s="2" t="s">
        <v>22</v>
      </c>
      <c r="E1666">
        <v>10651</v>
      </c>
      <c r="F1666">
        <v>286</v>
      </c>
      <c r="G1666">
        <v>16</v>
      </c>
      <c r="H1666">
        <v>625.13</v>
      </c>
      <c r="I1666">
        <v>1773.39</v>
      </c>
      <c r="J1666">
        <v>2.69</v>
      </c>
      <c r="K1666">
        <v>5.59</v>
      </c>
      <c r="L1666">
        <v>39.07</v>
      </c>
      <c r="M1666">
        <v>2.84</v>
      </c>
      <c r="N1666">
        <v>1148.26</v>
      </c>
    </row>
    <row r="1667" spans="1:14" x14ac:dyDescent="0.2">
      <c r="A1667" s="1">
        <v>45612</v>
      </c>
      <c r="B1667" s="2" t="s">
        <v>31</v>
      </c>
      <c r="C1667" s="2" t="s">
        <v>21</v>
      </c>
      <c r="D1667" s="2" t="s">
        <v>36</v>
      </c>
      <c r="E1667">
        <v>19149</v>
      </c>
      <c r="F1667">
        <v>851</v>
      </c>
      <c r="G1667">
        <v>31</v>
      </c>
      <c r="H1667">
        <v>629</v>
      </c>
      <c r="I1667">
        <v>2462.42</v>
      </c>
      <c r="J1667">
        <v>4.4400000000000004</v>
      </c>
      <c r="K1667">
        <v>3.64</v>
      </c>
      <c r="L1667">
        <v>20.29</v>
      </c>
      <c r="M1667">
        <v>3.91</v>
      </c>
      <c r="N1667">
        <v>1833.42</v>
      </c>
    </row>
    <row r="1668" spans="1:14" x14ac:dyDescent="0.2">
      <c r="A1668" s="1">
        <v>45612</v>
      </c>
      <c r="B1668" s="2" t="s">
        <v>33</v>
      </c>
      <c r="C1668" s="2" t="s">
        <v>32</v>
      </c>
      <c r="D1668" s="2" t="s">
        <v>25</v>
      </c>
      <c r="E1668">
        <v>9396</v>
      </c>
      <c r="F1668">
        <v>382</v>
      </c>
      <c r="G1668">
        <v>34</v>
      </c>
      <c r="H1668">
        <v>527.6</v>
      </c>
      <c r="I1668">
        <v>5108.43</v>
      </c>
      <c r="J1668">
        <v>4.07</v>
      </c>
      <c r="K1668">
        <v>8.9</v>
      </c>
      <c r="L1668">
        <v>15.52</v>
      </c>
      <c r="M1668">
        <v>9.68</v>
      </c>
      <c r="N1668">
        <v>4580.83</v>
      </c>
    </row>
    <row r="1669" spans="1:14" x14ac:dyDescent="0.2">
      <c r="A1669" s="1">
        <v>45612</v>
      </c>
      <c r="B1669" s="2" t="s">
        <v>34</v>
      </c>
      <c r="C1669" s="2" t="s">
        <v>15</v>
      </c>
      <c r="D1669" s="2" t="s">
        <v>36</v>
      </c>
      <c r="E1669">
        <v>4669</v>
      </c>
      <c r="F1669">
        <v>314</v>
      </c>
      <c r="G1669">
        <v>47</v>
      </c>
      <c r="H1669">
        <v>80.92</v>
      </c>
      <c r="I1669">
        <v>5848.44</v>
      </c>
      <c r="J1669">
        <v>6.73</v>
      </c>
      <c r="K1669">
        <v>14.97</v>
      </c>
      <c r="L1669">
        <v>1.72</v>
      </c>
      <c r="M1669">
        <v>72.27</v>
      </c>
      <c r="N1669">
        <v>5767.52</v>
      </c>
    </row>
    <row r="1670" spans="1:14" x14ac:dyDescent="0.2">
      <c r="A1670" s="1">
        <v>45613</v>
      </c>
      <c r="B1670" s="2" t="s">
        <v>14</v>
      </c>
      <c r="C1670" s="2" t="s">
        <v>28</v>
      </c>
      <c r="D1670" s="2" t="s">
        <v>36</v>
      </c>
      <c r="E1670">
        <v>14219</v>
      </c>
      <c r="F1670">
        <v>508</v>
      </c>
      <c r="G1670">
        <v>49</v>
      </c>
      <c r="H1670">
        <v>1082.55</v>
      </c>
      <c r="I1670">
        <v>6449.33</v>
      </c>
      <c r="J1670">
        <v>3.57</v>
      </c>
      <c r="K1670">
        <v>9.65</v>
      </c>
      <c r="L1670">
        <v>22.09</v>
      </c>
      <c r="M1670">
        <v>5.96</v>
      </c>
      <c r="N1670">
        <v>5366.78</v>
      </c>
    </row>
    <row r="1671" spans="1:14" x14ac:dyDescent="0.2">
      <c r="A1671" s="1">
        <v>45613</v>
      </c>
      <c r="B1671" s="2" t="s">
        <v>17</v>
      </c>
      <c r="C1671" s="2" t="s">
        <v>28</v>
      </c>
      <c r="D1671" s="2" t="s">
        <v>36</v>
      </c>
      <c r="E1671">
        <v>16629</v>
      </c>
      <c r="F1671">
        <v>636</v>
      </c>
      <c r="G1671">
        <v>35</v>
      </c>
      <c r="H1671">
        <v>612.30999999999995</v>
      </c>
      <c r="I1671">
        <v>5277.17</v>
      </c>
      <c r="J1671">
        <v>3.82</v>
      </c>
      <c r="K1671">
        <v>5.5</v>
      </c>
      <c r="L1671">
        <v>17.489999999999998</v>
      </c>
      <c r="M1671">
        <v>8.6199999999999992</v>
      </c>
      <c r="N1671">
        <v>4664.8599999999997</v>
      </c>
    </row>
    <row r="1672" spans="1:14" x14ac:dyDescent="0.2">
      <c r="A1672" s="1">
        <v>45613</v>
      </c>
      <c r="B1672" s="2" t="s">
        <v>20</v>
      </c>
      <c r="C1672" s="2" t="s">
        <v>28</v>
      </c>
      <c r="D1672" s="2" t="s">
        <v>22</v>
      </c>
      <c r="E1672">
        <v>15064</v>
      </c>
      <c r="F1672">
        <v>611</v>
      </c>
      <c r="G1672">
        <v>34</v>
      </c>
      <c r="H1672">
        <v>590.79999999999995</v>
      </c>
      <c r="I1672">
        <v>2836.17</v>
      </c>
      <c r="J1672">
        <v>4.0599999999999996</v>
      </c>
      <c r="K1672">
        <v>5.56</v>
      </c>
      <c r="L1672">
        <v>17.38</v>
      </c>
      <c r="M1672">
        <v>4.8</v>
      </c>
      <c r="N1672">
        <v>2245.37</v>
      </c>
    </row>
    <row r="1673" spans="1:14" x14ac:dyDescent="0.2">
      <c r="A1673" s="1">
        <v>45613</v>
      </c>
      <c r="B1673" s="2" t="s">
        <v>23</v>
      </c>
      <c r="C1673" s="2" t="s">
        <v>18</v>
      </c>
      <c r="D1673" s="2" t="s">
        <v>25</v>
      </c>
      <c r="E1673">
        <v>3710</v>
      </c>
      <c r="F1673">
        <v>110</v>
      </c>
      <c r="G1673">
        <v>15</v>
      </c>
      <c r="H1673">
        <v>1115.3699999999999</v>
      </c>
      <c r="I1673">
        <v>2826.62</v>
      </c>
      <c r="J1673">
        <v>2.96</v>
      </c>
      <c r="K1673">
        <v>13.64</v>
      </c>
      <c r="L1673">
        <v>74.36</v>
      </c>
      <c r="M1673">
        <v>2.5299999999999998</v>
      </c>
      <c r="N1673">
        <v>1711.25</v>
      </c>
    </row>
    <row r="1674" spans="1:14" x14ac:dyDescent="0.2">
      <c r="A1674" s="1">
        <v>45613</v>
      </c>
      <c r="B1674" s="2" t="s">
        <v>24</v>
      </c>
      <c r="C1674" s="2" t="s">
        <v>18</v>
      </c>
      <c r="D1674" s="2" t="s">
        <v>22</v>
      </c>
      <c r="E1674">
        <v>16127</v>
      </c>
      <c r="F1674">
        <v>3339</v>
      </c>
      <c r="G1674">
        <v>367</v>
      </c>
      <c r="H1674">
        <v>142.74</v>
      </c>
      <c r="I1674">
        <v>48757.78</v>
      </c>
      <c r="J1674">
        <v>20.7</v>
      </c>
      <c r="K1674">
        <v>10.99</v>
      </c>
      <c r="L1674">
        <v>0.39</v>
      </c>
      <c r="M1674">
        <v>341.58</v>
      </c>
      <c r="N1674">
        <v>48615.040000000001</v>
      </c>
    </row>
    <row r="1675" spans="1:14" x14ac:dyDescent="0.2">
      <c r="A1675" s="1">
        <v>45613</v>
      </c>
      <c r="B1675" s="2" t="s">
        <v>26</v>
      </c>
      <c r="C1675" s="2" t="s">
        <v>35</v>
      </c>
      <c r="D1675" s="2" t="s">
        <v>16</v>
      </c>
      <c r="E1675">
        <v>32081</v>
      </c>
      <c r="F1675">
        <v>1720</v>
      </c>
      <c r="G1675">
        <v>248</v>
      </c>
      <c r="H1675">
        <v>0</v>
      </c>
      <c r="I1675">
        <v>24396.54</v>
      </c>
      <c r="J1675">
        <v>5.36</v>
      </c>
      <c r="K1675">
        <v>14.42</v>
      </c>
      <c r="L1675">
        <v>0</v>
      </c>
      <c r="M1675">
        <v>0</v>
      </c>
      <c r="N1675">
        <v>24396.54</v>
      </c>
    </row>
    <row r="1676" spans="1:14" x14ac:dyDescent="0.2">
      <c r="A1676" s="1">
        <v>45613</v>
      </c>
      <c r="B1676" s="2" t="s">
        <v>27</v>
      </c>
      <c r="C1676" s="2" t="s">
        <v>35</v>
      </c>
      <c r="D1676" s="2" t="s">
        <v>22</v>
      </c>
      <c r="E1676">
        <v>31258</v>
      </c>
      <c r="F1676">
        <v>415</v>
      </c>
      <c r="G1676">
        <v>18</v>
      </c>
      <c r="H1676">
        <v>701.76</v>
      </c>
      <c r="I1676">
        <v>1527.86</v>
      </c>
      <c r="J1676">
        <v>1.33</v>
      </c>
      <c r="K1676">
        <v>4.34</v>
      </c>
      <c r="L1676">
        <v>38.99</v>
      </c>
      <c r="M1676">
        <v>2.1800000000000002</v>
      </c>
      <c r="N1676">
        <v>826.1</v>
      </c>
    </row>
    <row r="1677" spans="1:14" x14ac:dyDescent="0.2">
      <c r="A1677" s="1">
        <v>45613</v>
      </c>
      <c r="B1677" s="2" t="s">
        <v>29</v>
      </c>
      <c r="C1677" s="2" t="s">
        <v>32</v>
      </c>
      <c r="D1677" s="2" t="s">
        <v>19</v>
      </c>
      <c r="E1677">
        <v>22430</v>
      </c>
      <c r="F1677">
        <v>414</v>
      </c>
      <c r="G1677">
        <v>27</v>
      </c>
      <c r="H1677">
        <v>1200.72</v>
      </c>
      <c r="I1677">
        <v>3785.35</v>
      </c>
      <c r="J1677">
        <v>1.85</v>
      </c>
      <c r="K1677">
        <v>6.52</v>
      </c>
      <c r="L1677">
        <v>44.47</v>
      </c>
      <c r="M1677">
        <v>3.15</v>
      </c>
      <c r="N1677">
        <v>2584.63</v>
      </c>
    </row>
    <row r="1678" spans="1:14" x14ac:dyDescent="0.2">
      <c r="A1678" s="1">
        <v>45613</v>
      </c>
      <c r="B1678" s="2" t="s">
        <v>30</v>
      </c>
      <c r="C1678" s="2" t="s">
        <v>21</v>
      </c>
      <c r="D1678" s="2" t="s">
        <v>36</v>
      </c>
      <c r="E1678">
        <v>11415</v>
      </c>
      <c r="F1678">
        <v>248</v>
      </c>
      <c r="G1678">
        <v>11</v>
      </c>
      <c r="H1678">
        <v>514.79999999999995</v>
      </c>
      <c r="I1678">
        <v>1138.72</v>
      </c>
      <c r="J1678">
        <v>2.17</v>
      </c>
      <c r="K1678">
        <v>4.4400000000000004</v>
      </c>
      <c r="L1678">
        <v>46.8</v>
      </c>
      <c r="M1678">
        <v>2.21</v>
      </c>
      <c r="N1678">
        <v>623.91999999999996</v>
      </c>
    </row>
    <row r="1679" spans="1:14" x14ac:dyDescent="0.2">
      <c r="A1679" s="1">
        <v>45613</v>
      </c>
      <c r="B1679" s="2" t="s">
        <v>31</v>
      </c>
      <c r="C1679" s="2" t="s">
        <v>32</v>
      </c>
      <c r="D1679" s="2" t="s">
        <v>36</v>
      </c>
      <c r="E1679">
        <v>27889</v>
      </c>
      <c r="F1679">
        <v>813</v>
      </c>
      <c r="G1679">
        <v>32</v>
      </c>
      <c r="H1679">
        <v>636.85</v>
      </c>
      <c r="I1679">
        <v>2599.16</v>
      </c>
      <c r="J1679">
        <v>2.92</v>
      </c>
      <c r="K1679">
        <v>3.94</v>
      </c>
      <c r="L1679">
        <v>19.899999999999999</v>
      </c>
      <c r="M1679">
        <v>4.08</v>
      </c>
      <c r="N1679">
        <v>1962.31</v>
      </c>
    </row>
    <row r="1680" spans="1:14" x14ac:dyDescent="0.2">
      <c r="A1680" s="1">
        <v>45613</v>
      </c>
      <c r="B1680" s="2" t="s">
        <v>33</v>
      </c>
      <c r="C1680" s="2" t="s">
        <v>32</v>
      </c>
      <c r="D1680" s="2" t="s">
        <v>25</v>
      </c>
      <c r="E1680">
        <v>8830</v>
      </c>
      <c r="F1680">
        <v>580</v>
      </c>
      <c r="G1680">
        <v>50</v>
      </c>
      <c r="H1680">
        <v>309.06</v>
      </c>
      <c r="I1680">
        <v>5891.41</v>
      </c>
      <c r="J1680">
        <v>6.57</v>
      </c>
      <c r="K1680">
        <v>8.6199999999999992</v>
      </c>
      <c r="L1680">
        <v>6.18</v>
      </c>
      <c r="M1680">
        <v>19.059999999999999</v>
      </c>
      <c r="N1680">
        <v>5582.35</v>
      </c>
    </row>
    <row r="1681" spans="1:14" x14ac:dyDescent="0.2">
      <c r="A1681" s="1">
        <v>45613</v>
      </c>
      <c r="B1681" s="2" t="s">
        <v>34</v>
      </c>
      <c r="C1681" s="2" t="s">
        <v>18</v>
      </c>
      <c r="D1681" s="2" t="s">
        <v>25</v>
      </c>
      <c r="E1681">
        <v>3515</v>
      </c>
      <c r="F1681">
        <v>342</v>
      </c>
      <c r="G1681">
        <v>48</v>
      </c>
      <c r="H1681">
        <v>193.08</v>
      </c>
      <c r="I1681">
        <v>7380.25</v>
      </c>
      <c r="J1681">
        <v>9.73</v>
      </c>
      <c r="K1681">
        <v>14.04</v>
      </c>
      <c r="L1681">
        <v>4.0199999999999996</v>
      </c>
      <c r="M1681">
        <v>38.22</v>
      </c>
      <c r="N1681">
        <v>7187.17</v>
      </c>
    </row>
    <row r="1682" spans="1:14" x14ac:dyDescent="0.2">
      <c r="A1682" s="1">
        <v>45614</v>
      </c>
      <c r="B1682" s="2" t="s">
        <v>14</v>
      </c>
      <c r="C1682" s="2" t="s">
        <v>18</v>
      </c>
      <c r="D1682" s="2" t="s">
        <v>19</v>
      </c>
      <c r="E1682">
        <v>11733</v>
      </c>
      <c r="F1682">
        <v>456</v>
      </c>
      <c r="G1682">
        <v>49</v>
      </c>
      <c r="H1682">
        <v>1718.2</v>
      </c>
      <c r="I1682">
        <v>6175.66</v>
      </c>
      <c r="J1682">
        <v>3.89</v>
      </c>
      <c r="K1682">
        <v>10.75</v>
      </c>
      <c r="L1682">
        <v>35.07</v>
      </c>
      <c r="M1682">
        <v>3.59</v>
      </c>
      <c r="N1682">
        <v>4457.46</v>
      </c>
    </row>
    <row r="1683" spans="1:14" x14ac:dyDescent="0.2">
      <c r="A1683" s="1">
        <v>45614</v>
      </c>
      <c r="B1683" s="2" t="s">
        <v>17</v>
      </c>
      <c r="C1683" s="2" t="s">
        <v>32</v>
      </c>
      <c r="D1683" s="2" t="s">
        <v>19</v>
      </c>
      <c r="E1683">
        <v>25599</v>
      </c>
      <c r="F1683">
        <v>902</v>
      </c>
      <c r="G1683">
        <v>62</v>
      </c>
      <c r="H1683">
        <v>1549.16</v>
      </c>
      <c r="I1683">
        <v>6661.63</v>
      </c>
      <c r="J1683">
        <v>3.52</v>
      </c>
      <c r="K1683">
        <v>6.87</v>
      </c>
      <c r="L1683">
        <v>24.99</v>
      </c>
      <c r="M1683">
        <v>4.3</v>
      </c>
      <c r="N1683">
        <v>5112.47</v>
      </c>
    </row>
    <row r="1684" spans="1:14" x14ac:dyDescent="0.2">
      <c r="A1684" s="1">
        <v>45614</v>
      </c>
      <c r="B1684" s="2" t="s">
        <v>20</v>
      </c>
      <c r="C1684" s="2" t="s">
        <v>32</v>
      </c>
      <c r="D1684" s="2" t="s">
        <v>16</v>
      </c>
      <c r="E1684">
        <v>16099</v>
      </c>
      <c r="F1684">
        <v>503</v>
      </c>
      <c r="G1684">
        <v>29</v>
      </c>
      <c r="H1684">
        <v>968.83</v>
      </c>
      <c r="I1684">
        <v>3231.86</v>
      </c>
      <c r="J1684">
        <v>3.12</v>
      </c>
      <c r="K1684">
        <v>5.77</v>
      </c>
      <c r="L1684">
        <v>33.409999999999997</v>
      </c>
      <c r="M1684">
        <v>3.34</v>
      </c>
      <c r="N1684">
        <v>2263.0300000000002</v>
      </c>
    </row>
    <row r="1685" spans="1:14" x14ac:dyDescent="0.2">
      <c r="A1685" s="1">
        <v>45614</v>
      </c>
      <c r="B1685" s="2" t="s">
        <v>23</v>
      </c>
      <c r="C1685" s="2" t="s">
        <v>15</v>
      </c>
      <c r="D1685" s="2" t="s">
        <v>36</v>
      </c>
      <c r="E1685">
        <v>4628</v>
      </c>
      <c r="F1685">
        <v>98</v>
      </c>
      <c r="G1685">
        <v>12</v>
      </c>
      <c r="H1685">
        <v>1371.15</v>
      </c>
      <c r="I1685">
        <v>2639.73</v>
      </c>
      <c r="J1685">
        <v>2.12</v>
      </c>
      <c r="K1685">
        <v>12.24</v>
      </c>
      <c r="L1685">
        <v>114.26</v>
      </c>
      <c r="M1685">
        <v>1.93</v>
      </c>
      <c r="N1685">
        <v>1268.58</v>
      </c>
    </row>
    <row r="1686" spans="1:14" x14ac:dyDescent="0.2">
      <c r="A1686" s="1">
        <v>45614</v>
      </c>
      <c r="B1686" s="2" t="s">
        <v>24</v>
      </c>
      <c r="C1686" s="2" t="s">
        <v>32</v>
      </c>
      <c r="D1686" s="2" t="s">
        <v>22</v>
      </c>
      <c r="E1686">
        <v>34966</v>
      </c>
      <c r="F1686">
        <v>5583</v>
      </c>
      <c r="G1686">
        <v>557</v>
      </c>
      <c r="H1686">
        <v>227.68</v>
      </c>
      <c r="I1686">
        <v>72510.63</v>
      </c>
      <c r="J1686">
        <v>15.97</v>
      </c>
      <c r="K1686">
        <v>9.98</v>
      </c>
      <c r="L1686">
        <v>0.41</v>
      </c>
      <c r="M1686">
        <v>318.48</v>
      </c>
      <c r="N1686">
        <v>72282.95</v>
      </c>
    </row>
    <row r="1687" spans="1:14" x14ac:dyDescent="0.2">
      <c r="A1687" s="1">
        <v>45614</v>
      </c>
      <c r="B1687" s="2" t="s">
        <v>26</v>
      </c>
      <c r="C1687" s="2" t="s">
        <v>28</v>
      </c>
      <c r="D1687" s="2" t="s">
        <v>16</v>
      </c>
      <c r="E1687">
        <v>29397</v>
      </c>
      <c r="F1687">
        <v>2154</v>
      </c>
      <c r="G1687">
        <v>221</v>
      </c>
      <c r="H1687">
        <v>0</v>
      </c>
      <c r="I1687">
        <v>29841.73</v>
      </c>
      <c r="J1687">
        <v>7.33</v>
      </c>
      <c r="K1687">
        <v>10.26</v>
      </c>
      <c r="L1687">
        <v>0</v>
      </c>
      <c r="M1687">
        <v>0</v>
      </c>
      <c r="N1687">
        <v>29841.73</v>
      </c>
    </row>
    <row r="1688" spans="1:14" x14ac:dyDescent="0.2">
      <c r="A1688" s="1">
        <v>45614</v>
      </c>
      <c r="B1688" s="2" t="s">
        <v>27</v>
      </c>
      <c r="C1688" s="2" t="s">
        <v>15</v>
      </c>
      <c r="D1688" s="2" t="s">
        <v>22</v>
      </c>
      <c r="E1688">
        <v>48498</v>
      </c>
      <c r="F1688">
        <v>799</v>
      </c>
      <c r="G1688">
        <v>37</v>
      </c>
      <c r="H1688">
        <v>1586.9</v>
      </c>
      <c r="I1688">
        <v>3572.17</v>
      </c>
      <c r="J1688">
        <v>1.65</v>
      </c>
      <c r="K1688">
        <v>4.63</v>
      </c>
      <c r="L1688">
        <v>42.89</v>
      </c>
      <c r="M1688">
        <v>2.25</v>
      </c>
      <c r="N1688">
        <v>1985.27</v>
      </c>
    </row>
    <row r="1689" spans="1:14" x14ac:dyDescent="0.2">
      <c r="A1689" s="1">
        <v>45614</v>
      </c>
      <c r="B1689" s="2" t="s">
        <v>29</v>
      </c>
      <c r="C1689" s="2" t="s">
        <v>35</v>
      </c>
      <c r="D1689" s="2" t="s">
        <v>16</v>
      </c>
      <c r="E1689">
        <v>23343</v>
      </c>
      <c r="F1689">
        <v>512</v>
      </c>
      <c r="G1689">
        <v>28</v>
      </c>
      <c r="H1689">
        <v>1525.55</v>
      </c>
      <c r="I1689">
        <v>3640.93</v>
      </c>
      <c r="J1689">
        <v>2.19</v>
      </c>
      <c r="K1689">
        <v>5.47</v>
      </c>
      <c r="L1689">
        <v>54.48</v>
      </c>
      <c r="M1689">
        <v>2.39</v>
      </c>
      <c r="N1689">
        <v>2115.38</v>
      </c>
    </row>
    <row r="1690" spans="1:14" x14ac:dyDescent="0.2">
      <c r="A1690" s="1">
        <v>45614</v>
      </c>
      <c r="B1690" s="2" t="s">
        <v>30</v>
      </c>
      <c r="C1690" s="2" t="s">
        <v>28</v>
      </c>
      <c r="D1690" s="2" t="s">
        <v>19</v>
      </c>
      <c r="E1690">
        <v>14627</v>
      </c>
      <c r="F1690">
        <v>443</v>
      </c>
      <c r="G1690">
        <v>25</v>
      </c>
      <c r="H1690">
        <v>691.8</v>
      </c>
      <c r="I1690">
        <v>2289.8200000000002</v>
      </c>
      <c r="J1690">
        <v>3.03</v>
      </c>
      <c r="K1690">
        <v>5.64</v>
      </c>
      <c r="L1690">
        <v>27.67</v>
      </c>
      <c r="M1690">
        <v>3.31</v>
      </c>
      <c r="N1690">
        <v>1598.02</v>
      </c>
    </row>
    <row r="1691" spans="1:14" x14ac:dyDescent="0.2">
      <c r="A1691" s="1">
        <v>45614</v>
      </c>
      <c r="B1691" s="2" t="s">
        <v>31</v>
      </c>
      <c r="C1691" s="2" t="s">
        <v>35</v>
      </c>
      <c r="D1691" s="2" t="s">
        <v>16</v>
      </c>
      <c r="E1691">
        <v>36124</v>
      </c>
      <c r="F1691">
        <v>1164</v>
      </c>
      <c r="G1691">
        <v>74</v>
      </c>
      <c r="H1691">
        <v>1256.17</v>
      </c>
      <c r="I1691">
        <v>6252.85</v>
      </c>
      <c r="J1691">
        <v>3.22</v>
      </c>
      <c r="K1691">
        <v>6.36</v>
      </c>
      <c r="L1691">
        <v>16.98</v>
      </c>
      <c r="M1691">
        <v>4.9800000000000004</v>
      </c>
      <c r="N1691">
        <v>4996.68</v>
      </c>
    </row>
    <row r="1692" spans="1:14" x14ac:dyDescent="0.2">
      <c r="A1692" s="1">
        <v>45614</v>
      </c>
      <c r="B1692" s="2" t="s">
        <v>33</v>
      </c>
      <c r="C1692" s="2" t="s">
        <v>28</v>
      </c>
      <c r="D1692" s="2" t="s">
        <v>16</v>
      </c>
      <c r="E1692">
        <v>11023</v>
      </c>
      <c r="F1692">
        <v>597</v>
      </c>
      <c r="G1692">
        <v>72</v>
      </c>
      <c r="H1692">
        <v>729.79</v>
      </c>
      <c r="I1692">
        <v>9301.58</v>
      </c>
      <c r="J1692">
        <v>5.42</v>
      </c>
      <c r="K1692">
        <v>12.06</v>
      </c>
      <c r="L1692">
        <v>10.14</v>
      </c>
      <c r="M1692">
        <v>12.75</v>
      </c>
      <c r="N1692">
        <v>8571.7900000000009</v>
      </c>
    </row>
    <row r="1693" spans="1:14" x14ac:dyDescent="0.2">
      <c r="A1693" s="1">
        <v>45614</v>
      </c>
      <c r="B1693" s="2" t="s">
        <v>34</v>
      </c>
      <c r="C1693" s="2" t="s">
        <v>21</v>
      </c>
      <c r="D1693" s="2" t="s">
        <v>22</v>
      </c>
      <c r="E1693">
        <v>8048</v>
      </c>
      <c r="F1693">
        <v>585</v>
      </c>
      <c r="G1693">
        <v>103</v>
      </c>
      <c r="H1693">
        <v>168.89</v>
      </c>
      <c r="I1693">
        <v>14653.8</v>
      </c>
      <c r="J1693">
        <v>7.27</v>
      </c>
      <c r="K1693">
        <v>17.61</v>
      </c>
      <c r="L1693">
        <v>1.64</v>
      </c>
      <c r="M1693">
        <v>86.77</v>
      </c>
      <c r="N1693">
        <v>14484.91</v>
      </c>
    </row>
    <row r="1694" spans="1:14" x14ac:dyDescent="0.2">
      <c r="A1694" s="1">
        <v>45615</v>
      </c>
      <c r="B1694" s="2" t="s">
        <v>14</v>
      </c>
      <c r="C1694" s="2" t="s">
        <v>15</v>
      </c>
      <c r="D1694" s="2" t="s">
        <v>25</v>
      </c>
      <c r="E1694">
        <v>16689</v>
      </c>
      <c r="F1694">
        <v>662</v>
      </c>
      <c r="G1694">
        <v>71</v>
      </c>
      <c r="H1694">
        <v>1325.57</v>
      </c>
      <c r="I1694">
        <v>9054.68</v>
      </c>
      <c r="J1694">
        <v>3.97</v>
      </c>
      <c r="K1694">
        <v>10.73</v>
      </c>
      <c r="L1694">
        <v>18.670000000000002</v>
      </c>
      <c r="M1694">
        <v>6.83</v>
      </c>
      <c r="N1694">
        <v>7729.11</v>
      </c>
    </row>
    <row r="1695" spans="1:14" x14ac:dyDescent="0.2">
      <c r="A1695" s="1">
        <v>45615</v>
      </c>
      <c r="B1695" s="2" t="s">
        <v>17</v>
      </c>
      <c r="C1695" s="2" t="s">
        <v>15</v>
      </c>
      <c r="D1695" s="2" t="s">
        <v>19</v>
      </c>
      <c r="E1695">
        <v>25110</v>
      </c>
      <c r="F1695">
        <v>922</v>
      </c>
      <c r="G1695">
        <v>57</v>
      </c>
      <c r="H1695">
        <v>1390.92</v>
      </c>
      <c r="I1695">
        <v>6224.27</v>
      </c>
      <c r="J1695">
        <v>3.67</v>
      </c>
      <c r="K1695">
        <v>6.18</v>
      </c>
      <c r="L1695">
        <v>24.4</v>
      </c>
      <c r="M1695">
        <v>4.47</v>
      </c>
      <c r="N1695">
        <v>4833.3500000000004</v>
      </c>
    </row>
    <row r="1696" spans="1:14" x14ac:dyDescent="0.2">
      <c r="A1696" s="1">
        <v>45615</v>
      </c>
      <c r="B1696" s="2" t="s">
        <v>20</v>
      </c>
      <c r="C1696" s="2" t="s">
        <v>15</v>
      </c>
      <c r="D1696" s="2" t="s">
        <v>25</v>
      </c>
      <c r="E1696">
        <v>21574</v>
      </c>
      <c r="F1696">
        <v>877</v>
      </c>
      <c r="G1696">
        <v>35</v>
      </c>
      <c r="H1696">
        <v>1263</v>
      </c>
      <c r="I1696">
        <v>3984.95</v>
      </c>
      <c r="J1696">
        <v>4.07</v>
      </c>
      <c r="K1696">
        <v>3.99</v>
      </c>
      <c r="L1696">
        <v>36.090000000000003</v>
      </c>
      <c r="M1696">
        <v>3.16</v>
      </c>
      <c r="N1696">
        <v>2721.95</v>
      </c>
    </row>
    <row r="1697" spans="1:14" x14ac:dyDescent="0.2">
      <c r="A1697" s="1">
        <v>45615</v>
      </c>
      <c r="B1697" s="2" t="s">
        <v>23</v>
      </c>
      <c r="C1697" s="2" t="s">
        <v>15</v>
      </c>
      <c r="D1697" s="2" t="s">
        <v>36</v>
      </c>
      <c r="E1697">
        <v>6004</v>
      </c>
      <c r="F1697">
        <v>120</v>
      </c>
      <c r="G1697">
        <v>14</v>
      </c>
      <c r="H1697">
        <v>1487.14</v>
      </c>
      <c r="I1697">
        <v>3122.76</v>
      </c>
      <c r="J1697">
        <v>2</v>
      </c>
      <c r="K1697">
        <v>11.67</v>
      </c>
      <c r="L1697">
        <v>106.22</v>
      </c>
      <c r="M1697">
        <v>2.1</v>
      </c>
      <c r="N1697">
        <v>1635.62</v>
      </c>
    </row>
    <row r="1698" spans="1:14" x14ac:dyDescent="0.2">
      <c r="A1698" s="1">
        <v>45615</v>
      </c>
      <c r="B1698" s="2" t="s">
        <v>24</v>
      </c>
      <c r="C1698" s="2" t="s">
        <v>21</v>
      </c>
      <c r="D1698" s="2" t="s">
        <v>25</v>
      </c>
      <c r="E1698">
        <v>25891</v>
      </c>
      <c r="F1698">
        <v>4984</v>
      </c>
      <c r="G1698">
        <v>415</v>
      </c>
      <c r="H1698">
        <v>151.85</v>
      </c>
      <c r="I1698">
        <v>53564.82</v>
      </c>
      <c r="J1698">
        <v>19.25</v>
      </c>
      <c r="K1698">
        <v>8.33</v>
      </c>
      <c r="L1698">
        <v>0.37</v>
      </c>
      <c r="M1698">
        <v>352.75</v>
      </c>
      <c r="N1698">
        <v>53412.97</v>
      </c>
    </row>
    <row r="1699" spans="1:14" x14ac:dyDescent="0.2">
      <c r="A1699" s="1">
        <v>45615</v>
      </c>
      <c r="B1699" s="2" t="s">
        <v>26</v>
      </c>
      <c r="C1699" s="2" t="s">
        <v>21</v>
      </c>
      <c r="D1699" s="2" t="s">
        <v>22</v>
      </c>
      <c r="E1699">
        <v>33976</v>
      </c>
      <c r="F1699">
        <v>2637</v>
      </c>
      <c r="G1699">
        <v>382</v>
      </c>
      <c r="H1699">
        <v>0</v>
      </c>
      <c r="I1699">
        <v>41726.9</v>
      </c>
      <c r="J1699">
        <v>7.76</v>
      </c>
      <c r="K1699">
        <v>14.49</v>
      </c>
      <c r="L1699">
        <v>0</v>
      </c>
      <c r="M1699">
        <v>0</v>
      </c>
      <c r="N1699">
        <v>41726.9</v>
      </c>
    </row>
    <row r="1700" spans="1:14" x14ac:dyDescent="0.2">
      <c r="A1700" s="1">
        <v>45615</v>
      </c>
      <c r="B1700" s="2" t="s">
        <v>27</v>
      </c>
      <c r="C1700" s="2" t="s">
        <v>21</v>
      </c>
      <c r="D1700" s="2" t="s">
        <v>16</v>
      </c>
      <c r="E1700">
        <v>45691</v>
      </c>
      <c r="F1700">
        <v>833</v>
      </c>
      <c r="G1700">
        <v>16</v>
      </c>
      <c r="H1700">
        <v>1760.48</v>
      </c>
      <c r="I1700">
        <v>1824.78</v>
      </c>
      <c r="J1700">
        <v>1.82</v>
      </c>
      <c r="K1700">
        <v>1.92</v>
      </c>
      <c r="L1700">
        <v>110.03</v>
      </c>
      <c r="M1700">
        <v>1.04</v>
      </c>
      <c r="N1700">
        <v>64.3</v>
      </c>
    </row>
    <row r="1701" spans="1:14" x14ac:dyDescent="0.2">
      <c r="A1701" s="1">
        <v>45615</v>
      </c>
      <c r="B1701" s="2" t="s">
        <v>29</v>
      </c>
      <c r="C1701" s="2" t="s">
        <v>32</v>
      </c>
      <c r="D1701" s="2" t="s">
        <v>19</v>
      </c>
      <c r="E1701">
        <v>28508</v>
      </c>
      <c r="F1701">
        <v>512</v>
      </c>
      <c r="G1701">
        <v>23</v>
      </c>
      <c r="H1701">
        <v>1835</v>
      </c>
      <c r="I1701">
        <v>2088.86</v>
      </c>
      <c r="J1701">
        <v>1.8</v>
      </c>
      <c r="K1701">
        <v>4.49</v>
      </c>
      <c r="L1701">
        <v>79.78</v>
      </c>
      <c r="M1701">
        <v>1.1399999999999999</v>
      </c>
      <c r="N1701">
        <v>253.86</v>
      </c>
    </row>
    <row r="1702" spans="1:14" x14ac:dyDescent="0.2">
      <c r="A1702" s="1">
        <v>45615</v>
      </c>
      <c r="B1702" s="2" t="s">
        <v>30</v>
      </c>
      <c r="C1702" s="2" t="s">
        <v>32</v>
      </c>
      <c r="D1702" s="2" t="s">
        <v>19</v>
      </c>
      <c r="E1702">
        <v>16399</v>
      </c>
      <c r="F1702">
        <v>473</v>
      </c>
      <c r="G1702">
        <v>19</v>
      </c>
      <c r="H1702">
        <v>899.32</v>
      </c>
      <c r="I1702">
        <v>1848.89</v>
      </c>
      <c r="J1702">
        <v>2.88</v>
      </c>
      <c r="K1702">
        <v>4.0199999999999996</v>
      </c>
      <c r="L1702">
        <v>47.33</v>
      </c>
      <c r="M1702">
        <v>2.06</v>
      </c>
      <c r="N1702">
        <v>949.57</v>
      </c>
    </row>
    <row r="1703" spans="1:14" x14ac:dyDescent="0.2">
      <c r="A1703" s="1">
        <v>45615</v>
      </c>
      <c r="B1703" s="2" t="s">
        <v>31</v>
      </c>
      <c r="C1703" s="2" t="s">
        <v>32</v>
      </c>
      <c r="D1703" s="2" t="s">
        <v>25</v>
      </c>
      <c r="E1703">
        <v>25834</v>
      </c>
      <c r="F1703">
        <v>929</v>
      </c>
      <c r="G1703">
        <v>42</v>
      </c>
      <c r="H1703">
        <v>1150.82</v>
      </c>
      <c r="I1703">
        <v>3382.37</v>
      </c>
      <c r="J1703">
        <v>3.6</v>
      </c>
      <c r="K1703">
        <v>4.5199999999999996</v>
      </c>
      <c r="L1703">
        <v>27.4</v>
      </c>
      <c r="M1703">
        <v>2.94</v>
      </c>
      <c r="N1703">
        <v>2231.5500000000002</v>
      </c>
    </row>
    <row r="1704" spans="1:14" x14ac:dyDescent="0.2">
      <c r="A1704" s="1">
        <v>45615</v>
      </c>
      <c r="B1704" s="2" t="s">
        <v>33</v>
      </c>
      <c r="C1704" s="2" t="s">
        <v>21</v>
      </c>
      <c r="D1704" s="2" t="s">
        <v>19</v>
      </c>
      <c r="E1704">
        <v>11293</v>
      </c>
      <c r="F1704">
        <v>474</v>
      </c>
      <c r="G1704">
        <v>37</v>
      </c>
      <c r="H1704">
        <v>568.91</v>
      </c>
      <c r="I1704">
        <v>4693.18</v>
      </c>
      <c r="J1704">
        <v>4.2</v>
      </c>
      <c r="K1704">
        <v>7.81</v>
      </c>
      <c r="L1704">
        <v>15.38</v>
      </c>
      <c r="M1704">
        <v>8.25</v>
      </c>
      <c r="N1704">
        <v>4124.2700000000004</v>
      </c>
    </row>
    <row r="1705" spans="1:14" x14ac:dyDescent="0.2">
      <c r="A1705" s="1">
        <v>45615</v>
      </c>
      <c r="B1705" s="2" t="s">
        <v>34</v>
      </c>
      <c r="C1705" s="2" t="s">
        <v>15</v>
      </c>
      <c r="D1705" s="2" t="s">
        <v>19</v>
      </c>
      <c r="E1705">
        <v>7615</v>
      </c>
      <c r="F1705">
        <v>683</v>
      </c>
      <c r="G1705">
        <v>95</v>
      </c>
      <c r="H1705">
        <v>109.37</v>
      </c>
      <c r="I1705">
        <v>15410.49</v>
      </c>
      <c r="J1705">
        <v>8.9700000000000006</v>
      </c>
      <c r="K1705">
        <v>13.91</v>
      </c>
      <c r="L1705">
        <v>1.1499999999999999</v>
      </c>
      <c r="M1705">
        <v>140.9</v>
      </c>
      <c r="N1705">
        <v>15301.12</v>
      </c>
    </row>
    <row r="1706" spans="1:14" x14ac:dyDescent="0.2">
      <c r="A1706" s="1">
        <v>45616</v>
      </c>
      <c r="B1706" s="2" t="s">
        <v>14</v>
      </c>
      <c r="C1706" s="2" t="s">
        <v>35</v>
      </c>
      <c r="D1706" s="2" t="s">
        <v>25</v>
      </c>
      <c r="E1706">
        <v>19454</v>
      </c>
      <c r="F1706">
        <v>795</v>
      </c>
      <c r="G1706">
        <v>64</v>
      </c>
      <c r="H1706">
        <v>1124.97</v>
      </c>
      <c r="I1706">
        <v>8119.79</v>
      </c>
      <c r="J1706">
        <v>4.09</v>
      </c>
      <c r="K1706">
        <v>8.0500000000000007</v>
      </c>
      <c r="L1706">
        <v>17.579999999999998</v>
      </c>
      <c r="M1706">
        <v>7.22</v>
      </c>
      <c r="N1706">
        <v>6994.82</v>
      </c>
    </row>
    <row r="1707" spans="1:14" x14ac:dyDescent="0.2">
      <c r="A1707" s="1">
        <v>45616</v>
      </c>
      <c r="B1707" s="2" t="s">
        <v>17</v>
      </c>
      <c r="C1707" s="2" t="s">
        <v>35</v>
      </c>
      <c r="D1707" s="2" t="s">
        <v>25</v>
      </c>
      <c r="E1707">
        <v>20608</v>
      </c>
      <c r="F1707">
        <v>592</v>
      </c>
      <c r="G1707">
        <v>49</v>
      </c>
      <c r="H1707">
        <v>941.64</v>
      </c>
      <c r="I1707">
        <v>6051.04</v>
      </c>
      <c r="J1707">
        <v>2.87</v>
      </c>
      <c r="K1707">
        <v>8.2799999999999994</v>
      </c>
      <c r="L1707">
        <v>19.22</v>
      </c>
      <c r="M1707">
        <v>6.43</v>
      </c>
      <c r="N1707">
        <v>5109.3999999999996</v>
      </c>
    </row>
    <row r="1708" spans="1:14" x14ac:dyDescent="0.2">
      <c r="A1708" s="1">
        <v>45616</v>
      </c>
      <c r="B1708" s="2" t="s">
        <v>20</v>
      </c>
      <c r="C1708" s="2" t="s">
        <v>15</v>
      </c>
      <c r="D1708" s="2" t="s">
        <v>16</v>
      </c>
      <c r="E1708">
        <v>20028</v>
      </c>
      <c r="F1708">
        <v>728</v>
      </c>
      <c r="G1708">
        <v>35</v>
      </c>
      <c r="H1708">
        <v>941.25</v>
      </c>
      <c r="I1708">
        <v>2910.65</v>
      </c>
      <c r="J1708">
        <v>3.63</v>
      </c>
      <c r="K1708">
        <v>4.8099999999999996</v>
      </c>
      <c r="L1708">
        <v>26.89</v>
      </c>
      <c r="M1708">
        <v>3.09</v>
      </c>
      <c r="N1708">
        <v>1969.4</v>
      </c>
    </row>
    <row r="1709" spans="1:14" x14ac:dyDescent="0.2">
      <c r="A1709" s="1">
        <v>45616</v>
      </c>
      <c r="B1709" s="2" t="s">
        <v>23</v>
      </c>
      <c r="C1709" s="2" t="s">
        <v>21</v>
      </c>
      <c r="D1709" s="2" t="s">
        <v>36</v>
      </c>
      <c r="E1709">
        <v>7193</v>
      </c>
      <c r="F1709">
        <v>175</v>
      </c>
      <c r="G1709">
        <v>23</v>
      </c>
      <c r="H1709">
        <v>1579.59</v>
      </c>
      <c r="I1709">
        <v>4792.25</v>
      </c>
      <c r="J1709">
        <v>2.4300000000000002</v>
      </c>
      <c r="K1709">
        <v>13.14</v>
      </c>
      <c r="L1709">
        <v>68.680000000000007</v>
      </c>
      <c r="M1709">
        <v>3.03</v>
      </c>
      <c r="N1709">
        <v>3212.66</v>
      </c>
    </row>
    <row r="1710" spans="1:14" x14ac:dyDescent="0.2">
      <c r="A1710" s="1">
        <v>45616</v>
      </c>
      <c r="B1710" s="2" t="s">
        <v>24</v>
      </c>
      <c r="C1710" s="2" t="s">
        <v>18</v>
      </c>
      <c r="D1710" s="2" t="s">
        <v>19</v>
      </c>
      <c r="E1710">
        <v>21198</v>
      </c>
      <c r="F1710">
        <v>4629</v>
      </c>
      <c r="G1710">
        <v>438</v>
      </c>
      <c r="H1710">
        <v>176.6</v>
      </c>
      <c r="I1710">
        <v>61825.8</v>
      </c>
      <c r="J1710">
        <v>21.84</v>
      </c>
      <c r="K1710">
        <v>9.4600000000000009</v>
      </c>
      <c r="L1710">
        <v>0.4</v>
      </c>
      <c r="M1710">
        <v>350.09</v>
      </c>
      <c r="N1710">
        <v>61649.2</v>
      </c>
    </row>
    <row r="1711" spans="1:14" x14ac:dyDescent="0.2">
      <c r="A1711" s="1">
        <v>45616</v>
      </c>
      <c r="B1711" s="2" t="s">
        <v>26</v>
      </c>
      <c r="C1711" s="2" t="s">
        <v>15</v>
      </c>
      <c r="D1711" s="2" t="s">
        <v>22</v>
      </c>
      <c r="E1711">
        <v>36173</v>
      </c>
      <c r="F1711">
        <v>2500</v>
      </c>
      <c r="G1711">
        <v>396</v>
      </c>
      <c r="H1711">
        <v>0</v>
      </c>
      <c r="I1711">
        <v>56312.76</v>
      </c>
      <c r="J1711">
        <v>6.91</v>
      </c>
      <c r="K1711">
        <v>15.84</v>
      </c>
      <c r="L1711">
        <v>0</v>
      </c>
      <c r="M1711">
        <v>0</v>
      </c>
      <c r="N1711">
        <v>56312.76</v>
      </c>
    </row>
    <row r="1712" spans="1:14" x14ac:dyDescent="0.2">
      <c r="A1712" s="1">
        <v>45616</v>
      </c>
      <c r="B1712" s="2" t="s">
        <v>27</v>
      </c>
      <c r="C1712" s="2" t="s">
        <v>15</v>
      </c>
      <c r="D1712" s="2" t="s">
        <v>22</v>
      </c>
      <c r="E1712">
        <v>47654</v>
      </c>
      <c r="F1712">
        <v>858</v>
      </c>
      <c r="G1712">
        <v>39</v>
      </c>
      <c r="H1712">
        <v>987.02</v>
      </c>
      <c r="I1712">
        <v>3414.93</v>
      </c>
      <c r="J1712">
        <v>1.8</v>
      </c>
      <c r="K1712">
        <v>4.55</v>
      </c>
      <c r="L1712">
        <v>25.31</v>
      </c>
      <c r="M1712">
        <v>3.46</v>
      </c>
      <c r="N1712">
        <v>2427.91</v>
      </c>
    </row>
    <row r="1713" spans="1:14" x14ac:dyDescent="0.2">
      <c r="A1713" s="1">
        <v>45616</v>
      </c>
      <c r="B1713" s="2" t="s">
        <v>29</v>
      </c>
      <c r="C1713" s="2" t="s">
        <v>21</v>
      </c>
      <c r="D1713" s="2" t="s">
        <v>22</v>
      </c>
      <c r="E1713">
        <v>32495</v>
      </c>
      <c r="F1713">
        <v>732</v>
      </c>
      <c r="G1713">
        <v>53</v>
      </c>
      <c r="H1713">
        <v>1568.85</v>
      </c>
      <c r="I1713">
        <v>5323.26</v>
      </c>
      <c r="J1713">
        <v>2.25</v>
      </c>
      <c r="K1713">
        <v>7.24</v>
      </c>
      <c r="L1713">
        <v>29.6</v>
      </c>
      <c r="M1713">
        <v>3.39</v>
      </c>
      <c r="N1713">
        <v>3754.41</v>
      </c>
    </row>
    <row r="1714" spans="1:14" x14ac:dyDescent="0.2">
      <c r="A1714" s="1">
        <v>45616</v>
      </c>
      <c r="B1714" s="2" t="s">
        <v>30</v>
      </c>
      <c r="C1714" s="2" t="s">
        <v>15</v>
      </c>
      <c r="D1714" s="2" t="s">
        <v>19</v>
      </c>
      <c r="E1714">
        <v>17546</v>
      </c>
      <c r="F1714">
        <v>404</v>
      </c>
      <c r="G1714">
        <v>22</v>
      </c>
      <c r="H1714">
        <v>693.26</v>
      </c>
      <c r="I1714">
        <v>1535.14</v>
      </c>
      <c r="J1714">
        <v>2.2999999999999998</v>
      </c>
      <c r="K1714">
        <v>5.45</v>
      </c>
      <c r="L1714">
        <v>31.51</v>
      </c>
      <c r="M1714">
        <v>2.21</v>
      </c>
      <c r="N1714">
        <v>841.88</v>
      </c>
    </row>
    <row r="1715" spans="1:14" x14ac:dyDescent="0.2">
      <c r="A1715" s="1">
        <v>45616</v>
      </c>
      <c r="B1715" s="2" t="s">
        <v>31</v>
      </c>
      <c r="C1715" s="2" t="s">
        <v>21</v>
      </c>
      <c r="D1715" s="2" t="s">
        <v>36</v>
      </c>
      <c r="E1715">
        <v>34854</v>
      </c>
      <c r="F1715">
        <v>1236</v>
      </c>
      <c r="G1715">
        <v>81</v>
      </c>
      <c r="H1715">
        <v>1093.3599999999999</v>
      </c>
      <c r="I1715">
        <v>6575.36</v>
      </c>
      <c r="J1715">
        <v>3.55</v>
      </c>
      <c r="K1715">
        <v>6.55</v>
      </c>
      <c r="L1715">
        <v>13.5</v>
      </c>
      <c r="M1715">
        <v>6.01</v>
      </c>
      <c r="N1715">
        <v>5482</v>
      </c>
    </row>
    <row r="1716" spans="1:14" x14ac:dyDescent="0.2">
      <c r="A1716" s="1">
        <v>45616</v>
      </c>
      <c r="B1716" s="2" t="s">
        <v>33</v>
      </c>
      <c r="C1716" s="2" t="s">
        <v>28</v>
      </c>
      <c r="D1716" s="2" t="s">
        <v>22</v>
      </c>
      <c r="E1716">
        <v>13241</v>
      </c>
      <c r="F1716">
        <v>785</v>
      </c>
      <c r="G1716">
        <v>95</v>
      </c>
      <c r="H1716">
        <v>833.75</v>
      </c>
      <c r="I1716">
        <v>11220.52</v>
      </c>
      <c r="J1716">
        <v>5.93</v>
      </c>
      <c r="K1716">
        <v>12.1</v>
      </c>
      <c r="L1716">
        <v>8.7799999999999994</v>
      </c>
      <c r="M1716">
        <v>13.46</v>
      </c>
      <c r="N1716">
        <v>10386.77</v>
      </c>
    </row>
    <row r="1717" spans="1:14" x14ac:dyDescent="0.2">
      <c r="A1717" s="1">
        <v>45616</v>
      </c>
      <c r="B1717" s="2" t="s">
        <v>34</v>
      </c>
      <c r="C1717" s="2" t="s">
        <v>32</v>
      </c>
      <c r="D1717" s="2" t="s">
        <v>19</v>
      </c>
      <c r="E1717">
        <v>4685</v>
      </c>
      <c r="F1717">
        <v>392</v>
      </c>
      <c r="G1717">
        <v>62</v>
      </c>
      <c r="H1717">
        <v>193.23</v>
      </c>
      <c r="I1717">
        <v>7547.84</v>
      </c>
      <c r="J1717">
        <v>8.3699999999999992</v>
      </c>
      <c r="K1717">
        <v>15.82</v>
      </c>
      <c r="L1717">
        <v>3.12</v>
      </c>
      <c r="M1717">
        <v>39.06</v>
      </c>
      <c r="N1717">
        <v>7354.61</v>
      </c>
    </row>
    <row r="1718" spans="1:14" x14ac:dyDescent="0.2">
      <c r="A1718" s="1">
        <v>45617</v>
      </c>
      <c r="B1718" s="2" t="s">
        <v>14</v>
      </c>
      <c r="C1718" s="2" t="s">
        <v>15</v>
      </c>
      <c r="D1718" s="2" t="s">
        <v>36</v>
      </c>
      <c r="E1718">
        <v>19930</v>
      </c>
      <c r="F1718">
        <v>834</v>
      </c>
      <c r="G1718">
        <v>91</v>
      </c>
      <c r="H1718">
        <v>1389.15</v>
      </c>
      <c r="I1718">
        <v>10798.7</v>
      </c>
      <c r="J1718">
        <v>4.18</v>
      </c>
      <c r="K1718">
        <v>10.91</v>
      </c>
      <c r="L1718">
        <v>15.27</v>
      </c>
      <c r="M1718">
        <v>7.77</v>
      </c>
      <c r="N1718">
        <v>9409.5499999999993</v>
      </c>
    </row>
    <row r="1719" spans="1:14" x14ac:dyDescent="0.2">
      <c r="A1719" s="1">
        <v>45617</v>
      </c>
      <c r="B1719" s="2" t="s">
        <v>17</v>
      </c>
      <c r="C1719" s="2" t="s">
        <v>28</v>
      </c>
      <c r="D1719" s="2" t="s">
        <v>36</v>
      </c>
      <c r="E1719">
        <v>22038</v>
      </c>
      <c r="F1719">
        <v>708</v>
      </c>
      <c r="G1719">
        <v>43</v>
      </c>
      <c r="H1719">
        <v>1659.64</v>
      </c>
      <c r="I1719">
        <v>4799.55</v>
      </c>
      <c r="J1719">
        <v>3.21</v>
      </c>
      <c r="K1719">
        <v>6.07</v>
      </c>
      <c r="L1719">
        <v>38.6</v>
      </c>
      <c r="M1719">
        <v>2.89</v>
      </c>
      <c r="N1719">
        <v>3139.91</v>
      </c>
    </row>
    <row r="1720" spans="1:14" x14ac:dyDescent="0.2">
      <c r="A1720" s="1">
        <v>45617</v>
      </c>
      <c r="B1720" s="2" t="s">
        <v>20</v>
      </c>
      <c r="C1720" s="2" t="s">
        <v>18</v>
      </c>
      <c r="D1720" s="2" t="s">
        <v>16</v>
      </c>
      <c r="E1720">
        <v>20626</v>
      </c>
      <c r="F1720">
        <v>653</v>
      </c>
      <c r="G1720">
        <v>28</v>
      </c>
      <c r="H1720">
        <v>840.35</v>
      </c>
      <c r="I1720">
        <v>2617.12</v>
      </c>
      <c r="J1720">
        <v>3.17</v>
      </c>
      <c r="K1720">
        <v>4.29</v>
      </c>
      <c r="L1720">
        <v>30.01</v>
      </c>
      <c r="M1720">
        <v>3.11</v>
      </c>
      <c r="N1720">
        <v>1776.77</v>
      </c>
    </row>
    <row r="1721" spans="1:14" x14ac:dyDescent="0.2">
      <c r="A1721" s="1">
        <v>45617</v>
      </c>
      <c r="B1721" s="2" t="s">
        <v>23</v>
      </c>
      <c r="C1721" s="2" t="s">
        <v>28</v>
      </c>
      <c r="D1721" s="2" t="s">
        <v>25</v>
      </c>
      <c r="E1721">
        <v>5734</v>
      </c>
      <c r="F1721">
        <v>128</v>
      </c>
      <c r="G1721">
        <v>15</v>
      </c>
      <c r="H1721">
        <v>2395.54</v>
      </c>
      <c r="I1721">
        <v>4106</v>
      </c>
      <c r="J1721">
        <v>2.23</v>
      </c>
      <c r="K1721">
        <v>11.72</v>
      </c>
      <c r="L1721">
        <v>159.69999999999999</v>
      </c>
      <c r="M1721">
        <v>1.71</v>
      </c>
      <c r="N1721">
        <v>1710.46</v>
      </c>
    </row>
    <row r="1722" spans="1:14" x14ac:dyDescent="0.2">
      <c r="A1722" s="1">
        <v>45617</v>
      </c>
      <c r="B1722" s="2" t="s">
        <v>24</v>
      </c>
      <c r="C1722" s="2" t="s">
        <v>15</v>
      </c>
      <c r="D1722" s="2" t="s">
        <v>19</v>
      </c>
      <c r="E1722">
        <v>30137</v>
      </c>
      <c r="F1722">
        <v>4802</v>
      </c>
      <c r="G1722">
        <v>652</v>
      </c>
      <c r="H1722">
        <v>253.16</v>
      </c>
      <c r="I1722">
        <v>78669.990000000005</v>
      </c>
      <c r="J1722">
        <v>15.93</v>
      </c>
      <c r="K1722">
        <v>13.58</v>
      </c>
      <c r="L1722">
        <v>0.39</v>
      </c>
      <c r="M1722">
        <v>310.75</v>
      </c>
      <c r="N1722">
        <v>78416.83</v>
      </c>
    </row>
    <row r="1723" spans="1:14" x14ac:dyDescent="0.2">
      <c r="A1723" s="1">
        <v>45617</v>
      </c>
      <c r="B1723" s="2" t="s">
        <v>26</v>
      </c>
      <c r="C1723" s="2" t="s">
        <v>15</v>
      </c>
      <c r="D1723" s="2" t="s">
        <v>19</v>
      </c>
      <c r="E1723">
        <v>45246</v>
      </c>
      <c r="F1723">
        <v>3487</v>
      </c>
      <c r="G1723">
        <v>413</v>
      </c>
      <c r="H1723">
        <v>0</v>
      </c>
      <c r="I1723">
        <v>43124.87</v>
      </c>
      <c r="J1723">
        <v>7.71</v>
      </c>
      <c r="K1723">
        <v>11.84</v>
      </c>
      <c r="L1723">
        <v>0</v>
      </c>
      <c r="M1723">
        <v>0</v>
      </c>
      <c r="N1723">
        <v>43124.87</v>
      </c>
    </row>
    <row r="1724" spans="1:14" x14ac:dyDescent="0.2">
      <c r="A1724" s="1">
        <v>45617</v>
      </c>
      <c r="B1724" s="2" t="s">
        <v>27</v>
      </c>
      <c r="C1724" s="2" t="s">
        <v>28</v>
      </c>
      <c r="D1724" s="2" t="s">
        <v>36</v>
      </c>
      <c r="E1724">
        <v>48147</v>
      </c>
      <c r="F1724">
        <v>768</v>
      </c>
      <c r="G1724">
        <v>29</v>
      </c>
      <c r="H1724">
        <v>1030.58</v>
      </c>
      <c r="I1724">
        <v>2579.23</v>
      </c>
      <c r="J1724">
        <v>1.6</v>
      </c>
      <c r="K1724">
        <v>3.78</v>
      </c>
      <c r="L1724">
        <v>35.54</v>
      </c>
      <c r="M1724">
        <v>2.5</v>
      </c>
      <c r="N1724">
        <v>1548.65</v>
      </c>
    </row>
    <row r="1725" spans="1:14" x14ac:dyDescent="0.2">
      <c r="A1725" s="1">
        <v>45617</v>
      </c>
      <c r="B1725" s="2" t="s">
        <v>29</v>
      </c>
      <c r="C1725" s="2" t="s">
        <v>35</v>
      </c>
      <c r="D1725" s="2" t="s">
        <v>25</v>
      </c>
      <c r="E1725">
        <v>22314</v>
      </c>
      <c r="F1725">
        <v>425</v>
      </c>
      <c r="G1725">
        <v>18</v>
      </c>
      <c r="H1725">
        <v>1631.18</v>
      </c>
      <c r="I1725">
        <v>2129.9499999999998</v>
      </c>
      <c r="J1725">
        <v>1.9</v>
      </c>
      <c r="K1725">
        <v>4.24</v>
      </c>
      <c r="L1725">
        <v>90.62</v>
      </c>
      <c r="M1725">
        <v>1.31</v>
      </c>
      <c r="N1725">
        <v>498.77</v>
      </c>
    </row>
    <row r="1726" spans="1:14" x14ac:dyDescent="0.2">
      <c r="A1726" s="1">
        <v>45617</v>
      </c>
      <c r="B1726" s="2" t="s">
        <v>30</v>
      </c>
      <c r="C1726" s="2" t="s">
        <v>18</v>
      </c>
      <c r="D1726" s="2" t="s">
        <v>16</v>
      </c>
      <c r="E1726">
        <v>17596</v>
      </c>
      <c r="F1726">
        <v>596</v>
      </c>
      <c r="G1726">
        <v>26</v>
      </c>
      <c r="H1726">
        <v>1035.19</v>
      </c>
      <c r="I1726">
        <v>1848.22</v>
      </c>
      <c r="J1726">
        <v>3.39</v>
      </c>
      <c r="K1726">
        <v>4.3600000000000003</v>
      </c>
      <c r="L1726">
        <v>39.82</v>
      </c>
      <c r="M1726">
        <v>1.79</v>
      </c>
      <c r="N1726">
        <v>813.03</v>
      </c>
    </row>
    <row r="1727" spans="1:14" x14ac:dyDescent="0.2">
      <c r="A1727" s="1">
        <v>45617</v>
      </c>
      <c r="B1727" s="2" t="s">
        <v>31</v>
      </c>
      <c r="C1727" s="2" t="s">
        <v>15</v>
      </c>
      <c r="D1727" s="2" t="s">
        <v>36</v>
      </c>
      <c r="E1727">
        <v>26356</v>
      </c>
      <c r="F1727">
        <v>805</v>
      </c>
      <c r="G1727">
        <v>39</v>
      </c>
      <c r="H1727">
        <v>1388.51</v>
      </c>
      <c r="I1727">
        <v>3385.58</v>
      </c>
      <c r="J1727">
        <v>3.05</v>
      </c>
      <c r="K1727">
        <v>4.84</v>
      </c>
      <c r="L1727">
        <v>35.6</v>
      </c>
      <c r="M1727">
        <v>2.44</v>
      </c>
      <c r="N1727">
        <v>1997.07</v>
      </c>
    </row>
    <row r="1728" spans="1:14" x14ac:dyDescent="0.2">
      <c r="A1728" s="1">
        <v>45617</v>
      </c>
      <c r="B1728" s="2" t="s">
        <v>33</v>
      </c>
      <c r="C1728" s="2" t="s">
        <v>15</v>
      </c>
      <c r="D1728" s="2" t="s">
        <v>19</v>
      </c>
      <c r="E1728">
        <v>9438</v>
      </c>
      <c r="F1728">
        <v>628</v>
      </c>
      <c r="G1728">
        <v>57</v>
      </c>
      <c r="H1728">
        <v>565.79</v>
      </c>
      <c r="I1728">
        <v>6305.16</v>
      </c>
      <c r="J1728">
        <v>6.65</v>
      </c>
      <c r="K1728">
        <v>9.08</v>
      </c>
      <c r="L1728">
        <v>9.93</v>
      </c>
      <c r="M1728">
        <v>11.14</v>
      </c>
      <c r="N1728">
        <v>5739.37</v>
      </c>
    </row>
    <row r="1729" spans="1:14" x14ac:dyDescent="0.2">
      <c r="A1729" s="1">
        <v>45617</v>
      </c>
      <c r="B1729" s="2" t="s">
        <v>34</v>
      </c>
      <c r="C1729" s="2" t="s">
        <v>18</v>
      </c>
      <c r="D1729" s="2" t="s">
        <v>25</v>
      </c>
      <c r="E1729">
        <v>7550</v>
      </c>
      <c r="F1729">
        <v>558</v>
      </c>
      <c r="G1729">
        <v>96</v>
      </c>
      <c r="H1729">
        <v>76.41</v>
      </c>
      <c r="I1729">
        <v>15647.73</v>
      </c>
      <c r="J1729">
        <v>7.39</v>
      </c>
      <c r="K1729">
        <v>17.2</v>
      </c>
      <c r="L1729">
        <v>0.8</v>
      </c>
      <c r="M1729">
        <v>204.79</v>
      </c>
      <c r="N1729">
        <v>15571.32</v>
      </c>
    </row>
    <row r="1730" spans="1:14" x14ac:dyDescent="0.2">
      <c r="A1730" s="1">
        <v>45618</v>
      </c>
      <c r="B1730" s="2" t="s">
        <v>14</v>
      </c>
      <c r="C1730" s="2" t="s">
        <v>28</v>
      </c>
      <c r="D1730" s="2" t="s">
        <v>22</v>
      </c>
      <c r="E1730">
        <v>18026</v>
      </c>
      <c r="F1730">
        <v>809</v>
      </c>
      <c r="G1730">
        <v>77</v>
      </c>
      <c r="H1730">
        <v>1636.67</v>
      </c>
      <c r="I1730">
        <v>12564.43</v>
      </c>
      <c r="J1730">
        <v>4.49</v>
      </c>
      <c r="K1730">
        <v>9.52</v>
      </c>
      <c r="L1730">
        <v>21.26</v>
      </c>
      <c r="M1730">
        <v>7.68</v>
      </c>
      <c r="N1730">
        <v>10927.76</v>
      </c>
    </row>
    <row r="1731" spans="1:14" x14ac:dyDescent="0.2">
      <c r="A1731" s="1">
        <v>45618</v>
      </c>
      <c r="B1731" s="2" t="s">
        <v>17</v>
      </c>
      <c r="C1731" s="2" t="s">
        <v>28</v>
      </c>
      <c r="D1731" s="2" t="s">
        <v>22</v>
      </c>
      <c r="E1731">
        <v>19237</v>
      </c>
      <c r="F1731">
        <v>746</v>
      </c>
      <c r="G1731">
        <v>49</v>
      </c>
      <c r="H1731">
        <v>1008.51</v>
      </c>
      <c r="I1731">
        <v>4732.41</v>
      </c>
      <c r="J1731">
        <v>3.88</v>
      </c>
      <c r="K1731">
        <v>6.57</v>
      </c>
      <c r="L1731">
        <v>20.58</v>
      </c>
      <c r="M1731">
        <v>4.6900000000000004</v>
      </c>
      <c r="N1731">
        <v>3723.9</v>
      </c>
    </row>
    <row r="1732" spans="1:14" x14ac:dyDescent="0.2">
      <c r="A1732" s="1">
        <v>45618</v>
      </c>
      <c r="B1732" s="2" t="s">
        <v>20</v>
      </c>
      <c r="C1732" s="2" t="s">
        <v>28</v>
      </c>
      <c r="D1732" s="2" t="s">
        <v>19</v>
      </c>
      <c r="E1732">
        <v>21618</v>
      </c>
      <c r="F1732">
        <v>599</v>
      </c>
      <c r="G1732">
        <v>43</v>
      </c>
      <c r="H1732">
        <v>1254.26</v>
      </c>
      <c r="I1732">
        <v>4905.05</v>
      </c>
      <c r="J1732">
        <v>2.77</v>
      </c>
      <c r="K1732">
        <v>7.18</v>
      </c>
      <c r="L1732">
        <v>29.17</v>
      </c>
      <c r="M1732">
        <v>3.91</v>
      </c>
      <c r="N1732">
        <v>3650.79</v>
      </c>
    </row>
    <row r="1733" spans="1:14" x14ac:dyDescent="0.2">
      <c r="A1733" s="1">
        <v>45618</v>
      </c>
      <c r="B1733" s="2" t="s">
        <v>23</v>
      </c>
      <c r="C1733" s="2" t="s">
        <v>35</v>
      </c>
      <c r="D1733" s="2" t="s">
        <v>19</v>
      </c>
      <c r="E1733">
        <v>7629</v>
      </c>
      <c r="F1733">
        <v>165</v>
      </c>
      <c r="G1733">
        <v>15</v>
      </c>
      <c r="H1733">
        <v>2316.0500000000002</v>
      </c>
      <c r="I1733">
        <v>3453.51</v>
      </c>
      <c r="J1733">
        <v>2.16</v>
      </c>
      <c r="K1733">
        <v>9.09</v>
      </c>
      <c r="L1733">
        <v>154.4</v>
      </c>
      <c r="M1733">
        <v>1.49</v>
      </c>
      <c r="N1733">
        <v>1137.46</v>
      </c>
    </row>
    <row r="1734" spans="1:14" x14ac:dyDescent="0.2">
      <c r="A1734" s="1">
        <v>45618</v>
      </c>
      <c r="B1734" s="2" t="s">
        <v>24</v>
      </c>
      <c r="C1734" s="2" t="s">
        <v>35</v>
      </c>
      <c r="D1734" s="2" t="s">
        <v>25</v>
      </c>
      <c r="E1734">
        <v>24600</v>
      </c>
      <c r="F1734">
        <v>4440</v>
      </c>
      <c r="G1734">
        <v>471</v>
      </c>
      <c r="H1734">
        <v>347.3</v>
      </c>
      <c r="I1734">
        <v>50049.760000000002</v>
      </c>
      <c r="J1734">
        <v>18.05</v>
      </c>
      <c r="K1734">
        <v>10.61</v>
      </c>
      <c r="L1734">
        <v>0.74</v>
      </c>
      <c r="M1734">
        <v>144.11000000000001</v>
      </c>
      <c r="N1734">
        <v>49702.46</v>
      </c>
    </row>
    <row r="1735" spans="1:14" x14ac:dyDescent="0.2">
      <c r="A1735" s="1">
        <v>45618</v>
      </c>
      <c r="B1735" s="2" t="s">
        <v>26</v>
      </c>
      <c r="C1735" s="2" t="s">
        <v>32</v>
      </c>
      <c r="D1735" s="2" t="s">
        <v>22</v>
      </c>
      <c r="E1735">
        <v>48426</v>
      </c>
      <c r="F1735">
        <v>3018</v>
      </c>
      <c r="G1735">
        <v>361</v>
      </c>
      <c r="H1735">
        <v>0</v>
      </c>
      <c r="I1735">
        <v>45373.18</v>
      </c>
      <c r="J1735">
        <v>6.23</v>
      </c>
      <c r="K1735">
        <v>11.96</v>
      </c>
      <c r="L1735">
        <v>0</v>
      </c>
      <c r="M1735">
        <v>0</v>
      </c>
      <c r="N1735">
        <v>45373.18</v>
      </c>
    </row>
    <row r="1736" spans="1:14" x14ac:dyDescent="0.2">
      <c r="A1736" s="1">
        <v>45618</v>
      </c>
      <c r="B1736" s="2" t="s">
        <v>27</v>
      </c>
      <c r="C1736" s="2" t="s">
        <v>32</v>
      </c>
      <c r="D1736" s="2" t="s">
        <v>36</v>
      </c>
      <c r="E1736">
        <v>54224</v>
      </c>
      <c r="F1736">
        <v>998</v>
      </c>
      <c r="G1736">
        <v>43</v>
      </c>
      <c r="H1736">
        <v>1539.5</v>
      </c>
      <c r="I1736">
        <v>4686.91</v>
      </c>
      <c r="J1736">
        <v>1.84</v>
      </c>
      <c r="K1736">
        <v>4.3099999999999996</v>
      </c>
      <c r="L1736">
        <v>35.799999999999997</v>
      </c>
      <c r="M1736">
        <v>3.04</v>
      </c>
      <c r="N1736">
        <v>3147.41</v>
      </c>
    </row>
    <row r="1737" spans="1:14" x14ac:dyDescent="0.2">
      <c r="A1737" s="1">
        <v>45618</v>
      </c>
      <c r="B1737" s="2" t="s">
        <v>29</v>
      </c>
      <c r="C1737" s="2" t="s">
        <v>35</v>
      </c>
      <c r="D1737" s="2" t="s">
        <v>16</v>
      </c>
      <c r="E1737">
        <v>23018</v>
      </c>
      <c r="F1737">
        <v>565</v>
      </c>
      <c r="G1737">
        <v>25</v>
      </c>
      <c r="H1737">
        <v>1686.98</v>
      </c>
      <c r="I1737">
        <v>3064.87</v>
      </c>
      <c r="J1737">
        <v>2.4500000000000002</v>
      </c>
      <c r="K1737">
        <v>4.42</v>
      </c>
      <c r="L1737">
        <v>67.48</v>
      </c>
      <c r="M1737">
        <v>1.82</v>
      </c>
      <c r="N1737">
        <v>1377.89</v>
      </c>
    </row>
    <row r="1738" spans="1:14" x14ac:dyDescent="0.2">
      <c r="A1738" s="1">
        <v>45618</v>
      </c>
      <c r="B1738" s="2" t="s">
        <v>30</v>
      </c>
      <c r="C1738" s="2" t="s">
        <v>18</v>
      </c>
      <c r="D1738" s="2" t="s">
        <v>16</v>
      </c>
      <c r="E1738">
        <v>15390</v>
      </c>
      <c r="F1738">
        <v>439</v>
      </c>
      <c r="G1738">
        <v>12</v>
      </c>
      <c r="H1738">
        <v>705.59</v>
      </c>
      <c r="I1738">
        <v>1332.4</v>
      </c>
      <c r="J1738">
        <v>2.85</v>
      </c>
      <c r="K1738">
        <v>2.73</v>
      </c>
      <c r="L1738">
        <v>58.8</v>
      </c>
      <c r="M1738">
        <v>1.89</v>
      </c>
      <c r="N1738">
        <v>626.80999999999995</v>
      </c>
    </row>
    <row r="1739" spans="1:14" x14ac:dyDescent="0.2">
      <c r="A1739" s="1">
        <v>45618</v>
      </c>
      <c r="B1739" s="2" t="s">
        <v>31</v>
      </c>
      <c r="C1739" s="2" t="s">
        <v>15</v>
      </c>
      <c r="D1739" s="2" t="s">
        <v>36</v>
      </c>
      <c r="E1739">
        <v>37751</v>
      </c>
      <c r="F1739">
        <v>1085</v>
      </c>
      <c r="G1739">
        <v>68</v>
      </c>
      <c r="H1739">
        <v>1275.93</v>
      </c>
      <c r="I1739">
        <v>5543.99</v>
      </c>
      <c r="J1739">
        <v>2.87</v>
      </c>
      <c r="K1739">
        <v>6.27</v>
      </c>
      <c r="L1739">
        <v>18.760000000000002</v>
      </c>
      <c r="M1739">
        <v>4.3499999999999996</v>
      </c>
      <c r="N1739">
        <v>4268.0600000000004</v>
      </c>
    </row>
    <row r="1740" spans="1:14" x14ac:dyDescent="0.2">
      <c r="A1740" s="1">
        <v>45618</v>
      </c>
      <c r="B1740" s="2" t="s">
        <v>33</v>
      </c>
      <c r="C1740" s="2" t="s">
        <v>18</v>
      </c>
      <c r="D1740" s="2" t="s">
        <v>16</v>
      </c>
      <c r="E1740">
        <v>8474</v>
      </c>
      <c r="F1740">
        <v>368</v>
      </c>
      <c r="G1740">
        <v>40</v>
      </c>
      <c r="H1740">
        <v>907.33</v>
      </c>
      <c r="I1740">
        <v>4429.57</v>
      </c>
      <c r="J1740">
        <v>4.34</v>
      </c>
      <c r="K1740">
        <v>10.87</v>
      </c>
      <c r="L1740">
        <v>22.68</v>
      </c>
      <c r="M1740">
        <v>4.88</v>
      </c>
      <c r="N1740">
        <v>3522.24</v>
      </c>
    </row>
    <row r="1741" spans="1:14" x14ac:dyDescent="0.2">
      <c r="A1741" s="1">
        <v>45618</v>
      </c>
      <c r="B1741" s="2" t="s">
        <v>34</v>
      </c>
      <c r="C1741" s="2" t="s">
        <v>21</v>
      </c>
      <c r="D1741" s="2" t="s">
        <v>36</v>
      </c>
      <c r="E1741">
        <v>7600</v>
      </c>
      <c r="F1741">
        <v>523</v>
      </c>
      <c r="G1741">
        <v>70</v>
      </c>
      <c r="H1741">
        <v>176.56</v>
      </c>
      <c r="I1741">
        <v>9759.8700000000008</v>
      </c>
      <c r="J1741">
        <v>6.88</v>
      </c>
      <c r="K1741">
        <v>13.38</v>
      </c>
      <c r="L1741">
        <v>2.52</v>
      </c>
      <c r="M1741">
        <v>55.28</v>
      </c>
      <c r="N1741">
        <v>9583.31</v>
      </c>
    </row>
    <row r="1742" spans="1:14" x14ac:dyDescent="0.2">
      <c r="A1742" s="1">
        <v>45619</v>
      </c>
      <c r="B1742" s="2" t="s">
        <v>14</v>
      </c>
      <c r="C1742" s="2" t="s">
        <v>28</v>
      </c>
      <c r="D1742" s="2" t="s">
        <v>16</v>
      </c>
      <c r="E1742">
        <v>10667</v>
      </c>
      <c r="F1742">
        <v>365</v>
      </c>
      <c r="G1742">
        <v>40</v>
      </c>
      <c r="H1742">
        <v>944.37</v>
      </c>
      <c r="I1742">
        <v>6588.55</v>
      </c>
      <c r="J1742">
        <v>3.42</v>
      </c>
      <c r="K1742">
        <v>10.96</v>
      </c>
      <c r="L1742">
        <v>23.61</v>
      </c>
      <c r="M1742">
        <v>6.98</v>
      </c>
      <c r="N1742">
        <v>5644.18</v>
      </c>
    </row>
    <row r="1743" spans="1:14" x14ac:dyDescent="0.2">
      <c r="A1743" s="1">
        <v>45619</v>
      </c>
      <c r="B1743" s="2" t="s">
        <v>17</v>
      </c>
      <c r="C1743" s="2" t="s">
        <v>28</v>
      </c>
      <c r="D1743" s="2" t="s">
        <v>22</v>
      </c>
      <c r="E1743">
        <v>18394</v>
      </c>
      <c r="F1743">
        <v>715</v>
      </c>
      <c r="G1743">
        <v>53</v>
      </c>
      <c r="H1743">
        <v>988.48</v>
      </c>
      <c r="I1743">
        <v>5030.53</v>
      </c>
      <c r="J1743">
        <v>3.89</v>
      </c>
      <c r="K1743">
        <v>7.41</v>
      </c>
      <c r="L1743">
        <v>18.649999999999999</v>
      </c>
      <c r="M1743">
        <v>5.09</v>
      </c>
      <c r="N1743">
        <v>4042.05</v>
      </c>
    </row>
    <row r="1744" spans="1:14" x14ac:dyDescent="0.2">
      <c r="A1744" s="1">
        <v>45619</v>
      </c>
      <c r="B1744" s="2" t="s">
        <v>20</v>
      </c>
      <c r="C1744" s="2" t="s">
        <v>15</v>
      </c>
      <c r="D1744" s="2" t="s">
        <v>22</v>
      </c>
      <c r="E1744">
        <v>15581</v>
      </c>
      <c r="F1744">
        <v>455</v>
      </c>
      <c r="G1744">
        <v>18</v>
      </c>
      <c r="H1744">
        <v>786.18</v>
      </c>
      <c r="I1744">
        <v>1950.72</v>
      </c>
      <c r="J1744">
        <v>2.92</v>
      </c>
      <c r="K1744">
        <v>3.96</v>
      </c>
      <c r="L1744">
        <v>43.68</v>
      </c>
      <c r="M1744">
        <v>2.48</v>
      </c>
      <c r="N1744">
        <v>1164.54</v>
      </c>
    </row>
    <row r="1745" spans="1:14" x14ac:dyDescent="0.2">
      <c r="A1745" s="1">
        <v>45619</v>
      </c>
      <c r="B1745" s="2" t="s">
        <v>23</v>
      </c>
      <c r="C1745" s="2" t="s">
        <v>15</v>
      </c>
      <c r="D1745" s="2" t="s">
        <v>19</v>
      </c>
      <c r="E1745">
        <v>5519</v>
      </c>
      <c r="F1745">
        <v>122</v>
      </c>
      <c r="G1745">
        <v>12</v>
      </c>
      <c r="H1745">
        <v>1683.45</v>
      </c>
      <c r="I1745">
        <v>3370.56</v>
      </c>
      <c r="J1745">
        <v>2.21</v>
      </c>
      <c r="K1745">
        <v>9.84</v>
      </c>
      <c r="L1745">
        <v>140.29</v>
      </c>
      <c r="M1745">
        <v>2</v>
      </c>
      <c r="N1745">
        <v>1687.11</v>
      </c>
    </row>
    <row r="1746" spans="1:14" x14ac:dyDescent="0.2">
      <c r="A1746" s="1">
        <v>45619</v>
      </c>
      <c r="B1746" s="2" t="s">
        <v>24</v>
      </c>
      <c r="C1746" s="2" t="s">
        <v>21</v>
      </c>
      <c r="D1746" s="2" t="s">
        <v>19</v>
      </c>
      <c r="E1746">
        <v>15135</v>
      </c>
      <c r="F1746">
        <v>2496</v>
      </c>
      <c r="G1746">
        <v>235</v>
      </c>
      <c r="H1746">
        <v>206.44</v>
      </c>
      <c r="I1746">
        <v>24988.93</v>
      </c>
      <c r="J1746">
        <v>16.489999999999998</v>
      </c>
      <c r="K1746">
        <v>9.42</v>
      </c>
      <c r="L1746">
        <v>0.88</v>
      </c>
      <c r="M1746">
        <v>121.05</v>
      </c>
      <c r="N1746">
        <v>24782.49</v>
      </c>
    </row>
    <row r="1747" spans="1:14" x14ac:dyDescent="0.2">
      <c r="A1747" s="1">
        <v>45619</v>
      </c>
      <c r="B1747" s="2" t="s">
        <v>26</v>
      </c>
      <c r="C1747" s="2" t="s">
        <v>18</v>
      </c>
      <c r="D1747" s="2" t="s">
        <v>19</v>
      </c>
      <c r="E1747">
        <v>31754</v>
      </c>
      <c r="F1747">
        <v>1780</v>
      </c>
      <c r="G1747">
        <v>284</v>
      </c>
      <c r="H1747">
        <v>0</v>
      </c>
      <c r="I1747">
        <v>33972.17</v>
      </c>
      <c r="J1747">
        <v>5.61</v>
      </c>
      <c r="K1747">
        <v>15.96</v>
      </c>
      <c r="L1747">
        <v>0</v>
      </c>
      <c r="M1747">
        <v>0</v>
      </c>
      <c r="N1747">
        <v>33972.17</v>
      </c>
    </row>
    <row r="1748" spans="1:14" x14ac:dyDescent="0.2">
      <c r="A1748" s="1">
        <v>45619</v>
      </c>
      <c r="B1748" s="2" t="s">
        <v>27</v>
      </c>
      <c r="C1748" s="2" t="s">
        <v>35</v>
      </c>
      <c r="D1748" s="2" t="s">
        <v>16</v>
      </c>
      <c r="E1748">
        <v>35547</v>
      </c>
      <c r="F1748">
        <v>431</v>
      </c>
      <c r="G1748">
        <v>11</v>
      </c>
      <c r="H1748">
        <v>925.09</v>
      </c>
      <c r="I1748">
        <v>1201.0999999999999</v>
      </c>
      <c r="J1748">
        <v>1.21</v>
      </c>
      <c r="K1748">
        <v>2.5499999999999998</v>
      </c>
      <c r="L1748">
        <v>84.1</v>
      </c>
      <c r="M1748">
        <v>1.3</v>
      </c>
      <c r="N1748">
        <v>276.01</v>
      </c>
    </row>
    <row r="1749" spans="1:14" x14ac:dyDescent="0.2">
      <c r="A1749" s="1">
        <v>45619</v>
      </c>
      <c r="B1749" s="2" t="s">
        <v>29</v>
      </c>
      <c r="C1749" s="2" t="s">
        <v>35</v>
      </c>
      <c r="D1749" s="2" t="s">
        <v>22</v>
      </c>
      <c r="E1749">
        <v>21850</v>
      </c>
      <c r="F1749">
        <v>532</v>
      </c>
      <c r="G1749">
        <v>30</v>
      </c>
      <c r="H1749">
        <v>910.11</v>
      </c>
      <c r="I1749">
        <v>3396.62</v>
      </c>
      <c r="J1749">
        <v>2.4300000000000002</v>
      </c>
      <c r="K1749">
        <v>5.64</v>
      </c>
      <c r="L1749">
        <v>30.34</v>
      </c>
      <c r="M1749">
        <v>3.73</v>
      </c>
      <c r="N1749">
        <v>2486.5100000000002</v>
      </c>
    </row>
    <row r="1750" spans="1:14" x14ac:dyDescent="0.2">
      <c r="A1750" s="1">
        <v>45619</v>
      </c>
      <c r="B1750" s="2" t="s">
        <v>30</v>
      </c>
      <c r="C1750" s="2" t="s">
        <v>18</v>
      </c>
      <c r="D1750" s="2" t="s">
        <v>36</v>
      </c>
      <c r="E1750">
        <v>9783</v>
      </c>
      <c r="F1750">
        <v>313</v>
      </c>
      <c r="G1750">
        <v>11</v>
      </c>
      <c r="H1750">
        <v>483.71</v>
      </c>
      <c r="I1750">
        <v>1119.9000000000001</v>
      </c>
      <c r="J1750">
        <v>3.2</v>
      </c>
      <c r="K1750">
        <v>3.51</v>
      </c>
      <c r="L1750">
        <v>43.97</v>
      </c>
      <c r="M1750">
        <v>2.3199999999999998</v>
      </c>
      <c r="N1750">
        <v>636.19000000000005</v>
      </c>
    </row>
    <row r="1751" spans="1:14" x14ac:dyDescent="0.2">
      <c r="A1751" s="1">
        <v>45619</v>
      </c>
      <c r="B1751" s="2" t="s">
        <v>31</v>
      </c>
      <c r="C1751" s="2" t="s">
        <v>15</v>
      </c>
      <c r="D1751" s="2" t="s">
        <v>19</v>
      </c>
      <c r="E1751">
        <v>21380</v>
      </c>
      <c r="F1751">
        <v>791</v>
      </c>
      <c r="G1751">
        <v>54</v>
      </c>
      <c r="H1751">
        <v>1005.19</v>
      </c>
      <c r="I1751">
        <v>3876.76</v>
      </c>
      <c r="J1751">
        <v>3.7</v>
      </c>
      <c r="K1751">
        <v>6.83</v>
      </c>
      <c r="L1751">
        <v>18.61</v>
      </c>
      <c r="M1751">
        <v>3.86</v>
      </c>
      <c r="N1751">
        <v>2871.57</v>
      </c>
    </row>
    <row r="1752" spans="1:14" x14ac:dyDescent="0.2">
      <c r="A1752" s="1">
        <v>45619</v>
      </c>
      <c r="B1752" s="2" t="s">
        <v>33</v>
      </c>
      <c r="C1752" s="2" t="s">
        <v>15</v>
      </c>
      <c r="D1752" s="2" t="s">
        <v>22</v>
      </c>
      <c r="E1752">
        <v>6161</v>
      </c>
      <c r="F1752">
        <v>335</v>
      </c>
      <c r="G1752">
        <v>38</v>
      </c>
      <c r="H1752">
        <v>305.5</v>
      </c>
      <c r="I1752">
        <v>4197.82</v>
      </c>
      <c r="J1752">
        <v>5.44</v>
      </c>
      <c r="K1752">
        <v>11.34</v>
      </c>
      <c r="L1752">
        <v>8.0399999999999991</v>
      </c>
      <c r="M1752">
        <v>13.74</v>
      </c>
      <c r="N1752">
        <v>3892.32</v>
      </c>
    </row>
    <row r="1753" spans="1:14" x14ac:dyDescent="0.2">
      <c r="A1753" s="1">
        <v>45619</v>
      </c>
      <c r="B1753" s="2" t="s">
        <v>34</v>
      </c>
      <c r="C1753" s="2" t="s">
        <v>28</v>
      </c>
      <c r="D1753" s="2" t="s">
        <v>16</v>
      </c>
      <c r="E1753">
        <v>5570</v>
      </c>
      <c r="F1753">
        <v>500</v>
      </c>
      <c r="G1753">
        <v>70</v>
      </c>
      <c r="H1753">
        <v>93.83</v>
      </c>
      <c r="I1753">
        <v>11148.98</v>
      </c>
      <c r="J1753">
        <v>8.98</v>
      </c>
      <c r="K1753">
        <v>14</v>
      </c>
      <c r="L1753">
        <v>1.34</v>
      </c>
      <c r="M1753">
        <v>118.82</v>
      </c>
      <c r="N1753">
        <v>11055.15</v>
      </c>
    </row>
    <row r="1754" spans="1:14" x14ac:dyDescent="0.2">
      <c r="A1754" s="1">
        <v>45620</v>
      </c>
      <c r="B1754" s="2" t="s">
        <v>14</v>
      </c>
      <c r="C1754" s="2" t="s">
        <v>15</v>
      </c>
      <c r="D1754" s="2" t="s">
        <v>16</v>
      </c>
      <c r="E1754">
        <v>12968</v>
      </c>
      <c r="F1754">
        <v>555</v>
      </c>
      <c r="G1754">
        <v>53</v>
      </c>
      <c r="H1754">
        <v>789.36</v>
      </c>
      <c r="I1754">
        <v>8461.24</v>
      </c>
      <c r="J1754">
        <v>4.28</v>
      </c>
      <c r="K1754">
        <v>9.5500000000000007</v>
      </c>
      <c r="L1754">
        <v>14.89</v>
      </c>
      <c r="M1754">
        <v>10.72</v>
      </c>
      <c r="N1754">
        <v>7671.88</v>
      </c>
    </row>
    <row r="1755" spans="1:14" x14ac:dyDescent="0.2">
      <c r="A1755" s="1">
        <v>45620</v>
      </c>
      <c r="B1755" s="2" t="s">
        <v>17</v>
      </c>
      <c r="C1755" s="2" t="s">
        <v>18</v>
      </c>
      <c r="D1755" s="2" t="s">
        <v>22</v>
      </c>
      <c r="E1755">
        <v>17425</v>
      </c>
      <c r="F1755">
        <v>539</v>
      </c>
      <c r="G1755">
        <v>33</v>
      </c>
      <c r="H1755">
        <v>1027.1099999999999</v>
      </c>
      <c r="I1755">
        <v>4087.69</v>
      </c>
      <c r="J1755">
        <v>3.09</v>
      </c>
      <c r="K1755">
        <v>6.12</v>
      </c>
      <c r="L1755">
        <v>31.12</v>
      </c>
      <c r="M1755">
        <v>3.98</v>
      </c>
      <c r="N1755">
        <v>3060.58</v>
      </c>
    </row>
    <row r="1756" spans="1:14" x14ac:dyDescent="0.2">
      <c r="A1756" s="1">
        <v>45620</v>
      </c>
      <c r="B1756" s="2" t="s">
        <v>20</v>
      </c>
      <c r="C1756" s="2" t="s">
        <v>28</v>
      </c>
      <c r="D1756" s="2" t="s">
        <v>16</v>
      </c>
      <c r="E1756">
        <v>16354</v>
      </c>
      <c r="F1756">
        <v>733</v>
      </c>
      <c r="G1756">
        <v>46</v>
      </c>
      <c r="H1756">
        <v>621.67999999999995</v>
      </c>
      <c r="I1756">
        <v>4662.4799999999996</v>
      </c>
      <c r="J1756">
        <v>4.4800000000000004</v>
      </c>
      <c r="K1756">
        <v>6.28</v>
      </c>
      <c r="L1756">
        <v>13.51</v>
      </c>
      <c r="M1756">
        <v>7.5</v>
      </c>
      <c r="N1756">
        <v>4040.8</v>
      </c>
    </row>
    <row r="1757" spans="1:14" x14ac:dyDescent="0.2">
      <c r="A1757" s="1">
        <v>45620</v>
      </c>
      <c r="B1757" s="2" t="s">
        <v>23</v>
      </c>
      <c r="C1757" s="2" t="s">
        <v>21</v>
      </c>
      <c r="D1757" s="2" t="s">
        <v>25</v>
      </c>
      <c r="E1757">
        <v>5100</v>
      </c>
      <c r="F1757">
        <v>82</v>
      </c>
      <c r="G1757">
        <v>9</v>
      </c>
      <c r="H1757">
        <v>1122.23</v>
      </c>
      <c r="I1757">
        <v>2360.29</v>
      </c>
      <c r="J1757">
        <v>1.61</v>
      </c>
      <c r="K1757">
        <v>10.98</v>
      </c>
      <c r="L1757">
        <v>124.69</v>
      </c>
      <c r="M1757">
        <v>2.1</v>
      </c>
      <c r="N1757">
        <v>1238.06</v>
      </c>
    </row>
    <row r="1758" spans="1:14" x14ac:dyDescent="0.2">
      <c r="A1758" s="1">
        <v>45620</v>
      </c>
      <c r="B1758" s="2" t="s">
        <v>24</v>
      </c>
      <c r="C1758" s="2" t="s">
        <v>21</v>
      </c>
      <c r="D1758" s="2" t="s">
        <v>25</v>
      </c>
      <c r="E1758">
        <v>24157</v>
      </c>
      <c r="F1758">
        <v>3811</v>
      </c>
      <c r="G1758">
        <v>323</v>
      </c>
      <c r="H1758">
        <v>212.15</v>
      </c>
      <c r="I1758">
        <v>50358.06</v>
      </c>
      <c r="J1758">
        <v>15.78</v>
      </c>
      <c r="K1758">
        <v>8.48</v>
      </c>
      <c r="L1758">
        <v>0.66</v>
      </c>
      <c r="M1758">
        <v>237.37</v>
      </c>
      <c r="N1758">
        <v>50145.91</v>
      </c>
    </row>
    <row r="1759" spans="1:14" x14ac:dyDescent="0.2">
      <c r="A1759" s="1">
        <v>45620</v>
      </c>
      <c r="B1759" s="2" t="s">
        <v>26</v>
      </c>
      <c r="C1759" s="2" t="s">
        <v>15</v>
      </c>
      <c r="D1759" s="2" t="s">
        <v>36</v>
      </c>
      <c r="E1759">
        <v>30934</v>
      </c>
      <c r="F1759">
        <v>1599</v>
      </c>
      <c r="G1759">
        <v>232</v>
      </c>
      <c r="H1759">
        <v>0</v>
      </c>
      <c r="I1759">
        <v>31565.66</v>
      </c>
      <c r="J1759">
        <v>5.17</v>
      </c>
      <c r="K1759">
        <v>14.51</v>
      </c>
      <c r="L1759">
        <v>0</v>
      </c>
      <c r="M1759">
        <v>0</v>
      </c>
      <c r="N1759">
        <v>31565.66</v>
      </c>
    </row>
    <row r="1760" spans="1:14" x14ac:dyDescent="0.2">
      <c r="A1760" s="1">
        <v>45620</v>
      </c>
      <c r="B1760" s="2" t="s">
        <v>27</v>
      </c>
      <c r="C1760" s="2" t="s">
        <v>18</v>
      </c>
      <c r="D1760" s="2" t="s">
        <v>16</v>
      </c>
      <c r="E1760">
        <v>30512</v>
      </c>
      <c r="F1760">
        <v>490</v>
      </c>
      <c r="G1760">
        <v>12</v>
      </c>
      <c r="H1760">
        <v>1006.49</v>
      </c>
      <c r="I1760">
        <v>1284.5899999999999</v>
      </c>
      <c r="J1760">
        <v>1.61</v>
      </c>
      <c r="K1760">
        <v>2.4500000000000002</v>
      </c>
      <c r="L1760">
        <v>83.87</v>
      </c>
      <c r="M1760">
        <v>1.28</v>
      </c>
      <c r="N1760">
        <v>278.10000000000002</v>
      </c>
    </row>
    <row r="1761" spans="1:14" x14ac:dyDescent="0.2">
      <c r="A1761" s="1">
        <v>45620</v>
      </c>
      <c r="B1761" s="2" t="s">
        <v>29</v>
      </c>
      <c r="C1761" s="2" t="s">
        <v>15</v>
      </c>
      <c r="D1761" s="2" t="s">
        <v>19</v>
      </c>
      <c r="E1761">
        <v>23490</v>
      </c>
      <c r="F1761">
        <v>658</v>
      </c>
      <c r="G1761">
        <v>26</v>
      </c>
      <c r="H1761">
        <v>1085.68</v>
      </c>
      <c r="I1761">
        <v>2356.81</v>
      </c>
      <c r="J1761">
        <v>2.8</v>
      </c>
      <c r="K1761">
        <v>3.95</v>
      </c>
      <c r="L1761">
        <v>41.76</v>
      </c>
      <c r="M1761">
        <v>2.17</v>
      </c>
      <c r="N1761">
        <v>1271.1300000000001</v>
      </c>
    </row>
    <row r="1762" spans="1:14" x14ac:dyDescent="0.2">
      <c r="A1762" s="1">
        <v>45620</v>
      </c>
      <c r="B1762" s="2" t="s">
        <v>30</v>
      </c>
      <c r="C1762" s="2" t="s">
        <v>18</v>
      </c>
      <c r="D1762" s="2" t="s">
        <v>36</v>
      </c>
      <c r="E1762">
        <v>10265</v>
      </c>
      <c r="F1762">
        <v>247</v>
      </c>
      <c r="G1762">
        <v>8</v>
      </c>
      <c r="H1762">
        <v>728.76</v>
      </c>
      <c r="I1762">
        <v>631.46</v>
      </c>
      <c r="J1762">
        <v>2.41</v>
      </c>
      <c r="K1762">
        <v>3.24</v>
      </c>
      <c r="L1762">
        <v>91.1</v>
      </c>
      <c r="M1762">
        <v>0.87</v>
      </c>
      <c r="N1762">
        <v>-97.3</v>
      </c>
    </row>
    <row r="1763" spans="1:14" x14ac:dyDescent="0.2">
      <c r="A1763" s="1">
        <v>45620</v>
      </c>
      <c r="B1763" s="2" t="s">
        <v>31</v>
      </c>
      <c r="C1763" s="2" t="s">
        <v>15</v>
      </c>
      <c r="D1763" s="2" t="s">
        <v>22</v>
      </c>
      <c r="E1763">
        <v>29110</v>
      </c>
      <c r="F1763">
        <v>1270</v>
      </c>
      <c r="G1763">
        <v>43</v>
      </c>
      <c r="H1763">
        <v>650.62</v>
      </c>
      <c r="I1763">
        <v>4434.95</v>
      </c>
      <c r="J1763">
        <v>4.3600000000000003</v>
      </c>
      <c r="K1763">
        <v>3.39</v>
      </c>
      <c r="L1763">
        <v>15.13</v>
      </c>
      <c r="M1763">
        <v>6.82</v>
      </c>
      <c r="N1763">
        <v>3784.33</v>
      </c>
    </row>
    <row r="1764" spans="1:14" x14ac:dyDescent="0.2">
      <c r="A1764" s="1">
        <v>45620</v>
      </c>
      <c r="B1764" s="2" t="s">
        <v>33</v>
      </c>
      <c r="C1764" s="2" t="s">
        <v>28</v>
      </c>
      <c r="D1764" s="2" t="s">
        <v>16</v>
      </c>
      <c r="E1764">
        <v>9669</v>
      </c>
      <c r="F1764">
        <v>416</v>
      </c>
      <c r="G1764">
        <v>35</v>
      </c>
      <c r="H1764">
        <v>554.64</v>
      </c>
      <c r="I1764">
        <v>4056.34</v>
      </c>
      <c r="J1764">
        <v>4.3</v>
      </c>
      <c r="K1764">
        <v>8.41</v>
      </c>
      <c r="L1764">
        <v>15.85</v>
      </c>
      <c r="M1764">
        <v>7.31</v>
      </c>
      <c r="N1764">
        <v>3501.7</v>
      </c>
    </row>
    <row r="1765" spans="1:14" x14ac:dyDescent="0.2">
      <c r="A1765" s="1">
        <v>45620</v>
      </c>
      <c r="B1765" s="2" t="s">
        <v>34</v>
      </c>
      <c r="C1765" s="2" t="s">
        <v>21</v>
      </c>
      <c r="D1765" s="2" t="s">
        <v>36</v>
      </c>
      <c r="E1765">
        <v>3138</v>
      </c>
      <c r="F1765">
        <v>258</v>
      </c>
      <c r="G1765">
        <v>45</v>
      </c>
      <c r="H1765">
        <v>80.08</v>
      </c>
      <c r="I1765">
        <v>6300.65</v>
      </c>
      <c r="J1765">
        <v>8.2200000000000006</v>
      </c>
      <c r="K1765">
        <v>17.440000000000001</v>
      </c>
      <c r="L1765">
        <v>1.78</v>
      </c>
      <c r="M1765">
        <v>78.680000000000007</v>
      </c>
      <c r="N1765">
        <v>6220.57</v>
      </c>
    </row>
    <row r="1766" spans="1:14" x14ac:dyDescent="0.2">
      <c r="A1766" s="1">
        <v>45621</v>
      </c>
      <c r="B1766" s="2" t="s">
        <v>14</v>
      </c>
      <c r="C1766" s="2" t="s">
        <v>18</v>
      </c>
      <c r="D1766" s="2" t="s">
        <v>16</v>
      </c>
      <c r="E1766">
        <v>13178</v>
      </c>
      <c r="F1766">
        <v>413</v>
      </c>
      <c r="G1766">
        <v>32</v>
      </c>
      <c r="H1766">
        <v>1892.49</v>
      </c>
      <c r="I1766">
        <v>4467.1400000000003</v>
      </c>
      <c r="J1766">
        <v>3.13</v>
      </c>
      <c r="K1766">
        <v>7.75</v>
      </c>
      <c r="L1766">
        <v>59.14</v>
      </c>
      <c r="M1766">
        <v>2.36</v>
      </c>
      <c r="N1766">
        <v>2574.65</v>
      </c>
    </row>
    <row r="1767" spans="1:14" x14ac:dyDescent="0.2">
      <c r="A1767" s="1">
        <v>45621</v>
      </c>
      <c r="B1767" s="2" t="s">
        <v>17</v>
      </c>
      <c r="C1767" s="2" t="s">
        <v>18</v>
      </c>
      <c r="D1767" s="2" t="s">
        <v>19</v>
      </c>
      <c r="E1767">
        <v>25995</v>
      </c>
      <c r="F1767">
        <v>520</v>
      </c>
      <c r="G1767">
        <v>40</v>
      </c>
      <c r="H1767">
        <v>1385.84</v>
      </c>
      <c r="I1767">
        <v>3856.63</v>
      </c>
      <c r="J1767">
        <v>2</v>
      </c>
      <c r="K1767">
        <v>7.69</v>
      </c>
      <c r="L1767">
        <v>34.65</v>
      </c>
      <c r="M1767">
        <v>2.78</v>
      </c>
      <c r="N1767">
        <v>2470.79</v>
      </c>
    </row>
    <row r="1768" spans="1:14" x14ac:dyDescent="0.2">
      <c r="A1768" s="1">
        <v>45621</v>
      </c>
      <c r="B1768" s="2" t="s">
        <v>20</v>
      </c>
      <c r="C1768" s="2" t="s">
        <v>35</v>
      </c>
      <c r="D1768" s="2" t="s">
        <v>19</v>
      </c>
      <c r="E1768">
        <v>24698</v>
      </c>
      <c r="F1768">
        <v>942</v>
      </c>
      <c r="G1768">
        <v>46</v>
      </c>
      <c r="H1768">
        <v>1147.47</v>
      </c>
      <c r="I1768">
        <v>4650.82</v>
      </c>
      <c r="J1768">
        <v>3.81</v>
      </c>
      <c r="K1768">
        <v>4.88</v>
      </c>
      <c r="L1768">
        <v>24.94</v>
      </c>
      <c r="M1768">
        <v>4.05</v>
      </c>
      <c r="N1768">
        <v>3503.35</v>
      </c>
    </row>
    <row r="1769" spans="1:14" x14ac:dyDescent="0.2">
      <c r="A1769" s="1">
        <v>45621</v>
      </c>
      <c r="B1769" s="2" t="s">
        <v>23</v>
      </c>
      <c r="C1769" s="2" t="s">
        <v>21</v>
      </c>
      <c r="D1769" s="2" t="s">
        <v>36</v>
      </c>
      <c r="E1769">
        <v>8295</v>
      </c>
      <c r="F1769">
        <v>226</v>
      </c>
      <c r="G1769">
        <v>28</v>
      </c>
      <c r="H1769">
        <v>1458.86</v>
      </c>
      <c r="I1769">
        <v>8235.68</v>
      </c>
      <c r="J1769">
        <v>2.72</v>
      </c>
      <c r="K1769">
        <v>12.39</v>
      </c>
      <c r="L1769">
        <v>52.1</v>
      </c>
      <c r="M1769">
        <v>5.65</v>
      </c>
      <c r="N1769">
        <v>6776.82</v>
      </c>
    </row>
    <row r="1770" spans="1:14" x14ac:dyDescent="0.2">
      <c r="A1770" s="1">
        <v>45621</v>
      </c>
      <c r="B1770" s="2" t="s">
        <v>24</v>
      </c>
      <c r="C1770" s="2" t="s">
        <v>21</v>
      </c>
      <c r="D1770" s="2" t="s">
        <v>22</v>
      </c>
      <c r="E1770">
        <v>30006</v>
      </c>
      <c r="F1770">
        <v>6167</v>
      </c>
      <c r="G1770">
        <v>551</v>
      </c>
      <c r="H1770">
        <v>289.2</v>
      </c>
      <c r="I1770">
        <v>66035.48</v>
      </c>
      <c r="J1770">
        <v>20.55</v>
      </c>
      <c r="K1770">
        <v>8.93</v>
      </c>
      <c r="L1770">
        <v>0.52</v>
      </c>
      <c r="M1770">
        <v>228.34</v>
      </c>
      <c r="N1770">
        <v>65746.28</v>
      </c>
    </row>
    <row r="1771" spans="1:14" x14ac:dyDescent="0.2">
      <c r="A1771" s="1">
        <v>45621</v>
      </c>
      <c r="B1771" s="2" t="s">
        <v>26</v>
      </c>
      <c r="C1771" s="2" t="s">
        <v>18</v>
      </c>
      <c r="D1771" s="2" t="s">
        <v>25</v>
      </c>
      <c r="E1771">
        <v>30850</v>
      </c>
      <c r="F1771">
        <v>1817</v>
      </c>
      <c r="G1771">
        <v>260</v>
      </c>
      <c r="H1771">
        <v>0</v>
      </c>
      <c r="I1771">
        <v>27172.94</v>
      </c>
      <c r="J1771">
        <v>5.89</v>
      </c>
      <c r="K1771">
        <v>14.31</v>
      </c>
      <c r="L1771">
        <v>0</v>
      </c>
      <c r="M1771">
        <v>0</v>
      </c>
      <c r="N1771">
        <v>27172.94</v>
      </c>
    </row>
    <row r="1772" spans="1:14" x14ac:dyDescent="0.2">
      <c r="A1772" s="1">
        <v>45621</v>
      </c>
      <c r="B1772" s="2" t="s">
        <v>27</v>
      </c>
      <c r="C1772" s="2" t="s">
        <v>32</v>
      </c>
      <c r="D1772" s="2" t="s">
        <v>16</v>
      </c>
      <c r="E1772">
        <v>55596</v>
      </c>
      <c r="F1772">
        <v>1100</v>
      </c>
      <c r="G1772">
        <v>35</v>
      </c>
      <c r="H1772">
        <v>1271.83</v>
      </c>
      <c r="I1772">
        <v>3087.45</v>
      </c>
      <c r="J1772">
        <v>1.98</v>
      </c>
      <c r="K1772">
        <v>3.18</v>
      </c>
      <c r="L1772">
        <v>36.340000000000003</v>
      </c>
      <c r="M1772">
        <v>2.4300000000000002</v>
      </c>
      <c r="N1772">
        <v>1815.62</v>
      </c>
    </row>
    <row r="1773" spans="1:14" x14ac:dyDescent="0.2">
      <c r="A1773" s="1">
        <v>45621</v>
      </c>
      <c r="B1773" s="2" t="s">
        <v>29</v>
      </c>
      <c r="C1773" s="2" t="s">
        <v>32</v>
      </c>
      <c r="D1773" s="2" t="s">
        <v>22</v>
      </c>
      <c r="E1773">
        <v>21232</v>
      </c>
      <c r="F1773">
        <v>606</v>
      </c>
      <c r="G1773">
        <v>37</v>
      </c>
      <c r="H1773">
        <v>1179.72</v>
      </c>
      <c r="I1773">
        <v>5392.86</v>
      </c>
      <c r="J1773">
        <v>2.85</v>
      </c>
      <c r="K1773">
        <v>6.11</v>
      </c>
      <c r="L1773">
        <v>31.88</v>
      </c>
      <c r="M1773">
        <v>4.57</v>
      </c>
      <c r="N1773">
        <v>4213.1400000000003</v>
      </c>
    </row>
    <row r="1774" spans="1:14" x14ac:dyDescent="0.2">
      <c r="A1774" s="1">
        <v>45621</v>
      </c>
      <c r="B1774" s="2" t="s">
        <v>30</v>
      </c>
      <c r="C1774" s="2" t="s">
        <v>28</v>
      </c>
      <c r="D1774" s="2" t="s">
        <v>19</v>
      </c>
      <c r="E1774">
        <v>11319</v>
      </c>
      <c r="F1774">
        <v>275</v>
      </c>
      <c r="G1774">
        <v>7</v>
      </c>
      <c r="H1774">
        <v>715.47</v>
      </c>
      <c r="I1774">
        <v>735.85</v>
      </c>
      <c r="J1774">
        <v>2.4300000000000002</v>
      </c>
      <c r="K1774">
        <v>2.5499999999999998</v>
      </c>
      <c r="L1774">
        <v>102.21</v>
      </c>
      <c r="M1774">
        <v>1.03</v>
      </c>
      <c r="N1774">
        <v>20.38</v>
      </c>
    </row>
    <row r="1775" spans="1:14" x14ac:dyDescent="0.2">
      <c r="A1775" s="1">
        <v>45621</v>
      </c>
      <c r="B1775" s="2" t="s">
        <v>31</v>
      </c>
      <c r="C1775" s="2" t="s">
        <v>15</v>
      </c>
      <c r="D1775" s="2" t="s">
        <v>22</v>
      </c>
      <c r="E1775">
        <v>25902</v>
      </c>
      <c r="F1775">
        <v>743</v>
      </c>
      <c r="G1775">
        <v>47</v>
      </c>
      <c r="H1775">
        <v>1197.32</v>
      </c>
      <c r="I1775">
        <v>4368.4399999999996</v>
      </c>
      <c r="J1775">
        <v>2.87</v>
      </c>
      <c r="K1775">
        <v>6.33</v>
      </c>
      <c r="L1775">
        <v>25.47</v>
      </c>
      <c r="M1775">
        <v>3.65</v>
      </c>
      <c r="N1775">
        <v>3171.12</v>
      </c>
    </row>
    <row r="1776" spans="1:14" x14ac:dyDescent="0.2">
      <c r="A1776" s="1">
        <v>45621</v>
      </c>
      <c r="B1776" s="2" t="s">
        <v>33</v>
      </c>
      <c r="C1776" s="2" t="s">
        <v>15</v>
      </c>
      <c r="D1776" s="2" t="s">
        <v>22</v>
      </c>
      <c r="E1776">
        <v>11526</v>
      </c>
      <c r="F1776">
        <v>634</v>
      </c>
      <c r="G1776">
        <v>61</v>
      </c>
      <c r="H1776">
        <v>923.56</v>
      </c>
      <c r="I1776">
        <v>7374.08</v>
      </c>
      <c r="J1776">
        <v>5.5</v>
      </c>
      <c r="K1776">
        <v>9.6199999999999992</v>
      </c>
      <c r="L1776">
        <v>15.14</v>
      </c>
      <c r="M1776">
        <v>7.98</v>
      </c>
      <c r="N1776">
        <v>6450.52</v>
      </c>
    </row>
    <row r="1777" spans="1:14" x14ac:dyDescent="0.2">
      <c r="A1777" s="1">
        <v>45621</v>
      </c>
      <c r="B1777" s="2" t="s">
        <v>34</v>
      </c>
      <c r="C1777" s="2" t="s">
        <v>28</v>
      </c>
      <c r="D1777" s="2" t="s">
        <v>25</v>
      </c>
      <c r="E1777">
        <v>5495</v>
      </c>
      <c r="F1777">
        <v>543</v>
      </c>
      <c r="G1777">
        <v>93</v>
      </c>
      <c r="H1777">
        <v>74.05</v>
      </c>
      <c r="I1777">
        <v>15985.24</v>
      </c>
      <c r="J1777">
        <v>9.8800000000000008</v>
      </c>
      <c r="K1777">
        <v>17.13</v>
      </c>
      <c r="L1777">
        <v>0.8</v>
      </c>
      <c r="M1777">
        <v>215.87</v>
      </c>
      <c r="N1777">
        <v>15911.19</v>
      </c>
    </row>
    <row r="1778" spans="1:14" x14ac:dyDescent="0.2">
      <c r="A1778" s="1">
        <v>45622</v>
      </c>
      <c r="B1778" s="2" t="s">
        <v>14</v>
      </c>
      <c r="C1778" s="2" t="s">
        <v>15</v>
      </c>
      <c r="D1778" s="2" t="s">
        <v>36</v>
      </c>
      <c r="E1778">
        <v>16870</v>
      </c>
      <c r="F1778">
        <v>796</v>
      </c>
      <c r="G1778">
        <v>92</v>
      </c>
      <c r="H1778">
        <v>1501.08</v>
      </c>
      <c r="I1778">
        <v>10658.54</v>
      </c>
      <c r="J1778">
        <v>4.72</v>
      </c>
      <c r="K1778">
        <v>11.56</v>
      </c>
      <c r="L1778">
        <v>16.32</v>
      </c>
      <c r="M1778">
        <v>7.1</v>
      </c>
      <c r="N1778">
        <v>9157.4599999999991</v>
      </c>
    </row>
    <row r="1779" spans="1:14" x14ac:dyDescent="0.2">
      <c r="A1779" s="1">
        <v>45622</v>
      </c>
      <c r="B1779" s="2" t="s">
        <v>17</v>
      </c>
      <c r="C1779" s="2" t="s">
        <v>21</v>
      </c>
      <c r="D1779" s="2" t="s">
        <v>16</v>
      </c>
      <c r="E1779">
        <v>26192</v>
      </c>
      <c r="F1779">
        <v>609</v>
      </c>
      <c r="G1779">
        <v>44</v>
      </c>
      <c r="H1779">
        <v>1238.52</v>
      </c>
      <c r="I1779">
        <v>5258.63</v>
      </c>
      <c r="J1779">
        <v>2.33</v>
      </c>
      <c r="K1779">
        <v>7.22</v>
      </c>
      <c r="L1779">
        <v>28.15</v>
      </c>
      <c r="M1779">
        <v>4.25</v>
      </c>
      <c r="N1779">
        <v>4020.11</v>
      </c>
    </row>
    <row r="1780" spans="1:14" x14ac:dyDescent="0.2">
      <c r="A1780" s="1">
        <v>45622</v>
      </c>
      <c r="B1780" s="2" t="s">
        <v>20</v>
      </c>
      <c r="C1780" s="2" t="s">
        <v>18</v>
      </c>
      <c r="D1780" s="2" t="s">
        <v>22</v>
      </c>
      <c r="E1780">
        <v>17928</v>
      </c>
      <c r="F1780">
        <v>639</v>
      </c>
      <c r="G1780">
        <v>26</v>
      </c>
      <c r="H1780">
        <v>900.12</v>
      </c>
      <c r="I1780">
        <v>3275.13</v>
      </c>
      <c r="J1780">
        <v>3.56</v>
      </c>
      <c r="K1780">
        <v>4.07</v>
      </c>
      <c r="L1780">
        <v>34.619999999999997</v>
      </c>
      <c r="M1780">
        <v>3.64</v>
      </c>
      <c r="N1780">
        <v>2375.0100000000002</v>
      </c>
    </row>
    <row r="1781" spans="1:14" x14ac:dyDescent="0.2">
      <c r="A1781" s="1">
        <v>45622</v>
      </c>
      <c r="B1781" s="2" t="s">
        <v>23</v>
      </c>
      <c r="C1781" s="2" t="s">
        <v>18</v>
      </c>
      <c r="D1781" s="2" t="s">
        <v>25</v>
      </c>
      <c r="E1781">
        <v>5488</v>
      </c>
      <c r="F1781">
        <v>152</v>
      </c>
      <c r="G1781">
        <v>18</v>
      </c>
      <c r="H1781">
        <v>2395.06</v>
      </c>
      <c r="I1781">
        <v>5140.05</v>
      </c>
      <c r="J1781">
        <v>2.77</v>
      </c>
      <c r="K1781">
        <v>11.84</v>
      </c>
      <c r="L1781">
        <v>133.06</v>
      </c>
      <c r="M1781">
        <v>2.15</v>
      </c>
      <c r="N1781">
        <v>2744.99</v>
      </c>
    </row>
    <row r="1782" spans="1:14" x14ac:dyDescent="0.2">
      <c r="A1782" s="1">
        <v>45622</v>
      </c>
      <c r="B1782" s="2" t="s">
        <v>24</v>
      </c>
      <c r="C1782" s="2" t="s">
        <v>15</v>
      </c>
      <c r="D1782" s="2" t="s">
        <v>36</v>
      </c>
      <c r="E1782">
        <v>31268</v>
      </c>
      <c r="F1782">
        <v>5861</v>
      </c>
      <c r="G1782">
        <v>515</v>
      </c>
      <c r="H1782">
        <v>395.51</v>
      </c>
      <c r="I1782">
        <v>65936.02</v>
      </c>
      <c r="J1782">
        <v>18.739999999999998</v>
      </c>
      <c r="K1782">
        <v>8.7899999999999991</v>
      </c>
      <c r="L1782">
        <v>0.77</v>
      </c>
      <c r="M1782">
        <v>166.71</v>
      </c>
      <c r="N1782">
        <v>65540.509999999995</v>
      </c>
    </row>
    <row r="1783" spans="1:14" x14ac:dyDescent="0.2">
      <c r="A1783" s="1">
        <v>45622</v>
      </c>
      <c r="B1783" s="2" t="s">
        <v>26</v>
      </c>
      <c r="C1783" s="2" t="s">
        <v>35</v>
      </c>
      <c r="D1783" s="2" t="s">
        <v>36</v>
      </c>
      <c r="E1783">
        <v>44665</v>
      </c>
      <c r="F1783">
        <v>2580</v>
      </c>
      <c r="G1783">
        <v>320</v>
      </c>
      <c r="H1783">
        <v>0</v>
      </c>
      <c r="I1783">
        <v>37480.85</v>
      </c>
      <c r="J1783">
        <v>5.78</v>
      </c>
      <c r="K1783">
        <v>12.4</v>
      </c>
      <c r="L1783">
        <v>0</v>
      </c>
      <c r="M1783">
        <v>0</v>
      </c>
      <c r="N1783">
        <v>37480.85</v>
      </c>
    </row>
    <row r="1784" spans="1:14" x14ac:dyDescent="0.2">
      <c r="A1784" s="1">
        <v>45622</v>
      </c>
      <c r="B1784" s="2" t="s">
        <v>27</v>
      </c>
      <c r="C1784" s="2" t="s">
        <v>35</v>
      </c>
      <c r="D1784" s="2" t="s">
        <v>22</v>
      </c>
      <c r="E1784">
        <v>37207</v>
      </c>
      <c r="F1784">
        <v>561</v>
      </c>
      <c r="G1784">
        <v>16</v>
      </c>
      <c r="H1784">
        <v>1237.2</v>
      </c>
      <c r="I1784">
        <v>2047.27</v>
      </c>
      <c r="J1784">
        <v>1.51</v>
      </c>
      <c r="K1784">
        <v>2.85</v>
      </c>
      <c r="L1784">
        <v>77.319999999999993</v>
      </c>
      <c r="M1784">
        <v>1.65</v>
      </c>
      <c r="N1784">
        <v>810.07</v>
      </c>
    </row>
    <row r="1785" spans="1:14" x14ac:dyDescent="0.2">
      <c r="A1785" s="1">
        <v>45622</v>
      </c>
      <c r="B1785" s="2" t="s">
        <v>29</v>
      </c>
      <c r="C1785" s="2" t="s">
        <v>21</v>
      </c>
      <c r="D1785" s="2" t="s">
        <v>19</v>
      </c>
      <c r="E1785">
        <v>30679</v>
      </c>
      <c r="F1785">
        <v>777</v>
      </c>
      <c r="G1785">
        <v>36</v>
      </c>
      <c r="H1785">
        <v>1467.86</v>
      </c>
      <c r="I1785">
        <v>5358.48</v>
      </c>
      <c r="J1785">
        <v>2.5299999999999998</v>
      </c>
      <c r="K1785">
        <v>4.63</v>
      </c>
      <c r="L1785">
        <v>40.770000000000003</v>
      </c>
      <c r="M1785">
        <v>3.65</v>
      </c>
      <c r="N1785">
        <v>3890.62</v>
      </c>
    </row>
    <row r="1786" spans="1:14" x14ac:dyDescent="0.2">
      <c r="A1786" s="1">
        <v>45622</v>
      </c>
      <c r="B1786" s="2" t="s">
        <v>30</v>
      </c>
      <c r="C1786" s="2" t="s">
        <v>15</v>
      </c>
      <c r="D1786" s="2" t="s">
        <v>16</v>
      </c>
      <c r="E1786">
        <v>17330</v>
      </c>
      <c r="F1786">
        <v>443</v>
      </c>
      <c r="G1786">
        <v>16</v>
      </c>
      <c r="H1786">
        <v>718.78</v>
      </c>
      <c r="I1786">
        <v>1578.97</v>
      </c>
      <c r="J1786">
        <v>2.56</v>
      </c>
      <c r="K1786">
        <v>3.61</v>
      </c>
      <c r="L1786">
        <v>44.92</v>
      </c>
      <c r="M1786">
        <v>2.2000000000000002</v>
      </c>
      <c r="N1786">
        <v>860.19</v>
      </c>
    </row>
    <row r="1787" spans="1:14" x14ac:dyDescent="0.2">
      <c r="A1787" s="1">
        <v>45622</v>
      </c>
      <c r="B1787" s="2" t="s">
        <v>31</v>
      </c>
      <c r="C1787" s="2" t="s">
        <v>21</v>
      </c>
      <c r="D1787" s="2" t="s">
        <v>25</v>
      </c>
      <c r="E1787">
        <v>29765</v>
      </c>
      <c r="F1787">
        <v>928</v>
      </c>
      <c r="G1787">
        <v>64</v>
      </c>
      <c r="H1787">
        <v>1039.3499999999999</v>
      </c>
      <c r="I1787">
        <v>4676.4399999999996</v>
      </c>
      <c r="J1787">
        <v>3.12</v>
      </c>
      <c r="K1787">
        <v>6.9</v>
      </c>
      <c r="L1787">
        <v>16.239999999999998</v>
      </c>
      <c r="M1787">
        <v>4.5</v>
      </c>
      <c r="N1787">
        <v>3637.09</v>
      </c>
    </row>
    <row r="1788" spans="1:14" x14ac:dyDescent="0.2">
      <c r="A1788" s="1">
        <v>45622</v>
      </c>
      <c r="B1788" s="2" t="s">
        <v>33</v>
      </c>
      <c r="C1788" s="2" t="s">
        <v>32</v>
      </c>
      <c r="D1788" s="2" t="s">
        <v>25</v>
      </c>
      <c r="E1788">
        <v>10546</v>
      </c>
      <c r="F1788">
        <v>621</v>
      </c>
      <c r="G1788">
        <v>53</v>
      </c>
      <c r="H1788">
        <v>820.05</v>
      </c>
      <c r="I1788">
        <v>6196.54</v>
      </c>
      <c r="J1788">
        <v>5.89</v>
      </c>
      <c r="K1788">
        <v>8.5299999999999994</v>
      </c>
      <c r="L1788">
        <v>15.47</v>
      </c>
      <c r="M1788">
        <v>7.56</v>
      </c>
      <c r="N1788">
        <v>5376.49</v>
      </c>
    </row>
    <row r="1789" spans="1:14" x14ac:dyDescent="0.2">
      <c r="A1789" s="1">
        <v>45622</v>
      </c>
      <c r="B1789" s="2" t="s">
        <v>34</v>
      </c>
      <c r="C1789" s="2" t="s">
        <v>15</v>
      </c>
      <c r="D1789" s="2" t="s">
        <v>25</v>
      </c>
      <c r="E1789">
        <v>5489</v>
      </c>
      <c r="F1789">
        <v>456</v>
      </c>
      <c r="G1789">
        <v>56</v>
      </c>
      <c r="H1789">
        <v>128.58000000000001</v>
      </c>
      <c r="I1789">
        <v>8293.2199999999993</v>
      </c>
      <c r="J1789">
        <v>8.31</v>
      </c>
      <c r="K1789">
        <v>12.28</v>
      </c>
      <c r="L1789">
        <v>2.2999999999999998</v>
      </c>
      <c r="M1789">
        <v>64.5</v>
      </c>
      <c r="N1789">
        <v>8164.64</v>
      </c>
    </row>
    <row r="1790" spans="1:14" x14ac:dyDescent="0.2">
      <c r="A1790" s="1">
        <v>45623</v>
      </c>
      <c r="B1790" s="2" t="s">
        <v>14</v>
      </c>
      <c r="C1790" s="2" t="s">
        <v>35</v>
      </c>
      <c r="D1790" s="2" t="s">
        <v>16</v>
      </c>
      <c r="E1790">
        <v>14926</v>
      </c>
      <c r="F1790">
        <v>543</v>
      </c>
      <c r="G1790">
        <v>53</v>
      </c>
      <c r="H1790">
        <v>2002.86</v>
      </c>
      <c r="I1790">
        <v>7622.99</v>
      </c>
      <c r="J1790">
        <v>3.64</v>
      </c>
      <c r="K1790">
        <v>9.76</v>
      </c>
      <c r="L1790">
        <v>37.79</v>
      </c>
      <c r="M1790">
        <v>3.81</v>
      </c>
      <c r="N1790">
        <v>5620.13</v>
      </c>
    </row>
    <row r="1791" spans="1:14" x14ac:dyDescent="0.2">
      <c r="A1791" s="1">
        <v>45623</v>
      </c>
      <c r="B1791" s="2" t="s">
        <v>17</v>
      </c>
      <c r="C1791" s="2" t="s">
        <v>15</v>
      </c>
      <c r="D1791" s="2" t="s">
        <v>19</v>
      </c>
      <c r="E1791">
        <v>23345</v>
      </c>
      <c r="F1791">
        <v>466</v>
      </c>
      <c r="G1791">
        <v>37</v>
      </c>
      <c r="H1791">
        <v>1017.43</v>
      </c>
      <c r="I1791">
        <v>3353.76</v>
      </c>
      <c r="J1791">
        <v>2</v>
      </c>
      <c r="K1791">
        <v>7.94</v>
      </c>
      <c r="L1791">
        <v>27.5</v>
      </c>
      <c r="M1791">
        <v>3.3</v>
      </c>
      <c r="N1791">
        <v>2336.33</v>
      </c>
    </row>
    <row r="1792" spans="1:14" x14ac:dyDescent="0.2">
      <c r="A1792" s="1">
        <v>45623</v>
      </c>
      <c r="B1792" s="2" t="s">
        <v>20</v>
      </c>
      <c r="C1792" s="2" t="s">
        <v>21</v>
      </c>
      <c r="D1792" s="2" t="s">
        <v>25</v>
      </c>
      <c r="E1792">
        <v>25156</v>
      </c>
      <c r="F1792">
        <v>1096</v>
      </c>
      <c r="G1792">
        <v>85</v>
      </c>
      <c r="H1792">
        <v>750.73</v>
      </c>
      <c r="I1792">
        <v>6602.63</v>
      </c>
      <c r="J1792">
        <v>4.3600000000000003</v>
      </c>
      <c r="K1792">
        <v>7.76</v>
      </c>
      <c r="L1792">
        <v>8.83</v>
      </c>
      <c r="M1792">
        <v>8.7899999999999991</v>
      </c>
      <c r="N1792">
        <v>5851.9</v>
      </c>
    </row>
    <row r="1793" spans="1:14" x14ac:dyDescent="0.2">
      <c r="A1793" s="1">
        <v>45623</v>
      </c>
      <c r="B1793" s="2" t="s">
        <v>23</v>
      </c>
      <c r="C1793" s="2" t="s">
        <v>32</v>
      </c>
      <c r="D1793" s="2" t="s">
        <v>25</v>
      </c>
      <c r="E1793">
        <v>5906</v>
      </c>
      <c r="F1793">
        <v>170</v>
      </c>
      <c r="G1793">
        <v>19</v>
      </c>
      <c r="H1793">
        <v>2472.39</v>
      </c>
      <c r="I1793">
        <v>6262.06</v>
      </c>
      <c r="J1793">
        <v>2.88</v>
      </c>
      <c r="K1793">
        <v>11.18</v>
      </c>
      <c r="L1793">
        <v>130.13</v>
      </c>
      <c r="M1793">
        <v>2.5299999999999998</v>
      </c>
      <c r="N1793">
        <v>3789.67</v>
      </c>
    </row>
    <row r="1794" spans="1:14" x14ac:dyDescent="0.2">
      <c r="A1794" s="1">
        <v>45623</v>
      </c>
      <c r="B1794" s="2" t="s">
        <v>24</v>
      </c>
      <c r="C1794" s="2" t="s">
        <v>21</v>
      </c>
      <c r="D1794" s="2" t="s">
        <v>36</v>
      </c>
      <c r="E1794">
        <v>33499</v>
      </c>
      <c r="F1794">
        <v>5037</v>
      </c>
      <c r="G1794">
        <v>452</v>
      </c>
      <c r="H1794">
        <v>233.75</v>
      </c>
      <c r="I1794">
        <v>54117.24</v>
      </c>
      <c r="J1794">
        <v>15.04</v>
      </c>
      <c r="K1794">
        <v>8.9700000000000006</v>
      </c>
      <c r="L1794">
        <v>0.52</v>
      </c>
      <c r="M1794">
        <v>231.52</v>
      </c>
      <c r="N1794">
        <v>53883.49</v>
      </c>
    </row>
    <row r="1795" spans="1:14" x14ac:dyDescent="0.2">
      <c r="A1795" s="1">
        <v>45623</v>
      </c>
      <c r="B1795" s="2" t="s">
        <v>26</v>
      </c>
      <c r="C1795" s="2" t="s">
        <v>35</v>
      </c>
      <c r="D1795" s="2" t="s">
        <v>16</v>
      </c>
      <c r="E1795">
        <v>31540</v>
      </c>
      <c r="F1795">
        <v>1846</v>
      </c>
      <c r="G1795">
        <v>197</v>
      </c>
      <c r="H1795">
        <v>0</v>
      </c>
      <c r="I1795">
        <v>19916.36</v>
      </c>
      <c r="J1795">
        <v>5.85</v>
      </c>
      <c r="K1795">
        <v>10.67</v>
      </c>
      <c r="L1795">
        <v>0</v>
      </c>
      <c r="M1795">
        <v>0</v>
      </c>
      <c r="N1795">
        <v>19916.36</v>
      </c>
    </row>
    <row r="1796" spans="1:14" x14ac:dyDescent="0.2">
      <c r="A1796" s="1">
        <v>45623</v>
      </c>
      <c r="B1796" s="2" t="s">
        <v>27</v>
      </c>
      <c r="C1796" s="2" t="s">
        <v>21</v>
      </c>
      <c r="D1796" s="2" t="s">
        <v>36</v>
      </c>
      <c r="E1796">
        <v>55892</v>
      </c>
      <c r="F1796">
        <v>996</v>
      </c>
      <c r="G1796">
        <v>22</v>
      </c>
      <c r="H1796">
        <v>1762.82</v>
      </c>
      <c r="I1796">
        <v>2163.65</v>
      </c>
      <c r="J1796">
        <v>1.78</v>
      </c>
      <c r="K1796">
        <v>2.21</v>
      </c>
      <c r="L1796">
        <v>80.13</v>
      </c>
      <c r="M1796">
        <v>1.23</v>
      </c>
      <c r="N1796">
        <v>400.83</v>
      </c>
    </row>
    <row r="1797" spans="1:14" x14ac:dyDescent="0.2">
      <c r="A1797" s="1">
        <v>45623</v>
      </c>
      <c r="B1797" s="2" t="s">
        <v>29</v>
      </c>
      <c r="C1797" s="2" t="s">
        <v>28</v>
      </c>
      <c r="D1797" s="2" t="s">
        <v>16</v>
      </c>
      <c r="E1797">
        <v>23079</v>
      </c>
      <c r="F1797">
        <v>355</v>
      </c>
      <c r="G1797">
        <v>19</v>
      </c>
      <c r="H1797">
        <v>1173.78</v>
      </c>
      <c r="I1797">
        <v>2412.58</v>
      </c>
      <c r="J1797">
        <v>1.54</v>
      </c>
      <c r="K1797">
        <v>5.35</v>
      </c>
      <c r="L1797">
        <v>61.78</v>
      </c>
      <c r="M1797">
        <v>2.06</v>
      </c>
      <c r="N1797">
        <v>1238.8</v>
      </c>
    </row>
    <row r="1798" spans="1:14" x14ac:dyDescent="0.2">
      <c r="A1798" s="1">
        <v>45623</v>
      </c>
      <c r="B1798" s="2" t="s">
        <v>30</v>
      </c>
      <c r="C1798" s="2" t="s">
        <v>21</v>
      </c>
      <c r="D1798" s="2" t="s">
        <v>36</v>
      </c>
      <c r="E1798">
        <v>13055</v>
      </c>
      <c r="F1798">
        <v>421</v>
      </c>
      <c r="G1798">
        <v>12</v>
      </c>
      <c r="H1798">
        <v>848.7</v>
      </c>
      <c r="I1798">
        <v>1319.72</v>
      </c>
      <c r="J1798">
        <v>3.22</v>
      </c>
      <c r="K1798">
        <v>2.85</v>
      </c>
      <c r="L1798">
        <v>70.73</v>
      </c>
      <c r="M1798">
        <v>1.55</v>
      </c>
      <c r="N1798">
        <v>471.02</v>
      </c>
    </row>
    <row r="1799" spans="1:14" x14ac:dyDescent="0.2">
      <c r="A1799" s="1">
        <v>45623</v>
      </c>
      <c r="B1799" s="2" t="s">
        <v>31</v>
      </c>
      <c r="C1799" s="2" t="s">
        <v>15</v>
      </c>
      <c r="D1799" s="2" t="s">
        <v>25</v>
      </c>
      <c r="E1799">
        <v>41206</v>
      </c>
      <c r="F1799">
        <v>1759</v>
      </c>
      <c r="G1799">
        <v>75</v>
      </c>
      <c r="H1799">
        <v>1403.41</v>
      </c>
      <c r="I1799">
        <v>5467.63</v>
      </c>
      <c r="J1799">
        <v>4.2699999999999996</v>
      </c>
      <c r="K1799">
        <v>4.26</v>
      </c>
      <c r="L1799">
        <v>18.71</v>
      </c>
      <c r="M1799">
        <v>3.9</v>
      </c>
      <c r="N1799">
        <v>4064.22</v>
      </c>
    </row>
    <row r="1800" spans="1:14" x14ac:dyDescent="0.2">
      <c r="A1800" s="1">
        <v>45623</v>
      </c>
      <c r="B1800" s="2" t="s">
        <v>33</v>
      </c>
      <c r="C1800" s="2" t="s">
        <v>18</v>
      </c>
      <c r="D1800" s="2" t="s">
        <v>25</v>
      </c>
      <c r="E1800">
        <v>7674</v>
      </c>
      <c r="F1800">
        <v>495</v>
      </c>
      <c r="G1800">
        <v>44</v>
      </c>
      <c r="H1800">
        <v>595.79999999999995</v>
      </c>
      <c r="I1800">
        <v>5221.3500000000004</v>
      </c>
      <c r="J1800">
        <v>6.45</v>
      </c>
      <c r="K1800">
        <v>8.89</v>
      </c>
      <c r="L1800">
        <v>13.54</v>
      </c>
      <c r="M1800">
        <v>8.76</v>
      </c>
      <c r="N1800">
        <v>4625.55</v>
      </c>
    </row>
    <row r="1801" spans="1:14" x14ac:dyDescent="0.2">
      <c r="A1801" s="1">
        <v>45623</v>
      </c>
      <c r="B1801" s="2" t="s">
        <v>34</v>
      </c>
      <c r="C1801" s="2" t="s">
        <v>18</v>
      </c>
      <c r="D1801" s="2" t="s">
        <v>19</v>
      </c>
      <c r="E1801">
        <v>8363</v>
      </c>
      <c r="F1801">
        <v>656</v>
      </c>
      <c r="G1801">
        <v>95</v>
      </c>
      <c r="H1801">
        <v>108.47</v>
      </c>
      <c r="I1801">
        <v>12923.15</v>
      </c>
      <c r="J1801">
        <v>7.84</v>
      </c>
      <c r="K1801">
        <v>14.48</v>
      </c>
      <c r="L1801">
        <v>1.1399999999999999</v>
      </c>
      <c r="M1801">
        <v>119.14</v>
      </c>
      <c r="N1801">
        <v>12814.68</v>
      </c>
    </row>
    <row r="1802" spans="1:14" x14ac:dyDescent="0.2">
      <c r="A1802" s="1">
        <v>45624</v>
      </c>
      <c r="B1802" s="2" t="s">
        <v>14</v>
      </c>
      <c r="C1802" s="2" t="s">
        <v>35</v>
      </c>
      <c r="D1802" s="2" t="s">
        <v>22</v>
      </c>
      <c r="E1802">
        <v>14440</v>
      </c>
      <c r="F1802">
        <v>574</v>
      </c>
      <c r="G1802">
        <v>50</v>
      </c>
      <c r="H1802">
        <v>1549.19</v>
      </c>
      <c r="I1802">
        <v>8119.7</v>
      </c>
      <c r="J1802">
        <v>3.98</v>
      </c>
      <c r="K1802">
        <v>8.7100000000000009</v>
      </c>
      <c r="L1802">
        <v>30.98</v>
      </c>
      <c r="M1802">
        <v>5.24</v>
      </c>
      <c r="N1802">
        <v>6570.51</v>
      </c>
    </row>
    <row r="1803" spans="1:14" x14ac:dyDescent="0.2">
      <c r="A1803" s="1">
        <v>45624</v>
      </c>
      <c r="B1803" s="2" t="s">
        <v>17</v>
      </c>
      <c r="C1803" s="2" t="s">
        <v>28</v>
      </c>
      <c r="D1803" s="2" t="s">
        <v>25</v>
      </c>
      <c r="E1803">
        <v>22062</v>
      </c>
      <c r="F1803">
        <v>837</v>
      </c>
      <c r="G1803">
        <v>44</v>
      </c>
      <c r="H1803">
        <v>1575.88</v>
      </c>
      <c r="I1803">
        <v>4255.01</v>
      </c>
      <c r="J1803">
        <v>3.79</v>
      </c>
      <c r="K1803">
        <v>5.26</v>
      </c>
      <c r="L1803">
        <v>35.82</v>
      </c>
      <c r="M1803">
        <v>2.7</v>
      </c>
      <c r="N1803">
        <v>2679.13</v>
      </c>
    </row>
    <row r="1804" spans="1:14" x14ac:dyDescent="0.2">
      <c r="A1804" s="1">
        <v>45624</v>
      </c>
      <c r="B1804" s="2" t="s">
        <v>20</v>
      </c>
      <c r="C1804" s="2" t="s">
        <v>28</v>
      </c>
      <c r="D1804" s="2" t="s">
        <v>19</v>
      </c>
      <c r="E1804">
        <v>21371</v>
      </c>
      <c r="F1804">
        <v>565</v>
      </c>
      <c r="G1804">
        <v>28</v>
      </c>
      <c r="H1804">
        <v>1356.99</v>
      </c>
      <c r="I1804">
        <v>3171.69</v>
      </c>
      <c r="J1804">
        <v>2.64</v>
      </c>
      <c r="K1804">
        <v>4.96</v>
      </c>
      <c r="L1804">
        <v>48.46</v>
      </c>
      <c r="M1804">
        <v>2.34</v>
      </c>
      <c r="N1804">
        <v>1814.7</v>
      </c>
    </row>
    <row r="1805" spans="1:14" x14ac:dyDescent="0.2">
      <c r="A1805" s="1">
        <v>45624</v>
      </c>
      <c r="B1805" s="2" t="s">
        <v>23</v>
      </c>
      <c r="C1805" s="2" t="s">
        <v>32</v>
      </c>
      <c r="D1805" s="2" t="s">
        <v>22</v>
      </c>
      <c r="E1805">
        <v>4674</v>
      </c>
      <c r="F1805">
        <v>84</v>
      </c>
      <c r="G1805">
        <v>9</v>
      </c>
      <c r="H1805">
        <v>2388.1799999999998</v>
      </c>
      <c r="I1805">
        <v>1855.2</v>
      </c>
      <c r="J1805">
        <v>1.8</v>
      </c>
      <c r="K1805">
        <v>10.71</v>
      </c>
      <c r="L1805">
        <v>265.35000000000002</v>
      </c>
      <c r="M1805">
        <v>0.78</v>
      </c>
      <c r="N1805">
        <v>-532.98</v>
      </c>
    </row>
    <row r="1806" spans="1:14" x14ac:dyDescent="0.2">
      <c r="A1806" s="1">
        <v>45624</v>
      </c>
      <c r="B1806" s="2" t="s">
        <v>24</v>
      </c>
      <c r="C1806" s="2" t="s">
        <v>28</v>
      </c>
      <c r="D1806" s="2" t="s">
        <v>16</v>
      </c>
      <c r="E1806">
        <v>28158</v>
      </c>
      <c r="F1806">
        <v>5833</v>
      </c>
      <c r="G1806">
        <v>579</v>
      </c>
      <c r="H1806">
        <v>354.02</v>
      </c>
      <c r="I1806">
        <v>73660.77</v>
      </c>
      <c r="J1806">
        <v>20.72</v>
      </c>
      <c r="K1806">
        <v>9.93</v>
      </c>
      <c r="L1806">
        <v>0.61</v>
      </c>
      <c r="M1806">
        <v>208.07</v>
      </c>
      <c r="N1806">
        <v>73306.75</v>
      </c>
    </row>
    <row r="1807" spans="1:14" x14ac:dyDescent="0.2">
      <c r="A1807" s="1">
        <v>45624</v>
      </c>
      <c r="B1807" s="2" t="s">
        <v>26</v>
      </c>
      <c r="C1807" s="2" t="s">
        <v>18</v>
      </c>
      <c r="D1807" s="2" t="s">
        <v>25</v>
      </c>
      <c r="E1807">
        <v>38563</v>
      </c>
      <c r="F1807">
        <v>3003</v>
      </c>
      <c r="G1807">
        <v>407</v>
      </c>
      <c r="H1807">
        <v>0</v>
      </c>
      <c r="I1807">
        <v>48337.58</v>
      </c>
      <c r="J1807">
        <v>7.79</v>
      </c>
      <c r="K1807">
        <v>13.55</v>
      </c>
      <c r="L1807">
        <v>0</v>
      </c>
      <c r="M1807">
        <v>0</v>
      </c>
      <c r="N1807">
        <v>48337.58</v>
      </c>
    </row>
    <row r="1808" spans="1:14" x14ac:dyDescent="0.2">
      <c r="A1808" s="1">
        <v>45624</v>
      </c>
      <c r="B1808" s="2" t="s">
        <v>27</v>
      </c>
      <c r="C1808" s="2" t="s">
        <v>18</v>
      </c>
      <c r="D1808" s="2" t="s">
        <v>16</v>
      </c>
      <c r="E1808">
        <v>37731</v>
      </c>
      <c r="F1808">
        <v>688</v>
      </c>
      <c r="G1808">
        <v>14</v>
      </c>
      <c r="H1808">
        <v>1350.44</v>
      </c>
      <c r="I1808">
        <v>1835.76</v>
      </c>
      <c r="J1808">
        <v>1.82</v>
      </c>
      <c r="K1808">
        <v>2.0299999999999998</v>
      </c>
      <c r="L1808">
        <v>96.46</v>
      </c>
      <c r="M1808">
        <v>1.36</v>
      </c>
      <c r="N1808">
        <v>485.32</v>
      </c>
    </row>
    <row r="1809" spans="1:14" x14ac:dyDescent="0.2">
      <c r="A1809" s="1">
        <v>45624</v>
      </c>
      <c r="B1809" s="2" t="s">
        <v>29</v>
      </c>
      <c r="C1809" s="2" t="s">
        <v>35</v>
      </c>
      <c r="D1809" s="2" t="s">
        <v>22</v>
      </c>
      <c r="E1809">
        <v>30826</v>
      </c>
      <c r="F1809">
        <v>518</v>
      </c>
      <c r="G1809">
        <v>32</v>
      </c>
      <c r="H1809">
        <v>1792.83</v>
      </c>
      <c r="I1809">
        <v>2939.83</v>
      </c>
      <c r="J1809">
        <v>1.68</v>
      </c>
      <c r="K1809">
        <v>6.18</v>
      </c>
      <c r="L1809">
        <v>56.03</v>
      </c>
      <c r="M1809">
        <v>1.64</v>
      </c>
      <c r="N1809">
        <v>1147</v>
      </c>
    </row>
    <row r="1810" spans="1:14" x14ac:dyDescent="0.2">
      <c r="A1810" s="1">
        <v>45624</v>
      </c>
      <c r="B1810" s="2" t="s">
        <v>30</v>
      </c>
      <c r="C1810" s="2" t="s">
        <v>18</v>
      </c>
      <c r="D1810" s="2" t="s">
        <v>16</v>
      </c>
      <c r="E1810">
        <v>14011</v>
      </c>
      <c r="F1810">
        <v>413</v>
      </c>
      <c r="G1810">
        <v>16</v>
      </c>
      <c r="H1810">
        <v>803</v>
      </c>
      <c r="I1810">
        <v>1571.2</v>
      </c>
      <c r="J1810">
        <v>2.95</v>
      </c>
      <c r="K1810">
        <v>3.87</v>
      </c>
      <c r="L1810">
        <v>50.19</v>
      </c>
      <c r="M1810">
        <v>1.96</v>
      </c>
      <c r="N1810">
        <v>768.2</v>
      </c>
    </row>
    <row r="1811" spans="1:14" x14ac:dyDescent="0.2">
      <c r="A1811" s="1">
        <v>45624</v>
      </c>
      <c r="B1811" s="2" t="s">
        <v>31</v>
      </c>
      <c r="C1811" s="2" t="s">
        <v>28</v>
      </c>
      <c r="D1811" s="2" t="s">
        <v>25</v>
      </c>
      <c r="E1811">
        <v>32849</v>
      </c>
      <c r="F1811">
        <v>1097</v>
      </c>
      <c r="G1811">
        <v>70</v>
      </c>
      <c r="H1811">
        <v>943.37</v>
      </c>
      <c r="I1811">
        <v>7281.37</v>
      </c>
      <c r="J1811">
        <v>3.34</v>
      </c>
      <c r="K1811">
        <v>6.38</v>
      </c>
      <c r="L1811">
        <v>13.48</v>
      </c>
      <c r="M1811">
        <v>7.72</v>
      </c>
      <c r="N1811">
        <v>6338</v>
      </c>
    </row>
    <row r="1812" spans="1:14" x14ac:dyDescent="0.2">
      <c r="A1812" s="1">
        <v>45624</v>
      </c>
      <c r="B1812" s="2" t="s">
        <v>33</v>
      </c>
      <c r="C1812" s="2" t="s">
        <v>35</v>
      </c>
      <c r="D1812" s="2" t="s">
        <v>25</v>
      </c>
      <c r="E1812">
        <v>9387</v>
      </c>
      <c r="F1812">
        <v>474</v>
      </c>
      <c r="G1812">
        <v>60</v>
      </c>
      <c r="H1812">
        <v>551.55999999999995</v>
      </c>
      <c r="I1812">
        <v>6343.04</v>
      </c>
      <c r="J1812">
        <v>5.05</v>
      </c>
      <c r="K1812">
        <v>12.66</v>
      </c>
      <c r="L1812">
        <v>9.19</v>
      </c>
      <c r="M1812">
        <v>11.5</v>
      </c>
      <c r="N1812">
        <v>5791.48</v>
      </c>
    </row>
    <row r="1813" spans="1:14" x14ac:dyDescent="0.2">
      <c r="A1813" s="1">
        <v>45624</v>
      </c>
      <c r="B1813" s="2" t="s">
        <v>34</v>
      </c>
      <c r="C1813" s="2" t="s">
        <v>28</v>
      </c>
      <c r="D1813" s="2" t="s">
        <v>36</v>
      </c>
      <c r="E1813">
        <v>8548</v>
      </c>
      <c r="F1813">
        <v>676</v>
      </c>
      <c r="G1813">
        <v>98</v>
      </c>
      <c r="H1813">
        <v>170.16</v>
      </c>
      <c r="I1813">
        <v>17234.3</v>
      </c>
      <c r="J1813">
        <v>7.91</v>
      </c>
      <c r="K1813">
        <v>14.5</v>
      </c>
      <c r="L1813">
        <v>1.74</v>
      </c>
      <c r="M1813">
        <v>101.28</v>
      </c>
      <c r="N1813">
        <v>17064.14</v>
      </c>
    </row>
    <row r="1814" spans="1:14" x14ac:dyDescent="0.2">
      <c r="A1814" s="1">
        <v>45625</v>
      </c>
      <c r="B1814" s="2" t="s">
        <v>14</v>
      </c>
      <c r="C1814" s="2" t="s">
        <v>15</v>
      </c>
      <c r="D1814" s="2" t="s">
        <v>36</v>
      </c>
      <c r="E1814">
        <v>15860</v>
      </c>
      <c r="F1814">
        <v>684</v>
      </c>
      <c r="G1814">
        <v>74</v>
      </c>
      <c r="H1814">
        <v>1390.07</v>
      </c>
      <c r="I1814">
        <v>10363.27</v>
      </c>
      <c r="J1814">
        <v>4.3099999999999996</v>
      </c>
      <c r="K1814">
        <v>10.82</v>
      </c>
      <c r="L1814">
        <v>18.78</v>
      </c>
      <c r="M1814">
        <v>7.46</v>
      </c>
      <c r="N1814">
        <v>8973.2000000000007</v>
      </c>
    </row>
    <row r="1815" spans="1:14" x14ac:dyDescent="0.2">
      <c r="A1815" s="1">
        <v>45625</v>
      </c>
      <c r="B1815" s="2" t="s">
        <v>17</v>
      </c>
      <c r="C1815" s="2" t="s">
        <v>18</v>
      </c>
      <c r="D1815" s="2" t="s">
        <v>25</v>
      </c>
      <c r="E1815">
        <v>27458</v>
      </c>
      <c r="F1815">
        <v>600</v>
      </c>
      <c r="G1815">
        <v>40</v>
      </c>
      <c r="H1815">
        <v>1178.0999999999999</v>
      </c>
      <c r="I1815">
        <v>4663.1400000000003</v>
      </c>
      <c r="J1815">
        <v>2.19</v>
      </c>
      <c r="K1815">
        <v>6.67</v>
      </c>
      <c r="L1815">
        <v>29.45</v>
      </c>
      <c r="M1815">
        <v>3.96</v>
      </c>
      <c r="N1815">
        <v>3485.04</v>
      </c>
    </row>
    <row r="1816" spans="1:14" x14ac:dyDescent="0.2">
      <c r="A1816" s="1">
        <v>45625</v>
      </c>
      <c r="B1816" s="2" t="s">
        <v>20</v>
      </c>
      <c r="C1816" s="2" t="s">
        <v>32</v>
      </c>
      <c r="D1816" s="2" t="s">
        <v>25</v>
      </c>
      <c r="E1816">
        <v>20676</v>
      </c>
      <c r="F1816">
        <v>865</v>
      </c>
      <c r="G1816">
        <v>44</v>
      </c>
      <c r="H1816">
        <v>1032.56</v>
      </c>
      <c r="I1816">
        <v>3735.02</v>
      </c>
      <c r="J1816">
        <v>4.18</v>
      </c>
      <c r="K1816">
        <v>5.09</v>
      </c>
      <c r="L1816">
        <v>23.47</v>
      </c>
      <c r="M1816">
        <v>3.62</v>
      </c>
      <c r="N1816">
        <v>2702.46</v>
      </c>
    </row>
    <row r="1817" spans="1:14" x14ac:dyDescent="0.2">
      <c r="A1817" s="1">
        <v>45625</v>
      </c>
      <c r="B1817" s="2" t="s">
        <v>23</v>
      </c>
      <c r="C1817" s="2" t="s">
        <v>21</v>
      </c>
      <c r="D1817" s="2" t="s">
        <v>19</v>
      </c>
      <c r="E1817">
        <v>4587</v>
      </c>
      <c r="F1817">
        <v>71</v>
      </c>
      <c r="G1817">
        <v>9</v>
      </c>
      <c r="H1817">
        <v>2282.0700000000002</v>
      </c>
      <c r="I1817">
        <v>2739.15</v>
      </c>
      <c r="J1817">
        <v>1.55</v>
      </c>
      <c r="K1817">
        <v>12.68</v>
      </c>
      <c r="L1817">
        <v>253.56</v>
      </c>
      <c r="M1817">
        <v>1.2</v>
      </c>
      <c r="N1817">
        <v>457.08</v>
      </c>
    </row>
    <row r="1818" spans="1:14" x14ac:dyDescent="0.2">
      <c r="A1818" s="1">
        <v>45625</v>
      </c>
      <c r="B1818" s="2" t="s">
        <v>24</v>
      </c>
      <c r="C1818" s="2" t="s">
        <v>18</v>
      </c>
      <c r="D1818" s="2" t="s">
        <v>19</v>
      </c>
      <c r="E1818">
        <v>34778</v>
      </c>
      <c r="F1818">
        <v>7426</v>
      </c>
      <c r="G1818">
        <v>607</v>
      </c>
      <c r="H1818">
        <v>203.84</v>
      </c>
      <c r="I1818">
        <v>75700.36</v>
      </c>
      <c r="J1818">
        <v>21.35</v>
      </c>
      <c r="K1818">
        <v>8.17</v>
      </c>
      <c r="L1818">
        <v>0.34</v>
      </c>
      <c r="M1818">
        <v>371.37</v>
      </c>
      <c r="N1818">
        <v>75496.52</v>
      </c>
    </row>
    <row r="1819" spans="1:14" x14ac:dyDescent="0.2">
      <c r="A1819" s="1">
        <v>45625</v>
      </c>
      <c r="B1819" s="2" t="s">
        <v>26</v>
      </c>
      <c r="C1819" s="2" t="s">
        <v>18</v>
      </c>
      <c r="D1819" s="2" t="s">
        <v>25</v>
      </c>
      <c r="E1819">
        <v>44926</v>
      </c>
      <c r="F1819">
        <v>2186</v>
      </c>
      <c r="G1819">
        <v>330</v>
      </c>
      <c r="H1819">
        <v>0</v>
      </c>
      <c r="I1819">
        <v>44456.83</v>
      </c>
      <c r="J1819">
        <v>4.87</v>
      </c>
      <c r="K1819">
        <v>15.1</v>
      </c>
      <c r="L1819">
        <v>0</v>
      </c>
      <c r="M1819">
        <v>0</v>
      </c>
      <c r="N1819">
        <v>44456.83</v>
      </c>
    </row>
    <row r="1820" spans="1:14" x14ac:dyDescent="0.2">
      <c r="A1820" s="1">
        <v>45625</v>
      </c>
      <c r="B1820" s="2" t="s">
        <v>27</v>
      </c>
      <c r="C1820" s="2" t="s">
        <v>21</v>
      </c>
      <c r="D1820" s="2" t="s">
        <v>22</v>
      </c>
      <c r="E1820">
        <v>37576</v>
      </c>
      <c r="F1820">
        <v>489</v>
      </c>
      <c r="G1820">
        <v>12</v>
      </c>
      <c r="H1820">
        <v>1388.38</v>
      </c>
      <c r="I1820">
        <v>1575.8</v>
      </c>
      <c r="J1820">
        <v>1.3</v>
      </c>
      <c r="K1820">
        <v>2.4500000000000002</v>
      </c>
      <c r="L1820">
        <v>115.7</v>
      </c>
      <c r="M1820">
        <v>1.1299999999999999</v>
      </c>
      <c r="N1820">
        <v>187.42</v>
      </c>
    </row>
    <row r="1821" spans="1:14" x14ac:dyDescent="0.2">
      <c r="A1821" s="1">
        <v>45625</v>
      </c>
      <c r="B1821" s="2" t="s">
        <v>29</v>
      </c>
      <c r="C1821" s="2" t="s">
        <v>32</v>
      </c>
      <c r="D1821" s="2" t="s">
        <v>19</v>
      </c>
      <c r="E1821">
        <v>23473</v>
      </c>
      <c r="F1821">
        <v>665</v>
      </c>
      <c r="G1821">
        <v>28</v>
      </c>
      <c r="H1821">
        <v>1164.49</v>
      </c>
      <c r="I1821">
        <v>3802.62</v>
      </c>
      <c r="J1821">
        <v>2.83</v>
      </c>
      <c r="K1821">
        <v>4.21</v>
      </c>
      <c r="L1821">
        <v>41.59</v>
      </c>
      <c r="M1821">
        <v>3.27</v>
      </c>
      <c r="N1821">
        <v>2638.13</v>
      </c>
    </row>
    <row r="1822" spans="1:14" x14ac:dyDescent="0.2">
      <c r="A1822" s="1">
        <v>45625</v>
      </c>
      <c r="B1822" s="2" t="s">
        <v>30</v>
      </c>
      <c r="C1822" s="2" t="s">
        <v>28</v>
      </c>
      <c r="D1822" s="2" t="s">
        <v>25</v>
      </c>
      <c r="E1822">
        <v>11876</v>
      </c>
      <c r="F1822">
        <v>285</v>
      </c>
      <c r="G1822">
        <v>15</v>
      </c>
      <c r="H1822">
        <v>606.29999999999995</v>
      </c>
      <c r="I1822">
        <v>1405.24</v>
      </c>
      <c r="J1822">
        <v>2.4</v>
      </c>
      <c r="K1822">
        <v>5.26</v>
      </c>
      <c r="L1822">
        <v>40.42</v>
      </c>
      <c r="M1822">
        <v>2.3199999999999998</v>
      </c>
      <c r="N1822">
        <v>798.94</v>
      </c>
    </row>
    <row r="1823" spans="1:14" x14ac:dyDescent="0.2">
      <c r="A1823" s="1">
        <v>45625</v>
      </c>
      <c r="B1823" s="2" t="s">
        <v>31</v>
      </c>
      <c r="C1823" s="2" t="s">
        <v>15</v>
      </c>
      <c r="D1823" s="2" t="s">
        <v>16</v>
      </c>
      <c r="E1823">
        <v>26481</v>
      </c>
      <c r="F1823">
        <v>1171</v>
      </c>
      <c r="G1823">
        <v>46</v>
      </c>
      <c r="H1823">
        <v>1086.5899999999999</v>
      </c>
      <c r="I1823">
        <v>3884.23</v>
      </c>
      <c r="J1823">
        <v>4.42</v>
      </c>
      <c r="K1823">
        <v>3.93</v>
      </c>
      <c r="L1823">
        <v>23.62</v>
      </c>
      <c r="M1823">
        <v>3.57</v>
      </c>
      <c r="N1823">
        <v>2797.64</v>
      </c>
    </row>
    <row r="1824" spans="1:14" x14ac:dyDescent="0.2">
      <c r="A1824" s="1">
        <v>45625</v>
      </c>
      <c r="B1824" s="2" t="s">
        <v>33</v>
      </c>
      <c r="C1824" s="2" t="s">
        <v>35</v>
      </c>
      <c r="D1824" s="2" t="s">
        <v>36</v>
      </c>
      <c r="E1824">
        <v>10502</v>
      </c>
      <c r="F1824">
        <v>655</v>
      </c>
      <c r="G1824">
        <v>78</v>
      </c>
      <c r="H1824">
        <v>689.39</v>
      </c>
      <c r="I1824">
        <v>9711.2000000000007</v>
      </c>
      <c r="J1824">
        <v>6.24</v>
      </c>
      <c r="K1824">
        <v>11.91</v>
      </c>
      <c r="L1824">
        <v>8.84</v>
      </c>
      <c r="M1824">
        <v>14.09</v>
      </c>
      <c r="N1824">
        <v>9021.81</v>
      </c>
    </row>
    <row r="1825" spans="1:14" x14ac:dyDescent="0.2">
      <c r="A1825" s="1">
        <v>45625</v>
      </c>
      <c r="B1825" s="2" t="s">
        <v>34</v>
      </c>
      <c r="C1825" s="2" t="s">
        <v>15</v>
      </c>
      <c r="D1825" s="2" t="s">
        <v>22</v>
      </c>
      <c r="E1825">
        <v>9784</v>
      </c>
      <c r="F1825">
        <v>496</v>
      </c>
      <c r="G1825">
        <v>81</v>
      </c>
      <c r="H1825">
        <v>142.88</v>
      </c>
      <c r="I1825">
        <v>11915.46</v>
      </c>
      <c r="J1825">
        <v>5.07</v>
      </c>
      <c r="K1825">
        <v>16.329999999999998</v>
      </c>
      <c r="L1825">
        <v>1.76</v>
      </c>
      <c r="M1825">
        <v>83.39</v>
      </c>
      <c r="N1825">
        <v>11772.58</v>
      </c>
    </row>
    <row r="1826" spans="1:14" x14ac:dyDescent="0.2">
      <c r="A1826" s="1">
        <v>45626</v>
      </c>
      <c r="B1826" s="2" t="s">
        <v>14</v>
      </c>
      <c r="C1826" s="2" t="s">
        <v>18</v>
      </c>
      <c r="D1826" s="2" t="s">
        <v>22</v>
      </c>
      <c r="E1826">
        <v>9477</v>
      </c>
      <c r="F1826">
        <v>384</v>
      </c>
      <c r="G1826">
        <v>30</v>
      </c>
      <c r="H1826">
        <v>1290.51</v>
      </c>
      <c r="I1826">
        <v>3824.1</v>
      </c>
      <c r="J1826">
        <v>4.05</v>
      </c>
      <c r="K1826">
        <v>7.81</v>
      </c>
      <c r="L1826">
        <v>43.02</v>
      </c>
      <c r="M1826">
        <v>2.96</v>
      </c>
      <c r="N1826">
        <v>2533.59</v>
      </c>
    </row>
    <row r="1827" spans="1:14" x14ac:dyDescent="0.2">
      <c r="A1827" s="1">
        <v>45626</v>
      </c>
      <c r="B1827" s="2" t="s">
        <v>17</v>
      </c>
      <c r="C1827" s="2" t="s">
        <v>18</v>
      </c>
      <c r="D1827" s="2" t="s">
        <v>36</v>
      </c>
      <c r="E1827">
        <v>19392</v>
      </c>
      <c r="F1827">
        <v>430</v>
      </c>
      <c r="G1827">
        <v>29</v>
      </c>
      <c r="H1827">
        <v>777.08</v>
      </c>
      <c r="I1827">
        <v>4283.97</v>
      </c>
      <c r="J1827">
        <v>2.2200000000000002</v>
      </c>
      <c r="K1827">
        <v>6.74</v>
      </c>
      <c r="L1827">
        <v>26.8</v>
      </c>
      <c r="M1827">
        <v>5.51</v>
      </c>
      <c r="N1827">
        <v>3506.89</v>
      </c>
    </row>
    <row r="1828" spans="1:14" x14ac:dyDescent="0.2">
      <c r="A1828" s="1">
        <v>45626</v>
      </c>
      <c r="B1828" s="2" t="s">
        <v>20</v>
      </c>
      <c r="C1828" s="2" t="s">
        <v>18</v>
      </c>
      <c r="D1828" s="2" t="s">
        <v>36</v>
      </c>
      <c r="E1828">
        <v>15312</v>
      </c>
      <c r="F1828">
        <v>582</v>
      </c>
      <c r="G1828">
        <v>35</v>
      </c>
      <c r="H1828">
        <v>673.83</v>
      </c>
      <c r="I1828">
        <v>4484.75</v>
      </c>
      <c r="J1828">
        <v>3.8</v>
      </c>
      <c r="K1828">
        <v>6.01</v>
      </c>
      <c r="L1828">
        <v>19.25</v>
      </c>
      <c r="M1828">
        <v>6.66</v>
      </c>
      <c r="N1828">
        <v>3810.92</v>
      </c>
    </row>
    <row r="1829" spans="1:14" x14ac:dyDescent="0.2">
      <c r="A1829" s="1">
        <v>45626</v>
      </c>
      <c r="B1829" s="2" t="s">
        <v>23</v>
      </c>
      <c r="C1829" s="2" t="s">
        <v>32</v>
      </c>
      <c r="D1829" s="2" t="s">
        <v>25</v>
      </c>
      <c r="E1829">
        <v>3693</v>
      </c>
      <c r="F1829">
        <v>66</v>
      </c>
      <c r="G1829">
        <v>8</v>
      </c>
      <c r="H1829">
        <v>1149.21</v>
      </c>
      <c r="I1829">
        <v>2128.7399999999998</v>
      </c>
      <c r="J1829">
        <v>1.79</v>
      </c>
      <c r="K1829">
        <v>12.12</v>
      </c>
      <c r="L1829">
        <v>143.65</v>
      </c>
      <c r="M1829">
        <v>1.85</v>
      </c>
      <c r="N1829">
        <v>979.53</v>
      </c>
    </row>
    <row r="1830" spans="1:14" x14ac:dyDescent="0.2">
      <c r="A1830" s="1">
        <v>45626</v>
      </c>
      <c r="B1830" s="2" t="s">
        <v>24</v>
      </c>
      <c r="C1830" s="2" t="s">
        <v>18</v>
      </c>
      <c r="D1830" s="2" t="s">
        <v>19</v>
      </c>
      <c r="E1830">
        <v>17221</v>
      </c>
      <c r="F1830">
        <v>3857</v>
      </c>
      <c r="G1830">
        <v>400</v>
      </c>
      <c r="H1830">
        <v>277.93</v>
      </c>
      <c r="I1830">
        <v>54575.4</v>
      </c>
      <c r="J1830">
        <v>22.4</v>
      </c>
      <c r="K1830">
        <v>10.37</v>
      </c>
      <c r="L1830">
        <v>0.69</v>
      </c>
      <c r="M1830">
        <v>196.36</v>
      </c>
      <c r="N1830">
        <v>54297.47</v>
      </c>
    </row>
    <row r="1831" spans="1:14" x14ac:dyDescent="0.2">
      <c r="A1831" s="1">
        <v>45626</v>
      </c>
      <c r="B1831" s="2" t="s">
        <v>26</v>
      </c>
      <c r="C1831" s="2" t="s">
        <v>15</v>
      </c>
      <c r="D1831" s="2" t="s">
        <v>22</v>
      </c>
      <c r="E1831">
        <v>21691</v>
      </c>
      <c r="F1831">
        <v>932</v>
      </c>
      <c r="G1831">
        <v>121</v>
      </c>
      <c r="H1831">
        <v>0</v>
      </c>
      <c r="I1831">
        <v>14275.73</v>
      </c>
      <c r="J1831">
        <v>4.3</v>
      </c>
      <c r="K1831">
        <v>12.98</v>
      </c>
      <c r="L1831">
        <v>0</v>
      </c>
      <c r="M1831">
        <v>0</v>
      </c>
      <c r="N1831">
        <v>14275.73</v>
      </c>
    </row>
    <row r="1832" spans="1:14" x14ac:dyDescent="0.2">
      <c r="A1832" s="1">
        <v>45626</v>
      </c>
      <c r="B1832" s="2" t="s">
        <v>27</v>
      </c>
      <c r="C1832" s="2" t="s">
        <v>18</v>
      </c>
      <c r="D1832" s="2" t="s">
        <v>16</v>
      </c>
      <c r="E1832">
        <v>29559</v>
      </c>
      <c r="F1832">
        <v>323</v>
      </c>
      <c r="G1832">
        <v>11</v>
      </c>
      <c r="H1832">
        <v>1213.46</v>
      </c>
      <c r="I1832">
        <v>960.93</v>
      </c>
      <c r="J1832">
        <v>1.0900000000000001</v>
      </c>
      <c r="K1832">
        <v>3.41</v>
      </c>
      <c r="L1832">
        <v>110.31</v>
      </c>
      <c r="M1832">
        <v>0.79</v>
      </c>
      <c r="N1832">
        <v>-252.53</v>
      </c>
    </row>
    <row r="1833" spans="1:14" x14ac:dyDescent="0.2">
      <c r="A1833" s="1">
        <v>45626</v>
      </c>
      <c r="B1833" s="2" t="s">
        <v>29</v>
      </c>
      <c r="C1833" s="2" t="s">
        <v>15</v>
      </c>
      <c r="D1833" s="2" t="s">
        <v>22</v>
      </c>
      <c r="E1833">
        <v>22721</v>
      </c>
      <c r="F1833">
        <v>392</v>
      </c>
      <c r="G1833">
        <v>17</v>
      </c>
      <c r="H1833">
        <v>1011.69</v>
      </c>
      <c r="I1833">
        <v>2443.61</v>
      </c>
      <c r="J1833">
        <v>1.73</v>
      </c>
      <c r="K1833">
        <v>4.34</v>
      </c>
      <c r="L1833">
        <v>59.51</v>
      </c>
      <c r="M1833">
        <v>2.42</v>
      </c>
      <c r="N1833">
        <v>1431.92</v>
      </c>
    </row>
    <row r="1834" spans="1:14" x14ac:dyDescent="0.2">
      <c r="A1834" s="1">
        <v>45626</v>
      </c>
      <c r="B1834" s="2" t="s">
        <v>30</v>
      </c>
      <c r="C1834" s="2" t="s">
        <v>15</v>
      </c>
      <c r="D1834" s="2" t="s">
        <v>16</v>
      </c>
      <c r="E1834">
        <v>13258</v>
      </c>
      <c r="F1834">
        <v>427</v>
      </c>
      <c r="G1834">
        <v>15</v>
      </c>
      <c r="H1834">
        <v>662.12</v>
      </c>
      <c r="I1834">
        <v>1394.84</v>
      </c>
      <c r="J1834">
        <v>3.22</v>
      </c>
      <c r="K1834">
        <v>3.51</v>
      </c>
      <c r="L1834">
        <v>44.14</v>
      </c>
      <c r="M1834">
        <v>2.11</v>
      </c>
      <c r="N1834">
        <v>732.72</v>
      </c>
    </row>
    <row r="1835" spans="1:14" x14ac:dyDescent="0.2">
      <c r="A1835" s="1">
        <v>45626</v>
      </c>
      <c r="B1835" s="2" t="s">
        <v>31</v>
      </c>
      <c r="C1835" s="2" t="s">
        <v>21</v>
      </c>
      <c r="D1835" s="2" t="s">
        <v>36</v>
      </c>
      <c r="E1835">
        <v>22981</v>
      </c>
      <c r="F1835">
        <v>953</v>
      </c>
      <c r="G1835">
        <v>53</v>
      </c>
      <c r="H1835">
        <v>786.69</v>
      </c>
      <c r="I1835">
        <v>5052.13</v>
      </c>
      <c r="J1835">
        <v>4.1500000000000004</v>
      </c>
      <c r="K1835">
        <v>5.56</v>
      </c>
      <c r="L1835">
        <v>14.84</v>
      </c>
      <c r="M1835">
        <v>6.42</v>
      </c>
      <c r="N1835">
        <v>4265.4399999999996</v>
      </c>
    </row>
    <row r="1836" spans="1:14" x14ac:dyDescent="0.2">
      <c r="A1836" s="1">
        <v>45626</v>
      </c>
      <c r="B1836" s="2" t="s">
        <v>33</v>
      </c>
      <c r="C1836" s="2" t="s">
        <v>35</v>
      </c>
      <c r="D1836" s="2" t="s">
        <v>25</v>
      </c>
      <c r="E1836">
        <v>8753</v>
      </c>
      <c r="F1836">
        <v>544</v>
      </c>
      <c r="G1836">
        <v>54</v>
      </c>
      <c r="H1836">
        <v>551.16</v>
      </c>
      <c r="I1836">
        <v>7847.46</v>
      </c>
      <c r="J1836">
        <v>6.22</v>
      </c>
      <c r="K1836">
        <v>9.93</v>
      </c>
      <c r="L1836">
        <v>10.210000000000001</v>
      </c>
      <c r="M1836">
        <v>14.24</v>
      </c>
      <c r="N1836">
        <v>7296.3</v>
      </c>
    </row>
    <row r="1837" spans="1:14" x14ac:dyDescent="0.2">
      <c r="A1837" s="1">
        <v>45626</v>
      </c>
      <c r="B1837" s="2" t="s">
        <v>34</v>
      </c>
      <c r="C1837" s="2" t="s">
        <v>32</v>
      </c>
      <c r="D1837" s="2" t="s">
        <v>19</v>
      </c>
      <c r="E1837">
        <v>4001</v>
      </c>
      <c r="F1837">
        <v>222</v>
      </c>
      <c r="G1837">
        <v>32</v>
      </c>
      <c r="H1837">
        <v>101</v>
      </c>
      <c r="I1837">
        <v>4252.99</v>
      </c>
      <c r="J1837">
        <v>5.55</v>
      </c>
      <c r="K1837">
        <v>14.41</v>
      </c>
      <c r="L1837">
        <v>3.16</v>
      </c>
      <c r="M1837">
        <v>42.11</v>
      </c>
      <c r="N1837">
        <v>4151.99</v>
      </c>
    </row>
    <row r="1838" spans="1:14" x14ac:dyDescent="0.2">
      <c r="A1838" s="1">
        <v>45627</v>
      </c>
      <c r="B1838" s="2" t="s">
        <v>14</v>
      </c>
      <c r="C1838" s="2" t="s">
        <v>21</v>
      </c>
      <c r="D1838" s="2" t="s">
        <v>19</v>
      </c>
      <c r="E1838">
        <v>13995</v>
      </c>
      <c r="F1838">
        <v>427</v>
      </c>
      <c r="G1838">
        <v>45</v>
      </c>
      <c r="H1838">
        <v>895.62</v>
      </c>
      <c r="I1838">
        <v>5851.92</v>
      </c>
      <c r="J1838">
        <v>3.05</v>
      </c>
      <c r="K1838">
        <v>10.54</v>
      </c>
      <c r="L1838">
        <v>19.899999999999999</v>
      </c>
      <c r="M1838">
        <v>6.53</v>
      </c>
      <c r="N1838">
        <v>4956.3</v>
      </c>
    </row>
    <row r="1839" spans="1:14" x14ac:dyDescent="0.2">
      <c r="A1839" s="1">
        <v>45627</v>
      </c>
      <c r="B1839" s="2" t="s">
        <v>17</v>
      </c>
      <c r="C1839" s="2" t="s">
        <v>21</v>
      </c>
      <c r="D1839" s="2" t="s">
        <v>19</v>
      </c>
      <c r="E1839">
        <v>13876</v>
      </c>
      <c r="F1839">
        <v>287</v>
      </c>
      <c r="G1839">
        <v>17</v>
      </c>
      <c r="H1839">
        <v>813.15</v>
      </c>
      <c r="I1839">
        <v>1987.35</v>
      </c>
      <c r="J1839">
        <v>2.0699999999999998</v>
      </c>
      <c r="K1839">
        <v>5.92</v>
      </c>
      <c r="L1839">
        <v>47.83</v>
      </c>
      <c r="M1839">
        <v>2.44</v>
      </c>
      <c r="N1839">
        <v>1174.2</v>
      </c>
    </row>
    <row r="1840" spans="1:14" x14ac:dyDescent="0.2">
      <c r="A1840" s="1">
        <v>45627</v>
      </c>
      <c r="B1840" s="2" t="s">
        <v>20</v>
      </c>
      <c r="C1840" s="2" t="s">
        <v>15</v>
      </c>
      <c r="D1840" s="2" t="s">
        <v>16</v>
      </c>
      <c r="E1840">
        <v>16599</v>
      </c>
      <c r="F1840">
        <v>668</v>
      </c>
      <c r="G1840">
        <v>32</v>
      </c>
      <c r="H1840">
        <v>688.63</v>
      </c>
      <c r="I1840">
        <v>2783.98</v>
      </c>
      <c r="J1840">
        <v>4.0199999999999996</v>
      </c>
      <c r="K1840">
        <v>4.79</v>
      </c>
      <c r="L1840">
        <v>21.52</v>
      </c>
      <c r="M1840">
        <v>4.04</v>
      </c>
      <c r="N1840">
        <v>2095.35</v>
      </c>
    </row>
    <row r="1841" spans="1:14" x14ac:dyDescent="0.2">
      <c r="A1841" s="1">
        <v>45627</v>
      </c>
      <c r="B1841" s="2" t="s">
        <v>23</v>
      </c>
      <c r="C1841" s="2" t="s">
        <v>18</v>
      </c>
      <c r="D1841" s="2" t="s">
        <v>19</v>
      </c>
      <c r="E1841">
        <v>5057</v>
      </c>
      <c r="F1841">
        <v>114</v>
      </c>
      <c r="G1841">
        <v>13</v>
      </c>
      <c r="H1841">
        <v>1688.66</v>
      </c>
      <c r="I1841">
        <v>3829.32</v>
      </c>
      <c r="J1841">
        <v>2.25</v>
      </c>
      <c r="K1841">
        <v>11.4</v>
      </c>
      <c r="L1841">
        <v>129.9</v>
      </c>
      <c r="M1841">
        <v>2.27</v>
      </c>
      <c r="N1841">
        <v>2140.66</v>
      </c>
    </row>
    <row r="1842" spans="1:14" x14ac:dyDescent="0.2">
      <c r="A1842" s="1">
        <v>45627</v>
      </c>
      <c r="B1842" s="2" t="s">
        <v>24</v>
      </c>
      <c r="C1842" s="2" t="s">
        <v>28</v>
      </c>
      <c r="D1842" s="2" t="s">
        <v>19</v>
      </c>
      <c r="E1842">
        <v>22460</v>
      </c>
      <c r="F1842">
        <v>5362</v>
      </c>
      <c r="G1842">
        <v>739</v>
      </c>
      <c r="H1842">
        <v>185.52</v>
      </c>
      <c r="I1842">
        <v>102433.68</v>
      </c>
      <c r="J1842">
        <v>23.87</v>
      </c>
      <c r="K1842">
        <v>13.78</v>
      </c>
      <c r="L1842">
        <v>0.25</v>
      </c>
      <c r="M1842">
        <v>552.14</v>
      </c>
      <c r="N1842">
        <v>102248.16</v>
      </c>
    </row>
    <row r="1843" spans="1:14" x14ac:dyDescent="0.2">
      <c r="A1843" s="1">
        <v>45627</v>
      </c>
      <c r="B1843" s="2" t="s">
        <v>26</v>
      </c>
      <c r="C1843" s="2" t="s">
        <v>32</v>
      </c>
      <c r="D1843" s="2" t="s">
        <v>16</v>
      </c>
      <c r="E1843">
        <v>32563</v>
      </c>
      <c r="F1843">
        <v>2098</v>
      </c>
      <c r="G1843">
        <v>241</v>
      </c>
      <c r="H1843">
        <v>0</v>
      </c>
      <c r="I1843">
        <v>31302.7</v>
      </c>
      <c r="J1843">
        <v>6.44</v>
      </c>
      <c r="K1843">
        <v>11.49</v>
      </c>
      <c r="L1843">
        <v>0</v>
      </c>
      <c r="M1843">
        <v>0</v>
      </c>
      <c r="N1843">
        <v>31302.7</v>
      </c>
    </row>
    <row r="1844" spans="1:14" x14ac:dyDescent="0.2">
      <c r="A1844" s="1">
        <v>45627</v>
      </c>
      <c r="B1844" s="2" t="s">
        <v>27</v>
      </c>
      <c r="C1844" s="2" t="s">
        <v>35</v>
      </c>
      <c r="D1844" s="2" t="s">
        <v>25</v>
      </c>
      <c r="E1844">
        <v>30416</v>
      </c>
      <c r="F1844">
        <v>399</v>
      </c>
      <c r="G1844">
        <v>11</v>
      </c>
      <c r="H1844">
        <v>868.05</v>
      </c>
      <c r="I1844">
        <v>968.53</v>
      </c>
      <c r="J1844">
        <v>1.31</v>
      </c>
      <c r="K1844">
        <v>2.76</v>
      </c>
      <c r="L1844">
        <v>78.91</v>
      </c>
      <c r="M1844">
        <v>1.1200000000000001</v>
      </c>
      <c r="N1844">
        <v>100.48</v>
      </c>
    </row>
    <row r="1845" spans="1:14" x14ac:dyDescent="0.2">
      <c r="A1845" s="1">
        <v>45627</v>
      </c>
      <c r="B1845" s="2" t="s">
        <v>29</v>
      </c>
      <c r="C1845" s="2" t="s">
        <v>15</v>
      </c>
      <c r="D1845" s="2" t="s">
        <v>16</v>
      </c>
      <c r="E1845">
        <v>15270</v>
      </c>
      <c r="F1845">
        <v>412</v>
      </c>
      <c r="G1845">
        <v>26</v>
      </c>
      <c r="H1845">
        <v>895.62</v>
      </c>
      <c r="I1845">
        <v>2742.54</v>
      </c>
      <c r="J1845">
        <v>2.7</v>
      </c>
      <c r="K1845">
        <v>6.31</v>
      </c>
      <c r="L1845">
        <v>34.450000000000003</v>
      </c>
      <c r="M1845">
        <v>3.06</v>
      </c>
      <c r="N1845">
        <v>1846.92</v>
      </c>
    </row>
    <row r="1846" spans="1:14" x14ac:dyDescent="0.2">
      <c r="A1846" s="1">
        <v>45627</v>
      </c>
      <c r="B1846" s="2" t="s">
        <v>30</v>
      </c>
      <c r="C1846" s="2" t="s">
        <v>28</v>
      </c>
      <c r="D1846" s="2" t="s">
        <v>36</v>
      </c>
      <c r="E1846">
        <v>10147</v>
      </c>
      <c r="F1846">
        <v>295</v>
      </c>
      <c r="G1846">
        <v>12</v>
      </c>
      <c r="H1846">
        <v>762.81</v>
      </c>
      <c r="I1846">
        <v>1130.0999999999999</v>
      </c>
      <c r="J1846">
        <v>2.91</v>
      </c>
      <c r="K1846">
        <v>4.07</v>
      </c>
      <c r="L1846">
        <v>63.57</v>
      </c>
      <c r="M1846">
        <v>1.48</v>
      </c>
      <c r="N1846">
        <v>367.29</v>
      </c>
    </row>
    <row r="1847" spans="1:14" x14ac:dyDescent="0.2">
      <c r="A1847" s="1">
        <v>45627</v>
      </c>
      <c r="B1847" s="2" t="s">
        <v>31</v>
      </c>
      <c r="C1847" s="2" t="s">
        <v>32</v>
      </c>
      <c r="D1847" s="2" t="s">
        <v>19</v>
      </c>
      <c r="E1847">
        <v>20414</v>
      </c>
      <c r="F1847">
        <v>622</v>
      </c>
      <c r="G1847">
        <v>43</v>
      </c>
      <c r="H1847">
        <v>701.07</v>
      </c>
      <c r="I1847">
        <v>3235.23</v>
      </c>
      <c r="J1847">
        <v>3.05</v>
      </c>
      <c r="K1847">
        <v>6.91</v>
      </c>
      <c r="L1847">
        <v>16.3</v>
      </c>
      <c r="M1847">
        <v>4.6100000000000003</v>
      </c>
      <c r="N1847">
        <v>2534.16</v>
      </c>
    </row>
    <row r="1848" spans="1:14" x14ac:dyDescent="0.2">
      <c r="A1848" s="1">
        <v>45627</v>
      </c>
      <c r="B1848" s="2" t="s">
        <v>33</v>
      </c>
      <c r="C1848" s="2" t="s">
        <v>18</v>
      </c>
      <c r="D1848" s="2" t="s">
        <v>36</v>
      </c>
      <c r="E1848">
        <v>8627</v>
      </c>
      <c r="F1848">
        <v>505</v>
      </c>
      <c r="G1848">
        <v>48</v>
      </c>
      <c r="H1848">
        <v>634.9</v>
      </c>
      <c r="I1848">
        <v>7568.07</v>
      </c>
      <c r="J1848">
        <v>5.85</v>
      </c>
      <c r="K1848">
        <v>9.5</v>
      </c>
      <c r="L1848">
        <v>13.23</v>
      </c>
      <c r="M1848">
        <v>11.92</v>
      </c>
      <c r="N1848">
        <v>6933.17</v>
      </c>
    </row>
    <row r="1849" spans="1:14" x14ac:dyDescent="0.2">
      <c r="A1849" s="1">
        <v>45627</v>
      </c>
      <c r="B1849" s="2" t="s">
        <v>34</v>
      </c>
      <c r="C1849" s="2" t="s">
        <v>32</v>
      </c>
      <c r="D1849" s="2" t="s">
        <v>22</v>
      </c>
      <c r="E1849">
        <v>3859</v>
      </c>
      <c r="F1849">
        <v>201</v>
      </c>
      <c r="G1849">
        <v>23</v>
      </c>
      <c r="H1849">
        <v>163.35</v>
      </c>
      <c r="I1849">
        <v>3556.53</v>
      </c>
      <c r="J1849">
        <v>5.21</v>
      </c>
      <c r="K1849">
        <v>11.44</v>
      </c>
      <c r="L1849">
        <v>7.1</v>
      </c>
      <c r="M1849">
        <v>21.77</v>
      </c>
      <c r="N1849">
        <v>3393.18</v>
      </c>
    </row>
    <row r="1850" spans="1:14" x14ac:dyDescent="0.2">
      <c r="A1850" s="1">
        <v>45628</v>
      </c>
      <c r="B1850" s="2" t="s">
        <v>14</v>
      </c>
      <c r="C1850" s="2" t="s">
        <v>35</v>
      </c>
      <c r="D1850" s="2" t="s">
        <v>22</v>
      </c>
      <c r="E1850">
        <v>18705</v>
      </c>
      <c r="F1850">
        <v>686</v>
      </c>
      <c r="G1850">
        <v>60</v>
      </c>
      <c r="H1850">
        <v>2039.41</v>
      </c>
      <c r="I1850">
        <v>10625.71</v>
      </c>
      <c r="J1850">
        <v>3.67</v>
      </c>
      <c r="K1850">
        <v>8.75</v>
      </c>
      <c r="L1850">
        <v>33.99</v>
      </c>
      <c r="M1850">
        <v>5.21</v>
      </c>
      <c r="N1850">
        <v>8586.2999999999993</v>
      </c>
    </row>
    <row r="1851" spans="1:14" x14ac:dyDescent="0.2">
      <c r="A1851" s="1">
        <v>45628</v>
      </c>
      <c r="B1851" s="2" t="s">
        <v>17</v>
      </c>
      <c r="C1851" s="2" t="s">
        <v>35</v>
      </c>
      <c r="D1851" s="2" t="s">
        <v>16</v>
      </c>
      <c r="E1851">
        <v>23531</v>
      </c>
      <c r="F1851">
        <v>732</v>
      </c>
      <c r="G1851">
        <v>58</v>
      </c>
      <c r="H1851">
        <v>1248.4000000000001</v>
      </c>
      <c r="I1851">
        <v>6099.33</v>
      </c>
      <c r="J1851">
        <v>3.11</v>
      </c>
      <c r="K1851">
        <v>7.92</v>
      </c>
      <c r="L1851">
        <v>21.52</v>
      </c>
      <c r="M1851">
        <v>4.8899999999999997</v>
      </c>
      <c r="N1851">
        <v>4850.93</v>
      </c>
    </row>
    <row r="1852" spans="1:14" x14ac:dyDescent="0.2">
      <c r="A1852" s="1">
        <v>45628</v>
      </c>
      <c r="B1852" s="2" t="s">
        <v>20</v>
      </c>
      <c r="C1852" s="2" t="s">
        <v>32</v>
      </c>
      <c r="D1852" s="2" t="s">
        <v>16</v>
      </c>
      <c r="E1852">
        <v>24425</v>
      </c>
      <c r="F1852">
        <v>1065</v>
      </c>
      <c r="G1852">
        <v>47</v>
      </c>
      <c r="H1852">
        <v>818.65</v>
      </c>
      <c r="I1852">
        <v>5031.79</v>
      </c>
      <c r="J1852">
        <v>4.3600000000000003</v>
      </c>
      <c r="K1852">
        <v>4.41</v>
      </c>
      <c r="L1852">
        <v>17.420000000000002</v>
      </c>
      <c r="M1852">
        <v>6.15</v>
      </c>
      <c r="N1852">
        <v>4213.1400000000003</v>
      </c>
    </row>
    <row r="1853" spans="1:14" x14ac:dyDescent="0.2">
      <c r="A1853" s="1">
        <v>45628</v>
      </c>
      <c r="B1853" s="2" t="s">
        <v>23</v>
      </c>
      <c r="C1853" s="2" t="s">
        <v>21</v>
      </c>
      <c r="D1853" s="2" t="s">
        <v>25</v>
      </c>
      <c r="E1853">
        <v>8380</v>
      </c>
      <c r="F1853">
        <v>156</v>
      </c>
      <c r="G1853">
        <v>19</v>
      </c>
      <c r="H1853">
        <v>1777.68</v>
      </c>
      <c r="I1853">
        <v>4830.8999999999996</v>
      </c>
      <c r="J1853">
        <v>1.86</v>
      </c>
      <c r="K1853">
        <v>12.18</v>
      </c>
      <c r="L1853">
        <v>93.56</v>
      </c>
      <c r="M1853">
        <v>2.72</v>
      </c>
      <c r="N1853">
        <v>3053.22</v>
      </c>
    </row>
    <row r="1854" spans="1:14" x14ac:dyDescent="0.2">
      <c r="A1854" s="1">
        <v>45628</v>
      </c>
      <c r="B1854" s="2" t="s">
        <v>24</v>
      </c>
      <c r="C1854" s="2" t="s">
        <v>18</v>
      </c>
      <c r="D1854" s="2" t="s">
        <v>16</v>
      </c>
      <c r="E1854">
        <v>24584</v>
      </c>
      <c r="F1854">
        <v>4848</v>
      </c>
      <c r="G1854">
        <v>510</v>
      </c>
      <c r="H1854">
        <v>193.56</v>
      </c>
      <c r="I1854">
        <v>54650.73</v>
      </c>
      <c r="J1854">
        <v>19.72</v>
      </c>
      <c r="K1854">
        <v>10.52</v>
      </c>
      <c r="L1854">
        <v>0.38</v>
      </c>
      <c r="M1854">
        <v>282.35000000000002</v>
      </c>
      <c r="N1854">
        <v>54457.17</v>
      </c>
    </row>
    <row r="1855" spans="1:14" x14ac:dyDescent="0.2">
      <c r="A1855" s="1">
        <v>45628</v>
      </c>
      <c r="B1855" s="2" t="s">
        <v>26</v>
      </c>
      <c r="C1855" s="2" t="s">
        <v>18</v>
      </c>
      <c r="D1855" s="2" t="s">
        <v>22</v>
      </c>
      <c r="E1855">
        <v>38645</v>
      </c>
      <c r="F1855">
        <v>2913</v>
      </c>
      <c r="G1855">
        <v>456</v>
      </c>
      <c r="H1855">
        <v>0</v>
      </c>
      <c r="I1855">
        <v>52570.76</v>
      </c>
      <c r="J1855">
        <v>7.54</v>
      </c>
      <c r="K1855">
        <v>15.65</v>
      </c>
      <c r="L1855">
        <v>0</v>
      </c>
      <c r="M1855">
        <v>0</v>
      </c>
      <c r="N1855">
        <v>52570.76</v>
      </c>
    </row>
    <row r="1856" spans="1:14" x14ac:dyDescent="0.2">
      <c r="A1856" s="1">
        <v>45628</v>
      </c>
      <c r="B1856" s="2" t="s">
        <v>27</v>
      </c>
      <c r="C1856" s="2" t="s">
        <v>18</v>
      </c>
      <c r="D1856" s="2" t="s">
        <v>36</v>
      </c>
      <c r="E1856">
        <v>41388</v>
      </c>
      <c r="F1856">
        <v>446</v>
      </c>
      <c r="G1856">
        <v>16</v>
      </c>
      <c r="H1856">
        <v>1144.48</v>
      </c>
      <c r="I1856">
        <v>1927.73</v>
      </c>
      <c r="J1856">
        <v>1.08</v>
      </c>
      <c r="K1856">
        <v>3.59</v>
      </c>
      <c r="L1856">
        <v>71.53</v>
      </c>
      <c r="M1856">
        <v>1.68</v>
      </c>
      <c r="N1856">
        <v>783.25</v>
      </c>
    </row>
    <row r="1857" spans="1:14" x14ac:dyDescent="0.2">
      <c r="A1857" s="1">
        <v>45628</v>
      </c>
      <c r="B1857" s="2" t="s">
        <v>29</v>
      </c>
      <c r="C1857" s="2" t="s">
        <v>35</v>
      </c>
      <c r="D1857" s="2" t="s">
        <v>36</v>
      </c>
      <c r="E1857">
        <v>21670</v>
      </c>
      <c r="F1857">
        <v>628</v>
      </c>
      <c r="G1857">
        <v>29</v>
      </c>
      <c r="H1857">
        <v>1927.62</v>
      </c>
      <c r="I1857">
        <v>2880.05</v>
      </c>
      <c r="J1857">
        <v>2.9</v>
      </c>
      <c r="K1857">
        <v>4.62</v>
      </c>
      <c r="L1857">
        <v>66.47</v>
      </c>
      <c r="M1857">
        <v>1.49</v>
      </c>
      <c r="N1857">
        <v>952.43</v>
      </c>
    </row>
    <row r="1858" spans="1:14" x14ac:dyDescent="0.2">
      <c r="A1858" s="1">
        <v>45628</v>
      </c>
      <c r="B1858" s="2" t="s">
        <v>30</v>
      </c>
      <c r="C1858" s="2" t="s">
        <v>21</v>
      </c>
      <c r="D1858" s="2" t="s">
        <v>22</v>
      </c>
      <c r="E1858">
        <v>16601</v>
      </c>
      <c r="F1858">
        <v>400</v>
      </c>
      <c r="G1858">
        <v>14</v>
      </c>
      <c r="H1858">
        <v>894.56</v>
      </c>
      <c r="I1858">
        <v>1000.2</v>
      </c>
      <c r="J1858">
        <v>2.41</v>
      </c>
      <c r="K1858">
        <v>3.5</v>
      </c>
      <c r="L1858">
        <v>63.9</v>
      </c>
      <c r="M1858">
        <v>1.1200000000000001</v>
      </c>
      <c r="N1858">
        <v>105.64</v>
      </c>
    </row>
    <row r="1859" spans="1:14" x14ac:dyDescent="0.2">
      <c r="A1859" s="1">
        <v>45628</v>
      </c>
      <c r="B1859" s="2" t="s">
        <v>31</v>
      </c>
      <c r="C1859" s="2" t="s">
        <v>18</v>
      </c>
      <c r="D1859" s="2" t="s">
        <v>25</v>
      </c>
      <c r="E1859">
        <v>35588</v>
      </c>
      <c r="F1859">
        <v>1405</v>
      </c>
      <c r="G1859">
        <v>60</v>
      </c>
      <c r="H1859">
        <v>1153.06</v>
      </c>
      <c r="I1859">
        <v>5267.9</v>
      </c>
      <c r="J1859">
        <v>3.95</v>
      </c>
      <c r="K1859">
        <v>4.2699999999999996</v>
      </c>
      <c r="L1859">
        <v>19.22</v>
      </c>
      <c r="M1859">
        <v>4.57</v>
      </c>
      <c r="N1859">
        <v>4114.84</v>
      </c>
    </row>
    <row r="1860" spans="1:14" x14ac:dyDescent="0.2">
      <c r="A1860" s="1">
        <v>45628</v>
      </c>
      <c r="B1860" s="2" t="s">
        <v>33</v>
      </c>
      <c r="C1860" s="2" t="s">
        <v>15</v>
      </c>
      <c r="D1860" s="2" t="s">
        <v>36</v>
      </c>
      <c r="E1860">
        <v>9798</v>
      </c>
      <c r="F1860">
        <v>434</v>
      </c>
      <c r="G1860">
        <v>50</v>
      </c>
      <c r="H1860">
        <v>615.22</v>
      </c>
      <c r="I1860">
        <v>5244.26</v>
      </c>
      <c r="J1860">
        <v>4.43</v>
      </c>
      <c r="K1860">
        <v>11.52</v>
      </c>
      <c r="L1860">
        <v>12.3</v>
      </c>
      <c r="M1860">
        <v>8.52</v>
      </c>
      <c r="N1860">
        <v>4629.04</v>
      </c>
    </row>
    <row r="1861" spans="1:14" x14ac:dyDescent="0.2">
      <c r="A1861" s="1">
        <v>45628</v>
      </c>
      <c r="B1861" s="2" t="s">
        <v>34</v>
      </c>
      <c r="C1861" s="2" t="s">
        <v>21</v>
      </c>
      <c r="D1861" s="2" t="s">
        <v>19</v>
      </c>
      <c r="E1861">
        <v>6875</v>
      </c>
      <c r="F1861">
        <v>489</v>
      </c>
      <c r="G1861">
        <v>78</v>
      </c>
      <c r="H1861">
        <v>243.45</v>
      </c>
      <c r="I1861">
        <v>10535.53</v>
      </c>
      <c r="J1861">
        <v>7.11</v>
      </c>
      <c r="K1861">
        <v>15.95</v>
      </c>
      <c r="L1861">
        <v>3.12</v>
      </c>
      <c r="M1861">
        <v>43.28</v>
      </c>
      <c r="N1861">
        <v>10292.08</v>
      </c>
    </row>
    <row r="1862" spans="1:14" x14ac:dyDescent="0.2">
      <c r="A1862" s="1">
        <v>45629</v>
      </c>
      <c r="B1862" s="2" t="s">
        <v>14</v>
      </c>
      <c r="C1862" s="2" t="s">
        <v>21</v>
      </c>
      <c r="D1862" s="2" t="s">
        <v>36</v>
      </c>
      <c r="E1862">
        <v>16322</v>
      </c>
      <c r="F1862">
        <v>518</v>
      </c>
      <c r="G1862">
        <v>54</v>
      </c>
      <c r="H1862">
        <v>1680.83</v>
      </c>
      <c r="I1862">
        <v>7755.16</v>
      </c>
      <c r="J1862">
        <v>3.17</v>
      </c>
      <c r="K1862">
        <v>10.42</v>
      </c>
      <c r="L1862">
        <v>31.13</v>
      </c>
      <c r="M1862">
        <v>4.6100000000000003</v>
      </c>
      <c r="N1862">
        <v>6074.33</v>
      </c>
    </row>
    <row r="1863" spans="1:14" x14ac:dyDescent="0.2">
      <c r="A1863" s="1">
        <v>45629</v>
      </c>
      <c r="B1863" s="2" t="s">
        <v>17</v>
      </c>
      <c r="C1863" s="2" t="s">
        <v>15</v>
      </c>
      <c r="D1863" s="2" t="s">
        <v>19</v>
      </c>
      <c r="E1863">
        <v>19115</v>
      </c>
      <c r="F1863">
        <v>503</v>
      </c>
      <c r="G1863">
        <v>30</v>
      </c>
      <c r="H1863">
        <v>1023.96</v>
      </c>
      <c r="I1863">
        <v>3004.87</v>
      </c>
      <c r="J1863">
        <v>2.63</v>
      </c>
      <c r="K1863">
        <v>5.96</v>
      </c>
      <c r="L1863">
        <v>34.130000000000003</v>
      </c>
      <c r="M1863">
        <v>2.93</v>
      </c>
      <c r="N1863">
        <v>1980.91</v>
      </c>
    </row>
    <row r="1864" spans="1:14" x14ac:dyDescent="0.2">
      <c r="A1864" s="1">
        <v>45629</v>
      </c>
      <c r="B1864" s="2" t="s">
        <v>20</v>
      </c>
      <c r="C1864" s="2" t="s">
        <v>35</v>
      </c>
      <c r="D1864" s="2" t="s">
        <v>16</v>
      </c>
      <c r="E1864">
        <v>22967</v>
      </c>
      <c r="F1864">
        <v>1012</v>
      </c>
      <c r="G1864">
        <v>60</v>
      </c>
      <c r="H1864">
        <v>1037.93</v>
      </c>
      <c r="I1864">
        <v>6160.35</v>
      </c>
      <c r="J1864">
        <v>4.41</v>
      </c>
      <c r="K1864">
        <v>5.93</v>
      </c>
      <c r="L1864">
        <v>17.3</v>
      </c>
      <c r="M1864">
        <v>5.94</v>
      </c>
      <c r="N1864">
        <v>5122.42</v>
      </c>
    </row>
    <row r="1865" spans="1:14" x14ac:dyDescent="0.2">
      <c r="A1865" s="1">
        <v>45629</v>
      </c>
      <c r="B1865" s="2" t="s">
        <v>23</v>
      </c>
      <c r="C1865" s="2" t="s">
        <v>32</v>
      </c>
      <c r="D1865" s="2" t="s">
        <v>19</v>
      </c>
      <c r="E1865">
        <v>5856</v>
      </c>
      <c r="F1865">
        <v>142</v>
      </c>
      <c r="G1865">
        <v>16</v>
      </c>
      <c r="H1865">
        <v>2001.94</v>
      </c>
      <c r="I1865">
        <v>3982.96</v>
      </c>
      <c r="J1865">
        <v>2.42</v>
      </c>
      <c r="K1865">
        <v>11.27</v>
      </c>
      <c r="L1865">
        <v>125.12</v>
      </c>
      <c r="M1865">
        <v>1.99</v>
      </c>
      <c r="N1865">
        <v>1981.02</v>
      </c>
    </row>
    <row r="1866" spans="1:14" x14ac:dyDescent="0.2">
      <c r="A1866" s="1">
        <v>45629</v>
      </c>
      <c r="B1866" s="2" t="s">
        <v>24</v>
      </c>
      <c r="C1866" s="2" t="s">
        <v>18</v>
      </c>
      <c r="D1866" s="2" t="s">
        <v>25</v>
      </c>
      <c r="E1866">
        <v>21987</v>
      </c>
      <c r="F1866">
        <v>3987</v>
      </c>
      <c r="G1866">
        <v>461</v>
      </c>
      <c r="H1866">
        <v>200.14</v>
      </c>
      <c r="I1866">
        <v>60249.919999999998</v>
      </c>
      <c r="J1866">
        <v>18.13</v>
      </c>
      <c r="K1866">
        <v>11.56</v>
      </c>
      <c r="L1866">
        <v>0.43</v>
      </c>
      <c r="M1866">
        <v>301.04000000000002</v>
      </c>
      <c r="N1866">
        <v>60049.78</v>
      </c>
    </row>
    <row r="1867" spans="1:14" x14ac:dyDescent="0.2">
      <c r="A1867" s="1">
        <v>45629</v>
      </c>
      <c r="B1867" s="2" t="s">
        <v>26</v>
      </c>
      <c r="C1867" s="2" t="s">
        <v>15</v>
      </c>
      <c r="D1867" s="2" t="s">
        <v>16</v>
      </c>
      <c r="E1867">
        <v>29044</v>
      </c>
      <c r="F1867">
        <v>2238</v>
      </c>
      <c r="G1867">
        <v>275</v>
      </c>
      <c r="H1867">
        <v>0</v>
      </c>
      <c r="I1867">
        <v>27645.05</v>
      </c>
      <c r="J1867">
        <v>7.71</v>
      </c>
      <c r="K1867">
        <v>12.29</v>
      </c>
      <c r="L1867">
        <v>0</v>
      </c>
      <c r="M1867">
        <v>0</v>
      </c>
      <c r="N1867">
        <v>27645.05</v>
      </c>
    </row>
    <row r="1868" spans="1:14" x14ac:dyDescent="0.2">
      <c r="A1868" s="1">
        <v>45629</v>
      </c>
      <c r="B1868" s="2" t="s">
        <v>27</v>
      </c>
      <c r="C1868" s="2" t="s">
        <v>21</v>
      </c>
      <c r="D1868" s="2" t="s">
        <v>22</v>
      </c>
      <c r="E1868">
        <v>38906</v>
      </c>
      <c r="F1868">
        <v>548</v>
      </c>
      <c r="G1868">
        <v>11</v>
      </c>
      <c r="H1868">
        <v>1765.45</v>
      </c>
      <c r="I1868">
        <v>1001.89</v>
      </c>
      <c r="J1868">
        <v>1.41</v>
      </c>
      <c r="K1868">
        <v>2.0099999999999998</v>
      </c>
      <c r="L1868">
        <v>160.5</v>
      </c>
      <c r="M1868">
        <v>0.56999999999999995</v>
      </c>
      <c r="N1868">
        <v>-763.56</v>
      </c>
    </row>
    <row r="1869" spans="1:14" x14ac:dyDescent="0.2">
      <c r="A1869" s="1">
        <v>45629</v>
      </c>
      <c r="B1869" s="2" t="s">
        <v>29</v>
      </c>
      <c r="C1869" s="2" t="s">
        <v>32</v>
      </c>
      <c r="D1869" s="2" t="s">
        <v>16</v>
      </c>
      <c r="E1869">
        <v>23595</v>
      </c>
      <c r="F1869">
        <v>461</v>
      </c>
      <c r="G1869">
        <v>25</v>
      </c>
      <c r="H1869">
        <v>1553.49</v>
      </c>
      <c r="I1869">
        <v>2594.96</v>
      </c>
      <c r="J1869">
        <v>1.95</v>
      </c>
      <c r="K1869">
        <v>5.42</v>
      </c>
      <c r="L1869">
        <v>62.14</v>
      </c>
      <c r="M1869">
        <v>1.67</v>
      </c>
      <c r="N1869">
        <v>1041.47</v>
      </c>
    </row>
    <row r="1870" spans="1:14" x14ac:dyDescent="0.2">
      <c r="A1870" s="1">
        <v>45629</v>
      </c>
      <c r="B1870" s="2" t="s">
        <v>30</v>
      </c>
      <c r="C1870" s="2" t="s">
        <v>28</v>
      </c>
      <c r="D1870" s="2" t="s">
        <v>16</v>
      </c>
      <c r="E1870">
        <v>19244</v>
      </c>
      <c r="F1870">
        <v>582</v>
      </c>
      <c r="G1870">
        <v>22</v>
      </c>
      <c r="H1870">
        <v>769.33</v>
      </c>
      <c r="I1870">
        <v>2050.1</v>
      </c>
      <c r="J1870">
        <v>3.02</v>
      </c>
      <c r="K1870">
        <v>3.78</v>
      </c>
      <c r="L1870">
        <v>34.97</v>
      </c>
      <c r="M1870">
        <v>2.66</v>
      </c>
      <c r="N1870">
        <v>1280.77</v>
      </c>
    </row>
    <row r="1871" spans="1:14" x14ac:dyDescent="0.2">
      <c r="A1871" s="1">
        <v>45629</v>
      </c>
      <c r="B1871" s="2" t="s">
        <v>31</v>
      </c>
      <c r="C1871" s="2" t="s">
        <v>28</v>
      </c>
      <c r="D1871" s="2" t="s">
        <v>19</v>
      </c>
      <c r="E1871">
        <v>26538</v>
      </c>
      <c r="F1871">
        <v>914</v>
      </c>
      <c r="G1871">
        <v>26</v>
      </c>
      <c r="H1871">
        <v>1490.32</v>
      </c>
      <c r="I1871">
        <v>1898.9</v>
      </c>
      <c r="J1871">
        <v>3.44</v>
      </c>
      <c r="K1871">
        <v>2.84</v>
      </c>
      <c r="L1871">
        <v>57.32</v>
      </c>
      <c r="M1871">
        <v>1.27</v>
      </c>
      <c r="N1871">
        <v>408.58</v>
      </c>
    </row>
    <row r="1872" spans="1:14" x14ac:dyDescent="0.2">
      <c r="A1872" s="1">
        <v>45629</v>
      </c>
      <c r="B1872" s="2" t="s">
        <v>33</v>
      </c>
      <c r="C1872" s="2" t="s">
        <v>35</v>
      </c>
      <c r="D1872" s="2" t="s">
        <v>19</v>
      </c>
      <c r="E1872">
        <v>10736</v>
      </c>
      <c r="F1872">
        <v>725</v>
      </c>
      <c r="G1872">
        <v>91</v>
      </c>
      <c r="H1872">
        <v>455</v>
      </c>
      <c r="I1872">
        <v>11021.27</v>
      </c>
      <c r="J1872">
        <v>6.75</v>
      </c>
      <c r="K1872">
        <v>12.55</v>
      </c>
      <c r="L1872">
        <v>5</v>
      </c>
      <c r="M1872">
        <v>24.22</v>
      </c>
      <c r="N1872">
        <v>10566.27</v>
      </c>
    </row>
    <row r="1873" spans="1:14" x14ac:dyDescent="0.2">
      <c r="A1873" s="1">
        <v>45629</v>
      </c>
      <c r="B1873" s="2" t="s">
        <v>34</v>
      </c>
      <c r="C1873" s="2" t="s">
        <v>18</v>
      </c>
      <c r="D1873" s="2" t="s">
        <v>25</v>
      </c>
      <c r="E1873">
        <v>4811</v>
      </c>
      <c r="F1873">
        <v>417</v>
      </c>
      <c r="G1873">
        <v>67</v>
      </c>
      <c r="H1873">
        <v>160.38999999999999</v>
      </c>
      <c r="I1873">
        <v>8573.48</v>
      </c>
      <c r="J1873">
        <v>8.67</v>
      </c>
      <c r="K1873">
        <v>16.07</v>
      </c>
      <c r="L1873">
        <v>2.39</v>
      </c>
      <c r="M1873">
        <v>53.45</v>
      </c>
      <c r="N1873">
        <v>8413.09</v>
      </c>
    </row>
    <row r="1874" spans="1:14" x14ac:dyDescent="0.2">
      <c r="A1874" s="1">
        <v>45630</v>
      </c>
      <c r="B1874" s="2" t="s">
        <v>14</v>
      </c>
      <c r="C1874" s="2" t="s">
        <v>28</v>
      </c>
      <c r="D1874" s="2" t="s">
        <v>16</v>
      </c>
      <c r="E1874">
        <v>14419</v>
      </c>
      <c r="F1874">
        <v>673</v>
      </c>
      <c r="G1874">
        <v>71</v>
      </c>
      <c r="H1874">
        <v>1419.21</v>
      </c>
      <c r="I1874">
        <v>9644.9500000000007</v>
      </c>
      <c r="J1874">
        <v>4.67</v>
      </c>
      <c r="K1874">
        <v>10.55</v>
      </c>
      <c r="L1874">
        <v>19.989999999999998</v>
      </c>
      <c r="M1874">
        <v>6.8</v>
      </c>
      <c r="N1874">
        <v>8225.74</v>
      </c>
    </row>
    <row r="1875" spans="1:14" x14ac:dyDescent="0.2">
      <c r="A1875" s="1">
        <v>45630</v>
      </c>
      <c r="B1875" s="2" t="s">
        <v>17</v>
      </c>
      <c r="C1875" s="2" t="s">
        <v>35</v>
      </c>
      <c r="D1875" s="2" t="s">
        <v>22</v>
      </c>
      <c r="E1875">
        <v>17623</v>
      </c>
      <c r="F1875">
        <v>658</v>
      </c>
      <c r="G1875">
        <v>35</v>
      </c>
      <c r="H1875">
        <v>1524.79</v>
      </c>
      <c r="I1875">
        <v>4637.13</v>
      </c>
      <c r="J1875">
        <v>3.73</v>
      </c>
      <c r="K1875">
        <v>5.32</v>
      </c>
      <c r="L1875">
        <v>43.57</v>
      </c>
      <c r="M1875">
        <v>3.04</v>
      </c>
      <c r="N1875">
        <v>3112.34</v>
      </c>
    </row>
    <row r="1876" spans="1:14" x14ac:dyDescent="0.2">
      <c r="A1876" s="1">
        <v>45630</v>
      </c>
      <c r="B1876" s="2" t="s">
        <v>20</v>
      </c>
      <c r="C1876" s="2" t="s">
        <v>35</v>
      </c>
      <c r="D1876" s="2" t="s">
        <v>25</v>
      </c>
      <c r="E1876">
        <v>18111</v>
      </c>
      <c r="F1876">
        <v>489</v>
      </c>
      <c r="G1876">
        <v>35</v>
      </c>
      <c r="H1876">
        <v>819.55</v>
      </c>
      <c r="I1876">
        <v>4340.49</v>
      </c>
      <c r="J1876">
        <v>2.7</v>
      </c>
      <c r="K1876">
        <v>7.16</v>
      </c>
      <c r="L1876">
        <v>23.42</v>
      </c>
      <c r="M1876">
        <v>5.3</v>
      </c>
      <c r="N1876">
        <v>3520.94</v>
      </c>
    </row>
    <row r="1877" spans="1:14" x14ac:dyDescent="0.2">
      <c r="A1877" s="1">
        <v>45630</v>
      </c>
      <c r="B1877" s="2" t="s">
        <v>23</v>
      </c>
      <c r="C1877" s="2" t="s">
        <v>35</v>
      </c>
      <c r="D1877" s="2" t="s">
        <v>25</v>
      </c>
      <c r="E1877">
        <v>4418</v>
      </c>
      <c r="F1877">
        <v>72</v>
      </c>
      <c r="G1877">
        <v>9</v>
      </c>
      <c r="H1877">
        <v>2505.2600000000002</v>
      </c>
      <c r="I1877">
        <v>2892.98</v>
      </c>
      <c r="J1877">
        <v>1.63</v>
      </c>
      <c r="K1877">
        <v>12.5</v>
      </c>
      <c r="L1877">
        <v>278.36</v>
      </c>
      <c r="M1877">
        <v>1.1499999999999999</v>
      </c>
      <c r="N1877">
        <v>387.72</v>
      </c>
    </row>
    <row r="1878" spans="1:14" x14ac:dyDescent="0.2">
      <c r="A1878" s="1">
        <v>45630</v>
      </c>
      <c r="B1878" s="2" t="s">
        <v>24</v>
      </c>
      <c r="C1878" s="2" t="s">
        <v>21</v>
      </c>
      <c r="D1878" s="2" t="s">
        <v>36</v>
      </c>
      <c r="E1878">
        <v>25097</v>
      </c>
      <c r="F1878">
        <v>5994</v>
      </c>
      <c r="G1878">
        <v>730</v>
      </c>
      <c r="H1878">
        <v>349.69</v>
      </c>
      <c r="I1878">
        <v>110530.21</v>
      </c>
      <c r="J1878">
        <v>23.88</v>
      </c>
      <c r="K1878">
        <v>12.18</v>
      </c>
      <c r="L1878">
        <v>0.48</v>
      </c>
      <c r="M1878">
        <v>316.08</v>
      </c>
      <c r="N1878">
        <v>110180.52</v>
      </c>
    </row>
    <row r="1879" spans="1:14" x14ac:dyDescent="0.2">
      <c r="A1879" s="1">
        <v>45630</v>
      </c>
      <c r="B1879" s="2" t="s">
        <v>26</v>
      </c>
      <c r="C1879" s="2" t="s">
        <v>35</v>
      </c>
      <c r="D1879" s="2" t="s">
        <v>25</v>
      </c>
      <c r="E1879">
        <v>36601</v>
      </c>
      <c r="F1879">
        <v>2069</v>
      </c>
      <c r="G1879">
        <v>303</v>
      </c>
      <c r="H1879">
        <v>0</v>
      </c>
      <c r="I1879">
        <v>31837.87</v>
      </c>
      <c r="J1879">
        <v>5.65</v>
      </c>
      <c r="K1879">
        <v>14.64</v>
      </c>
      <c r="L1879">
        <v>0</v>
      </c>
      <c r="M1879">
        <v>0</v>
      </c>
      <c r="N1879">
        <v>31837.87</v>
      </c>
    </row>
    <row r="1880" spans="1:14" x14ac:dyDescent="0.2">
      <c r="A1880" s="1">
        <v>45630</v>
      </c>
      <c r="B1880" s="2" t="s">
        <v>27</v>
      </c>
      <c r="C1880" s="2" t="s">
        <v>28</v>
      </c>
      <c r="D1880" s="2" t="s">
        <v>22</v>
      </c>
      <c r="E1880">
        <v>37524</v>
      </c>
      <c r="F1880">
        <v>737</v>
      </c>
      <c r="G1880">
        <v>32</v>
      </c>
      <c r="H1880">
        <v>1157.2</v>
      </c>
      <c r="I1880">
        <v>3556.02</v>
      </c>
      <c r="J1880">
        <v>1.96</v>
      </c>
      <c r="K1880">
        <v>4.34</v>
      </c>
      <c r="L1880">
        <v>36.159999999999997</v>
      </c>
      <c r="M1880">
        <v>3.07</v>
      </c>
      <c r="N1880">
        <v>2398.8200000000002</v>
      </c>
    </row>
    <row r="1881" spans="1:14" x14ac:dyDescent="0.2">
      <c r="A1881" s="1">
        <v>45630</v>
      </c>
      <c r="B1881" s="2" t="s">
        <v>29</v>
      </c>
      <c r="C1881" s="2" t="s">
        <v>15</v>
      </c>
      <c r="D1881" s="2" t="s">
        <v>25</v>
      </c>
      <c r="E1881">
        <v>24131</v>
      </c>
      <c r="F1881">
        <v>623</v>
      </c>
      <c r="G1881">
        <v>43</v>
      </c>
      <c r="H1881">
        <v>1579.56</v>
      </c>
      <c r="I1881">
        <v>4337.3599999999997</v>
      </c>
      <c r="J1881">
        <v>2.58</v>
      </c>
      <c r="K1881">
        <v>6.9</v>
      </c>
      <c r="L1881">
        <v>36.729999999999997</v>
      </c>
      <c r="M1881">
        <v>2.75</v>
      </c>
      <c r="N1881">
        <v>2757.8</v>
      </c>
    </row>
    <row r="1882" spans="1:14" x14ac:dyDescent="0.2">
      <c r="A1882" s="1">
        <v>45630</v>
      </c>
      <c r="B1882" s="2" t="s">
        <v>30</v>
      </c>
      <c r="C1882" s="2" t="s">
        <v>21</v>
      </c>
      <c r="D1882" s="2" t="s">
        <v>22</v>
      </c>
      <c r="E1882">
        <v>19469</v>
      </c>
      <c r="F1882">
        <v>565</v>
      </c>
      <c r="G1882">
        <v>23</v>
      </c>
      <c r="H1882">
        <v>915.65</v>
      </c>
      <c r="I1882">
        <v>2725.56</v>
      </c>
      <c r="J1882">
        <v>2.9</v>
      </c>
      <c r="K1882">
        <v>4.07</v>
      </c>
      <c r="L1882">
        <v>39.81</v>
      </c>
      <c r="M1882">
        <v>2.98</v>
      </c>
      <c r="N1882">
        <v>1809.91</v>
      </c>
    </row>
    <row r="1883" spans="1:14" x14ac:dyDescent="0.2">
      <c r="A1883" s="1">
        <v>45630</v>
      </c>
      <c r="B1883" s="2" t="s">
        <v>31</v>
      </c>
      <c r="C1883" s="2" t="s">
        <v>18</v>
      </c>
      <c r="D1883" s="2" t="s">
        <v>36</v>
      </c>
      <c r="E1883">
        <v>26133</v>
      </c>
      <c r="F1883">
        <v>946</v>
      </c>
      <c r="G1883">
        <v>32</v>
      </c>
      <c r="H1883">
        <v>1102.56</v>
      </c>
      <c r="I1883">
        <v>2711.76</v>
      </c>
      <c r="J1883">
        <v>3.62</v>
      </c>
      <c r="K1883">
        <v>3.38</v>
      </c>
      <c r="L1883">
        <v>34.46</v>
      </c>
      <c r="M1883">
        <v>2.46</v>
      </c>
      <c r="N1883">
        <v>1609.2</v>
      </c>
    </row>
    <row r="1884" spans="1:14" x14ac:dyDescent="0.2">
      <c r="A1884" s="1">
        <v>45630</v>
      </c>
      <c r="B1884" s="2" t="s">
        <v>33</v>
      </c>
      <c r="C1884" s="2" t="s">
        <v>18</v>
      </c>
      <c r="D1884" s="2" t="s">
        <v>22</v>
      </c>
      <c r="E1884">
        <v>7459</v>
      </c>
      <c r="F1884">
        <v>338</v>
      </c>
      <c r="G1884">
        <v>37</v>
      </c>
      <c r="H1884">
        <v>427.48</v>
      </c>
      <c r="I1884">
        <v>5091.34</v>
      </c>
      <c r="J1884">
        <v>4.53</v>
      </c>
      <c r="K1884">
        <v>10.95</v>
      </c>
      <c r="L1884">
        <v>11.55</v>
      </c>
      <c r="M1884">
        <v>11.91</v>
      </c>
      <c r="N1884">
        <v>4663.8599999999997</v>
      </c>
    </row>
    <row r="1885" spans="1:14" x14ac:dyDescent="0.2">
      <c r="A1885" s="1">
        <v>45630</v>
      </c>
      <c r="B1885" s="2" t="s">
        <v>34</v>
      </c>
      <c r="C1885" s="2" t="s">
        <v>32</v>
      </c>
      <c r="D1885" s="2" t="s">
        <v>19</v>
      </c>
      <c r="E1885">
        <v>7154</v>
      </c>
      <c r="F1885">
        <v>659</v>
      </c>
      <c r="G1885">
        <v>88</v>
      </c>
      <c r="H1885">
        <v>249.72</v>
      </c>
      <c r="I1885">
        <v>12652.11</v>
      </c>
      <c r="J1885">
        <v>9.2100000000000009</v>
      </c>
      <c r="K1885">
        <v>13.35</v>
      </c>
      <c r="L1885">
        <v>2.84</v>
      </c>
      <c r="M1885">
        <v>50.67</v>
      </c>
      <c r="N1885">
        <v>12402.39</v>
      </c>
    </row>
    <row r="1886" spans="1:14" x14ac:dyDescent="0.2">
      <c r="A1886" s="1">
        <v>45631</v>
      </c>
      <c r="B1886" s="2" t="s">
        <v>14</v>
      </c>
      <c r="C1886" s="2" t="s">
        <v>15</v>
      </c>
      <c r="D1886" s="2" t="s">
        <v>16</v>
      </c>
      <c r="E1886">
        <v>18481</v>
      </c>
      <c r="F1886">
        <v>852</v>
      </c>
      <c r="G1886">
        <v>95</v>
      </c>
      <c r="H1886">
        <v>1324.46</v>
      </c>
      <c r="I1886">
        <v>11808.18</v>
      </c>
      <c r="J1886">
        <v>4.6100000000000003</v>
      </c>
      <c r="K1886">
        <v>11.15</v>
      </c>
      <c r="L1886">
        <v>13.94</v>
      </c>
      <c r="M1886">
        <v>8.92</v>
      </c>
      <c r="N1886">
        <v>10483.719999999999</v>
      </c>
    </row>
    <row r="1887" spans="1:14" x14ac:dyDescent="0.2">
      <c r="A1887" s="1">
        <v>45631</v>
      </c>
      <c r="B1887" s="2" t="s">
        <v>17</v>
      </c>
      <c r="C1887" s="2" t="s">
        <v>35</v>
      </c>
      <c r="D1887" s="2" t="s">
        <v>16</v>
      </c>
      <c r="E1887">
        <v>17417</v>
      </c>
      <c r="F1887">
        <v>609</v>
      </c>
      <c r="G1887">
        <v>32</v>
      </c>
      <c r="H1887">
        <v>1101.8499999999999</v>
      </c>
      <c r="I1887">
        <v>3618.26</v>
      </c>
      <c r="J1887">
        <v>3.5</v>
      </c>
      <c r="K1887">
        <v>5.25</v>
      </c>
      <c r="L1887">
        <v>34.43</v>
      </c>
      <c r="M1887">
        <v>3.28</v>
      </c>
      <c r="N1887">
        <v>2516.41</v>
      </c>
    </row>
    <row r="1888" spans="1:14" x14ac:dyDescent="0.2">
      <c r="A1888" s="1">
        <v>45631</v>
      </c>
      <c r="B1888" s="2" t="s">
        <v>20</v>
      </c>
      <c r="C1888" s="2" t="s">
        <v>15</v>
      </c>
      <c r="D1888" s="2" t="s">
        <v>36</v>
      </c>
      <c r="E1888">
        <v>18830</v>
      </c>
      <c r="F1888">
        <v>546</v>
      </c>
      <c r="G1888">
        <v>36</v>
      </c>
      <c r="H1888">
        <v>850.51</v>
      </c>
      <c r="I1888">
        <v>4016.03</v>
      </c>
      <c r="J1888">
        <v>2.9</v>
      </c>
      <c r="K1888">
        <v>6.59</v>
      </c>
      <c r="L1888">
        <v>23.63</v>
      </c>
      <c r="M1888">
        <v>4.72</v>
      </c>
      <c r="N1888">
        <v>3165.52</v>
      </c>
    </row>
    <row r="1889" spans="1:14" x14ac:dyDescent="0.2">
      <c r="A1889" s="1">
        <v>45631</v>
      </c>
      <c r="B1889" s="2" t="s">
        <v>23</v>
      </c>
      <c r="C1889" s="2" t="s">
        <v>15</v>
      </c>
      <c r="D1889" s="2" t="s">
        <v>19</v>
      </c>
      <c r="E1889">
        <v>4719</v>
      </c>
      <c r="F1889">
        <v>107</v>
      </c>
      <c r="G1889">
        <v>11</v>
      </c>
      <c r="H1889">
        <v>1544.97</v>
      </c>
      <c r="I1889">
        <v>2702.42</v>
      </c>
      <c r="J1889">
        <v>2.27</v>
      </c>
      <c r="K1889">
        <v>10.28</v>
      </c>
      <c r="L1889">
        <v>140.44999999999999</v>
      </c>
      <c r="M1889">
        <v>1.75</v>
      </c>
      <c r="N1889">
        <v>1157.45</v>
      </c>
    </row>
    <row r="1890" spans="1:14" x14ac:dyDescent="0.2">
      <c r="A1890" s="1">
        <v>45631</v>
      </c>
      <c r="B1890" s="2" t="s">
        <v>24</v>
      </c>
      <c r="C1890" s="2" t="s">
        <v>18</v>
      </c>
      <c r="D1890" s="2" t="s">
        <v>22</v>
      </c>
      <c r="E1890">
        <v>26698</v>
      </c>
      <c r="F1890">
        <v>5348</v>
      </c>
      <c r="G1890">
        <v>487</v>
      </c>
      <c r="H1890">
        <v>204.79</v>
      </c>
      <c r="I1890">
        <v>75725.97</v>
      </c>
      <c r="J1890">
        <v>20.03</v>
      </c>
      <c r="K1890">
        <v>9.11</v>
      </c>
      <c r="L1890">
        <v>0.42</v>
      </c>
      <c r="M1890">
        <v>369.77</v>
      </c>
      <c r="N1890">
        <v>75521.179999999993</v>
      </c>
    </row>
    <row r="1891" spans="1:14" x14ac:dyDescent="0.2">
      <c r="A1891" s="1">
        <v>45631</v>
      </c>
      <c r="B1891" s="2" t="s">
        <v>26</v>
      </c>
      <c r="C1891" s="2" t="s">
        <v>32</v>
      </c>
      <c r="D1891" s="2" t="s">
        <v>22</v>
      </c>
      <c r="E1891">
        <v>48294</v>
      </c>
      <c r="F1891">
        <v>3618</v>
      </c>
      <c r="G1891">
        <v>463</v>
      </c>
      <c r="H1891">
        <v>0</v>
      </c>
      <c r="I1891">
        <v>62163.42</v>
      </c>
      <c r="J1891">
        <v>7.49</v>
      </c>
      <c r="K1891">
        <v>12.8</v>
      </c>
      <c r="L1891">
        <v>0</v>
      </c>
      <c r="M1891">
        <v>0</v>
      </c>
      <c r="N1891">
        <v>62163.42</v>
      </c>
    </row>
    <row r="1892" spans="1:14" x14ac:dyDescent="0.2">
      <c r="A1892" s="1">
        <v>45631</v>
      </c>
      <c r="B1892" s="2" t="s">
        <v>27</v>
      </c>
      <c r="C1892" s="2" t="s">
        <v>28</v>
      </c>
      <c r="D1892" s="2" t="s">
        <v>36</v>
      </c>
      <c r="E1892">
        <v>40892</v>
      </c>
      <c r="F1892">
        <v>448</v>
      </c>
      <c r="G1892">
        <v>14</v>
      </c>
      <c r="H1892">
        <v>1788.11</v>
      </c>
      <c r="I1892">
        <v>1607.7</v>
      </c>
      <c r="J1892">
        <v>1.1000000000000001</v>
      </c>
      <c r="K1892">
        <v>3.12</v>
      </c>
      <c r="L1892">
        <v>127.72</v>
      </c>
      <c r="M1892">
        <v>0.9</v>
      </c>
      <c r="N1892">
        <v>-180.41</v>
      </c>
    </row>
    <row r="1893" spans="1:14" x14ac:dyDescent="0.2">
      <c r="A1893" s="1">
        <v>45631</v>
      </c>
      <c r="B1893" s="2" t="s">
        <v>29</v>
      </c>
      <c r="C1893" s="2" t="s">
        <v>18</v>
      </c>
      <c r="D1893" s="2" t="s">
        <v>22</v>
      </c>
      <c r="E1893">
        <v>28026</v>
      </c>
      <c r="F1893">
        <v>557</v>
      </c>
      <c r="G1893">
        <v>42</v>
      </c>
      <c r="H1893">
        <v>1270.5999999999999</v>
      </c>
      <c r="I1893">
        <v>5430.32</v>
      </c>
      <c r="J1893">
        <v>1.99</v>
      </c>
      <c r="K1893">
        <v>7.54</v>
      </c>
      <c r="L1893">
        <v>30.25</v>
      </c>
      <c r="M1893">
        <v>4.2699999999999996</v>
      </c>
      <c r="N1893">
        <v>4159.72</v>
      </c>
    </row>
    <row r="1894" spans="1:14" x14ac:dyDescent="0.2">
      <c r="A1894" s="1">
        <v>45631</v>
      </c>
      <c r="B1894" s="2" t="s">
        <v>30</v>
      </c>
      <c r="C1894" s="2" t="s">
        <v>15</v>
      </c>
      <c r="D1894" s="2" t="s">
        <v>19</v>
      </c>
      <c r="E1894">
        <v>14134</v>
      </c>
      <c r="F1894">
        <v>456</v>
      </c>
      <c r="G1894">
        <v>15</v>
      </c>
      <c r="H1894">
        <v>997.05</v>
      </c>
      <c r="I1894">
        <v>1071.6199999999999</v>
      </c>
      <c r="J1894">
        <v>3.23</v>
      </c>
      <c r="K1894">
        <v>3.29</v>
      </c>
      <c r="L1894">
        <v>66.47</v>
      </c>
      <c r="M1894">
        <v>1.07</v>
      </c>
      <c r="N1894">
        <v>74.569999999999993</v>
      </c>
    </row>
    <row r="1895" spans="1:14" x14ac:dyDescent="0.2">
      <c r="A1895" s="1">
        <v>45631</v>
      </c>
      <c r="B1895" s="2" t="s">
        <v>31</v>
      </c>
      <c r="C1895" s="2" t="s">
        <v>18</v>
      </c>
      <c r="D1895" s="2" t="s">
        <v>16</v>
      </c>
      <c r="E1895">
        <v>27216</v>
      </c>
      <c r="F1895">
        <v>817</v>
      </c>
      <c r="G1895">
        <v>26</v>
      </c>
      <c r="H1895">
        <v>1347.23</v>
      </c>
      <c r="I1895">
        <v>1967.97</v>
      </c>
      <c r="J1895">
        <v>3</v>
      </c>
      <c r="K1895">
        <v>3.18</v>
      </c>
      <c r="L1895">
        <v>51.82</v>
      </c>
      <c r="M1895">
        <v>1.46</v>
      </c>
      <c r="N1895">
        <v>620.74</v>
      </c>
    </row>
    <row r="1896" spans="1:14" x14ac:dyDescent="0.2">
      <c r="A1896" s="1">
        <v>45631</v>
      </c>
      <c r="B1896" s="2" t="s">
        <v>33</v>
      </c>
      <c r="C1896" s="2" t="s">
        <v>21</v>
      </c>
      <c r="D1896" s="2" t="s">
        <v>25</v>
      </c>
      <c r="E1896">
        <v>8570</v>
      </c>
      <c r="F1896">
        <v>484</v>
      </c>
      <c r="G1896">
        <v>57</v>
      </c>
      <c r="H1896">
        <v>939.16</v>
      </c>
      <c r="I1896">
        <v>7108.95</v>
      </c>
      <c r="J1896">
        <v>5.65</v>
      </c>
      <c r="K1896">
        <v>11.78</v>
      </c>
      <c r="L1896">
        <v>16.48</v>
      </c>
      <c r="M1896">
        <v>7.57</v>
      </c>
      <c r="N1896">
        <v>6169.79</v>
      </c>
    </row>
    <row r="1897" spans="1:14" x14ac:dyDescent="0.2">
      <c r="A1897" s="1">
        <v>45631</v>
      </c>
      <c r="B1897" s="2" t="s">
        <v>34</v>
      </c>
      <c r="C1897" s="2" t="s">
        <v>28</v>
      </c>
      <c r="D1897" s="2" t="s">
        <v>19</v>
      </c>
      <c r="E1897">
        <v>4326</v>
      </c>
      <c r="F1897">
        <v>249</v>
      </c>
      <c r="G1897">
        <v>40</v>
      </c>
      <c r="H1897">
        <v>186.64</v>
      </c>
      <c r="I1897">
        <v>6898.98</v>
      </c>
      <c r="J1897">
        <v>5.76</v>
      </c>
      <c r="K1897">
        <v>16.059999999999999</v>
      </c>
      <c r="L1897">
        <v>4.67</v>
      </c>
      <c r="M1897">
        <v>36.96</v>
      </c>
      <c r="N1897">
        <v>6712.34</v>
      </c>
    </row>
    <row r="1898" spans="1:14" x14ac:dyDescent="0.2">
      <c r="A1898" s="1">
        <v>45632</v>
      </c>
      <c r="B1898" s="2" t="s">
        <v>14</v>
      </c>
      <c r="C1898" s="2" t="s">
        <v>28</v>
      </c>
      <c r="D1898" s="2" t="s">
        <v>16</v>
      </c>
      <c r="E1898">
        <v>16584</v>
      </c>
      <c r="F1898">
        <v>725</v>
      </c>
      <c r="G1898">
        <v>67</v>
      </c>
      <c r="H1898">
        <v>1563.34</v>
      </c>
      <c r="I1898">
        <v>11228.86</v>
      </c>
      <c r="J1898">
        <v>4.37</v>
      </c>
      <c r="K1898">
        <v>9.24</v>
      </c>
      <c r="L1898">
        <v>23.33</v>
      </c>
      <c r="M1898">
        <v>7.18</v>
      </c>
      <c r="N1898">
        <v>9665.52</v>
      </c>
    </row>
    <row r="1899" spans="1:14" x14ac:dyDescent="0.2">
      <c r="A1899" s="1">
        <v>45632</v>
      </c>
      <c r="B1899" s="2" t="s">
        <v>17</v>
      </c>
      <c r="C1899" s="2" t="s">
        <v>32</v>
      </c>
      <c r="D1899" s="2" t="s">
        <v>16</v>
      </c>
      <c r="E1899">
        <v>25762</v>
      </c>
      <c r="F1899">
        <v>582</v>
      </c>
      <c r="G1899">
        <v>33</v>
      </c>
      <c r="H1899">
        <v>957.46</v>
      </c>
      <c r="I1899">
        <v>3524.66</v>
      </c>
      <c r="J1899">
        <v>2.2599999999999998</v>
      </c>
      <c r="K1899">
        <v>5.67</v>
      </c>
      <c r="L1899">
        <v>29.01</v>
      </c>
      <c r="M1899">
        <v>3.68</v>
      </c>
      <c r="N1899">
        <v>2567.1999999999998</v>
      </c>
    </row>
    <row r="1900" spans="1:14" x14ac:dyDescent="0.2">
      <c r="A1900" s="1">
        <v>45632</v>
      </c>
      <c r="B1900" s="2" t="s">
        <v>20</v>
      </c>
      <c r="C1900" s="2" t="s">
        <v>32</v>
      </c>
      <c r="D1900" s="2" t="s">
        <v>22</v>
      </c>
      <c r="E1900">
        <v>20654</v>
      </c>
      <c r="F1900">
        <v>793</v>
      </c>
      <c r="G1900">
        <v>47</v>
      </c>
      <c r="H1900">
        <v>1081.9100000000001</v>
      </c>
      <c r="I1900">
        <v>5361.93</v>
      </c>
      <c r="J1900">
        <v>3.84</v>
      </c>
      <c r="K1900">
        <v>5.93</v>
      </c>
      <c r="L1900">
        <v>23.02</v>
      </c>
      <c r="M1900">
        <v>4.96</v>
      </c>
      <c r="N1900">
        <v>4280.0200000000004</v>
      </c>
    </row>
    <row r="1901" spans="1:14" x14ac:dyDescent="0.2">
      <c r="A1901" s="1">
        <v>45632</v>
      </c>
      <c r="B1901" s="2" t="s">
        <v>23</v>
      </c>
      <c r="C1901" s="2" t="s">
        <v>15</v>
      </c>
      <c r="D1901" s="2" t="s">
        <v>36</v>
      </c>
      <c r="E1901">
        <v>5607</v>
      </c>
      <c r="F1901">
        <v>154</v>
      </c>
      <c r="G1901">
        <v>22</v>
      </c>
      <c r="H1901">
        <v>2343.62</v>
      </c>
      <c r="I1901">
        <v>6792.23</v>
      </c>
      <c r="J1901">
        <v>2.75</v>
      </c>
      <c r="K1901">
        <v>14.29</v>
      </c>
      <c r="L1901">
        <v>106.53</v>
      </c>
      <c r="M1901">
        <v>2.9</v>
      </c>
      <c r="N1901">
        <v>4448.6099999999997</v>
      </c>
    </row>
    <row r="1902" spans="1:14" x14ac:dyDescent="0.2">
      <c r="A1902" s="1">
        <v>45632</v>
      </c>
      <c r="B1902" s="2" t="s">
        <v>24</v>
      </c>
      <c r="C1902" s="2" t="s">
        <v>18</v>
      </c>
      <c r="D1902" s="2" t="s">
        <v>25</v>
      </c>
      <c r="E1902">
        <v>28373</v>
      </c>
      <c r="F1902">
        <v>6651</v>
      </c>
      <c r="G1902">
        <v>602</v>
      </c>
      <c r="H1902">
        <v>306.02</v>
      </c>
      <c r="I1902">
        <v>82127.31</v>
      </c>
      <c r="J1902">
        <v>23.44</v>
      </c>
      <c r="K1902">
        <v>9.0500000000000007</v>
      </c>
      <c r="L1902">
        <v>0.51</v>
      </c>
      <c r="M1902">
        <v>268.37</v>
      </c>
      <c r="N1902">
        <v>81821.289999999994</v>
      </c>
    </row>
    <row r="1903" spans="1:14" x14ac:dyDescent="0.2">
      <c r="A1903" s="1">
        <v>45632</v>
      </c>
      <c r="B1903" s="2" t="s">
        <v>26</v>
      </c>
      <c r="C1903" s="2" t="s">
        <v>32</v>
      </c>
      <c r="D1903" s="2" t="s">
        <v>16</v>
      </c>
      <c r="E1903">
        <v>39139</v>
      </c>
      <c r="F1903">
        <v>1612</v>
      </c>
      <c r="G1903">
        <v>217</v>
      </c>
      <c r="H1903">
        <v>0</v>
      </c>
      <c r="I1903">
        <v>22830.83</v>
      </c>
      <c r="J1903">
        <v>4.12</v>
      </c>
      <c r="K1903">
        <v>13.46</v>
      </c>
      <c r="L1903">
        <v>0</v>
      </c>
      <c r="M1903">
        <v>0</v>
      </c>
      <c r="N1903">
        <v>22830.83</v>
      </c>
    </row>
    <row r="1904" spans="1:14" x14ac:dyDescent="0.2">
      <c r="A1904" s="1">
        <v>45632</v>
      </c>
      <c r="B1904" s="2" t="s">
        <v>27</v>
      </c>
      <c r="C1904" s="2" t="s">
        <v>28</v>
      </c>
      <c r="D1904" s="2" t="s">
        <v>22</v>
      </c>
      <c r="E1904">
        <v>51101</v>
      </c>
      <c r="F1904">
        <v>672</v>
      </c>
      <c r="G1904">
        <v>19</v>
      </c>
      <c r="H1904">
        <v>1409.68</v>
      </c>
      <c r="I1904">
        <v>2563.17</v>
      </c>
      <c r="J1904">
        <v>1.32</v>
      </c>
      <c r="K1904">
        <v>2.83</v>
      </c>
      <c r="L1904">
        <v>74.19</v>
      </c>
      <c r="M1904">
        <v>1.82</v>
      </c>
      <c r="N1904">
        <v>1153.49</v>
      </c>
    </row>
    <row r="1905" spans="1:14" x14ac:dyDescent="0.2">
      <c r="A1905" s="1">
        <v>45632</v>
      </c>
      <c r="B1905" s="2" t="s">
        <v>29</v>
      </c>
      <c r="C1905" s="2" t="s">
        <v>21</v>
      </c>
      <c r="D1905" s="2" t="s">
        <v>19</v>
      </c>
      <c r="E1905">
        <v>27206</v>
      </c>
      <c r="F1905">
        <v>743</v>
      </c>
      <c r="G1905">
        <v>42</v>
      </c>
      <c r="H1905">
        <v>1742.15</v>
      </c>
      <c r="I1905">
        <v>5084.55</v>
      </c>
      <c r="J1905">
        <v>2.73</v>
      </c>
      <c r="K1905">
        <v>5.65</v>
      </c>
      <c r="L1905">
        <v>41.48</v>
      </c>
      <c r="M1905">
        <v>2.92</v>
      </c>
      <c r="N1905">
        <v>3342.4</v>
      </c>
    </row>
    <row r="1906" spans="1:14" x14ac:dyDescent="0.2">
      <c r="A1906" s="1">
        <v>45632</v>
      </c>
      <c r="B1906" s="2" t="s">
        <v>30</v>
      </c>
      <c r="C1906" s="2" t="s">
        <v>35</v>
      </c>
      <c r="D1906" s="2" t="s">
        <v>19</v>
      </c>
      <c r="E1906">
        <v>12787</v>
      </c>
      <c r="F1906">
        <v>362</v>
      </c>
      <c r="G1906">
        <v>19</v>
      </c>
      <c r="H1906">
        <v>571.05999999999995</v>
      </c>
      <c r="I1906">
        <v>1650.18</v>
      </c>
      <c r="J1906">
        <v>2.83</v>
      </c>
      <c r="K1906">
        <v>5.25</v>
      </c>
      <c r="L1906">
        <v>30.06</v>
      </c>
      <c r="M1906">
        <v>2.89</v>
      </c>
      <c r="N1906">
        <v>1079.1199999999999</v>
      </c>
    </row>
    <row r="1907" spans="1:14" x14ac:dyDescent="0.2">
      <c r="A1907" s="1">
        <v>45632</v>
      </c>
      <c r="B1907" s="2" t="s">
        <v>31</v>
      </c>
      <c r="C1907" s="2" t="s">
        <v>28</v>
      </c>
      <c r="D1907" s="2" t="s">
        <v>19</v>
      </c>
      <c r="E1907">
        <v>38264</v>
      </c>
      <c r="F1907">
        <v>1607</v>
      </c>
      <c r="G1907">
        <v>109</v>
      </c>
      <c r="H1907">
        <v>883.48</v>
      </c>
      <c r="I1907">
        <v>8987.08</v>
      </c>
      <c r="J1907">
        <v>4.2</v>
      </c>
      <c r="K1907">
        <v>6.78</v>
      </c>
      <c r="L1907">
        <v>8.11</v>
      </c>
      <c r="M1907">
        <v>10.17</v>
      </c>
      <c r="N1907">
        <v>8103.6</v>
      </c>
    </row>
    <row r="1908" spans="1:14" x14ac:dyDescent="0.2">
      <c r="A1908" s="1">
        <v>45632</v>
      </c>
      <c r="B1908" s="2" t="s">
        <v>33</v>
      </c>
      <c r="C1908" s="2" t="s">
        <v>35</v>
      </c>
      <c r="D1908" s="2" t="s">
        <v>36</v>
      </c>
      <c r="E1908">
        <v>9469</v>
      </c>
      <c r="F1908">
        <v>446</v>
      </c>
      <c r="G1908">
        <v>56</v>
      </c>
      <c r="H1908">
        <v>672.24</v>
      </c>
      <c r="I1908">
        <v>7273.79</v>
      </c>
      <c r="J1908">
        <v>4.71</v>
      </c>
      <c r="K1908">
        <v>12.56</v>
      </c>
      <c r="L1908">
        <v>12</v>
      </c>
      <c r="M1908">
        <v>10.82</v>
      </c>
      <c r="N1908">
        <v>6601.55</v>
      </c>
    </row>
    <row r="1909" spans="1:14" x14ac:dyDescent="0.2">
      <c r="A1909" s="1">
        <v>45632</v>
      </c>
      <c r="B1909" s="2" t="s">
        <v>34</v>
      </c>
      <c r="C1909" s="2" t="s">
        <v>35</v>
      </c>
      <c r="D1909" s="2" t="s">
        <v>22</v>
      </c>
      <c r="E1909">
        <v>7856</v>
      </c>
      <c r="F1909">
        <v>579</v>
      </c>
      <c r="G1909">
        <v>91</v>
      </c>
      <c r="H1909">
        <v>136.18</v>
      </c>
      <c r="I1909">
        <v>14691.98</v>
      </c>
      <c r="J1909">
        <v>7.37</v>
      </c>
      <c r="K1909">
        <v>15.72</v>
      </c>
      <c r="L1909">
        <v>1.5</v>
      </c>
      <c r="M1909">
        <v>107.89</v>
      </c>
      <c r="N1909">
        <v>14555.8</v>
      </c>
    </row>
    <row r="1910" spans="1:14" x14ac:dyDescent="0.2">
      <c r="A1910" s="1">
        <v>45633</v>
      </c>
      <c r="B1910" s="2" t="s">
        <v>14</v>
      </c>
      <c r="C1910" s="2" t="s">
        <v>18</v>
      </c>
      <c r="D1910" s="2" t="s">
        <v>22</v>
      </c>
      <c r="E1910">
        <v>8617</v>
      </c>
      <c r="F1910">
        <v>317</v>
      </c>
      <c r="G1910">
        <v>25</v>
      </c>
      <c r="H1910">
        <v>810.15</v>
      </c>
      <c r="I1910">
        <v>4035.5</v>
      </c>
      <c r="J1910">
        <v>3.68</v>
      </c>
      <c r="K1910">
        <v>7.89</v>
      </c>
      <c r="L1910">
        <v>32.409999999999997</v>
      </c>
      <c r="M1910">
        <v>4.9800000000000004</v>
      </c>
      <c r="N1910">
        <v>3225.35</v>
      </c>
    </row>
    <row r="1911" spans="1:14" x14ac:dyDescent="0.2">
      <c r="A1911" s="1">
        <v>45633</v>
      </c>
      <c r="B1911" s="2" t="s">
        <v>17</v>
      </c>
      <c r="C1911" s="2" t="s">
        <v>21</v>
      </c>
      <c r="D1911" s="2" t="s">
        <v>25</v>
      </c>
      <c r="E1911">
        <v>14273</v>
      </c>
      <c r="F1911">
        <v>394</v>
      </c>
      <c r="G1911">
        <v>21</v>
      </c>
      <c r="H1911">
        <v>897.97</v>
      </c>
      <c r="I1911">
        <v>2152.4699999999998</v>
      </c>
      <c r="J1911">
        <v>2.76</v>
      </c>
      <c r="K1911">
        <v>5.33</v>
      </c>
      <c r="L1911">
        <v>42.76</v>
      </c>
      <c r="M1911">
        <v>2.4</v>
      </c>
      <c r="N1911">
        <v>1254.5</v>
      </c>
    </row>
    <row r="1912" spans="1:14" x14ac:dyDescent="0.2">
      <c r="A1912" s="1">
        <v>45633</v>
      </c>
      <c r="B1912" s="2" t="s">
        <v>20</v>
      </c>
      <c r="C1912" s="2" t="s">
        <v>18</v>
      </c>
      <c r="D1912" s="2" t="s">
        <v>22</v>
      </c>
      <c r="E1912">
        <v>11657</v>
      </c>
      <c r="F1912">
        <v>345</v>
      </c>
      <c r="G1912">
        <v>27</v>
      </c>
      <c r="H1912">
        <v>880.22</v>
      </c>
      <c r="I1912">
        <v>2781.37</v>
      </c>
      <c r="J1912">
        <v>2.96</v>
      </c>
      <c r="K1912">
        <v>7.83</v>
      </c>
      <c r="L1912">
        <v>32.6</v>
      </c>
      <c r="M1912">
        <v>3.16</v>
      </c>
      <c r="N1912">
        <v>1901.15</v>
      </c>
    </row>
    <row r="1913" spans="1:14" x14ac:dyDescent="0.2">
      <c r="A1913" s="1">
        <v>45633</v>
      </c>
      <c r="B1913" s="2" t="s">
        <v>23</v>
      </c>
      <c r="C1913" s="2" t="s">
        <v>18</v>
      </c>
      <c r="D1913" s="2" t="s">
        <v>22</v>
      </c>
      <c r="E1913">
        <v>5252</v>
      </c>
      <c r="F1913">
        <v>122</v>
      </c>
      <c r="G1913">
        <v>16</v>
      </c>
      <c r="H1913">
        <v>1471.48</v>
      </c>
      <c r="I1913">
        <v>4446.7299999999996</v>
      </c>
      <c r="J1913">
        <v>2.3199999999999998</v>
      </c>
      <c r="K1913">
        <v>13.11</v>
      </c>
      <c r="L1913">
        <v>91.97</v>
      </c>
      <c r="M1913">
        <v>3.02</v>
      </c>
      <c r="N1913">
        <v>2975.25</v>
      </c>
    </row>
    <row r="1914" spans="1:14" x14ac:dyDescent="0.2">
      <c r="A1914" s="1">
        <v>45633</v>
      </c>
      <c r="B1914" s="2" t="s">
        <v>24</v>
      </c>
      <c r="C1914" s="2" t="s">
        <v>28</v>
      </c>
      <c r="D1914" s="2" t="s">
        <v>36</v>
      </c>
      <c r="E1914">
        <v>15888</v>
      </c>
      <c r="F1914">
        <v>2819</v>
      </c>
      <c r="G1914">
        <v>238</v>
      </c>
      <c r="H1914">
        <v>250.88</v>
      </c>
      <c r="I1914">
        <v>28964.799999999999</v>
      </c>
      <c r="J1914">
        <v>17.739999999999998</v>
      </c>
      <c r="K1914">
        <v>8.44</v>
      </c>
      <c r="L1914">
        <v>1.05</v>
      </c>
      <c r="M1914">
        <v>115.45</v>
      </c>
      <c r="N1914">
        <v>28713.919999999998</v>
      </c>
    </row>
    <row r="1915" spans="1:14" x14ac:dyDescent="0.2">
      <c r="A1915" s="1">
        <v>45633</v>
      </c>
      <c r="B1915" s="2" t="s">
        <v>26</v>
      </c>
      <c r="C1915" s="2" t="s">
        <v>35</v>
      </c>
      <c r="D1915" s="2" t="s">
        <v>36</v>
      </c>
      <c r="E1915">
        <v>25943</v>
      </c>
      <c r="F1915">
        <v>1322</v>
      </c>
      <c r="G1915">
        <v>166</v>
      </c>
      <c r="H1915">
        <v>0</v>
      </c>
      <c r="I1915">
        <v>20449.48</v>
      </c>
      <c r="J1915">
        <v>5.0999999999999996</v>
      </c>
      <c r="K1915">
        <v>12.56</v>
      </c>
      <c r="L1915">
        <v>0</v>
      </c>
      <c r="M1915">
        <v>0</v>
      </c>
      <c r="N1915">
        <v>20449.48</v>
      </c>
    </row>
    <row r="1916" spans="1:14" x14ac:dyDescent="0.2">
      <c r="A1916" s="1">
        <v>45633</v>
      </c>
      <c r="B1916" s="2" t="s">
        <v>27</v>
      </c>
      <c r="C1916" s="2" t="s">
        <v>18</v>
      </c>
      <c r="D1916" s="2" t="s">
        <v>25</v>
      </c>
      <c r="E1916">
        <v>31409</v>
      </c>
      <c r="F1916">
        <v>605</v>
      </c>
      <c r="G1916">
        <v>17</v>
      </c>
      <c r="H1916">
        <v>1035.77</v>
      </c>
      <c r="I1916">
        <v>1732.3</v>
      </c>
      <c r="J1916">
        <v>1.93</v>
      </c>
      <c r="K1916">
        <v>2.81</v>
      </c>
      <c r="L1916">
        <v>60.93</v>
      </c>
      <c r="M1916">
        <v>1.67</v>
      </c>
      <c r="N1916">
        <v>696.53</v>
      </c>
    </row>
    <row r="1917" spans="1:14" x14ac:dyDescent="0.2">
      <c r="A1917" s="1">
        <v>45633</v>
      </c>
      <c r="B1917" s="2" t="s">
        <v>29</v>
      </c>
      <c r="C1917" s="2" t="s">
        <v>35</v>
      </c>
      <c r="D1917" s="2" t="s">
        <v>22</v>
      </c>
      <c r="E1917">
        <v>18886</v>
      </c>
      <c r="F1917">
        <v>288</v>
      </c>
      <c r="G1917">
        <v>20</v>
      </c>
      <c r="H1917">
        <v>1218.9000000000001</v>
      </c>
      <c r="I1917">
        <v>1927.94</v>
      </c>
      <c r="J1917">
        <v>1.52</v>
      </c>
      <c r="K1917">
        <v>6.94</v>
      </c>
      <c r="L1917">
        <v>60.95</v>
      </c>
      <c r="M1917">
        <v>1.58</v>
      </c>
      <c r="N1917">
        <v>709.04</v>
      </c>
    </row>
    <row r="1918" spans="1:14" x14ac:dyDescent="0.2">
      <c r="A1918" s="1">
        <v>45633</v>
      </c>
      <c r="B1918" s="2" t="s">
        <v>30</v>
      </c>
      <c r="C1918" s="2" t="s">
        <v>28</v>
      </c>
      <c r="D1918" s="2" t="s">
        <v>19</v>
      </c>
      <c r="E1918">
        <v>11009</v>
      </c>
      <c r="F1918">
        <v>285</v>
      </c>
      <c r="G1918">
        <v>13</v>
      </c>
      <c r="H1918">
        <v>606.22</v>
      </c>
      <c r="I1918">
        <v>1231.43</v>
      </c>
      <c r="J1918">
        <v>2.59</v>
      </c>
      <c r="K1918">
        <v>4.5599999999999996</v>
      </c>
      <c r="L1918">
        <v>46.63</v>
      </c>
      <c r="M1918">
        <v>2.0299999999999998</v>
      </c>
      <c r="N1918">
        <v>625.21</v>
      </c>
    </row>
    <row r="1919" spans="1:14" x14ac:dyDescent="0.2">
      <c r="A1919" s="1">
        <v>45633</v>
      </c>
      <c r="B1919" s="2" t="s">
        <v>31</v>
      </c>
      <c r="C1919" s="2" t="s">
        <v>28</v>
      </c>
      <c r="D1919" s="2" t="s">
        <v>19</v>
      </c>
      <c r="E1919">
        <v>18220</v>
      </c>
      <c r="F1919">
        <v>799</v>
      </c>
      <c r="G1919">
        <v>51</v>
      </c>
      <c r="H1919">
        <v>687.03</v>
      </c>
      <c r="I1919">
        <v>5375.22</v>
      </c>
      <c r="J1919">
        <v>4.3899999999999997</v>
      </c>
      <c r="K1919">
        <v>6.38</v>
      </c>
      <c r="L1919">
        <v>13.47</v>
      </c>
      <c r="M1919">
        <v>7.82</v>
      </c>
      <c r="N1919">
        <v>4688.1899999999996</v>
      </c>
    </row>
    <row r="1920" spans="1:14" x14ac:dyDescent="0.2">
      <c r="A1920" s="1">
        <v>45633</v>
      </c>
      <c r="B1920" s="2" t="s">
        <v>33</v>
      </c>
      <c r="C1920" s="2" t="s">
        <v>18</v>
      </c>
      <c r="D1920" s="2" t="s">
        <v>16</v>
      </c>
      <c r="E1920">
        <v>8268</v>
      </c>
      <c r="F1920">
        <v>422</v>
      </c>
      <c r="G1920">
        <v>41</v>
      </c>
      <c r="H1920">
        <v>646.39</v>
      </c>
      <c r="I1920">
        <v>5761.16</v>
      </c>
      <c r="J1920">
        <v>5.0999999999999996</v>
      </c>
      <c r="K1920">
        <v>9.7200000000000006</v>
      </c>
      <c r="L1920">
        <v>15.77</v>
      </c>
      <c r="M1920">
        <v>8.91</v>
      </c>
      <c r="N1920">
        <v>5114.7700000000004</v>
      </c>
    </row>
    <row r="1921" spans="1:14" x14ac:dyDescent="0.2">
      <c r="A1921" s="1">
        <v>45633</v>
      </c>
      <c r="B1921" s="2" t="s">
        <v>34</v>
      </c>
      <c r="C1921" s="2" t="s">
        <v>21</v>
      </c>
      <c r="D1921" s="2" t="s">
        <v>19</v>
      </c>
      <c r="E1921">
        <v>5537</v>
      </c>
      <c r="F1921">
        <v>330</v>
      </c>
      <c r="G1921">
        <v>41</v>
      </c>
      <c r="H1921">
        <v>188.59</v>
      </c>
      <c r="I1921">
        <v>6039.76</v>
      </c>
      <c r="J1921">
        <v>5.96</v>
      </c>
      <c r="K1921">
        <v>12.42</v>
      </c>
      <c r="L1921">
        <v>4.5999999999999996</v>
      </c>
      <c r="M1921">
        <v>32.03</v>
      </c>
      <c r="N1921">
        <v>5851.17</v>
      </c>
    </row>
    <row r="1922" spans="1:14" x14ac:dyDescent="0.2">
      <c r="A1922" s="1">
        <v>45634</v>
      </c>
      <c r="B1922" s="2" t="s">
        <v>14</v>
      </c>
      <c r="C1922" s="2" t="s">
        <v>15</v>
      </c>
      <c r="D1922" s="2" t="s">
        <v>25</v>
      </c>
      <c r="E1922">
        <v>11934</v>
      </c>
      <c r="F1922">
        <v>457</v>
      </c>
      <c r="G1922">
        <v>53</v>
      </c>
      <c r="H1922">
        <v>864.46</v>
      </c>
      <c r="I1922">
        <v>8355.81</v>
      </c>
      <c r="J1922">
        <v>3.83</v>
      </c>
      <c r="K1922">
        <v>11.6</v>
      </c>
      <c r="L1922">
        <v>16.309999999999999</v>
      </c>
      <c r="M1922">
        <v>9.67</v>
      </c>
      <c r="N1922">
        <v>7491.35</v>
      </c>
    </row>
    <row r="1923" spans="1:14" x14ac:dyDescent="0.2">
      <c r="A1923" s="1">
        <v>45634</v>
      </c>
      <c r="B1923" s="2" t="s">
        <v>17</v>
      </c>
      <c r="C1923" s="2" t="s">
        <v>18</v>
      </c>
      <c r="D1923" s="2" t="s">
        <v>22</v>
      </c>
      <c r="E1923">
        <v>12867</v>
      </c>
      <c r="F1923">
        <v>381</v>
      </c>
      <c r="G1923">
        <v>24</v>
      </c>
      <c r="H1923">
        <v>1120.51</v>
      </c>
      <c r="I1923">
        <v>3428.12</v>
      </c>
      <c r="J1923">
        <v>2.96</v>
      </c>
      <c r="K1923">
        <v>6.3</v>
      </c>
      <c r="L1923">
        <v>46.69</v>
      </c>
      <c r="M1923">
        <v>3.06</v>
      </c>
      <c r="N1923">
        <v>2307.61</v>
      </c>
    </row>
    <row r="1924" spans="1:14" x14ac:dyDescent="0.2">
      <c r="A1924" s="1">
        <v>45634</v>
      </c>
      <c r="B1924" s="2" t="s">
        <v>20</v>
      </c>
      <c r="C1924" s="2" t="s">
        <v>35</v>
      </c>
      <c r="D1924" s="2" t="s">
        <v>22</v>
      </c>
      <c r="E1924">
        <v>10007</v>
      </c>
      <c r="F1924">
        <v>256</v>
      </c>
      <c r="G1924">
        <v>11</v>
      </c>
      <c r="H1924">
        <v>757.65</v>
      </c>
      <c r="I1924">
        <v>1180.74</v>
      </c>
      <c r="J1924">
        <v>2.56</v>
      </c>
      <c r="K1924">
        <v>4.3</v>
      </c>
      <c r="L1924">
        <v>68.88</v>
      </c>
      <c r="M1924">
        <v>1.56</v>
      </c>
      <c r="N1924">
        <v>423.09</v>
      </c>
    </row>
    <row r="1925" spans="1:14" x14ac:dyDescent="0.2">
      <c r="A1925" s="1">
        <v>45634</v>
      </c>
      <c r="B1925" s="2" t="s">
        <v>23</v>
      </c>
      <c r="C1925" s="2" t="s">
        <v>18</v>
      </c>
      <c r="D1925" s="2" t="s">
        <v>22</v>
      </c>
      <c r="E1925">
        <v>5231</v>
      </c>
      <c r="F1925">
        <v>96</v>
      </c>
      <c r="G1925">
        <v>11</v>
      </c>
      <c r="H1925">
        <v>1271.75</v>
      </c>
      <c r="I1925">
        <v>2685.91</v>
      </c>
      <c r="J1925">
        <v>1.84</v>
      </c>
      <c r="K1925">
        <v>11.46</v>
      </c>
      <c r="L1925">
        <v>115.61</v>
      </c>
      <c r="M1925">
        <v>2.11</v>
      </c>
      <c r="N1925">
        <v>1414.16</v>
      </c>
    </row>
    <row r="1926" spans="1:14" x14ac:dyDescent="0.2">
      <c r="A1926" s="1">
        <v>45634</v>
      </c>
      <c r="B1926" s="2" t="s">
        <v>24</v>
      </c>
      <c r="C1926" s="2" t="s">
        <v>35</v>
      </c>
      <c r="D1926" s="2" t="s">
        <v>36</v>
      </c>
      <c r="E1926">
        <v>18009</v>
      </c>
      <c r="F1926">
        <v>4408</v>
      </c>
      <c r="G1926">
        <v>417</v>
      </c>
      <c r="H1926">
        <v>178.95</v>
      </c>
      <c r="I1926">
        <v>63468.5</v>
      </c>
      <c r="J1926">
        <v>24.48</v>
      </c>
      <c r="K1926">
        <v>9.4600000000000009</v>
      </c>
      <c r="L1926">
        <v>0.43</v>
      </c>
      <c r="M1926">
        <v>354.67</v>
      </c>
      <c r="N1926">
        <v>63289.55</v>
      </c>
    </row>
    <row r="1927" spans="1:14" x14ac:dyDescent="0.2">
      <c r="A1927" s="1">
        <v>45634</v>
      </c>
      <c r="B1927" s="2" t="s">
        <v>26</v>
      </c>
      <c r="C1927" s="2" t="s">
        <v>32</v>
      </c>
      <c r="D1927" s="2" t="s">
        <v>16</v>
      </c>
      <c r="E1927">
        <v>20594</v>
      </c>
      <c r="F1927">
        <v>1012</v>
      </c>
      <c r="G1927">
        <v>126</v>
      </c>
      <c r="H1927">
        <v>0</v>
      </c>
      <c r="I1927">
        <v>17626.32</v>
      </c>
      <c r="J1927">
        <v>4.91</v>
      </c>
      <c r="K1927">
        <v>12.45</v>
      </c>
      <c r="L1927">
        <v>0</v>
      </c>
      <c r="M1927">
        <v>0</v>
      </c>
      <c r="N1927">
        <v>17626.32</v>
      </c>
    </row>
    <row r="1928" spans="1:14" x14ac:dyDescent="0.2">
      <c r="A1928" s="1">
        <v>45634</v>
      </c>
      <c r="B1928" s="2" t="s">
        <v>27</v>
      </c>
      <c r="C1928" s="2" t="s">
        <v>15</v>
      </c>
      <c r="D1928" s="2" t="s">
        <v>19</v>
      </c>
      <c r="E1928">
        <v>37696</v>
      </c>
      <c r="F1928">
        <v>546</v>
      </c>
      <c r="G1928">
        <v>23</v>
      </c>
      <c r="H1928">
        <v>1123.3499999999999</v>
      </c>
      <c r="I1928">
        <v>2306.84</v>
      </c>
      <c r="J1928">
        <v>1.45</v>
      </c>
      <c r="K1928">
        <v>4.21</v>
      </c>
      <c r="L1928">
        <v>48.84</v>
      </c>
      <c r="M1928">
        <v>2.0499999999999998</v>
      </c>
      <c r="N1928">
        <v>1183.49</v>
      </c>
    </row>
    <row r="1929" spans="1:14" x14ac:dyDescent="0.2">
      <c r="A1929" s="1">
        <v>45634</v>
      </c>
      <c r="B1929" s="2" t="s">
        <v>29</v>
      </c>
      <c r="C1929" s="2" t="s">
        <v>35</v>
      </c>
      <c r="D1929" s="2" t="s">
        <v>22</v>
      </c>
      <c r="E1929">
        <v>22431</v>
      </c>
      <c r="F1929">
        <v>544</v>
      </c>
      <c r="G1929">
        <v>36</v>
      </c>
      <c r="H1929">
        <v>1092.8699999999999</v>
      </c>
      <c r="I1929">
        <v>5108.1099999999997</v>
      </c>
      <c r="J1929">
        <v>2.4300000000000002</v>
      </c>
      <c r="K1929">
        <v>6.62</v>
      </c>
      <c r="L1929">
        <v>30.36</v>
      </c>
      <c r="M1929">
        <v>4.67</v>
      </c>
      <c r="N1929">
        <v>4015.24</v>
      </c>
    </row>
    <row r="1930" spans="1:14" x14ac:dyDescent="0.2">
      <c r="A1930" s="1">
        <v>45634</v>
      </c>
      <c r="B1930" s="2" t="s">
        <v>30</v>
      </c>
      <c r="C1930" s="2" t="s">
        <v>18</v>
      </c>
      <c r="D1930" s="2" t="s">
        <v>36</v>
      </c>
      <c r="E1930">
        <v>10709</v>
      </c>
      <c r="F1930">
        <v>330</v>
      </c>
      <c r="G1930">
        <v>9</v>
      </c>
      <c r="H1930">
        <v>517.80999999999995</v>
      </c>
      <c r="I1930">
        <v>911.58</v>
      </c>
      <c r="J1930">
        <v>3.08</v>
      </c>
      <c r="K1930">
        <v>2.73</v>
      </c>
      <c r="L1930">
        <v>57.53</v>
      </c>
      <c r="M1930">
        <v>1.76</v>
      </c>
      <c r="N1930">
        <v>393.77</v>
      </c>
    </row>
    <row r="1931" spans="1:14" x14ac:dyDescent="0.2">
      <c r="A1931" s="1">
        <v>45634</v>
      </c>
      <c r="B1931" s="2" t="s">
        <v>31</v>
      </c>
      <c r="C1931" s="2" t="s">
        <v>28</v>
      </c>
      <c r="D1931" s="2" t="s">
        <v>25</v>
      </c>
      <c r="E1931">
        <v>29238</v>
      </c>
      <c r="F1931">
        <v>1197</v>
      </c>
      <c r="G1931">
        <v>56</v>
      </c>
      <c r="H1931">
        <v>1071.8</v>
      </c>
      <c r="I1931">
        <v>4097.79</v>
      </c>
      <c r="J1931">
        <v>4.09</v>
      </c>
      <c r="K1931">
        <v>4.68</v>
      </c>
      <c r="L1931">
        <v>19.14</v>
      </c>
      <c r="M1931">
        <v>3.82</v>
      </c>
      <c r="N1931">
        <v>3025.99</v>
      </c>
    </row>
    <row r="1932" spans="1:14" x14ac:dyDescent="0.2">
      <c r="A1932" s="1">
        <v>45634</v>
      </c>
      <c r="B1932" s="2" t="s">
        <v>33</v>
      </c>
      <c r="C1932" s="2" t="s">
        <v>15</v>
      </c>
      <c r="D1932" s="2" t="s">
        <v>25</v>
      </c>
      <c r="E1932">
        <v>7228</v>
      </c>
      <c r="F1932">
        <v>444</v>
      </c>
      <c r="G1932">
        <v>52</v>
      </c>
      <c r="H1932">
        <v>574.34</v>
      </c>
      <c r="I1932">
        <v>7156.15</v>
      </c>
      <c r="J1932">
        <v>6.14</v>
      </c>
      <c r="K1932">
        <v>11.71</v>
      </c>
      <c r="L1932">
        <v>11.04</v>
      </c>
      <c r="M1932">
        <v>12.46</v>
      </c>
      <c r="N1932">
        <v>6581.81</v>
      </c>
    </row>
    <row r="1933" spans="1:14" x14ac:dyDescent="0.2">
      <c r="A1933" s="1">
        <v>45634</v>
      </c>
      <c r="B1933" s="2" t="s">
        <v>34</v>
      </c>
      <c r="C1933" s="2" t="s">
        <v>21</v>
      </c>
      <c r="D1933" s="2" t="s">
        <v>16</v>
      </c>
      <c r="E1933">
        <v>6074</v>
      </c>
      <c r="F1933">
        <v>503</v>
      </c>
      <c r="G1933">
        <v>82</v>
      </c>
      <c r="H1933">
        <v>168.95</v>
      </c>
      <c r="I1933">
        <v>12467.31</v>
      </c>
      <c r="J1933">
        <v>8.2799999999999994</v>
      </c>
      <c r="K1933">
        <v>16.3</v>
      </c>
      <c r="L1933">
        <v>2.06</v>
      </c>
      <c r="M1933">
        <v>73.790000000000006</v>
      </c>
      <c r="N1933">
        <v>12298.36</v>
      </c>
    </row>
    <row r="1934" spans="1:14" x14ac:dyDescent="0.2">
      <c r="A1934" s="1">
        <v>45635</v>
      </c>
      <c r="B1934" s="2" t="s">
        <v>14</v>
      </c>
      <c r="C1934" s="2" t="s">
        <v>28</v>
      </c>
      <c r="D1934" s="2" t="s">
        <v>16</v>
      </c>
      <c r="E1934">
        <v>13209</v>
      </c>
      <c r="F1934">
        <v>599</v>
      </c>
      <c r="G1934">
        <v>58</v>
      </c>
      <c r="H1934">
        <v>1300.58</v>
      </c>
      <c r="I1934">
        <v>7927.57</v>
      </c>
      <c r="J1934">
        <v>4.53</v>
      </c>
      <c r="K1934">
        <v>9.68</v>
      </c>
      <c r="L1934">
        <v>22.42</v>
      </c>
      <c r="M1934">
        <v>6.1</v>
      </c>
      <c r="N1934">
        <v>6626.99</v>
      </c>
    </row>
    <row r="1935" spans="1:14" x14ac:dyDescent="0.2">
      <c r="A1935" s="1">
        <v>45635</v>
      </c>
      <c r="B1935" s="2" t="s">
        <v>17</v>
      </c>
      <c r="C1935" s="2" t="s">
        <v>21</v>
      </c>
      <c r="D1935" s="2" t="s">
        <v>16</v>
      </c>
      <c r="E1935">
        <v>23417</v>
      </c>
      <c r="F1935">
        <v>768</v>
      </c>
      <c r="G1935">
        <v>42</v>
      </c>
      <c r="H1935">
        <v>1344.7</v>
      </c>
      <c r="I1935">
        <v>4852.16</v>
      </c>
      <c r="J1935">
        <v>3.28</v>
      </c>
      <c r="K1935">
        <v>5.47</v>
      </c>
      <c r="L1935">
        <v>32.020000000000003</v>
      </c>
      <c r="M1935">
        <v>3.61</v>
      </c>
      <c r="N1935">
        <v>3507.46</v>
      </c>
    </row>
    <row r="1936" spans="1:14" x14ac:dyDescent="0.2">
      <c r="A1936" s="1">
        <v>45635</v>
      </c>
      <c r="B1936" s="2" t="s">
        <v>20</v>
      </c>
      <c r="C1936" s="2" t="s">
        <v>18</v>
      </c>
      <c r="D1936" s="2" t="s">
        <v>16</v>
      </c>
      <c r="E1936">
        <v>23228</v>
      </c>
      <c r="F1936">
        <v>942</v>
      </c>
      <c r="G1936">
        <v>53</v>
      </c>
      <c r="H1936">
        <v>1310.27</v>
      </c>
      <c r="I1936">
        <v>4296.62</v>
      </c>
      <c r="J1936">
        <v>4.0599999999999996</v>
      </c>
      <c r="K1936">
        <v>5.63</v>
      </c>
      <c r="L1936">
        <v>24.72</v>
      </c>
      <c r="M1936">
        <v>3.28</v>
      </c>
      <c r="N1936">
        <v>2986.35</v>
      </c>
    </row>
    <row r="1937" spans="1:14" x14ac:dyDescent="0.2">
      <c r="A1937" s="1">
        <v>45635</v>
      </c>
      <c r="B1937" s="2" t="s">
        <v>23</v>
      </c>
      <c r="C1937" s="2" t="s">
        <v>21</v>
      </c>
      <c r="D1937" s="2" t="s">
        <v>22</v>
      </c>
      <c r="E1937">
        <v>6676</v>
      </c>
      <c r="F1937">
        <v>147</v>
      </c>
      <c r="G1937">
        <v>19</v>
      </c>
      <c r="H1937">
        <v>1836.34</v>
      </c>
      <c r="I1937">
        <v>4603.3999999999996</v>
      </c>
      <c r="J1937">
        <v>2.2000000000000002</v>
      </c>
      <c r="K1937">
        <v>12.93</v>
      </c>
      <c r="L1937">
        <v>96.65</v>
      </c>
      <c r="M1937">
        <v>2.5099999999999998</v>
      </c>
      <c r="N1937">
        <v>2767.06</v>
      </c>
    </row>
    <row r="1938" spans="1:14" x14ac:dyDescent="0.2">
      <c r="A1938" s="1">
        <v>45635</v>
      </c>
      <c r="B1938" s="2" t="s">
        <v>24</v>
      </c>
      <c r="C1938" s="2" t="s">
        <v>21</v>
      </c>
      <c r="D1938" s="2" t="s">
        <v>36</v>
      </c>
      <c r="E1938">
        <v>34671</v>
      </c>
      <c r="F1938">
        <v>7207</v>
      </c>
      <c r="G1938">
        <v>704</v>
      </c>
      <c r="H1938">
        <v>220.7</v>
      </c>
      <c r="I1938">
        <v>86617.95</v>
      </c>
      <c r="J1938">
        <v>20.79</v>
      </c>
      <c r="K1938">
        <v>9.77</v>
      </c>
      <c r="L1938">
        <v>0.31</v>
      </c>
      <c r="M1938">
        <v>392.47</v>
      </c>
      <c r="N1938">
        <v>86397.25</v>
      </c>
    </row>
    <row r="1939" spans="1:14" x14ac:dyDescent="0.2">
      <c r="A1939" s="1">
        <v>45635</v>
      </c>
      <c r="B1939" s="2" t="s">
        <v>26</v>
      </c>
      <c r="C1939" s="2" t="s">
        <v>35</v>
      </c>
      <c r="D1939" s="2" t="s">
        <v>16</v>
      </c>
      <c r="E1939">
        <v>29523</v>
      </c>
      <c r="F1939">
        <v>1481</v>
      </c>
      <c r="G1939">
        <v>156</v>
      </c>
      <c r="H1939">
        <v>0</v>
      </c>
      <c r="I1939">
        <v>15943.43</v>
      </c>
      <c r="J1939">
        <v>5.0199999999999996</v>
      </c>
      <c r="K1939">
        <v>10.53</v>
      </c>
      <c r="L1939">
        <v>0</v>
      </c>
      <c r="M1939">
        <v>0</v>
      </c>
      <c r="N1939">
        <v>15943.43</v>
      </c>
    </row>
    <row r="1940" spans="1:14" x14ac:dyDescent="0.2">
      <c r="A1940" s="1">
        <v>45635</v>
      </c>
      <c r="B1940" s="2" t="s">
        <v>27</v>
      </c>
      <c r="C1940" s="2" t="s">
        <v>32</v>
      </c>
      <c r="D1940" s="2" t="s">
        <v>25</v>
      </c>
      <c r="E1940">
        <v>41195</v>
      </c>
      <c r="F1940">
        <v>742</v>
      </c>
      <c r="G1940">
        <v>25</v>
      </c>
      <c r="H1940">
        <v>1404.34</v>
      </c>
      <c r="I1940">
        <v>2276.2399999999998</v>
      </c>
      <c r="J1940">
        <v>1.8</v>
      </c>
      <c r="K1940">
        <v>3.37</v>
      </c>
      <c r="L1940">
        <v>56.17</v>
      </c>
      <c r="M1940">
        <v>1.62</v>
      </c>
      <c r="N1940">
        <v>871.9</v>
      </c>
    </row>
    <row r="1941" spans="1:14" x14ac:dyDescent="0.2">
      <c r="A1941" s="1">
        <v>45635</v>
      </c>
      <c r="B1941" s="2" t="s">
        <v>29</v>
      </c>
      <c r="C1941" s="2" t="s">
        <v>35</v>
      </c>
      <c r="D1941" s="2" t="s">
        <v>16</v>
      </c>
      <c r="E1941">
        <v>31126</v>
      </c>
      <c r="F1941">
        <v>550</v>
      </c>
      <c r="G1941">
        <v>22</v>
      </c>
      <c r="H1941">
        <v>1381.3</v>
      </c>
      <c r="I1941">
        <v>2921.87</v>
      </c>
      <c r="J1941">
        <v>1.77</v>
      </c>
      <c r="K1941">
        <v>4</v>
      </c>
      <c r="L1941">
        <v>62.79</v>
      </c>
      <c r="M1941">
        <v>2.12</v>
      </c>
      <c r="N1941">
        <v>1540.57</v>
      </c>
    </row>
    <row r="1942" spans="1:14" x14ac:dyDescent="0.2">
      <c r="A1942" s="1">
        <v>45635</v>
      </c>
      <c r="B1942" s="2" t="s">
        <v>30</v>
      </c>
      <c r="C1942" s="2" t="s">
        <v>18</v>
      </c>
      <c r="D1942" s="2" t="s">
        <v>16</v>
      </c>
      <c r="E1942">
        <v>18097</v>
      </c>
      <c r="F1942">
        <v>480</v>
      </c>
      <c r="G1942">
        <v>18</v>
      </c>
      <c r="H1942">
        <v>1072.31</v>
      </c>
      <c r="I1942">
        <v>1983.84</v>
      </c>
      <c r="J1942">
        <v>2.65</v>
      </c>
      <c r="K1942">
        <v>3.75</v>
      </c>
      <c r="L1942">
        <v>59.57</v>
      </c>
      <c r="M1942">
        <v>1.85</v>
      </c>
      <c r="N1942">
        <v>911.53</v>
      </c>
    </row>
    <row r="1943" spans="1:14" x14ac:dyDescent="0.2">
      <c r="A1943" s="1">
        <v>45635</v>
      </c>
      <c r="B1943" s="2" t="s">
        <v>31</v>
      </c>
      <c r="C1943" s="2" t="s">
        <v>21</v>
      </c>
      <c r="D1943" s="2" t="s">
        <v>36</v>
      </c>
      <c r="E1943">
        <v>37203</v>
      </c>
      <c r="F1943">
        <v>1192</v>
      </c>
      <c r="G1943">
        <v>70</v>
      </c>
      <c r="H1943">
        <v>1315.62</v>
      </c>
      <c r="I1943">
        <v>6884.96</v>
      </c>
      <c r="J1943">
        <v>3.2</v>
      </c>
      <c r="K1943">
        <v>5.87</v>
      </c>
      <c r="L1943">
        <v>18.79</v>
      </c>
      <c r="M1943">
        <v>5.23</v>
      </c>
      <c r="N1943">
        <v>5569.34</v>
      </c>
    </row>
    <row r="1944" spans="1:14" x14ac:dyDescent="0.2">
      <c r="A1944" s="1">
        <v>45635</v>
      </c>
      <c r="B1944" s="2" t="s">
        <v>33</v>
      </c>
      <c r="C1944" s="2" t="s">
        <v>21</v>
      </c>
      <c r="D1944" s="2" t="s">
        <v>16</v>
      </c>
      <c r="E1944">
        <v>7919</v>
      </c>
      <c r="F1944">
        <v>461</v>
      </c>
      <c r="G1944">
        <v>46</v>
      </c>
      <c r="H1944">
        <v>612.55999999999995</v>
      </c>
      <c r="I1944">
        <v>5842.34</v>
      </c>
      <c r="J1944">
        <v>5.82</v>
      </c>
      <c r="K1944">
        <v>9.98</v>
      </c>
      <c r="L1944">
        <v>13.32</v>
      </c>
      <c r="M1944">
        <v>9.5399999999999991</v>
      </c>
      <c r="N1944">
        <v>5229.78</v>
      </c>
    </row>
    <row r="1945" spans="1:14" x14ac:dyDescent="0.2">
      <c r="A1945" s="1">
        <v>45635</v>
      </c>
      <c r="B1945" s="2" t="s">
        <v>34</v>
      </c>
      <c r="C1945" s="2" t="s">
        <v>35</v>
      </c>
      <c r="D1945" s="2" t="s">
        <v>16</v>
      </c>
      <c r="E1945">
        <v>7656</v>
      </c>
      <c r="F1945">
        <v>401</v>
      </c>
      <c r="G1945">
        <v>50</v>
      </c>
      <c r="H1945">
        <v>104.68</v>
      </c>
      <c r="I1945">
        <v>7447.23</v>
      </c>
      <c r="J1945">
        <v>5.24</v>
      </c>
      <c r="K1945">
        <v>12.47</v>
      </c>
      <c r="L1945">
        <v>2.09</v>
      </c>
      <c r="M1945">
        <v>71.14</v>
      </c>
      <c r="N1945">
        <v>7342.55</v>
      </c>
    </row>
    <row r="1946" spans="1:14" x14ac:dyDescent="0.2">
      <c r="A1946" s="1">
        <v>45636</v>
      </c>
      <c r="B1946" s="2" t="s">
        <v>14</v>
      </c>
      <c r="C1946" s="2" t="s">
        <v>18</v>
      </c>
      <c r="D1946" s="2" t="s">
        <v>36</v>
      </c>
      <c r="E1946">
        <v>20848</v>
      </c>
      <c r="F1946">
        <v>914</v>
      </c>
      <c r="G1946">
        <v>85</v>
      </c>
      <c r="H1946">
        <v>1581.44</v>
      </c>
      <c r="I1946">
        <v>10745.55</v>
      </c>
      <c r="J1946">
        <v>4.38</v>
      </c>
      <c r="K1946">
        <v>9.3000000000000007</v>
      </c>
      <c r="L1946">
        <v>18.61</v>
      </c>
      <c r="M1946">
        <v>6.79</v>
      </c>
      <c r="N1946">
        <v>9164.11</v>
      </c>
    </row>
    <row r="1947" spans="1:14" x14ac:dyDescent="0.2">
      <c r="A1947" s="1">
        <v>45636</v>
      </c>
      <c r="B1947" s="2" t="s">
        <v>17</v>
      </c>
      <c r="C1947" s="2" t="s">
        <v>18</v>
      </c>
      <c r="D1947" s="2" t="s">
        <v>22</v>
      </c>
      <c r="E1947">
        <v>22223</v>
      </c>
      <c r="F1947">
        <v>543</v>
      </c>
      <c r="G1947">
        <v>36</v>
      </c>
      <c r="H1947">
        <v>1239.6099999999999</v>
      </c>
      <c r="I1947">
        <v>5338.7</v>
      </c>
      <c r="J1947">
        <v>2.44</v>
      </c>
      <c r="K1947">
        <v>6.63</v>
      </c>
      <c r="L1947">
        <v>34.43</v>
      </c>
      <c r="M1947">
        <v>4.3099999999999996</v>
      </c>
      <c r="N1947">
        <v>4099.09</v>
      </c>
    </row>
    <row r="1948" spans="1:14" x14ac:dyDescent="0.2">
      <c r="A1948" s="1">
        <v>45636</v>
      </c>
      <c r="B1948" s="2" t="s">
        <v>20</v>
      </c>
      <c r="C1948" s="2" t="s">
        <v>32</v>
      </c>
      <c r="D1948" s="2" t="s">
        <v>36</v>
      </c>
      <c r="E1948">
        <v>20190</v>
      </c>
      <c r="F1948">
        <v>842</v>
      </c>
      <c r="G1948">
        <v>51</v>
      </c>
      <c r="H1948">
        <v>1050.6500000000001</v>
      </c>
      <c r="I1948">
        <v>4671.8</v>
      </c>
      <c r="J1948">
        <v>4.17</v>
      </c>
      <c r="K1948">
        <v>6.06</v>
      </c>
      <c r="L1948">
        <v>20.6</v>
      </c>
      <c r="M1948">
        <v>4.45</v>
      </c>
      <c r="N1948">
        <v>3621.15</v>
      </c>
    </row>
    <row r="1949" spans="1:14" x14ac:dyDescent="0.2">
      <c r="A1949" s="1">
        <v>45636</v>
      </c>
      <c r="B1949" s="2" t="s">
        <v>23</v>
      </c>
      <c r="C1949" s="2" t="s">
        <v>15</v>
      </c>
      <c r="D1949" s="2" t="s">
        <v>36</v>
      </c>
      <c r="E1949">
        <v>5542</v>
      </c>
      <c r="F1949">
        <v>124</v>
      </c>
      <c r="G1949">
        <v>18</v>
      </c>
      <c r="H1949">
        <v>2005.68</v>
      </c>
      <c r="I1949">
        <v>3530.42</v>
      </c>
      <c r="J1949">
        <v>2.2400000000000002</v>
      </c>
      <c r="K1949">
        <v>14.52</v>
      </c>
      <c r="L1949">
        <v>111.43</v>
      </c>
      <c r="M1949">
        <v>1.76</v>
      </c>
      <c r="N1949">
        <v>1524.74</v>
      </c>
    </row>
    <row r="1950" spans="1:14" x14ac:dyDescent="0.2">
      <c r="A1950" s="1">
        <v>45636</v>
      </c>
      <c r="B1950" s="2" t="s">
        <v>24</v>
      </c>
      <c r="C1950" s="2" t="s">
        <v>28</v>
      </c>
      <c r="D1950" s="2" t="s">
        <v>16</v>
      </c>
      <c r="E1950">
        <v>30361</v>
      </c>
      <c r="F1950">
        <v>4701</v>
      </c>
      <c r="G1950">
        <v>489</v>
      </c>
      <c r="H1950">
        <v>335.97</v>
      </c>
      <c r="I1950">
        <v>77689.38</v>
      </c>
      <c r="J1950">
        <v>15.48</v>
      </c>
      <c r="K1950">
        <v>10.4</v>
      </c>
      <c r="L1950">
        <v>0.69</v>
      </c>
      <c r="M1950">
        <v>231.24</v>
      </c>
      <c r="N1950">
        <v>77353.41</v>
      </c>
    </row>
    <row r="1951" spans="1:14" x14ac:dyDescent="0.2">
      <c r="A1951" s="1">
        <v>45636</v>
      </c>
      <c r="B1951" s="2" t="s">
        <v>26</v>
      </c>
      <c r="C1951" s="2" t="s">
        <v>28</v>
      </c>
      <c r="D1951" s="2" t="s">
        <v>36</v>
      </c>
      <c r="E1951">
        <v>36314</v>
      </c>
      <c r="F1951">
        <v>2777</v>
      </c>
      <c r="G1951">
        <v>441</v>
      </c>
      <c r="H1951">
        <v>0</v>
      </c>
      <c r="I1951">
        <v>44174.99</v>
      </c>
      <c r="J1951">
        <v>7.65</v>
      </c>
      <c r="K1951">
        <v>15.88</v>
      </c>
      <c r="L1951">
        <v>0</v>
      </c>
      <c r="M1951">
        <v>0</v>
      </c>
      <c r="N1951">
        <v>44174.99</v>
      </c>
    </row>
    <row r="1952" spans="1:14" x14ac:dyDescent="0.2">
      <c r="A1952" s="1">
        <v>45636</v>
      </c>
      <c r="B1952" s="2" t="s">
        <v>27</v>
      </c>
      <c r="C1952" s="2" t="s">
        <v>21</v>
      </c>
      <c r="D1952" s="2" t="s">
        <v>19</v>
      </c>
      <c r="E1952">
        <v>44364</v>
      </c>
      <c r="F1952">
        <v>709</v>
      </c>
      <c r="G1952">
        <v>29</v>
      </c>
      <c r="H1952">
        <v>1694.21</v>
      </c>
      <c r="I1952">
        <v>2367.5</v>
      </c>
      <c r="J1952">
        <v>1.6</v>
      </c>
      <c r="K1952">
        <v>4.09</v>
      </c>
      <c r="L1952">
        <v>58.42</v>
      </c>
      <c r="M1952">
        <v>1.4</v>
      </c>
      <c r="N1952">
        <v>673.29</v>
      </c>
    </row>
    <row r="1953" spans="1:14" x14ac:dyDescent="0.2">
      <c r="A1953" s="1">
        <v>45636</v>
      </c>
      <c r="B1953" s="2" t="s">
        <v>29</v>
      </c>
      <c r="C1953" s="2" t="s">
        <v>21</v>
      </c>
      <c r="D1953" s="2" t="s">
        <v>22</v>
      </c>
      <c r="E1953">
        <v>21571</v>
      </c>
      <c r="F1953">
        <v>424</v>
      </c>
      <c r="G1953">
        <v>29</v>
      </c>
      <c r="H1953">
        <v>1460.14</v>
      </c>
      <c r="I1953">
        <v>3731.2</v>
      </c>
      <c r="J1953">
        <v>1.97</v>
      </c>
      <c r="K1953">
        <v>6.84</v>
      </c>
      <c r="L1953">
        <v>50.35</v>
      </c>
      <c r="M1953">
        <v>2.56</v>
      </c>
      <c r="N1953">
        <v>2271.06</v>
      </c>
    </row>
    <row r="1954" spans="1:14" x14ac:dyDescent="0.2">
      <c r="A1954" s="1">
        <v>45636</v>
      </c>
      <c r="B1954" s="2" t="s">
        <v>30</v>
      </c>
      <c r="C1954" s="2" t="s">
        <v>35</v>
      </c>
      <c r="D1954" s="2" t="s">
        <v>19</v>
      </c>
      <c r="E1954">
        <v>15399</v>
      </c>
      <c r="F1954">
        <v>333</v>
      </c>
      <c r="G1954">
        <v>18</v>
      </c>
      <c r="H1954">
        <v>1113.0899999999999</v>
      </c>
      <c r="I1954">
        <v>1399.83</v>
      </c>
      <c r="J1954">
        <v>2.16</v>
      </c>
      <c r="K1954">
        <v>5.41</v>
      </c>
      <c r="L1954">
        <v>61.84</v>
      </c>
      <c r="M1954">
        <v>1.26</v>
      </c>
      <c r="N1954">
        <v>286.74</v>
      </c>
    </row>
    <row r="1955" spans="1:14" x14ac:dyDescent="0.2">
      <c r="A1955" s="1">
        <v>45636</v>
      </c>
      <c r="B1955" s="2" t="s">
        <v>31</v>
      </c>
      <c r="C1955" s="2" t="s">
        <v>28</v>
      </c>
      <c r="D1955" s="2" t="s">
        <v>22</v>
      </c>
      <c r="E1955">
        <v>40222</v>
      </c>
      <c r="F1955">
        <v>1073</v>
      </c>
      <c r="G1955">
        <v>67</v>
      </c>
      <c r="H1955">
        <v>1315.34</v>
      </c>
      <c r="I1955">
        <v>5880.1</v>
      </c>
      <c r="J1955">
        <v>2.67</v>
      </c>
      <c r="K1955">
        <v>6.24</v>
      </c>
      <c r="L1955">
        <v>19.63</v>
      </c>
      <c r="M1955">
        <v>4.47</v>
      </c>
      <c r="N1955">
        <v>4564.76</v>
      </c>
    </row>
    <row r="1956" spans="1:14" x14ac:dyDescent="0.2">
      <c r="A1956" s="1">
        <v>45636</v>
      </c>
      <c r="B1956" s="2" t="s">
        <v>33</v>
      </c>
      <c r="C1956" s="2" t="s">
        <v>18</v>
      </c>
      <c r="D1956" s="2" t="s">
        <v>25</v>
      </c>
      <c r="E1956">
        <v>8559</v>
      </c>
      <c r="F1956">
        <v>536</v>
      </c>
      <c r="G1956">
        <v>68</v>
      </c>
      <c r="H1956">
        <v>457.32</v>
      </c>
      <c r="I1956">
        <v>8454.1</v>
      </c>
      <c r="J1956">
        <v>6.26</v>
      </c>
      <c r="K1956">
        <v>12.69</v>
      </c>
      <c r="L1956">
        <v>6.73</v>
      </c>
      <c r="M1956">
        <v>18.489999999999998</v>
      </c>
      <c r="N1956">
        <v>7996.78</v>
      </c>
    </row>
    <row r="1957" spans="1:14" x14ac:dyDescent="0.2">
      <c r="A1957" s="1">
        <v>45636</v>
      </c>
      <c r="B1957" s="2" t="s">
        <v>34</v>
      </c>
      <c r="C1957" s="2" t="s">
        <v>32</v>
      </c>
      <c r="D1957" s="2" t="s">
        <v>25</v>
      </c>
      <c r="E1957">
        <v>8405</v>
      </c>
      <c r="F1957">
        <v>691</v>
      </c>
      <c r="G1957">
        <v>114</v>
      </c>
      <c r="H1957">
        <v>105.39</v>
      </c>
      <c r="I1957">
        <v>19024.62</v>
      </c>
      <c r="J1957">
        <v>8.2200000000000006</v>
      </c>
      <c r="K1957">
        <v>16.5</v>
      </c>
      <c r="L1957">
        <v>0.92</v>
      </c>
      <c r="M1957">
        <v>180.52</v>
      </c>
      <c r="N1957">
        <v>18919.23</v>
      </c>
    </row>
    <row r="1958" spans="1:14" x14ac:dyDescent="0.2">
      <c r="A1958" s="1">
        <v>45637</v>
      </c>
      <c r="B1958" s="2" t="s">
        <v>14</v>
      </c>
      <c r="C1958" s="2" t="s">
        <v>21</v>
      </c>
      <c r="D1958" s="2" t="s">
        <v>19</v>
      </c>
      <c r="E1958">
        <v>17819</v>
      </c>
      <c r="F1958">
        <v>599</v>
      </c>
      <c r="G1958">
        <v>53</v>
      </c>
      <c r="H1958">
        <v>1502.09</v>
      </c>
      <c r="I1958">
        <v>10274.030000000001</v>
      </c>
      <c r="J1958">
        <v>3.36</v>
      </c>
      <c r="K1958">
        <v>8.85</v>
      </c>
      <c r="L1958">
        <v>28.34</v>
      </c>
      <c r="M1958">
        <v>6.84</v>
      </c>
      <c r="N1958">
        <v>8771.94</v>
      </c>
    </row>
    <row r="1959" spans="1:14" x14ac:dyDescent="0.2">
      <c r="A1959" s="1">
        <v>45637</v>
      </c>
      <c r="B1959" s="2" t="s">
        <v>17</v>
      </c>
      <c r="C1959" s="2" t="s">
        <v>28</v>
      </c>
      <c r="D1959" s="2" t="s">
        <v>36</v>
      </c>
      <c r="E1959">
        <v>25530</v>
      </c>
      <c r="F1959">
        <v>814</v>
      </c>
      <c r="G1959">
        <v>62</v>
      </c>
      <c r="H1959">
        <v>1095.69</v>
      </c>
      <c r="I1959">
        <v>8149.3</v>
      </c>
      <c r="J1959">
        <v>3.19</v>
      </c>
      <c r="K1959">
        <v>7.62</v>
      </c>
      <c r="L1959">
        <v>17.670000000000002</v>
      </c>
      <c r="M1959">
        <v>7.44</v>
      </c>
      <c r="N1959">
        <v>7053.61</v>
      </c>
    </row>
    <row r="1960" spans="1:14" x14ac:dyDescent="0.2">
      <c r="A1960" s="1">
        <v>45637</v>
      </c>
      <c r="B1960" s="2" t="s">
        <v>20</v>
      </c>
      <c r="C1960" s="2" t="s">
        <v>32</v>
      </c>
      <c r="D1960" s="2" t="s">
        <v>36</v>
      </c>
      <c r="E1960">
        <v>24266</v>
      </c>
      <c r="F1960">
        <v>806</v>
      </c>
      <c r="G1960">
        <v>36</v>
      </c>
      <c r="H1960">
        <v>782.73</v>
      </c>
      <c r="I1960">
        <v>3017.65</v>
      </c>
      <c r="J1960">
        <v>3.32</v>
      </c>
      <c r="K1960">
        <v>4.47</v>
      </c>
      <c r="L1960">
        <v>21.74</v>
      </c>
      <c r="M1960">
        <v>3.86</v>
      </c>
      <c r="N1960">
        <v>2234.92</v>
      </c>
    </row>
    <row r="1961" spans="1:14" x14ac:dyDescent="0.2">
      <c r="A1961" s="1">
        <v>45637</v>
      </c>
      <c r="B1961" s="2" t="s">
        <v>23</v>
      </c>
      <c r="C1961" s="2" t="s">
        <v>18</v>
      </c>
      <c r="D1961" s="2" t="s">
        <v>16</v>
      </c>
      <c r="E1961">
        <v>7571</v>
      </c>
      <c r="F1961">
        <v>184</v>
      </c>
      <c r="G1961">
        <v>21</v>
      </c>
      <c r="H1961">
        <v>1716.85</v>
      </c>
      <c r="I1961">
        <v>5833.17</v>
      </c>
      <c r="J1961">
        <v>2.4300000000000002</v>
      </c>
      <c r="K1961">
        <v>11.41</v>
      </c>
      <c r="L1961">
        <v>81.75</v>
      </c>
      <c r="M1961">
        <v>3.4</v>
      </c>
      <c r="N1961">
        <v>4116.32</v>
      </c>
    </row>
    <row r="1962" spans="1:14" x14ac:dyDescent="0.2">
      <c r="A1962" s="1">
        <v>45637</v>
      </c>
      <c r="B1962" s="2" t="s">
        <v>24</v>
      </c>
      <c r="C1962" s="2" t="s">
        <v>35</v>
      </c>
      <c r="D1962" s="2" t="s">
        <v>36</v>
      </c>
      <c r="E1962">
        <v>26089</v>
      </c>
      <c r="F1962">
        <v>5136</v>
      </c>
      <c r="G1962">
        <v>485</v>
      </c>
      <c r="H1962">
        <v>403.6</v>
      </c>
      <c r="I1962">
        <v>58523.68</v>
      </c>
      <c r="J1962">
        <v>19.690000000000001</v>
      </c>
      <c r="K1962">
        <v>9.44</v>
      </c>
      <c r="L1962">
        <v>0.83</v>
      </c>
      <c r="M1962">
        <v>145</v>
      </c>
      <c r="N1962">
        <v>58120.08</v>
      </c>
    </row>
    <row r="1963" spans="1:14" x14ac:dyDescent="0.2">
      <c r="A1963" s="1">
        <v>45637</v>
      </c>
      <c r="B1963" s="2" t="s">
        <v>26</v>
      </c>
      <c r="C1963" s="2" t="s">
        <v>21</v>
      </c>
      <c r="D1963" s="2" t="s">
        <v>36</v>
      </c>
      <c r="E1963">
        <v>35610</v>
      </c>
      <c r="F1963">
        <v>1667</v>
      </c>
      <c r="G1963">
        <v>218</v>
      </c>
      <c r="H1963">
        <v>0</v>
      </c>
      <c r="I1963">
        <v>25619.71</v>
      </c>
      <c r="J1963">
        <v>4.68</v>
      </c>
      <c r="K1963">
        <v>13.08</v>
      </c>
      <c r="L1963">
        <v>0</v>
      </c>
      <c r="M1963">
        <v>0</v>
      </c>
      <c r="N1963">
        <v>25619.71</v>
      </c>
    </row>
    <row r="1964" spans="1:14" x14ac:dyDescent="0.2">
      <c r="A1964" s="1">
        <v>45637</v>
      </c>
      <c r="B1964" s="2" t="s">
        <v>27</v>
      </c>
      <c r="C1964" s="2" t="s">
        <v>21</v>
      </c>
      <c r="D1964" s="2" t="s">
        <v>25</v>
      </c>
      <c r="E1964">
        <v>43993</v>
      </c>
      <c r="F1964">
        <v>709</v>
      </c>
      <c r="G1964">
        <v>32</v>
      </c>
      <c r="H1964">
        <v>1168.1199999999999</v>
      </c>
      <c r="I1964">
        <v>3793.36</v>
      </c>
      <c r="J1964">
        <v>1.61</v>
      </c>
      <c r="K1964">
        <v>4.51</v>
      </c>
      <c r="L1964">
        <v>36.5</v>
      </c>
      <c r="M1964">
        <v>3.25</v>
      </c>
      <c r="N1964">
        <v>2625.24</v>
      </c>
    </row>
    <row r="1965" spans="1:14" x14ac:dyDescent="0.2">
      <c r="A1965" s="1">
        <v>45637</v>
      </c>
      <c r="B1965" s="2" t="s">
        <v>29</v>
      </c>
      <c r="C1965" s="2" t="s">
        <v>21</v>
      </c>
      <c r="D1965" s="2" t="s">
        <v>25</v>
      </c>
      <c r="E1965">
        <v>27603</v>
      </c>
      <c r="F1965">
        <v>754</v>
      </c>
      <c r="G1965">
        <v>57</v>
      </c>
      <c r="H1965">
        <v>1185.5899999999999</v>
      </c>
      <c r="I1965">
        <v>8115.28</v>
      </c>
      <c r="J1965">
        <v>2.73</v>
      </c>
      <c r="K1965">
        <v>7.56</v>
      </c>
      <c r="L1965">
        <v>20.8</v>
      </c>
      <c r="M1965">
        <v>6.84</v>
      </c>
      <c r="N1965">
        <v>6929.69</v>
      </c>
    </row>
    <row r="1966" spans="1:14" x14ac:dyDescent="0.2">
      <c r="A1966" s="1">
        <v>45637</v>
      </c>
      <c r="B1966" s="2" t="s">
        <v>30</v>
      </c>
      <c r="C1966" s="2" t="s">
        <v>18</v>
      </c>
      <c r="D1966" s="2" t="s">
        <v>36</v>
      </c>
      <c r="E1966">
        <v>16134</v>
      </c>
      <c r="F1966">
        <v>539</v>
      </c>
      <c r="G1966">
        <v>26</v>
      </c>
      <c r="H1966">
        <v>898.22</v>
      </c>
      <c r="I1966">
        <v>2099.65</v>
      </c>
      <c r="J1966">
        <v>3.34</v>
      </c>
      <c r="K1966">
        <v>4.82</v>
      </c>
      <c r="L1966">
        <v>34.549999999999997</v>
      </c>
      <c r="M1966">
        <v>2.34</v>
      </c>
      <c r="N1966">
        <v>1201.43</v>
      </c>
    </row>
    <row r="1967" spans="1:14" x14ac:dyDescent="0.2">
      <c r="A1967" s="1">
        <v>45637</v>
      </c>
      <c r="B1967" s="2" t="s">
        <v>31</v>
      </c>
      <c r="C1967" s="2" t="s">
        <v>15</v>
      </c>
      <c r="D1967" s="2" t="s">
        <v>19</v>
      </c>
      <c r="E1967">
        <v>31581</v>
      </c>
      <c r="F1967">
        <v>1419</v>
      </c>
      <c r="G1967">
        <v>81</v>
      </c>
      <c r="H1967">
        <v>1082.6500000000001</v>
      </c>
      <c r="I1967">
        <v>9025.14</v>
      </c>
      <c r="J1967">
        <v>4.49</v>
      </c>
      <c r="K1967">
        <v>5.71</v>
      </c>
      <c r="L1967">
        <v>13.37</v>
      </c>
      <c r="M1967">
        <v>8.34</v>
      </c>
      <c r="N1967">
        <v>7942.49</v>
      </c>
    </row>
    <row r="1968" spans="1:14" x14ac:dyDescent="0.2">
      <c r="A1968" s="1">
        <v>45637</v>
      </c>
      <c r="B1968" s="2" t="s">
        <v>33</v>
      </c>
      <c r="C1968" s="2" t="s">
        <v>28</v>
      </c>
      <c r="D1968" s="2" t="s">
        <v>25</v>
      </c>
      <c r="E1968">
        <v>9966</v>
      </c>
      <c r="F1968">
        <v>662</v>
      </c>
      <c r="G1968">
        <v>57</v>
      </c>
      <c r="H1968">
        <v>877.07</v>
      </c>
      <c r="I1968">
        <v>8305.4500000000007</v>
      </c>
      <c r="J1968">
        <v>6.64</v>
      </c>
      <c r="K1968">
        <v>8.61</v>
      </c>
      <c r="L1968">
        <v>15.39</v>
      </c>
      <c r="M1968">
        <v>9.4700000000000006</v>
      </c>
      <c r="N1968">
        <v>7428.38</v>
      </c>
    </row>
    <row r="1969" spans="1:14" x14ac:dyDescent="0.2">
      <c r="A1969" s="1">
        <v>45637</v>
      </c>
      <c r="B1969" s="2" t="s">
        <v>34</v>
      </c>
      <c r="C1969" s="2" t="s">
        <v>28</v>
      </c>
      <c r="D1969" s="2" t="s">
        <v>19</v>
      </c>
      <c r="E1969">
        <v>6162</v>
      </c>
      <c r="F1969">
        <v>604</v>
      </c>
      <c r="G1969">
        <v>77</v>
      </c>
      <c r="H1969">
        <v>74.81</v>
      </c>
      <c r="I1969">
        <v>12198.33</v>
      </c>
      <c r="J1969">
        <v>9.8000000000000007</v>
      </c>
      <c r="K1969">
        <v>12.75</v>
      </c>
      <c r="L1969">
        <v>0.97</v>
      </c>
      <c r="M1969">
        <v>163.06</v>
      </c>
      <c r="N1969">
        <v>12123.52</v>
      </c>
    </row>
    <row r="1970" spans="1:14" x14ac:dyDescent="0.2">
      <c r="A1970" s="1">
        <v>45638</v>
      </c>
      <c r="B1970" s="2" t="s">
        <v>14</v>
      </c>
      <c r="C1970" s="2" t="s">
        <v>32</v>
      </c>
      <c r="D1970" s="2" t="s">
        <v>25</v>
      </c>
      <c r="E1970">
        <v>18211</v>
      </c>
      <c r="F1970">
        <v>593</v>
      </c>
      <c r="G1970">
        <v>54</v>
      </c>
      <c r="H1970">
        <v>1849.47</v>
      </c>
      <c r="I1970">
        <v>7125.52</v>
      </c>
      <c r="J1970">
        <v>3.26</v>
      </c>
      <c r="K1970">
        <v>9.11</v>
      </c>
      <c r="L1970">
        <v>34.25</v>
      </c>
      <c r="M1970">
        <v>3.85</v>
      </c>
      <c r="N1970">
        <v>5276.05</v>
      </c>
    </row>
    <row r="1971" spans="1:14" x14ac:dyDescent="0.2">
      <c r="A1971" s="1">
        <v>45638</v>
      </c>
      <c r="B1971" s="2" t="s">
        <v>17</v>
      </c>
      <c r="C1971" s="2" t="s">
        <v>35</v>
      </c>
      <c r="D1971" s="2" t="s">
        <v>36</v>
      </c>
      <c r="E1971">
        <v>17463</v>
      </c>
      <c r="F1971">
        <v>546</v>
      </c>
      <c r="G1971">
        <v>36</v>
      </c>
      <c r="H1971">
        <v>1644.21</v>
      </c>
      <c r="I1971">
        <v>3691.02</v>
      </c>
      <c r="J1971">
        <v>3.13</v>
      </c>
      <c r="K1971">
        <v>6.59</v>
      </c>
      <c r="L1971">
        <v>45.67</v>
      </c>
      <c r="M1971">
        <v>2.2400000000000002</v>
      </c>
      <c r="N1971">
        <v>2046.81</v>
      </c>
    </row>
    <row r="1972" spans="1:14" x14ac:dyDescent="0.2">
      <c r="A1972" s="1">
        <v>45638</v>
      </c>
      <c r="B1972" s="2" t="s">
        <v>20</v>
      </c>
      <c r="C1972" s="2" t="s">
        <v>35</v>
      </c>
      <c r="D1972" s="2" t="s">
        <v>22</v>
      </c>
      <c r="E1972">
        <v>16055</v>
      </c>
      <c r="F1972">
        <v>425</v>
      </c>
      <c r="G1972">
        <v>18</v>
      </c>
      <c r="H1972">
        <v>1023.43</v>
      </c>
      <c r="I1972">
        <v>2132.85</v>
      </c>
      <c r="J1972">
        <v>2.65</v>
      </c>
      <c r="K1972">
        <v>4.24</v>
      </c>
      <c r="L1972">
        <v>56.86</v>
      </c>
      <c r="M1972">
        <v>2.08</v>
      </c>
      <c r="N1972">
        <v>1109.42</v>
      </c>
    </row>
    <row r="1973" spans="1:14" x14ac:dyDescent="0.2">
      <c r="A1973" s="1">
        <v>45638</v>
      </c>
      <c r="B1973" s="2" t="s">
        <v>23</v>
      </c>
      <c r="C1973" s="2" t="s">
        <v>18</v>
      </c>
      <c r="D1973" s="2" t="s">
        <v>19</v>
      </c>
      <c r="E1973">
        <v>6976</v>
      </c>
      <c r="F1973">
        <v>151</v>
      </c>
      <c r="G1973">
        <v>21</v>
      </c>
      <c r="H1973">
        <v>1499.16</v>
      </c>
      <c r="I1973">
        <v>6555.42</v>
      </c>
      <c r="J1973">
        <v>2.16</v>
      </c>
      <c r="K1973">
        <v>13.91</v>
      </c>
      <c r="L1973">
        <v>71.39</v>
      </c>
      <c r="M1973">
        <v>4.37</v>
      </c>
      <c r="N1973">
        <v>5056.26</v>
      </c>
    </row>
    <row r="1974" spans="1:14" x14ac:dyDescent="0.2">
      <c r="A1974" s="1">
        <v>45638</v>
      </c>
      <c r="B1974" s="2" t="s">
        <v>24</v>
      </c>
      <c r="C1974" s="2" t="s">
        <v>32</v>
      </c>
      <c r="D1974" s="2" t="s">
        <v>22</v>
      </c>
      <c r="E1974">
        <v>27883</v>
      </c>
      <c r="F1974">
        <v>5402</v>
      </c>
      <c r="G1974">
        <v>453</v>
      </c>
      <c r="H1974">
        <v>263.38</v>
      </c>
      <c r="I1974">
        <v>57768.41</v>
      </c>
      <c r="J1974">
        <v>19.37</v>
      </c>
      <c r="K1974">
        <v>8.39</v>
      </c>
      <c r="L1974">
        <v>0.57999999999999996</v>
      </c>
      <c r="M1974">
        <v>219.33</v>
      </c>
      <c r="N1974">
        <v>57505.03</v>
      </c>
    </row>
    <row r="1975" spans="1:14" x14ac:dyDescent="0.2">
      <c r="A1975" s="1">
        <v>45638</v>
      </c>
      <c r="B1975" s="2" t="s">
        <v>26</v>
      </c>
      <c r="C1975" s="2" t="s">
        <v>18</v>
      </c>
      <c r="D1975" s="2" t="s">
        <v>19</v>
      </c>
      <c r="E1975">
        <v>29273</v>
      </c>
      <c r="F1975">
        <v>1847</v>
      </c>
      <c r="G1975">
        <v>205</v>
      </c>
      <c r="H1975">
        <v>0</v>
      </c>
      <c r="I1975">
        <v>30781.73</v>
      </c>
      <c r="J1975">
        <v>6.31</v>
      </c>
      <c r="K1975">
        <v>11.1</v>
      </c>
      <c r="L1975">
        <v>0</v>
      </c>
      <c r="M1975">
        <v>0</v>
      </c>
      <c r="N1975">
        <v>30781.73</v>
      </c>
    </row>
    <row r="1976" spans="1:14" x14ac:dyDescent="0.2">
      <c r="A1976" s="1">
        <v>45638</v>
      </c>
      <c r="B1976" s="2" t="s">
        <v>27</v>
      </c>
      <c r="C1976" s="2" t="s">
        <v>18</v>
      </c>
      <c r="D1976" s="2" t="s">
        <v>36</v>
      </c>
      <c r="E1976">
        <v>46694</v>
      </c>
      <c r="F1976">
        <v>637</v>
      </c>
      <c r="G1976">
        <v>23</v>
      </c>
      <c r="H1976">
        <v>1814.25</v>
      </c>
      <c r="I1976">
        <v>2107.1999999999998</v>
      </c>
      <c r="J1976">
        <v>1.36</v>
      </c>
      <c r="K1976">
        <v>3.61</v>
      </c>
      <c r="L1976">
        <v>78.88</v>
      </c>
      <c r="M1976">
        <v>1.1599999999999999</v>
      </c>
      <c r="N1976">
        <v>292.95</v>
      </c>
    </row>
    <row r="1977" spans="1:14" x14ac:dyDescent="0.2">
      <c r="A1977" s="1">
        <v>45638</v>
      </c>
      <c r="B1977" s="2" t="s">
        <v>29</v>
      </c>
      <c r="C1977" s="2" t="s">
        <v>32</v>
      </c>
      <c r="D1977" s="2" t="s">
        <v>19</v>
      </c>
      <c r="E1977">
        <v>31256</v>
      </c>
      <c r="F1977">
        <v>806</v>
      </c>
      <c r="G1977">
        <v>36</v>
      </c>
      <c r="H1977">
        <v>1744.63</v>
      </c>
      <c r="I1977">
        <v>3999.03</v>
      </c>
      <c r="J1977">
        <v>2.58</v>
      </c>
      <c r="K1977">
        <v>4.47</v>
      </c>
      <c r="L1977">
        <v>48.46</v>
      </c>
      <c r="M1977">
        <v>2.29</v>
      </c>
      <c r="N1977">
        <v>2254.4</v>
      </c>
    </row>
    <row r="1978" spans="1:14" x14ac:dyDescent="0.2">
      <c r="A1978" s="1">
        <v>45638</v>
      </c>
      <c r="B1978" s="2" t="s">
        <v>30</v>
      </c>
      <c r="C1978" s="2" t="s">
        <v>32</v>
      </c>
      <c r="D1978" s="2" t="s">
        <v>22</v>
      </c>
      <c r="E1978">
        <v>17507</v>
      </c>
      <c r="F1978">
        <v>400</v>
      </c>
      <c r="G1978">
        <v>14</v>
      </c>
      <c r="H1978">
        <v>1001.05</v>
      </c>
      <c r="I1978">
        <v>1454.71</v>
      </c>
      <c r="J1978">
        <v>2.2799999999999998</v>
      </c>
      <c r="K1978">
        <v>3.5</v>
      </c>
      <c r="L1978">
        <v>71.5</v>
      </c>
      <c r="M1978">
        <v>1.45</v>
      </c>
      <c r="N1978">
        <v>453.66</v>
      </c>
    </row>
    <row r="1979" spans="1:14" x14ac:dyDescent="0.2">
      <c r="A1979" s="1">
        <v>45638</v>
      </c>
      <c r="B1979" s="2" t="s">
        <v>31</v>
      </c>
      <c r="C1979" s="2" t="s">
        <v>21</v>
      </c>
      <c r="D1979" s="2" t="s">
        <v>16</v>
      </c>
      <c r="E1979">
        <v>31527</v>
      </c>
      <c r="F1979">
        <v>1013</v>
      </c>
      <c r="G1979">
        <v>47</v>
      </c>
      <c r="H1979">
        <v>1113.03</v>
      </c>
      <c r="I1979">
        <v>4695.24</v>
      </c>
      <c r="J1979">
        <v>3.21</v>
      </c>
      <c r="K1979">
        <v>4.6399999999999997</v>
      </c>
      <c r="L1979">
        <v>23.68</v>
      </c>
      <c r="M1979">
        <v>4.22</v>
      </c>
      <c r="N1979">
        <v>3582.21</v>
      </c>
    </row>
    <row r="1980" spans="1:14" x14ac:dyDescent="0.2">
      <c r="A1980" s="1">
        <v>45638</v>
      </c>
      <c r="B1980" s="2" t="s">
        <v>33</v>
      </c>
      <c r="C1980" s="2" t="s">
        <v>21</v>
      </c>
      <c r="D1980" s="2" t="s">
        <v>22</v>
      </c>
      <c r="E1980">
        <v>7033</v>
      </c>
      <c r="F1980">
        <v>334</v>
      </c>
      <c r="G1980">
        <v>32</v>
      </c>
      <c r="H1980">
        <v>831.03</v>
      </c>
      <c r="I1980">
        <v>3825.67</v>
      </c>
      <c r="J1980">
        <v>4.75</v>
      </c>
      <c r="K1980">
        <v>9.58</v>
      </c>
      <c r="L1980">
        <v>25.97</v>
      </c>
      <c r="M1980">
        <v>4.5999999999999996</v>
      </c>
      <c r="N1980">
        <v>2994.64</v>
      </c>
    </row>
    <row r="1981" spans="1:14" x14ac:dyDescent="0.2">
      <c r="A1981" s="1">
        <v>45638</v>
      </c>
      <c r="B1981" s="2" t="s">
        <v>34</v>
      </c>
      <c r="C1981" s="2" t="s">
        <v>35</v>
      </c>
      <c r="D1981" s="2" t="s">
        <v>25</v>
      </c>
      <c r="E1981">
        <v>9720</v>
      </c>
      <c r="F1981">
        <v>756</v>
      </c>
      <c r="G1981">
        <v>134</v>
      </c>
      <c r="H1981">
        <v>230.42</v>
      </c>
      <c r="I1981">
        <v>25043.360000000001</v>
      </c>
      <c r="J1981">
        <v>7.78</v>
      </c>
      <c r="K1981">
        <v>17.72</v>
      </c>
      <c r="L1981">
        <v>1.72</v>
      </c>
      <c r="M1981">
        <v>108.69</v>
      </c>
      <c r="N1981">
        <v>24812.94</v>
      </c>
    </row>
    <row r="1982" spans="1:14" x14ac:dyDescent="0.2">
      <c r="A1982" s="1">
        <v>45639</v>
      </c>
      <c r="B1982" s="2" t="s">
        <v>14</v>
      </c>
      <c r="C1982" s="2" t="s">
        <v>15</v>
      </c>
      <c r="D1982" s="2" t="s">
        <v>16</v>
      </c>
      <c r="E1982">
        <v>15748</v>
      </c>
      <c r="F1982">
        <v>515</v>
      </c>
      <c r="G1982">
        <v>50</v>
      </c>
      <c r="H1982">
        <v>1594.84</v>
      </c>
      <c r="I1982">
        <v>6329.75</v>
      </c>
      <c r="J1982">
        <v>3.27</v>
      </c>
      <c r="K1982">
        <v>9.7100000000000009</v>
      </c>
      <c r="L1982">
        <v>31.9</v>
      </c>
      <c r="M1982">
        <v>3.97</v>
      </c>
      <c r="N1982">
        <v>4734.91</v>
      </c>
    </row>
    <row r="1983" spans="1:14" x14ac:dyDescent="0.2">
      <c r="A1983" s="1">
        <v>45639</v>
      </c>
      <c r="B1983" s="2" t="s">
        <v>17</v>
      </c>
      <c r="C1983" s="2" t="s">
        <v>21</v>
      </c>
      <c r="D1983" s="2" t="s">
        <v>25</v>
      </c>
      <c r="E1983">
        <v>21127</v>
      </c>
      <c r="F1983">
        <v>691</v>
      </c>
      <c r="G1983">
        <v>50</v>
      </c>
      <c r="H1983">
        <v>1517.49</v>
      </c>
      <c r="I1983">
        <v>6018.25</v>
      </c>
      <c r="J1983">
        <v>3.27</v>
      </c>
      <c r="K1983">
        <v>7.24</v>
      </c>
      <c r="L1983">
        <v>30.35</v>
      </c>
      <c r="M1983">
        <v>3.97</v>
      </c>
      <c r="N1983">
        <v>4500.76</v>
      </c>
    </row>
    <row r="1984" spans="1:14" x14ac:dyDescent="0.2">
      <c r="A1984" s="1">
        <v>45639</v>
      </c>
      <c r="B1984" s="2" t="s">
        <v>20</v>
      </c>
      <c r="C1984" s="2" t="s">
        <v>28</v>
      </c>
      <c r="D1984" s="2" t="s">
        <v>19</v>
      </c>
      <c r="E1984">
        <v>22234</v>
      </c>
      <c r="F1984">
        <v>901</v>
      </c>
      <c r="G1984">
        <v>58</v>
      </c>
      <c r="H1984">
        <v>868.54</v>
      </c>
      <c r="I1984">
        <v>6443.13</v>
      </c>
      <c r="J1984">
        <v>4.05</v>
      </c>
      <c r="K1984">
        <v>6.44</v>
      </c>
      <c r="L1984">
        <v>14.97</v>
      </c>
      <c r="M1984">
        <v>7.42</v>
      </c>
      <c r="N1984">
        <v>5574.59</v>
      </c>
    </row>
    <row r="1985" spans="1:14" x14ac:dyDescent="0.2">
      <c r="A1985" s="1">
        <v>45639</v>
      </c>
      <c r="B1985" s="2" t="s">
        <v>23</v>
      </c>
      <c r="C1985" s="2" t="s">
        <v>21</v>
      </c>
      <c r="D1985" s="2" t="s">
        <v>22</v>
      </c>
      <c r="E1985">
        <v>6812</v>
      </c>
      <c r="F1985">
        <v>149</v>
      </c>
      <c r="G1985">
        <v>21</v>
      </c>
      <c r="H1985">
        <v>1551.15</v>
      </c>
      <c r="I1985">
        <v>7225</v>
      </c>
      <c r="J1985">
        <v>2.19</v>
      </c>
      <c r="K1985">
        <v>14.09</v>
      </c>
      <c r="L1985">
        <v>73.86</v>
      </c>
      <c r="M1985">
        <v>4.66</v>
      </c>
      <c r="N1985">
        <v>5673.85</v>
      </c>
    </row>
    <row r="1986" spans="1:14" x14ac:dyDescent="0.2">
      <c r="A1986" s="1">
        <v>45639</v>
      </c>
      <c r="B1986" s="2" t="s">
        <v>24</v>
      </c>
      <c r="C1986" s="2" t="s">
        <v>21</v>
      </c>
      <c r="D1986" s="2" t="s">
        <v>25</v>
      </c>
      <c r="E1986">
        <v>26128</v>
      </c>
      <c r="F1986">
        <v>5084</v>
      </c>
      <c r="G1986">
        <v>477</v>
      </c>
      <c r="H1986">
        <v>155.32</v>
      </c>
      <c r="I1986">
        <v>56296.55</v>
      </c>
      <c r="J1986">
        <v>19.46</v>
      </c>
      <c r="K1986">
        <v>9.3800000000000008</v>
      </c>
      <c r="L1986">
        <v>0.33</v>
      </c>
      <c r="M1986">
        <v>362.46</v>
      </c>
      <c r="N1986">
        <v>56141.23</v>
      </c>
    </row>
    <row r="1987" spans="1:14" x14ac:dyDescent="0.2">
      <c r="A1987" s="1">
        <v>45639</v>
      </c>
      <c r="B1987" s="2" t="s">
        <v>26</v>
      </c>
      <c r="C1987" s="2" t="s">
        <v>35</v>
      </c>
      <c r="D1987" s="2" t="s">
        <v>19</v>
      </c>
      <c r="E1987">
        <v>33910</v>
      </c>
      <c r="F1987">
        <v>2093</v>
      </c>
      <c r="G1987">
        <v>215</v>
      </c>
      <c r="H1987">
        <v>0</v>
      </c>
      <c r="I1987">
        <v>22725.45</v>
      </c>
      <c r="J1987">
        <v>6.17</v>
      </c>
      <c r="K1987">
        <v>10.27</v>
      </c>
      <c r="L1987">
        <v>0</v>
      </c>
      <c r="M1987">
        <v>0</v>
      </c>
      <c r="N1987">
        <v>22725.45</v>
      </c>
    </row>
    <row r="1988" spans="1:14" x14ac:dyDescent="0.2">
      <c r="A1988" s="1">
        <v>45639</v>
      </c>
      <c r="B1988" s="2" t="s">
        <v>27</v>
      </c>
      <c r="C1988" s="2" t="s">
        <v>32</v>
      </c>
      <c r="D1988" s="2" t="s">
        <v>16</v>
      </c>
      <c r="E1988">
        <v>49533</v>
      </c>
      <c r="F1988">
        <v>974</v>
      </c>
      <c r="G1988">
        <v>26</v>
      </c>
      <c r="H1988">
        <v>1389.7</v>
      </c>
      <c r="I1988">
        <v>2986.72</v>
      </c>
      <c r="J1988">
        <v>1.97</v>
      </c>
      <c r="K1988">
        <v>2.67</v>
      </c>
      <c r="L1988">
        <v>53.45</v>
      </c>
      <c r="M1988">
        <v>2.15</v>
      </c>
      <c r="N1988">
        <v>1597.02</v>
      </c>
    </row>
    <row r="1989" spans="1:14" x14ac:dyDescent="0.2">
      <c r="A1989" s="1">
        <v>45639</v>
      </c>
      <c r="B1989" s="2" t="s">
        <v>29</v>
      </c>
      <c r="C1989" s="2" t="s">
        <v>15</v>
      </c>
      <c r="D1989" s="2" t="s">
        <v>19</v>
      </c>
      <c r="E1989">
        <v>25891</v>
      </c>
      <c r="F1989">
        <v>484</v>
      </c>
      <c r="G1989">
        <v>26</v>
      </c>
      <c r="H1989">
        <v>1396.85</v>
      </c>
      <c r="I1989">
        <v>3275.02</v>
      </c>
      <c r="J1989">
        <v>1.87</v>
      </c>
      <c r="K1989">
        <v>5.37</v>
      </c>
      <c r="L1989">
        <v>53.72</v>
      </c>
      <c r="M1989">
        <v>2.34</v>
      </c>
      <c r="N1989">
        <v>1878.17</v>
      </c>
    </row>
    <row r="1990" spans="1:14" x14ac:dyDescent="0.2">
      <c r="A1990" s="1">
        <v>45639</v>
      </c>
      <c r="B1990" s="2" t="s">
        <v>30</v>
      </c>
      <c r="C1990" s="2" t="s">
        <v>32</v>
      </c>
      <c r="D1990" s="2" t="s">
        <v>25</v>
      </c>
      <c r="E1990">
        <v>11904</v>
      </c>
      <c r="F1990">
        <v>284</v>
      </c>
      <c r="G1990">
        <v>11</v>
      </c>
      <c r="H1990">
        <v>1048.52</v>
      </c>
      <c r="I1990">
        <v>1062.8</v>
      </c>
      <c r="J1990">
        <v>2.39</v>
      </c>
      <c r="K1990">
        <v>3.87</v>
      </c>
      <c r="L1990">
        <v>95.32</v>
      </c>
      <c r="M1990">
        <v>1.01</v>
      </c>
      <c r="N1990">
        <v>14.28</v>
      </c>
    </row>
    <row r="1991" spans="1:14" x14ac:dyDescent="0.2">
      <c r="A1991" s="1">
        <v>45639</v>
      </c>
      <c r="B1991" s="2" t="s">
        <v>31</v>
      </c>
      <c r="C1991" s="2" t="s">
        <v>21</v>
      </c>
      <c r="D1991" s="2" t="s">
        <v>25</v>
      </c>
      <c r="E1991">
        <v>25222</v>
      </c>
      <c r="F1991">
        <v>1080</v>
      </c>
      <c r="G1991">
        <v>72</v>
      </c>
      <c r="H1991">
        <v>847.32</v>
      </c>
      <c r="I1991">
        <v>7927</v>
      </c>
      <c r="J1991">
        <v>4.28</v>
      </c>
      <c r="K1991">
        <v>6.67</v>
      </c>
      <c r="L1991">
        <v>11.77</v>
      </c>
      <c r="M1991">
        <v>9.36</v>
      </c>
      <c r="N1991">
        <v>7079.68</v>
      </c>
    </row>
    <row r="1992" spans="1:14" x14ac:dyDescent="0.2">
      <c r="A1992" s="1">
        <v>45639</v>
      </c>
      <c r="B1992" s="2" t="s">
        <v>33</v>
      </c>
      <c r="C1992" s="2" t="s">
        <v>21</v>
      </c>
      <c r="D1992" s="2" t="s">
        <v>36</v>
      </c>
      <c r="E1992">
        <v>11631</v>
      </c>
      <c r="F1992">
        <v>774</v>
      </c>
      <c r="G1992">
        <v>92</v>
      </c>
      <c r="H1992">
        <v>646.15</v>
      </c>
      <c r="I1992">
        <v>11767.37</v>
      </c>
      <c r="J1992">
        <v>6.65</v>
      </c>
      <c r="K1992">
        <v>11.89</v>
      </c>
      <c r="L1992">
        <v>7.02</v>
      </c>
      <c r="M1992">
        <v>18.21</v>
      </c>
      <c r="N1992">
        <v>11121.22</v>
      </c>
    </row>
    <row r="1993" spans="1:14" x14ac:dyDescent="0.2">
      <c r="A1993" s="1">
        <v>45639</v>
      </c>
      <c r="B1993" s="2" t="s">
        <v>34</v>
      </c>
      <c r="C1993" s="2" t="s">
        <v>32</v>
      </c>
      <c r="D1993" s="2" t="s">
        <v>19</v>
      </c>
      <c r="E1993">
        <v>8629</v>
      </c>
      <c r="F1993">
        <v>443</v>
      </c>
      <c r="G1993">
        <v>64</v>
      </c>
      <c r="H1993">
        <v>274.73</v>
      </c>
      <c r="I1993">
        <v>11003.5</v>
      </c>
      <c r="J1993">
        <v>5.13</v>
      </c>
      <c r="K1993">
        <v>14.45</v>
      </c>
      <c r="L1993">
        <v>4.29</v>
      </c>
      <c r="M1993">
        <v>40.049999999999997</v>
      </c>
      <c r="N1993">
        <v>10728.77</v>
      </c>
    </row>
    <row r="1994" spans="1:14" x14ac:dyDescent="0.2">
      <c r="A1994" s="1">
        <v>45640</v>
      </c>
      <c r="B1994" s="2" t="s">
        <v>14</v>
      </c>
      <c r="C1994" s="2" t="s">
        <v>21</v>
      </c>
      <c r="D1994" s="2" t="s">
        <v>36</v>
      </c>
      <c r="E1994">
        <v>10017</v>
      </c>
      <c r="F1994">
        <v>459</v>
      </c>
      <c r="G1994">
        <v>44</v>
      </c>
      <c r="H1994">
        <v>797.6</v>
      </c>
      <c r="I1994">
        <v>7886.83</v>
      </c>
      <c r="J1994">
        <v>4.58</v>
      </c>
      <c r="K1994">
        <v>9.59</v>
      </c>
      <c r="L1994">
        <v>18.13</v>
      </c>
      <c r="M1994">
        <v>9.89</v>
      </c>
      <c r="N1994">
        <v>7089.23</v>
      </c>
    </row>
    <row r="1995" spans="1:14" x14ac:dyDescent="0.2">
      <c r="A1995" s="1">
        <v>45640</v>
      </c>
      <c r="B1995" s="2" t="s">
        <v>17</v>
      </c>
      <c r="C1995" s="2" t="s">
        <v>18</v>
      </c>
      <c r="D1995" s="2" t="s">
        <v>16</v>
      </c>
      <c r="E1995">
        <v>17504</v>
      </c>
      <c r="F1995">
        <v>440</v>
      </c>
      <c r="G1995">
        <v>29</v>
      </c>
      <c r="H1995">
        <v>863.75</v>
      </c>
      <c r="I1995">
        <v>4261.83</v>
      </c>
      <c r="J1995">
        <v>2.5099999999999998</v>
      </c>
      <c r="K1995">
        <v>6.59</v>
      </c>
      <c r="L1995">
        <v>29.78</v>
      </c>
      <c r="M1995">
        <v>4.93</v>
      </c>
      <c r="N1995">
        <v>3398.08</v>
      </c>
    </row>
    <row r="1996" spans="1:14" x14ac:dyDescent="0.2">
      <c r="A1996" s="1">
        <v>45640</v>
      </c>
      <c r="B1996" s="2" t="s">
        <v>20</v>
      </c>
      <c r="C1996" s="2" t="s">
        <v>18</v>
      </c>
      <c r="D1996" s="2" t="s">
        <v>22</v>
      </c>
      <c r="E1996">
        <v>16640</v>
      </c>
      <c r="F1996">
        <v>677</v>
      </c>
      <c r="G1996">
        <v>32</v>
      </c>
      <c r="H1996">
        <v>535.02</v>
      </c>
      <c r="I1996">
        <v>3952.42</v>
      </c>
      <c r="J1996">
        <v>4.07</v>
      </c>
      <c r="K1996">
        <v>4.7300000000000004</v>
      </c>
      <c r="L1996">
        <v>16.72</v>
      </c>
      <c r="M1996">
        <v>7.39</v>
      </c>
      <c r="N1996">
        <v>3417.4</v>
      </c>
    </row>
    <row r="1997" spans="1:14" x14ac:dyDescent="0.2">
      <c r="A1997" s="1">
        <v>45640</v>
      </c>
      <c r="B1997" s="2" t="s">
        <v>23</v>
      </c>
      <c r="C1997" s="2" t="s">
        <v>32</v>
      </c>
      <c r="D1997" s="2" t="s">
        <v>22</v>
      </c>
      <c r="E1997">
        <v>2949</v>
      </c>
      <c r="F1997">
        <v>59</v>
      </c>
      <c r="G1997">
        <v>6</v>
      </c>
      <c r="H1997">
        <v>1214.8900000000001</v>
      </c>
      <c r="I1997">
        <v>2043.54</v>
      </c>
      <c r="J1997">
        <v>2</v>
      </c>
      <c r="K1997">
        <v>10.17</v>
      </c>
      <c r="L1997">
        <v>202.48</v>
      </c>
      <c r="M1997">
        <v>1.68</v>
      </c>
      <c r="N1997">
        <v>828.65</v>
      </c>
    </row>
    <row r="1998" spans="1:14" x14ac:dyDescent="0.2">
      <c r="A1998" s="1">
        <v>45640</v>
      </c>
      <c r="B1998" s="2" t="s">
        <v>24</v>
      </c>
      <c r="C1998" s="2" t="s">
        <v>18</v>
      </c>
      <c r="D1998" s="2" t="s">
        <v>25</v>
      </c>
      <c r="E1998">
        <v>19173</v>
      </c>
      <c r="F1998">
        <v>4625</v>
      </c>
      <c r="G1998">
        <v>390</v>
      </c>
      <c r="H1998">
        <v>212.41</v>
      </c>
      <c r="I1998">
        <v>48376.26</v>
      </c>
      <c r="J1998">
        <v>24.12</v>
      </c>
      <c r="K1998">
        <v>8.43</v>
      </c>
      <c r="L1998">
        <v>0.54</v>
      </c>
      <c r="M1998">
        <v>227.75</v>
      </c>
      <c r="N1998">
        <v>48163.85</v>
      </c>
    </row>
    <row r="1999" spans="1:14" x14ac:dyDescent="0.2">
      <c r="A1999" s="1">
        <v>45640</v>
      </c>
      <c r="B1999" s="2" t="s">
        <v>26</v>
      </c>
      <c r="C1999" s="2" t="s">
        <v>28</v>
      </c>
      <c r="D1999" s="2" t="s">
        <v>16</v>
      </c>
      <c r="E1999">
        <v>33639</v>
      </c>
      <c r="F1999">
        <v>2641</v>
      </c>
      <c r="G1999">
        <v>295</v>
      </c>
      <c r="H1999">
        <v>0</v>
      </c>
      <c r="I1999">
        <v>44392.71</v>
      </c>
      <c r="J1999">
        <v>7.85</v>
      </c>
      <c r="K1999">
        <v>11.17</v>
      </c>
      <c r="L1999">
        <v>0</v>
      </c>
      <c r="M1999">
        <v>0</v>
      </c>
      <c r="N1999">
        <v>44392.71</v>
      </c>
    </row>
    <row r="2000" spans="1:14" x14ac:dyDescent="0.2">
      <c r="A2000" s="1">
        <v>45640</v>
      </c>
      <c r="B2000" s="2" t="s">
        <v>27</v>
      </c>
      <c r="C2000" s="2" t="s">
        <v>35</v>
      </c>
      <c r="D2000" s="2" t="s">
        <v>25</v>
      </c>
      <c r="E2000">
        <v>26452</v>
      </c>
      <c r="F2000">
        <v>389</v>
      </c>
      <c r="G2000">
        <v>18</v>
      </c>
      <c r="H2000">
        <v>782.03</v>
      </c>
      <c r="I2000">
        <v>2006.57</v>
      </c>
      <c r="J2000">
        <v>1.47</v>
      </c>
      <c r="K2000">
        <v>4.63</v>
      </c>
      <c r="L2000">
        <v>43.45</v>
      </c>
      <c r="M2000">
        <v>2.57</v>
      </c>
      <c r="N2000">
        <v>1224.54</v>
      </c>
    </row>
    <row r="2001" spans="1:14" x14ac:dyDescent="0.2">
      <c r="A2001" s="1">
        <v>45640</v>
      </c>
      <c r="B2001" s="2" t="s">
        <v>29</v>
      </c>
      <c r="C2001" s="2" t="s">
        <v>21</v>
      </c>
      <c r="D2001" s="2" t="s">
        <v>22</v>
      </c>
      <c r="E2001">
        <v>20320</v>
      </c>
      <c r="F2001">
        <v>342</v>
      </c>
      <c r="G2001">
        <v>22</v>
      </c>
      <c r="H2001">
        <v>940.77</v>
      </c>
      <c r="I2001">
        <v>2434.2800000000002</v>
      </c>
      <c r="J2001">
        <v>1.68</v>
      </c>
      <c r="K2001">
        <v>6.43</v>
      </c>
      <c r="L2001">
        <v>42.76</v>
      </c>
      <c r="M2001">
        <v>2.59</v>
      </c>
      <c r="N2001">
        <v>1493.51</v>
      </c>
    </row>
    <row r="2002" spans="1:14" x14ac:dyDescent="0.2">
      <c r="A2002" s="1">
        <v>45640</v>
      </c>
      <c r="B2002" s="2" t="s">
        <v>30</v>
      </c>
      <c r="C2002" s="2" t="s">
        <v>35</v>
      </c>
      <c r="D2002" s="2" t="s">
        <v>22</v>
      </c>
      <c r="E2002">
        <v>10661</v>
      </c>
      <c r="F2002">
        <v>307</v>
      </c>
      <c r="G2002">
        <v>13</v>
      </c>
      <c r="H2002">
        <v>476.99</v>
      </c>
      <c r="I2002">
        <v>1262.68</v>
      </c>
      <c r="J2002">
        <v>2.88</v>
      </c>
      <c r="K2002">
        <v>4.2300000000000004</v>
      </c>
      <c r="L2002">
        <v>36.69</v>
      </c>
      <c r="M2002">
        <v>2.65</v>
      </c>
      <c r="N2002">
        <v>785.69</v>
      </c>
    </row>
    <row r="2003" spans="1:14" x14ac:dyDescent="0.2">
      <c r="A2003" s="1">
        <v>45640</v>
      </c>
      <c r="B2003" s="2" t="s">
        <v>31</v>
      </c>
      <c r="C2003" s="2" t="s">
        <v>35</v>
      </c>
      <c r="D2003" s="2" t="s">
        <v>16</v>
      </c>
      <c r="E2003">
        <v>24488</v>
      </c>
      <c r="F2003">
        <v>627</v>
      </c>
      <c r="G2003">
        <v>38</v>
      </c>
      <c r="H2003">
        <v>918.57</v>
      </c>
      <c r="I2003">
        <v>3362.06</v>
      </c>
      <c r="J2003">
        <v>2.56</v>
      </c>
      <c r="K2003">
        <v>6.06</v>
      </c>
      <c r="L2003">
        <v>24.17</v>
      </c>
      <c r="M2003">
        <v>3.66</v>
      </c>
      <c r="N2003">
        <v>2443.4899999999998</v>
      </c>
    </row>
    <row r="2004" spans="1:14" x14ac:dyDescent="0.2">
      <c r="A2004" s="1">
        <v>45640</v>
      </c>
      <c r="B2004" s="2" t="s">
        <v>33</v>
      </c>
      <c r="C2004" s="2" t="s">
        <v>18</v>
      </c>
      <c r="D2004" s="2" t="s">
        <v>22</v>
      </c>
      <c r="E2004">
        <v>8628</v>
      </c>
      <c r="F2004">
        <v>432</v>
      </c>
      <c r="G2004">
        <v>41</v>
      </c>
      <c r="H2004">
        <v>486.18</v>
      </c>
      <c r="I2004">
        <v>6458.79</v>
      </c>
      <c r="J2004">
        <v>5.01</v>
      </c>
      <c r="K2004">
        <v>9.49</v>
      </c>
      <c r="L2004">
        <v>11.86</v>
      </c>
      <c r="M2004">
        <v>13.28</v>
      </c>
      <c r="N2004">
        <v>5972.61</v>
      </c>
    </row>
    <row r="2005" spans="1:14" x14ac:dyDescent="0.2">
      <c r="A2005" s="1">
        <v>45640</v>
      </c>
      <c r="B2005" s="2" t="s">
        <v>34</v>
      </c>
      <c r="C2005" s="2" t="s">
        <v>32</v>
      </c>
      <c r="D2005" s="2" t="s">
        <v>22</v>
      </c>
      <c r="E2005">
        <v>4527</v>
      </c>
      <c r="F2005">
        <v>316</v>
      </c>
      <c r="G2005">
        <v>45</v>
      </c>
      <c r="H2005">
        <v>51.54</v>
      </c>
      <c r="I2005">
        <v>5366.12</v>
      </c>
      <c r="J2005">
        <v>6.98</v>
      </c>
      <c r="K2005">
        <v>14.24</v>
      </c>
      <c r="L2005">
        <v>1.1499999999999999</v>
      </c>
      <c r="M2005">
        <v>104.12</v>
      </c>
      <c r="N2005">
        <v>5314.58</v>
      </c>
    </row>
    <row r="2006" spans="1:14" x14ac:dyDescent="0.2">
      <c r="A2006" s="1">
        <v>45641</v>
      </c>
      <c r="B2006" s="2" t="s">
        <v>14</v>
      </c>
      <c r="C2006" s="2" t="s">
        <v>18</v>
      </c>
      <c r="D2006" s="2" t="s">
        <v>25</v>
      </c>
      <c r="E2006">
        <v>13263</v>
      </c>
      <c r="F2006">
        <v>606</v>
      </c>
      <c r="G2006">
        <v>63</v>
      </c>
      <c r="H2006">
        <v>877.96</v>
      </c>
      <c r="I2006">
        <v>9691.2800000000007</v>
      </c>
      <c r="J2006">
        <v>4.57</v>
      </c>
      <c r="K2006">
        <v>10.4</v>
      </c>
      <c r="L2006">
        <v>13.94</v>
      </c>
      <c r="M2006">
        <v>11.04</v>
      </c>
      <c r="N2006">
        <v>8813.32</v>
      </c>
    </row>
    <row r="2007" spans="1:14" x14ac:dyDescent="0.2">
      <c r="A2007" s="1">
        <v>45641</v>
      </c>
      <c r="B2007" s="2" t="s">
        <v>17</v>
      </c>
      <c r="C2007" s="2" t="s">
        <v>35</v>
      </c>
      <c r="D2007" s="2" t="s">
        <v>16</v>
      </c>
      <c r="E2007">
        <v>18957</v>
      </c>
      <c r="F2007">
        <v>737</v>
      </c>
      <c r="G2007">
        <v>64</v>
      </c>
      <c r="H2007">
        <v>969.81</v>
      </c>
      <c r="I2007">
        <v>5426.51</v>
      </c>
      <c r="J2007">
        <v>3.89</v>
      </c>
      <c r="K2007">
        <v>8.68</v>
      </c>
      <c r="L2007">
        <v>15.15</v>
      </c>
      <c r="M2007">
        <v>5.6</v>
      </c>
      <c r="N2007">
        <v>4456.7</v>
      </c>
    </row>
    <row r="2008" spans="1:14" x14ac:dyDescent="0.2">
      <c r="A2008" s="1">
        <v>45641</v>
      </c>
      <c r="B2008" s="2" t="s">
        <v>20</v>
      </c>
      <c r="C2008" s="2" t="s">
        <v>35</v>
      </c>
      <c r="D2008" s="2" t="s">
        <v>36</v>
      </c>
      <c r="E2008">
        <v>15481</v>
      </c>
      <c r="F2008">
        <v>663</v>
      </c>
      <c r="G2008">
        <v>44</v>
      </c>
      <c r="H2008">
        <v>623.74</v>
      </c>
      <c r="I2008">
        <v>3798.68</v>
      </c>
      <c r="J2008">
        <v>4.28</v>
      </c>
      <c r="K2008">
        <v>6.64</v>
      </c>
      <c r="L2008">
        <v>14.18</v>
      </c>
      <c r="M2008">
        <v>6.09</v>
      </c>
      <c r="N2008">
        <v>3174.94</v>
      </c>
    </row>
    <row r="2009" spans="1:14" x14ac:dyDescent="0.2">
      <c r="A2009" s="1">
        <v>45641</v>
      </c>
      <c r="B2009" s="2" t="s">
        <v>23</v>
      </c>
      <c r="C2009" s="2" t="s">
        <v>32</v>
      </c>
      <c r="D2009" s="2" t="s">
        <v>16</v>
      </c>
      <c r="E2009">
        <v>5284</v>
      </c>
      <c r="F2009">
        <v>136</v>
      </c>
      <c r="G2009">
        <v>17</v>
      </c>
      <c r="H2009">
        <v>1442.42</v>
      </c>
      <c r="I2009">
        <v>4412.38</v>
      </c>
      <c r="J2009">
        <v>2.57</v>
      </c>
      <c r="K2009">
        <v>12.5</v>
      </c>
      <c r="L2009">
        <v>84.85</v>
      </c>
      <c r="M2009">
        <v>3.06</v>
      </c>
      <c r="N2009">
        <v>2969.96</v>
      </c>
    </row>
    <row r="2010" spans="1:14" x14ac:dyDescent="0.2">
      <c r="A2010" s="1">
        <v>45641</v>
      </c>
      <c r="B2010" s="2" t="s">
        <v>24</v>
      </c>
      <c r="C2010" s="2" t="s">
        <v>35</v>
      </c>
      <c r="D2010" s="2" t="s">
        <v>19</v>
      </c>
      <c r="E2010">
        <v>19759</v>
      </c>
      <c r="F2010">
        <v>3709</v>
      </c>
      <c r="G2010">
        <v>307</v>
      </c>
      <c r="H2010">
        <v>276.68</v>
      </c>
      <c r="I2010">
        <v>35016.61</v>
      </c>
      <c r="J2010">
        <v>18.77</v>
      </c>
      <c r="K2010">
        <v>8.2799999999999994</v>
      </c>
      <c r="L2010">
        <v>0.9</v>
      </c>
      <c r="M2010">
        <v>126.56</v>
      </c>
      <c r="N2010">
        <v>34739.93</v>
      </c>
    </row>
    <row r="2011" spans="1:14" x14ac:dyDescent="0.2">
      <c r="A2011" s="1">
        <v>45641</v>
      </c>
      <c r="B2011" s="2" t="s">
        <v>26</v>
      </c>
      <c r="C2011" s="2" t="s">
        <v>35</v>
      </c>
      <c r="D2011" s="2" t="s">
        <v>22</v>
      </c>
      <c r="E2011">
        <v>34075</v>
      </c>
      <c r="F2011">
        <v>2242</v>
      </c>
      <c r="G2011">
        <v>293</v>
      </c>
      <c r="H2011">
        <v>0</v>
      </c>
      <c r="I2011">
        <v>47700.08</v>
      </c>
      <c r="J2011">
        <v>6.58</v>
      </c>
      <c r="K2011">
        <v>13.07</v>
      </c>
      <c r="L2011">
        <v>0</v>
      </c>
      <c r="M2011">
        <v>0</v>
      </c>
      <c r="N2011">
        <v>47700.08</v>
      </c>
    </row>
    <row r="2012" spans="1:14" x14ac:dyDescent="0.2">
      <c r="A2012" s="1">
        <v>45641</v>
      </c>
      <c r="B2012" s="2" t="s">
        <v>27</v>
      </c>
      <c r="C2012" s="2" t="s">
        <v>21</v>
      </c>
      <c r="D2012" s="2" t="s">
        <v>36</v>
      </c>
      <c r="E2012">
        <v>26664</v>
      </c>
      <c r="F2012">
        <v>465</v>
      </c>
      <c r="G2012">
        <v>12</v>
      </c>
      <c r="H2012">
        <v>1207.9100000000001</v>
      </c>
      <c r="I2012">
        <v>997.13</v>
      </c>
      <c r="J2012">
        <v>1.74</v>
      </c>
      <c r="K2012">
        <v>2.58</v>
      </c>
      <c r="L2012">
        <v>100.66</v>
      </c>
      <c r="M2012">
        <v>0.83</v>
      </c>
      <c r="N2012">
        <v>-210.78</v>
      </c>
    </row>
    <row r="2013" spans="1:14" x14ac:dyDescent="0.2">
      <c r="A2013" s="1">
        <v>45641</v>
      </c>
      <c r="B2013" s="2" t="s">
        <v>29</v>
      </c>
      <c r="C2013" s="2" t="s">
        <v>15</v>
      </c>
      <c r="D2013" s="2" t="s">
        <v>36</v>
      </c>
      <c r="E2013">
        <v>20498</v>
      </c>
      <c r="F2013">
        <v>404</v>
      </c>
      <c r="G2013">
        <v>16</v>
      </c>
      <c r="H2013">
        <v>947.98</v>
      </c>
      <c r="I2013">
        <v>2177.12</v>
      </c>
      <c r="J2013">
        <v>1.97</v>
      </c>
      <c r="K2013">
        <v>3.96</v>
      </c>
      <c r="L2013">
        <v>59.25</v>
      </c>
      <c r="M2013">
        <v>2.2999999999999998</v>
      </c>
      <c r="N2013">
        <v>1229.1400000000001</v>
      </c>
    </row>
    <row r="2014" spans="1:14" x14ac:dyDescent="0.2">
      <c r="A2014" s="1">
        <v>45641</v>
      </c>
      <c r="B2014" s="2" t="s">
        <v>30</v>
      </c>
      <c r="C2014" s="2" t="s">
        <v>15</v>
      </c>
      <c r="D2014" s="2" t="s">
        <v>19</v>
      </c>
      <c r="E2014">
        <v>9407</v>
      </c>
      <c r="F2014">
        <v>286</v>
      </c>
      <c r="G2014">
        <v>15</v>
      </c>
      <c r="H2014">
        <v>488.77</v>
      </c>
      <c r="I2014">
        <v>1268.24</v>
      </c>
      <c r="J2014">
        <v>3.04</v>
      </c>
      <c r="K2014">
        <v>5.24</v>
      </c>
      <c r="L2014">
        <v>32.58</v>
      </c>
      <c r="M2014">
        <v>2.59</v>
      </c>
      <c r="N2014">
        <v>779.47</v>
      </c>
    </row>
    <row r="2015" spans="1:14" x14ac:dyDescent="0.2">
      <c r="A2015" s="1">
        <v>45641</v>
      </c>
      <c r="B2015" s="2" t="s">
        <v>31</v>
      </c>
      <c r="C2015" s="2" t="s">
        <v>21</v>
      </c>
      <c r="D2015" s="2" t="s">
        <v>25</v>
      </c>
      <c r="E2015">
        <v>29259</v>
      </c>
      <c r="F2015">
        <v>853</v>
      </c>
      <c r="G2015">
        <v>51</v>
      </c>
      <c r="H2015">
        <v>627.79</v>
      </c>
      <c r="I2015">
        <v>5626.18</v>
      </c>
      <c r="J2015">
        <v>2.92</v>
      </c>
      <c r="K2015">
        <v>5.98</v>
      </c>
      <c r="L2015">
        <v>12.31</v>
      </c>
      <c r="M2015">
        <v>8.9600000000000009</v>
      </c>
      <c r="N2015">
        <v>4998.3900000000003</v>
      </c>
    </row>
    <row r="2016" spans="1:14" x14ac:dyDescent="0.2">
      <c r="A2016" s="1">
        <v>45641</v>
      </c>
      <c r="B2016" s="2" t="s">
        <v>33</v>
      </c>
      <c r="C2016" s="2" t="s">
        <v>15</v>
      </c>
      <c r="D2016" s="2" t="s">
        <v>25</v>
      </c>
      <c r="E2016">
        <v>7787</v>
      </c>
      <c r="F2016">
        <v>360</v>
      </c>
      <c r="G2016">
        <v>46</v>
      </c>
      <c r="H2016">
        <v>552.55999999999995</v>
      </c>
      <c r="I2016">
        <v>5369.51</v>
      </c>
      <c r="J2016">
        <v>4.62</v>
      </c>
      <c r="K2016">
        <v>12.78</v>
      </c>
      <c r="L2016">
        <v>12.01</v>
      </c>
      <c r="M2016">
        <v>9.7200000000000006</v>
      </c>
      <c r="N2016">
        <v>4816.95</v>
      </c>
    </row>
    <row r="2017" spans="1:14" x14ac:dyDescent="0.2">
      <c r="A2017" s="1">
        <v>45641</v>
      </c>
      <c r="B2017" s="2" t="s">
        <v>34</v>
      </c>
      <c r="C2017" s="2" t="s">
        <v>35</v>
      </c>
      <c r="D2017" s="2" t="s">
        <v>22</v>
      </c>
      <c r="E2017">
        <v>4842</v>
      </c>
      <c r="F2017">
        <v>244</v>
      </c>
      <c r="G2017">
        <v>33</v>
      </c>
      <c r="H2017">
        <v>125.78</v>
      </c>
      <c r="I2017">
        <v>4387.43</v>
      </c>
      <c r="J2017">
        <v>5.04</v>
      </c>
      <c r="K2017">
        <v>13.52</v>
      </c>
      <c r="L2017">
        <v>3.81</v>
      </c>
      <c r="M2017">
        <v>34.880000000000003</v>
      </c>
      <c r="N2017">
        <v>4261.6499999999996</v>
      </c>
    </row>
    <row r="2018" spans="1:14" x14ac:dyDescent="0.2">
      <c r="A2018" s="1">
        <v>45642</v>
      </c>
      <c r="B2018" s="2" t="s">
        <v>14</v>
      </c>
      <c r="C2018" s="2" t="s">
        <v>15</v>
      </c>
      <c r="D2018" s="2" t="s">
        <v>25</v>
      </c>
      <c r="E2018">
        <v>13962</v>
      </c>
      <c r="F2018">
        <v>484</v>
      </c>
      <c r="G2018">
        <v>44</v>
      </c>
      <c r="H2018">
        <v>1832.25</v>
      </c>
      <c r="I2018">
        <v>4997.18</v>
      </c>
      <c r="J2018">
        <v>3.47</v>
      </c>
      <c r="K2018">
        <v>9.09</v>
      </c>
      <c r="L2018">
        <v>41.64</v>
      </c>
      <c r="M2018">
        <v>2.73</v>
      </c>
      <c r="N2018">
        <v>3164.93</v>
      </c>
    </row>
    <row r="2019" spans="1:14" x14ac:dyDescent="0.2">
      <c r="A2019" s="1">
        <v>45642</v>
      </c>
      <c r="B2019" s="2" t="s">
        <v>17</v>
      </c>
      <c r="C2019" s="2" t="s">
        <v>21</v>
      </c>
      <c r="D2019" s="2" t="s">
        <v>36</v>
      </c>
      <c r="E2019">
        <v>18943</v>
      </c>
      <c r="F2019">
        <v>628</v>
      </c>
      <c r="G2019">
        <v>53</v>
      </c>
      <c r="H2019">
        <v>1651.36</v>
      </c>
      <c r="I2019">
        <v>6438.55</v>
      </c>
      <c r="J2019">
        <v>3.32</v>
      </c>
      <c r="K2019">
        <v>8.44</v>
      </c>
      <c r="L2019">
        <v>31.16</v>
      </c>
      <c r="M2019">
        <v>3.9</v>
      </c>
      <c r="N2019">
        <v>4787.1899999999996</v>
      </c>
    </row>
    <row r="2020" spans="1:14" x14ac:dyDescent="0.2">
      <c r="A2020" s="1">
        <v>45642</v>
      </c>
      <c r="B2020" s="2" t="s">
        <v>20</v>
      </c>
      <c r="C2020" s="2" t="s">
        <v>35</v>
      </c>
      <c r="D2020" s="2" t="s">
        <v>19</v>
      </c>
      <c r="E2020">
        <v>17640</v>
      </c>
      <c r="F2020">
        <v>733</v>
      </c>
      <c r="G2020">
        <v>30</v>
      </c>
      <c r="H2020">
        <v>1365.98</v>
      </c>
      <c r="I2020">
        <v>2348.56</v>
      </c>
      <c r="J2020">
        <v>4.16</v>
      </c>
      <c r="K2020">
        <v>4.09</v>
      </c>
      <c r="L2020">
        <v>45.53</v>
      </c>
      <c r="M2020">
        <v>1.72</v>
      </c>
      <c r="N2020">
        <v>982.58</v>
      </c>
    </row>
    <row r="2021" spans="1:14" x14ac:dyDescent="0.2">
      <c r="A2021" s="1">
        <v>45642</v>
      </c>
      <c r="B2021" s="2" t="s">
        <v>23</v>
      </c>
      <c r="C2021" s="2" t="s">
        <v>21</v>
      </c>
      <c r="D2021" s="2" t="s">
        <v>22</v>
      </c>
      <c r="E2021">
        <v>6665</v>
      </c>
      <c r="F2021">
        <v>193</v>
      </c>
      <c r="G2021">
        <v>22</v>
      </c>
      <c r="H2021">
        <v>1459.06</v>
      </c>
      <c r="I2021">
        <v>6840.56</v>
      </c>
      <c r="J2021">
        <v>2.9</v>
      </c>
      <c r="K2021">
        <v>11.4</v>
      </c>
      <c r="L2021">
        <v>66.319999999999993</v>
      </c>
      <c r="M2021">
        <v>4.6900000000000004</v>
      </c>
      <c r="N2021">
        <v>5381.5</v>
      </c>
    </row>
    <row r="2022" spans="1:14" x14ac:dyDescent="0.2">
      <c r="A2022" s="1">
        <v>45642</v>
      </c>
      <c r="B2022" s="2" t="s">
        <v>24</v>
      </c>
      <c r="C2022" s="2" t="s">
        <v>15</v>
      </c>
      <c r="D2022" s="2" t="s">
        <v>16</v>
      </c>
      <c r="E2022">
        <v>29383</v>
      </c>
      <c r="F2022">
        <v>7032</v>
      </c>
      <c r="G2022">
        <v>891</v>
      </c>
      <c r="H2022">
        <v>319.56</v>
      </c>
      <c r="I2022">
        <v>106501.36</v>
      </c>
      <c r="J2022">
        <v>23.93</v>
      </c>
      <c r="K2022">
        <v>12.67</v>
      </c>
      <c r="L2022">
        <v>0.36</v>
      </c>
      <c r="M2022">
        <v>333.28</v>
      </c>
      <c r="N2022">
        <v>106181.8</v>
      </c>
    </row>
    <row r="2023" spans="1:14" x14ac:dyDescent="0.2">
      <c r="A2023" s="1">
        <v>45642</v>
      </c>
      <c r="B2023" s="2" t="s">
        <v>26</v>
      </c>
      <c r="C2023" s="2" t="s">
        <v>15</v>
      </c>
      <c r="D2023" s="2" t="s">
        <v>25</v>
      </c>
      <c r="E2023">
        <v>33497</v>
      </c>
      <c r="F2023">
        <v>2534</v>
      </c>
      <c r="G2023">
        <v>343</v>
      </c>
      <c r="H2023">
        <v>0</v>
      </c>
      <c r="I2023">
        <v>39053.769999999997</v>
      </c>
      <c r="J2023">
        <v>7.56</v>
      </c>
      <c r="K2023">
        <v>13.54</v>
      </c>
      <c r="L2023">
        <v>0</v>
      </c>
      <c r="M2023">
        <v>0</v>
      </c>
      <c r="N2023">
        <v>39053.769999999997</v>
      </c>
    </row>
    <row r="2024" spans="1:14" x14ac:dyDescent="0.2">
      <c r="A2024" s="1">
        <v>45642</v>
      </c>
      <c r="B2024" s="2" t="s">
        <v>27</v>
      </c>
      <c r="C2024" s="2" t="s">
        <v>28</v>
      </c>
      <c r="D2024" s="2" t="s">
        <v>25</v>
      </c>
      <c r="E2024">
        <v>43741</v>
      </c>
      <c r="F2024">
        <v>865</v>
      </c>
      <c r="G2024">
        <v>22</v>
      </c>
      <c r="H2024">
        <v>1501.71</v>
      </c>
      <c r="I2024">
        <v>2301.04</v>
      </c>
      <c r="J2024">
        <v>1.98</v>
      </c>
      <c r="K2024">
        <v>2.54</v>
      </c>
      <c r="L2024">
        <v>68.260000000000005</v>
      </c>
      <c r="M2024">
        <v>1.53</v>
      </c>
      <c r="N2024">
        <v>799.33</v>
      </c>
    </row>
    <row r="2025" spans="1:14" x14ac:dyDescent="0.2">
      <c r="A2025" s="1">
        <v>45642</v>
      </c>
      <c r="B2025" s="2" t="s">
        <v>29</v>
      </c>
      <c r="C2025" s="2" t="s">
        <v>18</v>
      </c>
      <c r="D2025" s="2" t="s">
        <v>22</v>
      </c>
      <c r="E2025">
        <v>25389</v>
      </c>
      <c r="F2025">
        <v>530</v>
      </c>
      <c r="G2025">
        <v>21</v>
      </c>
      <c r="H2025">
        <v>1226.8</v>
      </c>
      <c r="I2025">
        <v>2897.34</v>
      </c>
      <c r="J2025">
        <v>2.09</v>
      </c>
      <c r="K2025">
        <v>3.96</v>
      </c>
      <c r="L2025">
        <v>58.42</v>
      </c>
      <c r="M2025">
        <v>2.36</v>
      </c>
      <c r="N2025">
        <v>1670.54</v>
      </c>
    </row>
    <row r="2026" spans="1:14" x14ac:dyDescent="0.2">
      <c r="A2026" s="1">
        <v>45642</v>
      </c>
      <c r="B2026" s="2" t="s">
        <v>30</v>
      </c>
      <c r="C2026" s="2" t="s">
        <v>32</v>
      </c>
      <c r="D2026" s="2" t="s">
        <v>19</v>
      </c>
      <c r="E2026">
        <v>11369</v>
      </c>
      <c r="F2026">
        <v>389</v>
      </c>
      <c r="G2026">
        <v>14</v>
      </c>
      <c r="H2026">
        <v>1014.91</v>
      </c>
      <c r="I2026">
        <v>1110.1300000000001</v>
      </c>
      <c r="J2026">
        <v>3.42</v>
      </c>
      <c r="K2026">
        <v>3.6</v>
      </c>
      <c r="L2026">
        <v>72.489999999999995</v>
      </c>
      <c r="M2026">
        <v>1.0900000000000001</v>
      </c>
      <c r="N2026">
        <v>95.22</v>
      </c>
    </row>
    <row r="2027" spans="1:14" x14ac:dyDescent="0.2">
      <c r="A2027" s="1">
        <v>45642</v>
      </c>
      <c r="B2027" s="2" t="s">
        <v>31</v>
      </c>
      <c r="C2027" s="2" t="s">
        <v>32</v>
      </c>
      <c r="D2027" s="2" t="s">
        <v>22</v>
      </c>
      <c r="E2027">
        <v>41967</v>
      </c>
      <c r="F2027">
        <v>1278</v>
      </c>
      <c r="G2027">
        <v>64</v>
      </c>
      <c r="H2027">
        <v>1103.1099999999999</v>
      </c>
      <c r="I2027">
        <v>6114.73</v>
      </c>
      <c r="J2027">
        <v>3.05</v>
      </c>
      <c r="K2027">
        <v>5.01</v>
      </c>
      <c r="L2027">
        <v>17.239999999999998</v>
      </c>
      <c r="M2027">
        <v>5.54</v>
      </c>
      <c r="N2027">
        <v>5011.62</v>
      </c>
    </row>
    <row r="2028" spans="1:14" x14ac:dyDescent="0.2">
      <c r="A2028" s="1">
        <v>45642</v>
      </c>
      <c r="B2028" s="2" t="s">
        <v>33</v>
      </c>
      <c r="C2028" s="2" t="s">
        <v>15</v>
      </c>
      <c r="D2028" s="2" t="s">
        <v>25</v>
      </c>
      <c r="E2028">
        <v>11417</v>
      </c>
      <c r="F2028">
        <v>686</v>
      </c>
      <c r="G2028">
        <v>68</v>
      </c>
      <c r="H2028">
        <v>592.34</v>
      </c>
      <c r="I2028">
        <v>8571.1</v>
      </c>
      <c r="J2028">
        <v>6.01</v>
      </c>
      <c r="K2028">
        <v>9.91</v>
      </c>
      <c r="L2028">
        <v>8.7100000000000009</v>
      </c>
      <c r="M2028">
        <v>14.47</v>
      </c>
      <c r="N2028">
        <v>7978.76</v>
      </c>
    </row>
    <row r="2029" spans="1:14" x14ac:dyDescent="0.2">
      <c r="A2029" s="1">
        <v>45642</v>
      </c>
      <c r="B2029" s="2" t="s">
        <v>34</v>
      </c>
      <c r="C2029" s="2" t="s">
        <v>18</v>
      </c>
      <c r="D2029" s="2" t="s">
        <v>36</v>
      </c>
      <c r="E2029">
        <v>6399</v>
      </c>
      <c r="F2029">
        <v>495</v>
      </c>
      <c r="G2029">
        <v>65</v>
      </c>
      <c r="H2029">
        <v>128.66</v>
      </c>
      <c r="I2029">
        <v>10585.66</v>
      </c>
      <c r="J2029">
        <v>7.74</v>
      </c>
      <c r="K2029">
        <v>13.13</v>
      </c>
      <c r="L2029">
        <v>1.98</v>
      </c>
      <c r="M2029">
        <v>82.28</v>
      </c>
      <c r="N2029">
        <v>10457</v>
      </c>
    </row>
    <row r="2030" spans="1:14" x14ac:dyDescent="0.2">
      <c r="A2030" s="1">
        <v>45643</v>
      </c>
      <c r="B2030" s="2" t="s">
        <v>14</v>
      </c>
      <c r="C2030" s="2" t="s">
        <v>21</v>
      </c>
      <c r="D2030" s="2" t="s">
        <v>19</v>
      </c>
      <c r="E2030">
        <v>16069</v>
      </c>
      <c r="F2030">
        <v>546</v>
      </c>
      <c r="G2030">
        <v>49</v>
      </c>
      <c r="H2030">
        <v>2064.94</v>
      </c>
      <c r="I2030">
        <v>5620.21</v>
      </c>
      <c r="J2030">
        <v>3.4</v>
      </c>
      <c r="K2030">
        <v>8.9700000000000006</v>
      </c>
      <c r="L2030">
        <v>42.14</v>
      </c>
      <c r="M2030">
        <v>2.72</v>
      </c>
      <c r="N2030">
        <v>3555.27</v>
      </c>
    </row>
    <row r="2031" spans="1:14" x14ac:dyDescent="0.2">
      <c r="A2031" s="1">
        <v>45643</v>
      </c>
      <c r="B2031" s="2" t="s">
        <v>17</v>
      </c>
      <c r="C2031" s="2" t="s">
        <v>15</v>
      </c>
      <c r="D2031" s="2" t="s">
        <v>16</v>
      </c>
      <c r="E2031">
        <v>26507</v>
      </c>
      <c r="F2031">
        <v>826</v>
      </c>
      <c r="G2031">
        <v>49</v>
      </c>
      <c r="H2031">
        <v>1196.1300000000001</v>
      </c>
      <c r="I2031">
        <v>5006.62</v>
      </c>
      <c r="J2031">
        <v>3.12</v>
      </c>
      <c r="K2031">
        <v>5.93</v>
      </c>
      <c r="L2031">
        <v>24.41</v>
      </c>
      <c r="M2031">
        <v>4.1900000000000004</v>
      </c>
      <c r="N2031">
        <v>3810.49</v>
      </c>
    </row>
    <row r="2032" spans="1:14" x14ac:dyDescent="0.2">
      <c r="A2032" s="1">
        <v>45643</v>
      </c>
      <c r="B2032" s="2" t="s">
        <v>20</v>
      </c>
      <c r="C2032" s="2" t="s">
        <v>21</v>
      </c>
      <c r="D2032" s="2" t="s">
        <v>19</v>
      </c>
      <c r="E2032">
        <v>20910</v>
      </c>
      <c r="F2032">
        <v>537</v>
      </c>
      <c r="G2032">
        <v>42</v>
      </c>
      <c r="H2032">
        <v>1372.67</v>
      </c>
      <c r="I2032">
        <v>3203.83</v>
      </c>
      <c r="J2032">
        <v>2.57</v>
      </c>
      <c r="K2032">
        <v>7.82</v>
      </c>
      <c r="L2032">
        <v>32.68</v>
      </c>
      <c r="M2032">
        <v>2.33</v>
      </c>
      <c r="N2032">
        <v>1831.16</v>
      </c>
    </row>
    <row r="2033" spans="1:14" x14ac:dyDescent="0.2">
      <c r="A2033" s="1">
        <v>45643</v>
      </c>
      <c r="B2033" s="2" t="s">
        <v>23</v>
      </c>
      <c r="C2033" s="2" t="s">
        <v>35</v>
      </c>
      <c r="D2033" s="2" t="s">
        <v>22</v>
      </c>
      <c r="E2033">
        <v>5923</v>
      </c>
      <c r="F2033">
        <v>155</v>
      </c>
      <c r="G2033">
        <v>19</v>
      </c>
      <c r="H2033">
        <v>1817.82</v>
      </c>
      <c r="I2033">
        <v>5606.97</v>
      </c>
      <c r="J2033">
        <v>2.62</v>
      </c>
      <c r="K2033">
        <v>12.26</v>
      </c>
      <c r="L2033">
        <v>95.67</v>
      </c>
      <c r="M2033">
        <v>3.08</v>
      </c>
      <c r="N2033">
        <v>3789.15</v>
      </c>
    </row>
    <row r="2034" spans="1:14" x14ac:dyDescent="0.2">
      <c r="A2034" s="1">
        <v>45643</v>
      </c>
      <c r="B2034" s="2" t="s">
        <v>24</v>
      </c>
      <c r="C2034" s="2" t="s">
        <v>15</v>
      </c>
      <c r="D2034" s="2" t="s">
        <v>16</v>
      </c>
      <c r="E2034">
        <v>28970</v>
      </c>
      <c r="F2034">
        <v>6041</v>
      </c>
      <c r="G2034">
        <v>749</v>
      </c>
      <c r="H2034">
        <v>403.73</v>
      </c>
      <c r="I2034">
        <v>80365.149999999994</v>
      </c>
      <c r="J2034">
        <v>20.85</v>
      </c>
      <c r="K2034">
        <v>12.4</v>
      </c>
      <c r="L2034">
        <v>0.54</v>
      </c>
      <c r="M2034">
        <v>199.06</v>
      </c>
      <c r="N2034">
        <v>79961.42</v>
      </c>
    </row>
    <row r="2035" spans="1:14" x14ac:dyDescent="0.2">
      <c r="A2035" s="1">
        <v>45643</v>
      </c>
      <c r="B2035" s="2" t="s">
        <v>26</v>
      </c>
      <c r="C2035" s="2" t="s">
        <v>15</v>
      </c>
      <c r="D2035" s="2" t="s">
        <v>19</v>
      </c>
      <c r="E2035">
        <v>44948</v>
      </c>
      <c r="F2035">
        <v>2403</v>
      </c>
      <c r="G2035">
        <v>322</v>
      </c>
      <c r="H2035">
        <v>0</v>
      </c>
      <c r="I2035">
        <v>30833.13</v>
      </c>
      <c r="J2035">
        <v>5.35</v>
      </c>
      <c r="K2035">
        <v>13.4</v>
      </c>
      <c r="L2035">
        <v>0</v>
      </c>
      <c r="M2035">
        <v>0</v>
      </c>
      <c r="N2035">
        <v>30833.13</v>
      </c>
    </row>
    <row r="2036" spans="1:14" x14ac:dyDescent="0.2">
      <c r="A2036" s="1">
        <v>45643</v>
      </c>
      <c r="B2036" s="2" t="s">
        <v>27</v>
      </c>
      <c r="C2036" s="2" t="s">
        <v>28</v>
      </c>
      <c r="D2036" s="2" t="s">
        <v>16</v>
      </c>
      <c r="E2036">
        <v>38292</v>
      </c>
      <c r="F2036">
        <v>408</v>
      </c>
      <c r="G2036">
        <v>16</v>
      </c>
      <c r="H2036">
        <v>1485.77</v>
      </c>
      <c r="I2036">
        <v>2133.35</v>
      </c>
      <c r="J2036">
        <v>1.07</v>
      </c>
      <c r="K2036">
        <v>3.92</v>
      </c>
      <c r="L2036">
        <v>92.86</v>
      </c>
      <c r="M2036">
        <v>1.44</v>
      </c>
      <c r="N2036">
        <v>647.58000000000004</v>
      </c>
    </row>
    <row r="2037" spans="1:14" x14ac:dyDescent="0.2">
      <c r="A2037" s="1">
        <v>45643</v>
      </c>
      <c r="B2037" s="2" t="s">
        <v>29</v>
      </c>
      <c r="C2037" s="2" t="s">
        <v>35</v>
      </c>
      <c r="D2037" s="2" t="s">
        <v>22</v>
      </c>
      <c r="E2037">
        <v>27917</v>
      </c>
      <c r="F2037">
        <v>831</v>
      </c>
      <c r="G2037">
        <v>53</v>
      </c>
      <c r="H2037">
        <v>1507.1</v>
      </c>
      <c r="I2037">
        <v>6368.61</v>
      </c>
      <c r="J2037">
        <v>2.98</v>
      </c>
      <c r="K2037">
        <v>6.38</v>
      </c>
      <c r="L2037">
        <v>28.44</v>
      </c>
      <c r="M2037">
        <v>4.2300000000000004</v>
      </c>
      <c r="N2037">
        <v>4861.51</v>
      </c>
    </row>
    <row r="2038" spans="1:14" x14ac:dyDescent="0.2">
      <c r="A2038" s="1">
        <v>45643</v>
      </c>
      <c r="B2038" s="2" t="s">
        <v>30</v>
      </c>
      <c r="C2038" s="2" t="s">
        <v>21</v>
      </c>
      <c r="D2038" s="2" t="s">
        <v>16</v>
      </c>
      <c r="E2038">
        <v>13379</v>
      </c>
      <c r="F2038">
        <v>361</v>
      </c>
      <c r="G2038">
        <v>21</v>
      </c>
      <c r="H2038">
        <v>639.88</v>
      </c>
      <c r="I2038">
        <v>1578.34</v>
      </c>
      <c r="J2038">
        <v>2.7</v>
      </c>
      <c r="K2038">
        <v>5.82</v>
      </c>
      <c r="L2038">
        <v>30.47</v>
      </c>
      <c r="M2038">
        <v>2.4700000000000002</v>
      </c>
      <c r="N2038">
        <v>938.46</v>
      </c>
    </row>
    <row r="2039" spans="1:14" x14ac:dyDescent="0.2">
      <c r="A2039" s="1">
        <v>45643</v>
      </c>
      <c r="B2039" s="2" t="s">
        <v>31</v>
      </c>
      <c r="C2039" s="2" t="s">
        <v>35</v>
      </c>
      <c r="D2039" s="2" t="s">
        <v>19</v>
      </c>
      <c r="E2039">
        <v>35670</v>
      </c>
      <c r="F2039">
        <v>1372</v>
      </c>
      <c r="G2039">
        <v>51</v>
      </c>
      <c r="H2039">
        <v>880.89</v>
      </c>
      <c r="I2039">
        <v>5230.1899999999996</v>
      </c>
      <c r="J2039">
        <v>3.85</v>
      </c>
      <c r="K2039">
        <v>3.72</v>
      </c>
      <c r="L2039">
        <v>17.27</v>
      </c>
      <c r="M2039">
        <v>5.94</v>
      </c>
      <c r="N2039">
        <v>4349.3</v>
      </c>
    </row>
    <row r="2040" spans="1:14" x14ac:dyDescent="0.2">
      <c r="A2040" s="1">
        <v>45643</v>
      </c>
      <c r="B2040" s="2" t="s">
        <v>33</v>
      </c>
      <c r="C2040" s="2" t="s">
        <v>18</v>
      </c>
      <c r="D2040" s="2" t="s">
        <v>16</v>
      </c>
      <c r="E2040">
        <v>10533</v>
      </c>
      <c r="F2040">
        <v>438</v>
      </c>
      <c r="G2040">
        <v>46</v>
      </c>
      <c r="H2040">
        <v>944.17</v>
      </c>
      <c r="I2040">
        <v>5321.45</v>
      </c>
      <c r="J2040">
        <v>4.16</v>
      </c>
      <c r="K2040">
        <v>10.5</v>
      </c>
      <c r="L2040">
        <v>20.53</v>
      </c>
      <c r="M2040">
        <v>5.64</v>
      </c>
      <c r="N2040">
        <v>4377.28</v>
      </c>
    </row>
    <row r="2041" spans="1:14" x14ac:dyDescent="0.2">
      <c r="A2041" s="1">
        <v>45643</v>
      </c>
      <c r="B2041" s="2" t="s">
        <v>34</v>
      </c>
      <c r="C2041" s="2" t="s">
        <v>18</v>
      </c>
      <c r="D2041" s="2" t="s">
        <v>36</v>
      </c>
      <c r="E2041">
        <v>6196</v>
      </c>
      <c r="F2041">
        <v>565</v>
      </c>
      <c r="G2041">
        <v>67</v>
      </c>
      <c r="H2041">
        <v>152.01</v>
      </c>
      <c r="I2041">
        <v>11863.59</v>
      </c>
      <c r="J2041">
        <v>9.1199999999999992</v>
      </c>
      <c r="K2041">
        <v>11.86</v>
      </c>
      <c r="L2041">
        <v>2.27</v>
      </c>
      <c r="M2041">
        <v>78.040000000000006</v>
      </c>
      <c r="N2041">
        <v>11711.58</v>
      </c>
    </row>
    <row r="2042" spans="1:14" x14ac:dyDescent="0.2">
      <c r="A2042" s="1">
        <v>45644</v>
      </c>
      <c r="B2042" s="2" t="s">
        <v>14</v>
      </c>
      <c r="C2042" s="2" t="s">
        <v>28</v>
      </c>
      <c r="D2042" s="2" t="s">
        <v>36</v>
      </c>
      <c r="E2042">
        <v>20475</v>
      </c>
      <c r="F2042">
        <v>730</v>
      </c>
      <c r="G2042">
        <v>81</v>
      </c>
      <c r="H2042">
        <v>1279.02</v>
      </c>
      <c r="I2042">
        <v>10198.02</v>
      </c>
      <c r="J2042">
        <v>3.57</v>
      </c>
      <c r="K2042">
        <v>11.1</v>
      </c>
      <c r="L2042">
        <v>15.79</v>
      </c>
      <c r="M2042">
        <v>7.97</v>
      </c>
      <c r="N2042">
        <v>8919</v>
      </c>
    </row>
    <row r="2043" spans="1:14" x14ac:dyDescent="0.2">
      <c r="A2043" s="1">
        <v>45644</v>
      </c>
      <c r="B2043" s="2" t="s">
        <v>17</v>
      </c>
      <c r="C2043" s="2" t="s">
        <v>21</v>
      </c>
      <c r="D2043" s="2" t="s">
        <v>36</v>
      </c>
      <c r="E2043">
        <v>18519</v>
      </c>
      <c r="F2043">
        <v>719</v>
      </c>
      <c r="G2043">
        <v>37</v>
      </c>
      <c r="H2043">
        <v>1141.18</v>
      </c>
      <c r="I2043">
        <v>3789.2</v>
      </c>
      <c r="J2043">
        <v>3.88</v>
      </c>
      <c r="K2043">
        <v>5.15</v>
      </c>
      <c r="L2043">
        <v>30.84</v>
      </c>
      <c r="M2043">
        <v>3.32</v>
      </c>
      <c r="N2043">
        <v>2648.02</v>
      </c>
    </row>
    <row r="2044" spans="1:14" x14ac:dyDescent="0.2">
      <c r="A2044" s="1">
        <v>45644</v>
      </c>
      <c r="B2044" s="2" t="s">
        <v>20</v>
      </c>
      <c r="C2044" s="2" t="s">
        <v>28</v>
      </c>
      <c r="D2044" s="2" t="s">
        <v>36</v>
      </c>
      <c r="E2044">
        <v>21092</v>
      </c>
      <c r="F2044">
        <v>792</v>
      </c>
      <c r="G2044">
        <v>43</v>
      </c>
      <c r="H2044">
        <v>793.41</v>
      </c>
      <c r="I2044">
        <v>3385.06</v>
      </c>
      <c r="J2044">
        <v>3.75</v>
      </c>
      <c r="K2044">
        <v>5.43</v>
      </c>
      <c r="L2044">
        <v>18.45</v>
      </c>
      <c r="M2044">
        <v>4.2699999999999996</v>
      </c>
      <c r="N2044">
        <v>2591.65</v>
      </c>
    </row>
    <row r="2045" spans="1:14" x14ac:dyDescent="0.2">
      <c r="A2045" s="1">
        <v>45644</v>
      </c>
      <c r="B2045" s="2" t="s">
        <v>23</v>
      </c>
      <c r="C2045" s="2" t="s">
        <v>35</v>
      </c>
      <c r="D2045" s="2" t="s">
        <v>25</v>
      </c>
      <c r="E2045">
        <v>8083</v>
      </c>
      <c r="F2045">
        <v>142</v>
      </c>
      <c r="G2045">
        <v>15</v>
      </c>
      <c r="H2045">
        <v>1386.37</v>
      </c>
      <c r="I2045">
        <v>4151.16</v>
      </c>
      <c r="J2045">
        <v>1.76</v>
      </c>
      <c r="K2045">
        <v>10.56</v>
      </c>
      <c r="L2045">
        <v>92.42</v>
      </c>
      <c r="M2045">
        <v>2.99</v>
      </c>
      <c r="N2045">
        <v>2764.79</v>
      </c>
    </row>
    <row r="2046" spans="1:14" x14ac:dyDescent="0.2">
      <c r="A2046" s="1">
        <v>45644</v>
      </c>
      <c r="B2046" s="2" t="s">
        <v>24</v>
      </c>
      <c r="C2046" s="2" t="s">
        <v>28</v>
      </c>
      <c r="D2046" s="2" t="s">
        <v>16</v>
      </c>
      <c r="E2046">
        <v>30970</v>
      </c>
      <c r="F2046">
        <v>5035</v>
      </c>
      <c r="G2046">
        <v>457</v>
      </c>
      <c r="H2046">
        <v>404.22</v>
      </c>
      <c r="I2046">
        <v>57165.49</v>
      </c>
      <c r="J2046">
        <v>16.260000000000002</v>
      </c>
      <c r="K2046">
        <v>9.08</v>
      </c>
      <c r="L2046">
        <v>0.88</v>
      </c>
      <c r="M2046">
        <v>141.41999999999999</v>
      </c>
      <c r="N2046">
        <v>56761.27</v>
      </c>
    </row>
    <row r="2047" spans="1:14" x14ac:dyDescent="0.2">
      <c r="A2047" s="1">
        <v>45644</v>
      </c>
      <c r="B2047" s="2" t="s">
        <v>26</v>
      </c>
      <c r="C2047" s="2" t="s">
        <v>28</v>
      </c>
      <c r="D2047" s="2" t="s">
        <v>25</v>
      </c>
      <c r="E2047">
        <v>48937</v>
      </c>
      <c r="F2047">
        <v>3529</v>
      </c>
      <c r="G2047">
        <v>477</v>
      </c>
      <c r="H2047">
        <v>0</v>
      </c>
      <c r="I2047">
        <v>52493.84</v>
      </c>
      <c r="J2047">
        <v>7.21</v>
      </c>
      <c r="K2047">
        <v>13.52</v>
      </c>
      <c r="L2047">
        <v>0</v>
      </c>
      <c r="M2047">
        <v>0</v>
      </c>
      <c r="N2047">
        <v>52493.84</v>
      </c>
    </row>
    <row r="2048" spans="1:14" x14ac:dyDescent="0.2">
      <c r="A2048" s="1">
        <v>45644</v>
      </c>
      <c r="B2048" s="2" t="s">
        <v>27</v>
      </c>
      <c r="C2048" s="2" t="s">
        <v>15</v>
      </c>
      <c r="D2048" s="2" t="s">
        <v>22</v>
      </c>
      <c r="E2048">
        <v>44534</v>
      </c>
      <c r="F2048">
        <v>495</v>
      </c>
      <c r="G2048">
        <v>22</v>
      </c>
      <c r="H2048">
        <v>1359.5</v>
      </c>
      <c r="I2048">
        <v>2374.5100000000002</v>
      </c>
      <c r="J2048">
        <v>1.1100000000000001</v>
      </c>
      <c r="K2048">
        <v>4.4400000000000004</v>
      </c>
      <c r="L2048">
        <v>61.8</v>
      </c>
      <c r="M2048">
        <v>1.75</v>
      </c>
      <c r="N2048">
        <v>1015.01</v>
      </c>
    </row>
    <row r="2049" spans="1:14" x14ac:dyDescent="0.2">
      <c r="A2049" s="1">
        <v>45644</v>
      </c>
      <c r="B2049" s="2" t="s">
        <v>29</v>
      </c>
      <c r="C2049" s="2" t="s">
        <v>21</v>
      </c>
      <c r="D2049" s="2" t="s">
        <v>36</v>
      </c>
      <c r="E2049">
        <v>27298</v>
      </c>
      <c r="F2049">
        <v>449</v>
      </c>
      <c r="G2049">
        <v>21</v>
      </c>
      <c r="H2049">
        <v>1570.5</v>
      </c>
      <c r="I2049">
        <v>2581.5700000000002</v>
      </c>
      <c r="J2049">
        <v>1.64</v>
      </c>
      <c r="K2049">
        <v>4.68</v>
      </c>
      <c r="L2049">
        <v>74.790000000000006</v>
      </c>
      <c r="M2049">
        <v>1.64</v>
      </c>
      <c r="N2049">
        <v>1011.07</v>
      </c>
    </row>
    <row r="2050" spans="1:14" x14ac:dyDescent="0.2">
      <c r="A2050" s="1">
        <v>45644</v>
      </c>
      <c r="B2050" s="2" t="s">
        <v>30</v>
      </c>
      <c r="C2050" s="2" t="s">
        <v>18</v>
      </c>
      <c r="D2050" s="2" t="s">
        <v>16</v>
      </c>
      <c r="E2050">
        <v>18208</v>
      </c>
      <c r="F2050">
        <v>459</v>
      </c>
      <c r="G2050">
        <v>22</v>
      </c>
      <c r="H2050">
        <v>734.94</v>
      </c>
      <c r="I2050">
        <v>2060.8200000000002</v>
      </c>
      <c r="J2050">
        <v>2.52</v>
      </c>
      <c r="K2050">
        <v>4.79</v>
      </c>
      <c r="L2050">
        <v>33.409999999999997</v>
      </c>
      <c r="M2050">
        <v>2.8</v>
      </c>
      <c r="N2050">
        <v>1325.88</v>
      </c>
    </row>
    <row r="2051" spans="1:14" x14ac:dyDescent="0.2">
      <c r="A2051" s="1">
        <v>45644</v>
      </c>
      <c r="B2051" s="2" t="s">
        <v>31</v>
      </c>
      <c r="C2051" s="2" t="s">
        <v>35</v>
      </c>
      <c r="D2051" s="2" t="s">
        <v>16</v>
      </c>
      <c r="E2051">
        <v>36832</v>
      </c>
      <c r="F2051">
        <v>970</v>
      </c>
      <c r="G2051">
        <v>51</v>
      </c>
      <c r="H2051">
        <v>938.71</v>
      </c>
      <c r="I2051">
        <v>4015.81</v>
      </c>
      <c r="J2051">
        <v>2.63</v>
      </c>
      <c r="K2051">
        <v>5.26</v>
      </c>
      <c r="L2051">
        <v>18.41</v>
      </c>
      <c r="M2051">
        <v>4.28</v>
      </c>
      <c r="N2051">
        <v>3077.1</v>
      </c>
    </row>
    <row r="2052" spans="1:14" x14ac:dyDescent="0.2">
      <c r="A2052" s="1">
        <v>45644</v>
      </c>
      <c r="B2052" s="2" t="s">
        <v>33</v>
      </c>
      <c r="C2052" s="2" t="s">
        <v>35</v>
      </c>
      <c r="D2052" s="2" t="s">
        <v>19</v>
      </c>
      <c r="E2052">
        <v>8730</v>
      </c>
      <c r="F2052">
        <v>589</v>
      </c>
      <c r="G2052">
        <v>54</v>
      </c>
      <c r="H2052">
        <v>944.15</v>
      </c>
      <c r="I2052">
        <v>7304.05</v>
      </c>
      <c r="J2052">
        <v>6.75</v>
      </c>
      <c r="K2052">
        <v>9.17</v>
      </c>
      <c r="L2052">
        <v>17.48</v>
      </c>
      <c r="M2052">
        <v>7.74</v>
      </c>
      <c r="N2052">
        <v>6359.9</v>
      </c>
    </row>
    <row r="2053" spans="1:14" x14ac:dyDescent="0.2">
      <c r="A2053" s="1">
        <v>45644</v>
      </c>
      <c r="B2053" s="2" t="s">
        <v>34</v>
      </c>
      <c r="C2053" s="2" t="s">
        <v>18</v>
      </c>
      <c r="D2053" s="2" t="s">
        <v>16</v>
      </c>
      <c r="E2053">
        <v>5849</v>
      </c>
      <c r="F2053">
        <v>442</v>
      </c>
      <c r="G2053">
        <v>74</v>
      </c>
      <c r="H2053">
        <v>178.97</v>
      </c>
      <c r="I2053">
        <v>10345.24</v>
      </c>
      <c r="J2053">
        <v>7.56</v>
      </c>
      <c r="K2053">
        <v>16.739999999999998</v>
      </c>
      <c r="L2053">
        <v>2.42</v>
      </c>
      <c r="M2053">
        <v>57.8</v>
      </c>
      <c r="N2053">
        <v>10166.27</v>
      </c>
    </row>
    <row r="2054" spans="1:14" x14ac:dyDescent="0.2">
      <c r="A2054" s="1">
        <v>45645</v>
      </c>
      <c r="B2054" s="2" t="s">
        <v>14</v>
      </c>
      <c r="C2054" s="2" t="s">
        <v>35</v>
      </c>
      <c r="D2054" s="2" t="s">
        <v>22</v>
      </c>
      <c r="E2054">
        <v>20725</v>
      </c>
      <c r="F2054">
        <v>728</v>
      </c>
      <c r="G2054">
        <v>77</v>
      </c>
      <c r="H2054">
        <v>2050.98</v>
      </c>
      <c r="I2054">
        <v>13105.41</v>
      </c>
      <c r="J2054">
        <v>3.51</v>
      </c>
      <c r="K2054">
        <v>10.58</v>
      </c>
      <c r="L2054">
        <v>26.64</v>
      </c>
      <c r="M2054">
        <v>6.39</v>
      </c>
      <c r="N2054">
        <v>11054.43</v>
      </c>
    </row>
    <row r="2055" spans="1:14" x14ac:dyDescent="0.2">
      <c r="A2055" s="1">
        <v>45645</v>
      </c>
      <c r="B2055" s="2" t="s">
        <v>17</v>
      </c>
      <c r="C2055" s="2" t="s">
        <v>28</v>
      </c>
      <c r="D2055" s="2" t="s">
        <v>22</v>
      </c>
      <c r="E2055">
        <v>18408</v>
      </c>
      <c r="F2055">
        <v>610</v>
      </c>
      <c r="G2055">
        <v>42</v>
      </c>
      <c r="H2055">
        <v>1331</v>
      </c>
      <c r="I2055">
        <v>4270.05</v>
      </c>
      <c r="J2055">
        <v>3.31</v>
      </c>
      <c r="K2055">
        <v>6.89</v>
      </c>
      <c r="L2055">
        <v>31.69</v>
      </c>
      <c r="M2055">
        <v>3.21</v>
      </c>
      <c r="N2055">
        <v>2939.05</v>
      </c>
    </row>
    <row r="2056" spans="1:14" x14ac:dyDescent="0.2">
      <c r="A2056" s="1">
        <v>45645</v>
      </c>
      <c r="B2056" s="2" t="s">
        <v>20</v>
      </c>
      <c r="C2056" s="2" t="s">
        <v>15</v>
      </c>
      <c r="D2056" s="2" t="s">
        <v>16</v>
      </c>
      <c r="E2056">
        <v>22850</v>
      </c>
      <c r="F2056">
        <v>897</v>
      </c>
      <c r="G2056">
        <v>42</v>
      </c>
      <c r="H2056">
        <v>1110.79</v>
      </c>
      <c r="I2056">
        <v>3837.2</v>
      </c>
      <c r="J2056">
        <v>3.93</v>
      </c>
      <c r="K2056">
        <v>4.68</v>
      </c>
      <c r="L2056">
        <v>26.45</v>
      </c>
      <c r="M2056">
        <v>3.45</v>
      </c>
      <c r="N2056">
        <v>2726.41</v>
      </c>
    </row>
    <row r="2057" spans="1:14" x14ac:dyDescent="0.2">
      <c r="A2057" s="1">
        <v>45645</v>
      </c>
      <c r="B2057" s="2" t="s">
        <v>23</v>
      </c>
      <c r="C2057" s="2" t="s">
        <v>32</v>
      </c>
      <c r="D2057" s="2" t="s">
        <v>16</v>
      </c>
      <c r="E2057">
        <v>6393</v>
      </c>
      <c r="F2057">
        <v>148</v>
      </c>
      <c r="G2057">
        <v>15</v>
      </c>
      <c r="H2057">
        <v>1476.5</v>
      </c>
      <c r="I2057">
        <v>4663.12</v>
      </c>
      <c r="J2057">
        <v>2.3199999999999998</v>
      </c>
      <c r="K2057">
        <v>10.14</v>
      </c>
      <c r="L2057">
        <v>98.43</v>
      </c>
      <c r="M2057">
        <v>3.16</v>
      </c>
      <c r="N2057">
        <v>3186.62</v>
      </c>
    </row>
    <row r="2058" spans="1:14" x14ac:dyDescent="0.2">
      <c r="A2058" s="1">
        <v>45645</v>
      </c>
      <c r="B2058" s="2" t="s">
        <v>24</v>
      </c>
      <c r="C2058" s="2" t="s">
        <v>35</v>
      </c>
      <c r="D2058" s="2" t="s">
        <v>25</v>
      </c>
      <c r="E2058">
        <v>21260</v>
      </c>
      <c r="F2058">
        <v>4897</v>
      </c>
      <c r="G2058">
        <v>604</v>
      </c>
      <c r="H2058">
        <v>347.83</v>
      </c>
      <c r="I2058">
        <v>79263.509999999995</v>
      </c>
      <c r="J2058">
        <v>23.03</v>
      </c>
      <c r="K2058">
        <v>12.33</v>
      </c>
      <c r="L2058">
        <v>0.57999999999999996</v>
      </c>
      <c r="M2058">
        <v>227.88</v>
      </c>
      <c r="N2058">
        <v>78915.679999999993</v>
      </c>
    </row>
    <row r="2059" spans="1:14" x14ac:dyDescent="0.2">
      <c r="A2059" s="1">
        <v>45645</v>
      </c>
      <c r="B2059" s="2" t="s">
        <v>26</v>
      </c>
      <c r="C2059" s="2" t="s">
        <v>32</v>
      </c>
      <c r="D2059" s="2" t="s">
        <v>36</v>
      </c>
      <c r="E2059">
        <v>38400</v>
      </c>
      <c r="F2059">
        <v>2937</v>
      </c>
      <c r="G2059">
        <v>460</v>
      </c>
      <c r="H2059">
        <v>0</v>
      </c>
      <c r="I2059">
        <v>69374.44</v>
      </c>
      <c r="J2059">
        <v>7.65</v>
      </c>
      <c r="K2059">
        <v>15.66</v>
      </c>
      <c r="L2059">
        <v>0</v>
      </c>
      <c r="M2059">
        <v>0</v>
      </c>
      <c r="N2059">
        <v>69374.44</v>
      </c>
    </row>
    <row r="2060" spans="1:14" x14ac:dyDescent="0.2">
      <c r="A2060" s="1">
        <v>45645</v>
      </c>
      <c r="B2060" s="2" t="s">
        <v>27</v>
      </c>
      <c r="C2060" s="2" t="s">
        <v>15</v>
      </c>
      <c r="D2060" s="2" t="s">
        <v>16</v>
      </c>
      <c r="E2060">
        <v>46691</v>
      </c>
      <c r="F2060">
        <v>789</v>
      </c>
      <c r="G2060">
        <v>18</v>
      </c>
      <c r="H2060">
        <v>1692.54</v>
      </c>
      <c r="I2060">
        <v>2282.67</v>
      </c>
      <c r="J2060">
        <v>1.69</v>
      </c>
      <c r="K2060">
        <v>2.2799999999999998</v>
      </c>
      <c r="L2060">
        <v>94.03</v>
      </c>
      <c r="M2060">
        <v>1.35</v>
      </c>
      <c r="N2060">
        <v>590.13</v>
      </c>
    </row>
    <row r="2061" spans="1:14" x14ac:dyDescent="0.2">
      <c r="A2061" s="1">
        <v>45645</v>
      </c>
      <c r="B2061" s="2" t="s">
        <v>29</v>
      </c>
      <c r="C2061" s="2" t="s">
        <v>28</v>
      </c>
      <c r="D2061" s="2" t="s">
        <v>22</v>
      </c>
      <c r="E2061">
        <v>29453</v>
      </c>
      <c r="F2061">
        <v>453</v>
      </c>
      <c r="G2061">
        <v>18</v>
      </c>
      <c r="H2061">
        <v>1208.3699999999999</v>
      </c>
      <c r="I2061">
        <v>1837.21</v>
      </c>
      <c r="J2061">
        <v>1.54</v>
      </c>
      <c r="K2061">
        <v>3.97</v>
      </c>
      <c r="L2061">
        <v>67.13</v>
      </c>
      <c r="M2061">
        <v>1.52</v>
      </c>
      <c r="N2061">
        <v>628.84</v>
      </c>
    </row>
    <row r="2062" spans="1:14" x14ac:dyDescent="0.2">
      <c r="A2062" s="1">
        <v>45645</v>
      </c>
      <c r="B2062" s="2" t="s">
        <v>30</v>
      </c>
      <c r="C2062" s="2" t="s">
        <v>32</v>
      </c>
      <c r="D2062" s="2" t="s">
        <v>36</v>
      </c>
      <c r="E2062">
        <v>18485</v>
      </c>
      <c r="F2062">
        <v>527</v>
      </c>
      <c r="G2062">
        <v>22</v>
      </c>
      <c r="H2062">
        <v>670.43</v>
      </c>
      <c r="I2062">
        <v>2476.7800000000002</v>
      </c>
      <c r="J2062">
        <v>2.85</v>
      </c>
      <c r="K2062">
        <v>4.17</v>
      </c>
      <c r="L2062">
        <v>30.47</v>
      </c>
      <c r="M2062">
        <v>3.69</v>
      </c>
      <c r="N2062">
        <v>1806.35</v>
      </c>
    </row>
    <row r="2063" spans="1:14" x14ac:dyDescent="0.2">
      <c r="A2063" s="1">
        <v>45645</v>
      </c>
      <c r="B2063" s="2" t="s">
        <v>31</v>
      </c>
      <c r="C2063" s="2" t="s">
        <v>21</v>
      </c>
      <c r="D2063" s="2" t="s">
        <v>16</v>
      </c>
      <c r="E2063">
        <v>39986</v>
      </c>
      <c r="F2063">
        <v>1059</v>
      </c>
      <c r="G2063">
        <v>56</v>
      </c>
      <c r="H2063">
        <v>1059.98</v>
      </c>
      <c r="I2063">
        <v>6201.49</v>
      </c>
      <c r="J2063">
        <v>2.65</v>
      </c>
      <c r="K2063">
        <v>5.29</v>
      </c>
      <c r="L2063">
        <v>18.93</v>
      </c>
      <c r="M2063">
        <v>5.85</v>
      </c>
      <c r="N2063">
        <v>5141.51</v>
      </c>
    </row>
    <row r="2064" spans="1:14" x14ac:dyDescent="0.2">
      <c r="A2064" s="1">
        <v>45645</v>
      </c>
      <c r="B2064" s="2" t="s">
        <v>33</v>
      </c>
      <c r="C2064" s="2" t="s">
        <v>18</v>
      </c>
      <c r="D2064" s="2" t="s">
        <v>19</v>
      </c>
      <c r="E2064">
        <v>11466</v>
      </c>
      <c r="F2064">
        <v>477</v>
      </c>
      <c r="G2064">
        <v>57</v>
      </c>
      <c r="H2064">
        <v>718.25</v>
      </c>
      <c r="I2064">
        <v>6595.79</v>
      </c>
      <c r="J2064">
        <v>4.16</v>
      </c>
      <c r="K2064">
        <v>11.95</v>
      </c>
      <c r="L2064">
        <v>12.6</v>
      </c>
      <c r="M2064">
        <v>9.18</v>
      </c>
      <c r="N2064">
        <v>5877.54</v>
      </c>
    </row>
    <row r="2065" spans="1:14" x14ac:dyDescent="0.2">
      <c r="A2065" s="1">
        <v>45645</v>
      </c>
      <c r="B2065" s="2" t="s">
        <v>34</v>
      </c>
      <c r="C2065" s="2" t="s">
        <v>21</v>
      </c>
      <c r="D2065" s="2" t="s">
        <v>22</v>
      </c>
      <c r="E2065">
        <v>5090</v>
      </c>
      <c r="F2065">
        <v>303</v>
      </c>
      <c r="G2065">
        <v>50</v>
      </c>
      <c r="H2065">
        <v>134.19</v>
      </c>
      <c r="I2065">
        <v>8206.8700000000008</v>
      </c>
      <c r="J2065">
        <v>5.95</v>
      </c>
      <c r="K2065">
        <v>16.5</v>
      </c>
      <c r="L2065">
        <v>2.68</v>
      </c>
      <c r="M2065">
        <v>61.16</v>
      </c>
      <c r="N2065">
        <v>8072.68</v>
      </c>
    </row>
    <row r="2066" spans="1:14" x14ac:dyDescent="0.2">
      <c r="A2066" s="1">
        <v>45646</v>
      </c>
      <c r="B2066" s="2" t="s">
        <v>14</v>
      </c>
      <c r="C2066" s="2" t="s">
        <v>28</v>
      </c>
      <c r="D2066" s="2" t="s">
        <v>25</v>
      </c>
      <c r="E2066">
        <v>14930</v>
      </c>
      <c r="F2066">
        <v>625</v>
      </c>
      <c r="G2066">
        <v>54</v>
      </c>
      <c r="H2066">
        <v>1122.73</v>
      </c>
      <c r="I2066">
        <v>7307.09</v>
      </c>
      <c r="J2066">
        <v>4.1900000000000004</v>
      </c>
      <c r="K2066">
        <v>8.64</v>
      </c>
      <c r="L2066">
        <v>20.79</v>
      </c>
      <c r="M2066">
        <v>6.51</v>
      </c>
      <c r="N2066">
        <v>6184.36</v>
      </c>
    </row>
    <row r="2067" spans="1:14" x14ac:dyDescent="0.2">
      <c r="A2067" s="1">
        <v>45646</v>
      </c>
      <c r="B2067" s="2" t="s">
        <v>17</v>
      </c>
      <c r="C2067" s="2" t="s">
        <v>15</v>
      </c>
      <c r="D2067" s="2" t="s">
        <v>25</v>
      </c>
      <c r="E2067">
        <v>17628</v>
      </c>
      <c r="F2067">
        <v>495</v>
      </c>
      <c r="G2067">
        <v>42</v>
      </c>
      <c r="H2067">
        <v>1323.7</v>
      </c>
      <c r="I2067">
        <v>4146.1400000000003</v>
      </c>
      <c r="J2067">
        <v>2.81</v>
      </c>
      <c r="K2067">
        <v>8.48</v>
      </c>
      <c r="L2067">
        <v>31.52</v>
      </c>
      <c r="M2067">
        <v>3.13</v>
      </c>
      <c r="N2067">
        <v>2822.44</v>
      </c>
    </row>
    <row r="2068" spans="1:14" x14ac:dyDescent="0.2">
      <c r="A2068" s="1">
        <v>45646</v>
      </c>
      <c r="B2068" s="2" t="s">
        <v>20</v>
      </c>
      <c r="C2068" s="2" t="s">
        <v>35</v>
      </c>
      <c r="D2068" s="2" t="s">
        <v>19</v>
      </c>
      <c r="E2068">
        <v>22643</v>
      </c>
      <c r="F2068">
        <v>740</v>
      </c>
      <c r="G2068">
        <v>32</v>
      </c>
      <c r="H2068">
        <v>1321.71</v>
      </c>
      <c r="I2068">
        <v>3641.62</v>
      </c>
      <c r="J2068">
        <v>3.27</v>
      </c>
      <c r="K2068">
        <v>4.32</v>
      </c>
      <c r="L2068">
        <v>41.3</v>
      </c>
      <c r="M2068">
        <v>2.76</v>
      </c>
      <c r="N2068">
        <v>2319.91</v>
      </c>
    </row>
    <row r="2069" spans="1:14" x14ac:dyDescent="0.2">
      <c r="A2069" s="1">
        <v>45646</v>
      </c>
      <c r="B2069" s="2" t="s">
        <v>23</v>
      </c>
      <c r="C2069" s="2" t="s">
        <v>35</v>
      </c>
      <c r="D2069" s="2" t="s">
        <v>22</v>
      </c>
      <c r="E2069">
        <v>6461</v>
      </c>
      <c r="F2069">
        <v>137</v>
      </c>
      <c r="G2069">
        <v>16</v>
      </c>
      <c r="H2069">
        <v>1459.23</v>
      </c>
      <c r="I2069">
        <v>4463.04</v>
      </c>
      <c r="J2069">
        <v>2.12</v>
      </c>
      <c r="K2069">
        <v>11.68</v>
      </c>
      <c r="L2069">
        <v>91.2</v>
      </c>
      <c r="M2069">
        <v>3.06</v>
      </c>
      <c r="N2069">
        <v>3003.81</v>
      </c>
    </row>
    <row r="2070" spans="1:14" x14ac:dyDescent="0.2">
      <c r="A2070" s="1">
        <v>45646</v>
      </c>
      <c r="B2070" s="2" t="s">
        <v>24</v>
      </c>
      <c r="C2070" s="2" t="s">
        <v>18</v>
      </c>
      <c r="D2070" s="2" t="s">
        <v>16</v>
      </c>
      <c r="E2070">
        <v>33387</v>
      </c>
      <c r="F2070">
        <v>5832</v>
      </c>
      <c r="G2070">
        <v>547</v>
      </c>
      <c r="H2070">
        <v>191.81</v>
      </c>
      <c r="I2070">
        <v>70793.539999999994</v>
      </c>
      <c r="J2070">
        <v>17.47</v>
      </c>
      <c r="K2070">
        <v>9.3800000000000008</v>
      </c>
      <c r="L2070">
        <v>0.35</v>
      </c>
      <c r="M2070">
        <v>369.08</v>
      </c>
      <c r="N2070">
        <v>70601.73</v>
      </c>
    </row>
    <row r="2071" spans="1:14" x14ac:dyDescent="0.2">
      <c r="A2071" s="1">
        <v>45646</v>
      </c>
      <c r="B2071" s="2" t="s">
        <v>26</v>
      </c>
      <c r="C2071" s="2" t="s">
        <v>28</v>
      </c>
      <c r="D2071" s="2" t="s">
        <v>25</v>
      </c>
      <c r="E2071">
        <v>30435</v>
      </c>
      <c r="F2071">
        <v>2231</v>
      </c>
      <c r="G2071">
        <v>285</v>
      </c>
      <c r="H2071">
        <v>0</v>
      </c>
      <c r="I2071">
        <v>34343</v>
      </c>
      <c r="J2071">
        <v>7.33</v>
      </c>
      <c r="K2071">
        <v>12.77</v>
      </c>
      <c r="L2071">
        <v>0</v>
      </c>
      <c r="M2071">
        <v>0</v>
      </c>
      <c r="N2071">
        <v>34343</v>
      </c>
    </row>
    <row r="2072" spans="1:14" x14ac:dyDescent="0.2">
      <c r="A2072" s="1">
        <v>45646</v>
      </c>
      <c r="B2072" s="2" t="s">
        <v>27</v>
      </c>
      <c r="C2072" s="2" t="s">
        <v>32</v>
      </c>
      <c r="D2072" s="2" t="s">
        <v>36</v>
      </c>
      <c r="E2072">
        <v>36848</v>
      </c>
      <c r="F2072">
        <v>564</v>
      </c>
      <c r="G2072">
        <v>21</v>
      </c>
      <c r="H2072">
        <v>1405.17</v>
      </c>
      <c r="I2072">
        <v>2344.87</v>
      </c>
      <c r="J2072">
        <v>1.53</v>
      </c>
      <c r="K2072">
        <v>3.72</v>
      </c>
      <c r="L2072">
        <v>66.91</v>
      </c>
      <c r="M2072">
        <v>1.67</v>
      </c>
      <c r="N2072">
        <v>939.7</v>
      </c>
    </row>
    <row r="2073" spans="1:14" x14ac:dyDescent="0.2">
      <c r="A2073" s="1">
        <v>45646</v>
      </c>
      <c r="B2073" s="2" t="s">
        <v>29</v>
      </c>
      <c r="C2073" s="2" t="s">
        <v>21</v>
      </c>
      <c r="D2073" s="2" t="s">
        <v>16</v>
      </c>
      <c r="E2073">
        <v>32842</v>
      </c>
      <c r="F2073">
        <v>827</v>
      </c>
      <c r="G2073">
        <v>49</v>
      </c>
      <c r="H2073">
        <v>1684.75</v>
      </c>
      <c r="I2073">
        <v>5008.08</v>
      </c>
      <c r="J2073">
        <v>2.52</v>
      </c>
      <c r="K2073">
        <v>5.93</v>
      </c>
      <c r="L2073">
        <v>34.380000000000003</v>
      </c>
      <c r="M2073">
        <v>2.97</v>
      </c>
      <c r="N2073">
        <v>3323.33</v>
      </c>
    </row>
    <row r="2074" spans="1:14" x14ac:dyDescent="0.2">
      <c r="A2074" s="1">
        <v>45646</v>
      </c>
      <c r="B2074" s="2" t="s">
        <v>30</v>
      </c>
      <c r="C2074" s="2" t="s">
        <v>35</v>
      </c>
      <c r="D2074" s="2" t="s">
        <v>16</v>
      </c>
      <c r="E2074">
        <v>12338</v>
      </c>
      <c r="F2074">
        <v>309</v>
      </c>
      <c r="G2074">
        <v>14</v>
      </c>
      <c r="H2074">
        <v>687.93</v>
      </c>
      <c r="I2074">
        <v>1581.39</v>
      </c>
      <c r="J2074">
        <v>2.5</v>
      </c>
      <c r="K2074">
        <v>4.53</v>
      </c>
      <c r="L2074">
        <v>49.14</v>
      </c>
      <c r="M2074">
        <v>2.2999999999999998</v>
      </c>
      <c r="N2074">
        <v>893.46</v>
      </c>
    </row>
    <row r="2075" spans="1:14" x14ac:dyDescent="0.2">
      <c r="A2075" s="1">
        <v>45646</v>
      </c>
      <c r="B2075" s="2" t="s">
        <v>31</v>
      </c>
      <c r="C2075" s="2" t="s">
        <v>28</v>
      </c>
      <c r="D2075" s="2" t="s">
        <v>16</v>
      </c>
      <c r="E2075">
        <v>32321</v>
      </c>
      <c r="F2075">
        <v>1227</v>
      </c>
      <c r="G2075">
        <v>44</v>
      </c>
      <c r="H2075">
        <v>1206.8</v>
      </c>
      <c r="I2075">
        <v>3316.59</v>
      </c>
      <c r="J2075">
        <v>3.8</v>
      </c>
      <c r="K2075">
        <v>3.59</v>
      </c>
      <c r="L2075">
        <v>27.43</v>
      </c>
      <c r="M2075">
        <v>2.75</v>
      </c>
      <c r="N2075">
        <v>2109.79</v>
      </c>
    </row>
    <row r="2076" spans="1:14" x14ac:dyDescent="0.2">
      <c r="A2076" s="1">
        <v>45646</v>
      </c>
      <c r="B2076" s="2" t="s">
        <v>33</v>
      </c>
      <c r="C2076" s="2" t="s">
        <v>35</v>
      </c>
      <c r="D2076" s="2" t="s">
        <v>25</v>
      </c>
      <c r="E2076">
        <v>8300</v>
      </c>
      <c r="F2076">
        <v>561</v>
      </c>
      <c r="G2076">
        <v>50</v>
      </c>
      <c r="H2076">
        <v>720.51</v>
      </c>
      <c r="I2076">
        <v>5885.4</v>
      </c>
      <c r="J2076">
        <v>6.76</v>
      </c>
      <c r="K2076">
        <v>8.91</v>
      </c>
      <c r="L2076">
        <v>14.41</v>
      </c>
      <c r="M2076">
        <v>8.17</v>
      </c>
      <c r="N2076">
        <v>5164.8900000000003</v>
      </c>
    </row>
    <row r="2077" spans="1:14" x14ac:dyDescent="0.2">
      <c r="A2077" s="1">
        <v>45646</v>
      </c>
      <c r="B2077" s="2" t="s">
        <v>34</v>
      </c>
      <c r="C2077" s="2" t="s">
        <v>28</v>
      </c>
      <c r="D2077" s="2" t="s">
        <v>22</v>
      </c>
      <c r="E2077">
        <v>7296</v>
      </c>
      <c r="F2077">
        <v>365</v>
      </c>
      <c r="G2077">
        <v>50</v>
      </c>
      <c r="H2077">
        <v>89.83</v>
      </c>
      <c r="I2077">
        <v>7845.85</v>
      </c>
      <c r="J2077">
        <v>5</v>
      </c>
      <c r="K2077">
        <v>13.7</v>
      </c>
      <c r="L2077">
        <v>1.8</v>
      </c>
      <c r="M2077">
        <v>87.34</v>
      </c>
      <c r="N2077">
        <v>7756.02</v>
      </c>
    </row>
    <row r="2078" spans="1:14" x14ac:dyDescent="0.2">
      <c r="A2078" s="1">
        <v>45647</v>
      </c>
      <c r="B2078" s="2" t="s">
        <v>14</v>
      </c>
      <c r="C2078" s="2" t="s">
        <v>18</v>
      </c>
      <c r="D2078" s="2" t="s">
        <v>16</v>
      </c>
      <c r="E2078">
        <v>14017</v>
      </c>
      <c r="F2078">
        <v>654</v>
      </c>
      <c r="G2078">
        <v>68</v>
      </c>
      <c r="H2078">
        <v>1117.22</v>
      </c>
      <c r="I2078">
        <v>10891.57</v>
      </c>
      <c r="J2078">
        <v>4.67</v>
      </c>
      <c r="K2078">
        <v>10.4</v>
      </c>
      <c r="L2078">
        <v>16.43</v>
      </c>
      <c r="M2078">
        <v>9.75</v>
      </c>
      <c r="N2078">
        <v>9774.35</v>
      </c>
    </row>
    <row r="2079" spans="1:14" x14ac:dyDescent="0.2">
      <c r="A2079" s="1">
        <v>45647</v>
      </c>
      <c r="B2079" s="2" t="s">
        <v>17</v>
      </c>
      <c r="C2079" s="2" t="s">
        <v>21</v>
      </c>
      <c r="D2079" s="2" t="s">
        <v>22</v>
      </c>
      <c r="E2079">
        <v>11946</v>
      </c>
      <c r="F2079">
        <v>424</v>
      </c>
      <c r="G2079">
        <v>32</v>
      </c>
      <c r="H2079">
        <v>683.38</v>
      </c>
      <c r="I2079">
        <v>3720.47</v>
      </c>
      <c r="J2079">
        <v>3.55</v>
      </c>
      <c r="K2079">
        <v>7.55</v>
      </c>
      <c r="L2079">
        <v>21.36</v>
      </c>
      <c r="M2079">
        <v>5.44</v>
      </c>
      <c r="N2079">
        <v>3037.09</v>
      </c>
    </row>
    <row r="2080" spans="1:14" x14ac:dyDescent="0.2">
      <c r="A2080" s="1">
        <v>45647</v>
      </c>
      <c r="B2080" s="2" t="s">
        <v>20</v>
      </c>
      <c r="C2080" s="2" t="s">
        <v>15</v>
      </c>
      <c r="D2080" s="2" t="s">
        <v>19</v>
      </c>
      <c r="E2080">
        <v>15657</v>
      </c>
      <c r="F2080">
        <v>678</v>
      </c>
      <c r="G2080">
        <v>52</v>
      </c>
      <c r="H2080">
        <v>976.14</v>
      </c>
      <c r="I2080">
        <v>4605.32</v>
      </c>
      <c r="J2080">
        <v>4.33</v>
      </c>
      <c r="K2080">
        <v>7.67</v>
      </c>
      <c r="L2080">
        <v>18.77</v>
      </c>
      <c r="M2080">
        <v>4.72</v>
      </c>
      <c r="N2080">
        <v>3629.18</v>
      </c>
    </row>
    <row r="2081" spans="1:14" x14ac:dyDescent="0.2">
      <c r="A2081" s="1">
        <v>45647</v>
      </c>
      <c r="B2081" s="2" t="s">
        <v>23</v>
      </c>
      <c r="C2081" s="2" t="s">
        <v>18</v>
      </c>
      <c r="D2081" s="2" t="s">
        <v>36</v>
      </c>
      <c r="E2081">
        <v>4174</v>
      </c>
      <c r="F2081">
        <v>76</v>
      </c>
      <c r="G2081">
        <v>9</v>
      </c>
      <c r="H2081">
        <v>1010.73</v>
      </c>
      <c r="I2081">
        <v>2258.0300000000002</v>
      </c>
      <c r="J2081">
        <v>1.82</v>
      </c>
      <c r="K2081">
        <v>11.84</v>
      </c>
      <c r="L2081">
        <v>112.3</v>
      </c>
      <c r="M2081">
        <v>2.23</v>
      </c>
      <c r="N2081">
        <v>1247.3</v>
      </c>
    </row>
    <row r="2082" spans="1:14" x14ac:dyDescent="0.2">
      <c r="A2082" s="1">
        <v>45647</v>
      </c>
      <c r="B2082" s="2" t="s">
        <v>24</v>
      </c>
      <c r="C2082" s="2" t="s">
        <v>18</v>
      </c>
      <c r="D2082" s="2" t="s">
        <v>19</v>
      </c>
      <c r="E2082">
        <v>16611</v>
      </c>
      <c r="F2082">
        <v>3713</v>
      </c>
      <c r="G2082">
        <v>488</v>
      </c>
      <c r="H2082">
        <v>222.93</v>
      </c>
      <c r="I2082">
        <v>76311.73</v>
      </c>
      <c r="J2082">
        <v>22.35</v>
      </c>
      <c r="K2082">
        <v>13.14</v>
      </c>
      <c r="L2082">
        <v>0.46</v>
      </c>
      <c r="M2082">
        <v>342.31</v>
      </c>
      <c r="N2082">
        <v>76088.800000000003</v>
      </c>
    </row>
    <row r="2083" spans="1:14" x14ac:dyDescent="0.2">
      <c r="A2083" s="1">
        <v>45647</v>
      </c>
      <c r="B2083" s="2" t="s">
        <v>26</v>
      </c>
      <c r="C2083" s="2" t="s">
        <v>28</v>
      </c>
      <c r="D2083" s="2" t="s">
        <v>36</v>
      </c>
      <c r="E2083">
        <v>30691</v>
      </c>
      <c r="F2083">
        <v>1266</v>
      </c>
      <c r="G2083">
        <v>164</v>
      </c>
      <c r="H2083">
        <v>0</v>
      </c>
      <c r="I2083">
        <v>24374.06</v>
      </c>
      <c r="J2083">
        <v>4.12</v>
      </c>
      <c r="K2083">
        <v>12.95</v>
      </c>
      <c r="L2083">
        <v>0</v>
      </c>
      <c r="M2083">
        <v>0</v>
      </c>
      <c r="N2083">
        <v>24374.06</v>
      </c>
    </row>
    <row r="2084" spans="1:14" x14ac:dyDescent="0.2">
      <c r="A2084" s="1">
        <v>45647</v>
      </c>
      <c r="B2084" s="2" t="s">
        <v>27</v>
      </c>
      <c r="C2084" s="2" t="s">
        <v>28</v>
      </c>
      <c r="D2084" s="2" t="s">
        <v>19</v>
      </c>
      <c r="E2084">
        <v>34308</v>
      </c>
      <c r="F2084">
        <v>470</v>
      </c>
      <c r="G2084">
        <v>10</v>
      </c>
      <c r="H2084">
        <v>1080.19</v>
      </c>
      <c r="I2084">
        <v>1070.17</v>
      </c>
      <c r="J2084">
        <v>1.37</v>
      </c>
      <c r="K2084">
        <v>2.13</v>
      </c>
      <c r="L2084">
        <v>108.02</v>
      </c>
      <c r="M2084">
        <v>0.99</v>
      </c>
      <c r="N2084">
        <v>-10.02</v>
      </c>
    </row>
    <row r="2085" spans="1:14" x14ac:dyDescent="0.2">
      <c r="A2085" s="1">
        <v>45647</v>
      </c>
      <c r="B2085" s="2" t="s">
        <v>29</v>
      </c>
      <c r="C2085" s="2" t="s">
        <v>18</v>
      </c>
      <c r="D2085" s="2" t="s">
        <v>25</v>
      </c>
      <c r="E2085">
        <v>17091</v>
      </c>
      <c r="F2085">
        <v>449</v>
      </c>
      <c r="G2085">
        <v>26</v>
      </c>
      <c r="H2085">
        <v>971.35</v>
      </c>
      <c r="I2085">
        <v>2825.02</v>
      </c>
      <c r="J2085">
        <v>2.63</v>
      </c>
      <c r="K2085">
        <v>5.79</v>
      </c>
      <c r="L2085">
        <v>37.36</v>
      </c>
      <c r="M2085">
        <v>2.91</v>
      </c>
      <c r="N2085">
        <v>1853.67</v>
      </c>
    </row>
    <row r="2086" spans="1:14" x14ac:dyDescent="0.2">
      <c r="A2086" s="1">
        <v>45647</v>
      </c>
      <c r="B2086" s="2" t="s">
        <v>30</v>
      </c>
      <c r="C2086" s="2" t="s">
        <v>28</v>
      </c>
      <c r="D2086" s="2" t="s">
        <v>22</v>
      </c>
      <c r="E2086">
        <v>9847</v>
      </c>
      <c r="F2086">
        <v>221</v>
      </c>
      <c r="G2086">
        <v>6</v>
      </c>
      <c r="H2086">
        <v>437.15</v>
      </c>
      <c r="I2086">
        <v>486.68</v>
      </c>
      <c r="J2086">
        <v>2.2400000000000002</v>
      </c>
      <c r="K2086">
        <v>2.71</v>
      </c>
      <c r="L2086">
        <v>72.86</v>
      </c>
      <c r="M2086">
        <v>1.1100000000000001</v>
      </c>
      <c r="N2086">
        <v>49.53</v>
      </c>
    </row>
    <row r="2087" spans="1:14" x14ac:dyDescent="0.2">
      <c r="A2087" s="1">
        <v>45647</v>
      </c>
      <c r="B2087" s="2" t="s">
        <v>31</v>
      </c>
      <c r="C2087" s="2" t="s">
        <v>35</v>
      </c>
      <c r="D2087" s="2" t="s">
        <v>36</v>
      </c>
      <c r="E2087">
        <v>19892</v>
      </c>
      <c r="F2087">
        <v>874</v>
      </c>
      <c r="G2087">
        <v>40</v>
      </c>
      <c r="H2087">
        <v>978.36</v>
      </c>
      <c r="I2087">
        <v>2646.36</v>
      </c>
      <c r="J2087">
        <v>4.3899999999999997</v>
      </c>
      <c r="K2087">
        <v>4.58</v>
      </c>
      <c r="L2087">
        <v>24.46</v>
      </c>
      <c r="M2087">
        <v>2.7</v>
      </c>
      <c r="N2087">
        <v>1668</v>
      </c>
    </row>
    <row r="2088" spans="1:14" x14ac:dyDescent="0.2">
      <c r="A2088" s="1">
        <v>45647</v>
      </c>
      <c r="B2088" s="2" t="s">
        <v>33</v>
      </c>
      <c r="C2088" s="2" t="s">
        <v>35</v>
      </c>
      <c r="D2088" s="2" t="s">
        <v>22</v>
      </c>
      <c r="E2088">
        <v>5681</v>
      </c>
      <c r="F2088">
        <v>333</v>
      </c>
      <c r="G2088">
        <v>42</v>
      </c>
      <c r="H2088">
        <v>573.48</v>
      </c>
      <c r="I2088">
        <v>5762.93</v>
      </c>
      <c r="J2088">
        <v>5.86</v>
      </c>
      <c r="K2088">
        <v>12.61</v>
      </c>
      <c r="L2088">
        <v>13.65</v>
      </c>
      <c r="M2088">
        <v>10.050000000000001</v>
      </c>
      <c r="N2088">
        <v>5189.45</v>
      </c>
    </row>
    <row r="2089" spans="1:14" x14ac:dyDescent="0.2">
      <c r="A2089" s="1">
        <v>45647</v>
      </c>
      <c r="B2089" s="2" t="s">
        <v>34</v>
      </c>
      <c r="C2089" s="2" t="s">
        <v>28</v>
      </c>
      <c r="D2089" s="2" t="s">
        <v>16</v>
      </c>
      <c r="E2089">
        <v>3975</v>
      </c>
      <c r="F2089">
        <v>206</v>
      </c>
      <c r="G2089">
        <v>24</v>
      </c>
      <c r="H2089">
        <v>79.36</v>
      </c>
      <c r="I2089">
        <v>3905.33</v>
      </c>
      <c r="J2089">
        <v>5.18</v>
      </c>
      <c r="K2089">
        <v>11.65</v>
      </c>
      <c r="L2089">
        <v>3.31</v>
      </c>
      <c r="M2089">
        <v>49.21</v>
      </c>
      <c r="N2089">
        <v>3825.97</v>
      </c>
    </row>
    <row r="2090" spans="1:14" x14ac:dyDescent="0.2">
      <c r="A2090" s="1">
        <v>45648</v>
      </c>
      <c r="B2090" s="2" t="s">
        <v>14</v>
      </c>
      <c r="C2090" s="2" t="s">
        <v>35</v>
      </c>
      <c r="D2090" s="2" t="s">
        <v>36</v>
      </c>
      <c r="E2090">
        <v>14461</v>
      </c>
      <c r="F2090">
        <v>531</v>
      </c>
      <c r="G2090">
        <v>43</v>
      </c>
      <c r="H2090">
        <v>1284.52</v>
      </c>
      <c r="I2090">
        <v>5335.97</v>
      </c>
      <c r="J2090">
        <v>3.67</v>
      </c>
      <c r="K2090">
        <v>8.1</v>
      </c>
      <c r="L2090">
        <v>29.87</v>
      </c>
      <c r="M2090">
        <v>4.1500000000000004</v>
      </c>
      <c r="N2090">
        <v>4051.45</v>
      </c>
    </row>
    <row r="2091" spans="1:14" x14ac:dyDescent="0.2">
      <c r="A2091" s="1">
        <v>45648</v>
      </c>
      <c r="B2091" s="2" t="s">
        <v>17</v>
      </c>
      <c r="C2091" s="2" t="s">
        <v>28</v>
      </c>
      <c r="D2091" s="2" t="s">
        <v>19</v>
      </c>
      <c r="E2091">
        <v>16466</v>
      </c>
      <c r="F2091">
        <v>445</v>
      </c>
      <c r="G2091">
        <v>25</v>
      </c>
      <c r="H2091">
        <v>1002.66</v>
      </c>
      <c r="I2091">
        <v>3545.34</v>
      </c>
      <c r="J2091">
        <v>2.7</v>
      </c>
      <c r="K2091">
        <v>5.62</v>
      </c>
      <c r="L2091">
        <v>40.11</v>
      </c>
      <c r="M2091">
        <v>3.54</v>
      </c>
      <c r="N2091">
        <v>2542.6799999999998</v>
      </c>
    </row>
    <row r="2092" spans="1:14" x14ac:dyDescent="0.2">
      <c r="A2092" s="1">
        <v>45648</v>
      </c>
      <c r="B2092" s="2" t="s">
        <v>20</v>
      </c>
      <c r="C2092" s="2" t="s">
        <v>21</v>
      </c>
      <c r="D2092" s="2" t="s">
        <v>19</v>
      </c>
      <c r="E2092">
        <v>12310</v>
      </c>
      <c r="F2092">
        <v>319</v>
      </c>
      <c r="G2092">
        <v>21</v>
      </c>
      <c r="H2092">
        <v>786.9</v>
      </c>
      <c r="I2092">
        <v>1876.73</v>
      </c>
      <c r="J2092">
        <v>2.59</v>
      </c>
      <c r="K2092">
        <v>6.58</v>
      </c>
      <c r="L2092">
        <v>37.47</v>
      </c>
      <c r="M2092">
        <v>2.38</v>
      </c>
      <c r="N2092">
        <v>1089.83</v>
      </c>
    </row>
    <row r="2093" spans="1:14" x14ac:dyDescent="0.2">
      <c r="A2093" s="1">
        <v>45648</v>
      </c>
      <c r="B2093" s="2" t="s">
        <v>23</v>
      </c>
      <c r="C2093" s="2" t="s">
        <v>32</v>
      </c>
      <c r="D2093" s="2" t="s">
        <v>16</v>
      </c>
      <c r="E2093">
        <v>4558</v>
      </c>
      <c r="F2093">
        <v>126</v>
      </c>
      <c r="G2093">
        <v>11</v>
      </c>
      <c r="H2093">
        <v>1049.3800000000001</v>
      </c>
      <c r="I2093">
        <v>3484.37</v>
      </c>
      <c r="J2093">
        <v>2.76</v>
      </c>
      <c r="K2093">
        <v>8.73</v>
      </c>
      <c r="L2093">
        <v>95.4</v>
      </c>
      <c r="M2093">
        <v>3.32</v>
      </c>
      <c r="N2093">
        <v>2434.9899999999998</v>
      </c>
    </row>
    <row r="2094" spans="1:14" x14ac:dyDescent="0.2">
      <c r="A2094" s="1">
        <v>45648</v>
      </c>
      <c r="B2094" s="2" t="s">
        <v>24</v>
      </c>
      <c r="C2094" s="2" t="s">
        <v>21</v>
      </c>
      <c r="D2094" s="2" t="s">
        <v>16</v>
      </c>
      <c r="E2094">
        <v>16528</v>
      </c>
      <c r="F2094">
        <v>2495</v>
      </c>
      <c r="G2094">
        <v>339</v>
      </c>
      <c r="H2094">
        <v>164.74</v>
      </c>
      <c r="I2094">
        <v>39602.089999999997</v>
      </c>
      <c r="J2094">
        <v>15.1</v>
      </c>
      <c r="K2094">
        <v>13.59</v>
      </c>
      <c r="L2094">
        <v>0.49</v>
      </c>
      <c r="M2094">
        <v>240.39</v>
      </c>
      <c r="N2094">
        <v>39437.35</v>
      </c>
    </row>
    <row r="2095" spans="1:14" x14ac:dyDescent="0.2">
      <c r="A2095" s="1">
        <v>45648</v>
      </c>
      <c r="B2095" s="2" t="s">
        <v>26</v>
      </c>
      <c r="C2095" s="2" t="s">
        <v>18</v>
      </c>
      <c r="D2095" s="2" t="s">
        <v>19</v>
      </c>
      <c r="E2095">
        <v>24695</v>
      </c>
      <c r="F2095">
        <v>1907</v>
      </c>
      <c r="G2095">
        <v>297</v>
      </c>
      <c r="H2095">
        <v>0</v>
      </c>
      <c r="I2095">
        <v>39099.56</v>
      </c>
      <c r="J2095">
        <v>7.72</v>
      </c>
      <c r="K2095">
        <v>15.57</v>
      </c>
      <c r="L2095">
        <v>0</v>
      </c>
      <c r="M2095">
        <v>0</v>
      </c>
      <c r="N2095">
        <v>39099.56</v>
      </c>
    </row>
    <row r="2096" spans="1:14" x14ac:dyDescent="0.2">
      <c r="A2096" s="1">
        <v>45648</v>
      </c>
      <c r="B2096" s="2" t="s">
        <v>27</v>
      </c>
      <c r="C2096" s="2" t="s">
        <v>32</v>
      </c>
      <c r="D2096" s="2" t="s">
        <v>36</v>
      </c>
      <c r="E2096">
        <v>34259</v>
      </c>
      <c r="F2096">
        <v>515</v>
      </c>
      <c r="G2096">
        <v>22</v>
      </c>
      <c r="H2096">
        <v>1075.81</v>
      </c>
      <c r="I2096">
        <v>3033.29</v>
      </c>
      <c r="J2096">
        <v>1.5</v>
      </c>
      <c r="K2096">
        <v>4.2699999999999996</v>
      </c>
      <c r="L2096">
        <v>48.9</v>
      </c>
      <c r="M2096">
        <v>2.82</v>
      </c>
      <c r="N2096">
        <v>1957.48</v>
      </c>
    </row>
    <row r="2097" spans="1:14" x14ac:dyDescent="0.2">
      <c r="A2097" s="1">
        <v>45648</v>
      </c>
      <c r="B2097" s="2" t="s">
        <v>29</v>
      </c>
      <c r="C2097" s="2" t="s">
        <v>32</v>
      </c>
      <c r="D2097" s="2" t="s">
        <v>22</v>
      </c>
      <c r="E2097">
        <v>22200</v>
      </c>
      <c r="F2097">
        <v>563</v>
      </c>
      <c r="G2097">
        <v>26</v>
      </c>
      <c r="H2097">
        <v>1274.3499999999999</v>
      </c>
      <c r="I2097">
        <v>2604.64</v>
      </c>
      <c r="J2097">
        <v>2.54</v>
      </c>
      <c r="K2097">
        <v>4.62</v>
      </c>
      <c r="L2097">
        <v>49.01</v>
      </c>
      <c r="M2097">
        <v>2.04</v>
      </c>
      <c r="N2097">
        <v>1330.29</v>
      </c>
    </row>
    <row r="2098" spans="1:14" x14ac:dyDescent="0.2">
      <c r="A2098" s="1">
        <v>45648</v>
      </c>
      <c r="B2098" s="2" t="s">
        <v>30</v>
      </c>
      <c r="C2098" s="2" t="s">
        <v>32</v>
      </c>
      <c r="D2098" s="2" t="s">
        <v>16</v>
      </c>
      <c r="E2098">
        <v>13070</v>
      </c>
      <c r="F2098">
        <v>364</v>
      </c>
      <c r="G2098">
        <v>10</v>
      </c>
      <c r="H2098">
        <v>409.48</v>
      </c>
      <c r="I2098">
        <v>1084.3599999999999</v>
      </c>
      <c r="J2098">
        <v>2.79</v>
      </c>
      <c r="K2098">
        <v>2.75</v>
      </c>
      <c r="L2098">
        <v>40.950000000000003</v>
      </c>
      <c r="M2098">
        <v>2.65</v>
      </c>
      <c r="N2098">
        <v>674.88</v>
      </c>
    </row>
    <row r="2099" spans="1:14" x14ac:dyDescent="0.2">
      <c r="A2099" s="1">
        <v>45648</v>
      </c>
      <c r="B2099" s="2" t="s">
        <v>31</v>
      </c>
      <c r="C2099" s="2" t="s">
        <v>28</v>
      </c>
      <c r="D2099" s="2" t="s">
        <v>25</v>
      </c>
      <c r="E2099">
        <v>19077</v>
      </c>
      <c r="F2099">
        <v>634</v>
      </c>
      <c r="G2099">
        <v>19</v>
      </c>
      <c r="H2099">
        <v>931.94</v>
      </c>
      <c r="I2099">
        <v>1550.14</v>
      </c>
      <c r="J2099">
        <v>3.32</v>
      </c>
      <c r="K2099">
        <v>3</v>
      </c>
      <c r="L2099">
        <v>49.05</v>
      </c>
      <c r="M2099">
        <v>1.66</v>
      </c>
      <c r="N2099">
        <v>618.20000000000005</v>
      </c>
    </row>
    <row r="2100" spans="1:14" x14ac:dyDescent="0.2">
      <c r="A2100" s="1">
        <v>45648</v>
      </c>
      <c r="B2100" s="2" t="s">
        <v>33</v>
      </c>
      <c r="C2100" s="2" t="s">
        <v>28</v>
      </c>
      <c r="D2100" s="2" t="s">
        <v>25</v>
      </c>
      <c r="E2100">
        <v>8868</v>
      </c>
      <c r="F2100">
        <v>455</v>
      </c>
      <c r="G2100">
        <v>49</v>
      </c>
      <c r="H2100">
        <v>515.69000000000005</v>
      </c>
      <c r="I2100">
        <v>7104.57</v>
      </c>
      <c r="J2100">
        <v>5.13</v>
      </c>
      <c r="K2100">
        <v>10.77</v>
      </c>
      <c r="L2100">
        <v>10.52</v>
      </c>
      <c r="M2100">
        <v>13.78</v>
      </c>
      <c r="N2100">
        <v>6588.88</v>
      </c>
    </row>
    <row r="2101" spans="1:14" x14ac:dyDescent="0.2">
      <c r="A2101" s="1">
        <v>45648</v>
      </c>
      <c r="B2101" s="2" t="s">
        <v>34</v>
      </c>
      <c r="C2101" s="2" t="s">
        <v>15</v>
      </c>
      <c r="D2101" s="2" t="s">
        <v>36</v>
      </c>
      <c r="E2101">
        <v>6058</v>
      </c>
      <c r="F2101">
        <v>315</v>
      </c>
      <c r="G2101">
        <v>49</v>
      </c>
      <c r="H2101">
        <v>98.6</v>
      </c>
      <c r="I2101">
        <v>8824.08</v>
      </c>
      <c r="J2101">
        <v>5.2</v>
      </c>
      <c r="K2101">
        <v>15.56</v>
      </c>
      <c r="L2101">
        <v>2.0099999999999998</v>
      </c>
      <c r="M2101">
        <v>89.49</v>
      </c>
      <c r="N2101">
        <v>8725.48</v>
      </c>
    </row>
    <row r="2102" spans="1:14" x14ac:dyDescent="0.2">
      <c r="A2102" s="1">
        <v>45649</v>
      </c>
      <c r="B2102" s="2" t="s">
        <v>14</v>
      </c>
      <c r="C2102" s="2" t="s">
        <v>32</v>
      </c>
      <c r="D2102" s="2" t="s">
        <v>22</v>
      </c>
      <c r="E2102">
        <v>20035</v>
      </c>
      <c r="F2102">
        <v>810</v>
      </c>
      <c r="G2102">
        <v>89</v>
      </c>
      <c r="H2102">
        <v>1173.9100000000001</v>
      </c>
      <c r="I2102">
        <v>13478.57</v>
      </c>
      <c r="J2102">
        <v>4.04</v>
      </c>
      <c r="K2102">
        <v>10.99</v>
      </c>
      <c r="L2102">
        <v>13.19</v>
      </c>
      <c r="M2102">
        <v>11.48</v>
      </c>
      <c r="N2102">
        <v>12304.66</v>
      </c>
    </row>
    <row r="2103" spans="1:14" x14ac:dyDescent="0.2">
      <c r="A2103" s="1">
        <v>45649</v>
      </c>
      <c r="B2103" s="2" t="s">
        <v>17</v>
      </c>
      <c r="C2103" s="2" t="s">
        <v>28</v>
      </c>
      <c r="D2103" s="2" t="s">
        <v>19</v>
      </c>
      <c r="E2103">
        <v>26180</v>
      </c>
      <c r="F2103">
        <v>753</v>
      </c>
      <c r="G2103">
        <v>51</v>
      </c>
      <c r="H2103">
        <v>1651.11</v>
      </c>
      <c r="I2103">
        <v>5293.75</v>
      </c>
      <c r="J2103">
        <v>2.88</v>
      </c>
      <c r="K2103">
        <v>6.77</v>
      </c>
      <c r="L2103">
        <v>32.369999999999997</v>
      </c>
      <c r="M2103">
        <v>3.21</v>
      </c>
      <c r="N2103">
        <v>3642.64</v>
      </c>
    </row>
    <row r="2104" spans="1:14" x14ac:dyDescent="0.2">
      <c r="A2104" s="1">
        <v>45649</v>
      </c>
      <c r="B2104" s="2" t="s">
        <v>20</v>
      </c>
      <c r="C2104" s="2" t="s">
        <v>18</v>
      </c>
      <c r="D2104" s="2" t="s">
        <v>36</v>
      </c>
      <c r="E2104">
        <v>23608</v>
      </c>
      <c r="F2104">
        <v>1047</v>
      </c>
      <c r="G2104">
        <v>60</v>
      </c>
      <c r="H2104">
        <v>1273.69</v>
      </c>
      <c r="I2104">
        <v>5367.67</v>
      </c>
      <c r="J2104">
        <v>4.43</v>
      </c>
      <c r="K2104">
        <v>5.73</v>
      </c>
      <c r="L2104">
        <v>21.23</v>
      </c>
      <c r="M2104">
        <v>4.21</v>
      </c>
      <c r="N2104">
        <v>4093.98</v>
      </c>
    </row>
    <row r="2105" spans="1:14" x14ac:dyDescent="0.2">
      <c r="A2105" s="1">
        <v>45649</v>
      </c>
      <c r="B2105" s="2" t="s">
        <v>23</v>
      </c>
      <c r="C2105" s="2" t="s">
        <v>15</v>
      </c>
      <c r="D2105" s="2" t="s">
        <v>16</v>
      </c>
      <c r="E2105">
        <v>7649</v>
      </c>
      <c r="F2105">
        <v>117</v>
      </c>
      <c r="G2105">
        <v>14</v>
      </c>
      <c r="H2105">
        <v>1856</v>
      </c>
      <c r="I2105">
        <v>4729.83</v>
      </c>
      <c r="J2105">
        <v>1.53</v>
      </c>
      <c r="K2105">
        <v>11.97</v>
      </c>
      <c r="L2105">
        <v>132.57</v>
      </c>
      <c r="M2105">
        <v>2.5499999999999998</v>
      </c>
      <c r="N2105">
        <v>2873.83</v>
      </c>
    </row>
    <row r="2106" spans="1:14" x14ac:dyDescent="0.2">
      <c r="A2106" s="1">
        <v>45649</v>
      </c>
      <c r="B2106" s="2" t="s">
        <v>24</v>
      </c>
      <c r="C2106" s="2" t="s">
        <v>32</v>
      </c>
      <c r="D2106" s="2" t="s">
        <v>25</v>
      </c>
      <c r="E2106">
        <v>26684</v>
      </c>
      <c r="F2106">
        <v>6164</v>
      </c>
      <c r="G2106">
        <v>611</v>
      </c>
      <c r="H2106">
        <v>156.97999999999999</v>
      </c>
      <c r="I2106">
        <v>94143.05</v>
      </c>
      <c r="J2106">
        <v>23.1</v>
      </c>
      <c r="K2106">
        <v>9.91</v>
      </c>
      <c r="L2106">
        <v>0.26</v>
      </c>
      <c r="M2106">
        <v>599.71</v>
      </c>
      <c r="N2106">
        <v>93986.07</v>
      </c>
    </row>
    <row r="2107" spans="1:14" x14ac:dyDescent="0.2">
      <c r="A2107" s="1">
        <v>45649</v>
      </c>
      <c r="B2107" s="2" t="s">
        <v>26</v>
      </c>
      <c r="C2107" s="2" t="s">
        <v>32</v>
      </c>
      <c r="D2107" s="2" t="s">
        <v>25</v>
      </c>
      <c r="E2107">
        <v>45001</v>
      </c>
      <c r="F2107">
        <v>1992</v>
      </c>
      <c r="G2107">
        <v>250</v>
      </c>
      <c r="H2107">
        <v>0</v>
      </c>
      <c r="I2107">
        <v>27825.35</v>
      </c>
      <c r="J2107">
        <v>4.43</v>
      </c>
      <c r="K2107">
        <v>12.55</v>
      </c>
      <c r="L2107">
        <v>0</v>
      </c>
      <c r="M2107">
        <v>0</v>
      </c>
      <c r="N2107">
        <v>27825.35</v>
      </c>
    </row>
    <row r="2108" spans="1:14" x14ac:dyDescent="0.2">
      <c r="A2108" s="1">
        <v>45649</v>
      </c>
      <c r="B2108" s="2" t="s">
        <v>27</v>
      </c>
      <c r="C2108" s="2" t="s">
        <v>15</v>
      </c>
      <c r="D2108" s="2" t="s">
        <v>25</v>
      </c>
      <c r="E2108">
        <v>36171</v>
      </c>
      <c r="F2108">
        <v>662</v>
      </c>
      <c r="G2108">
        <v>28</v>
      </c>
      <c r="H2108">
        <v>1804.42</v>
      </c>
      <c r="I2108">
        <v>2294.8200000000002</v>
      </c>
      <c r="J2108">
        <v>1.83</v>
      </c>
      <c r="K2108">
        <v>4.2300000000000004</v>
      </c>
      <c r="L2108">
        <v>64.44</v>
      </c>
      <c r="M2108">
        <v>1.27</v>
      </c>
      <c r="N2108">
        <v>490.4</v>
      </c>
    </row>
    <row r="2109" spans="1:14" x14ac:dyDescent="0.2">
      <c r="A2109" s="1">
        <v>45649</v>
      </c>
      <c r="B2109" s="2" t="s">
        <v>29</v>
      </c>
      <c r="C2109" s="2" t="s">
        <v>21</v>
      </c>
      <c r="D2109" s="2" t="s">
        <v>16</v>
      </c>
      <c r="E2109">
        <v>32267</v>
      </c>
      <c r="F2109">
        <v>704</v>
      </c>
      <c r="G2109">
        <v>50</v>
      </c>
      <c r="H2109">
        <v>1711.52</v>
      </c>
      <c r="I2109">
        <v>5183.3599999999997</v>
      </c>
      <c r="J2109">
        <v>2.1800000000000002</v>
      </c>
      <c r="K2109">
        <v>7.1</v>
      </c>
      <c r="L2109">
        <v>34.229999999999997</v>
      </c>
      <c r="M2109">
        <v>3.03</v>
      </c>
      <c r="N2109">
        <v>3471.84</v>
      </c>
    </row>
    <row r="2110" spans="1:14" x14ac:dyDescent="0.2">
      <c r="A2110" s="1">
        <v>45649</v>
      </c>
      <c r="B2110" s="2" t="s">
        <v>30</v>
      </c>
      <c r="C2110" s="2" t="s">
        <v>28</v>
      </c>
      <c r="D2110" s="2" t="s">
        <v>22</v>
      </c>
      <c r="E2110">
        <v>17039</v>
      </c>
      <c r="F2110">
        <v>480</v>
      </c>
      <c r="G2110">
        <v>21</v>
      </c>
      <c r="H2110">
        <v>643.05999999999995</v>
      </c>
      <c r="I2110">
        <v>2080.66</v>
      </c>
      <c r="J2110">
        <v>2.82</v>
      </c>
      <c r="K2110">
        <v>4.38</v>
      </c>
      <c r="L2110">
        <v>30.62</v>
      </c>
      <c r="M2110">
        <v>3.24</v>
      </c>
      <c r="N2110">
        <v>1437.6</v>
      </c>
    </row>
    <row r="2111" spans="1:14" x14ac:dyDescent="0.2">
      <c r="A2111" s="1">
        <v>45649</v>
      </c>
      <c r="B2111" s="2" t="s">
        <v>31</v>
      </c>
      <c r="C2111" s="2" t="s">
        <v>21</v>
      </c>
      <c r="D2111" s="2" t="s">
        <v>22</v>
      </c>
      <c r="E2111">
        <v>37889</v>
      </c>
      <c r="F2111">
        <v>1276</v>
      </c>
      <c r="G2111">
        <v>51</v>
      </c>
      <c r="H2111">
        <v>1311.8</v>
      </c>
      <c r="I2111">
        <v>4997.58</v>
      </c>
      <c r="J2111">
        <v>3.37</v>
      </c>
      <c r="K2111">
        <v>4</v>
      </c>
      <c r="L2111">
        <v>25.72</v>
      </c>
      <c r="M2111">
        <v>3.81</v>
      </c>
      <c r="N2111">
        <v>3685.78</v>
      </c>
    </row>
    <row r="2112" spans="1:14" x14ac:dyDescent="0.2">
      <c r="A2112" s="1">
        <v>45649</v>
      </c>
      <c r="B2112" s="2" t="s">
        <v>33</v>
      </c>
      <c r="C2112" s="2" t="s">
        <v>21</v>
      </c>
      <c r="D2112" s="2" t="s">
        <v>22</v>
      </c>
      <c r="E2112">
        <v>12160</v>
      </c>
      <c r="F2112">
        <v>749</v>
      </c>
      <c r="G2112">
        <v>67</v>
      </c>
      <c r="H2112">
        <v>760.18</v>
      </c>
      <c r="I2112">
        <v>7138.38</v>
      </c>
      <c r="J2112">
        <v>6.16</v>
      </c>
      <c r="K2112">
        <v>8.9499999999999993</v>
      </c>
      <c r="L2112">
        <v>11.35</v>
      </c>
      <c r="M2112">
        <v>9.39</v>
      </c>
      <c r="N2112">
        <v>6378.2</v>
      </c>
    </row>
    <row r="2113" spans="1:14" x14ac:dyDescent="0.2">
      <c r="A2113" s="1">
        <v>45649</v>
      </c>
      <c r="B2113" s="2" t="s">
        <v>34</v>
      </c>
      <c r="C2113" s="2" t="s">
        <v>18</v>
      </c>
      <c r="D2113" s="2" t="s">
        <v>36</v>
      </c>
      <c r="E2113">
        <v>7869</v>
      </c>
      <c r="F2113">
        <v>582</v>
      </c>
      <c r="G2113">
        <v>91</v>
      </c>
      <c r="H2113">
        <v>183.29</v>
      </c>
      <c r="I2113">
        <v>10752.94</v>
      </c>
      <c r="J2113">
        <v>7.4</v>
      </c>
      <c r="K2113">
        <v>15.64</v>
      </c>
      <c r="L2113">
        <v>2.0099999999999998</v>
      </c>
      <c r="M2113">
        <v>58.67</v>
      </c>
      <c r="N2113">
        <v>10569.65</v>
      </c>
    </row>
    <row r="2114" spans="1:14" x14ac:dyDescent="0.2">
      <c r="A2114" s="1">
        <v>45650</v>
      </c>
      <c r="B2114" s="2" t="s">
        <v>14</v>
      </c>
      <c r="C2114" s="2" t="s">
        <v>18</v>
      </c>
      <c r="D2114" s="2" t="s">
        <v>36</v>
      </c>
      <c r="E2114">
        <v>20074</v>
      </c>
      <c r="F2114">
        <v>764</v>
      </c>
      <c r="G2114">
        <v>75</v>
      </c>
      <c r="H2114">
        <v>1857.62</v>
      </c>
      <c r="I2114">
        <v>8955.42</v>
      </c>
      <c r="J2114">
        <v>3.81</v>
      </c>
      <c r="K2114">
        <v>9.82</v>
      </c>
      <c r="L2114">
        <v>24.77</v>
      </c>
      <c r="M2114">
        <v>4.82</v>
      </c>
      <c r="N2114">
        <v>7097.8</v>
      </c>
    </row>
    <row r="2115" spans="1:14" x14ac:dyDescent="0.2">
      <c r="A2115" s="1">
        <v>45650</v>
      </c>
      <c r="B2115" s="2" t="s">
        <v>17</v>
      </c>
      <c r="C2115" s="2" t="s">
        <v>21</v>
      </c>
      <c r="D2115" s="2" t="s">
        <v>22</v>
      </c>
      <c r="E2115">
        <v>21919</v>
      </c>
      <c r="F2115">
        <v>736</v>
      </c>
      <c r="G2115">
        <v>50</v>
      </c>
      <c r="H2115">
        <v>1565.41</v>
      </c>
      <c r="I2115">
        <v>5597.06</v>
      </c>
      <c r="J2115">
        <v>3.36</v>
      </c>
      <c r="K2115">
        <v>6.79</v>
      </c>
      <c r="L2115">
        <v>31.31</v>
      </c>
      <c r="M2115">
        <v>3.58</v>
      </c>
      <c r="N2115">
        <v>4031.65</v>
      </c>
    </row>
    <row r="2116" spans="1:14" x14ac:dyDescent="0.2">
      <c r="A2116" s="1">
        <v>45650</v>
      </c>
      <c r="B2116" s="2" t="s">
        <v>20</v>
      </c>
      <c r="C2116" s="2" t="s">
        <v>32</v>
      </c>
      <c r="D2116" s="2" t="s">
        <v>19</v>
      </c>
      <c r="E2116">
        <v>20682</v>
      </c>
      <c r="F2116">
        <v>652</v>
      </c>
      <c r="G2116">
        <v>28</v>
      </c>
      <c r="H2116">
        <v>1020.42</v>
      </c>
      <c r="I2116">
        <v>2986.15</v>
      </c>
      <c r="J2116">
        <v>3.15</v>
      </c>
      <c r="K2116">
        <v>4.29</v>
      </c>
      <c r="L2116">
        <v>36.44</v>
      </c>
      <c r="M2116">
        <v>2.93</v>
      </c>
      <c r="N2116">
        <v>1965.73</v>
      </c>
    </row>
    <row r="2117" spans="1:14" x14ac:dyDescent="0.2">
      <c r="A2117" s="1">
        <v>45650</v>
      </c>
      <c r="B2117" s="2" t="s">
        <v>23</v>
      </c>
      <c r="C2117" s="2" t="s">
        <v>35</v>
      </c>
      <c r="D2117" s="2" t="s">
        <v>16</v>
      </c>
      <c r="E2117">
        <v>8161</v>
      </c>
      <c r="F2117">
        <v>124</v>
      </c>
      <c r="G2117">
        <v>16</v>
      </c>
      <c r="H2117">
        <v>1470.74</v>
      </c>
      <c r="I2117">
        <v>3690.85</v>
      </c>
      <c r="J2117">
        <v>1.52</v>
      </c>
      <c r="K2117">
        <v>12.9</v>
      </c>
      <c r="L2117">
        <v>91.92</v>
      </c>
      <c r="M2117">
        <v>2.5099999999999998</v>
      </c>
      <c r="N2117">
        <v>2220.11</v>
      </c>
    </row>
    <row r="2118" spans="1:14" x14ac:dyDescent="0.2">
      <c r="A2118" s="1">
        <v>45650</v>
      </c>
      <c r="B2118" s="2" t="s">
        <v>24</v>
      </c>
      <c r="C2118" s="2" t="s">
        <v>18</v>
      </c>
      <c r="D2118" s="2" t="s">
        <v>36</v>
      </c>
      <c r="E2118">
        <v>31599</v>
      </c>
      <c r="F2118">
        <v>5213</v>
      </c>
      <c r="G2118">
        <v>649</v>
      </c>
      <c r="H2118">
        <v>397.4</v>
      </c>
      <c r="I2118">
        <v>85148.43</v>
      </c>
      <c r="J2118">
        <v>16.5</v>
      </c>
      <c r="K2118">
        <v>12.45</v>
      </c>
      <c r="L2118">
        <v>0.61</v>
      </c>
      <c r="M2118">
        <v>214.26</v>
      </c>
      <c r="N2118">
        <v>84751.03</v>
      </c>
    </row>
    <row r="2119" spans="1:14" x14ac:dyDescent="0.2">
      <c r="A2119" s="1">
        <v>45650</v>
      </c>
      <c r="B2119" s="2" t="s">
        <v>26</v>
      </c>
      <c r="C2119" s="2" t="s">
        <v>32</v>
      </c>
      <c r="D2119" s="2" t="s">
        <v>36</v>
      </c>
      <c r="E2119">
        <v>33222</v>
      </c>
      <c r="F2119">
        <v>1338</v>
      </c>
      <c r="G2119">
        <v>170</v>
      </c>
      <c r="H2119">
        <v>0</v>
      </c>
      <c r="I2119">
        <v>24665.73</v>
      </c>
      <c r="J2119">
        <v>4.03</v>
      </c>
      <c r="K2119">
        <v>12.71</v>
      </c>
      <c r="L2119">
        <v>0</v>
      </c>
      <c r="M2119">
        <v>0</v>
      </c>
      <c r="N2119">
        <v>24665.73</v>
      </c>
    </row>
    <row r="2120" spans="1:14" x14ac:dyDescent="0.2">
      <c r="A2120" s="1">
        <v>45650</v>
      </c>
      <c r="B2120" s="2" t="s">
        <v>27</v>
      </c>
      <c r="C2120" s="2" t="s">
        <v>32</v>
      </c>
      <c r="D2120" s="2" t="s">
        <v>19</v>
      </c>
      <c r="E2120">
        <v>44814</v>
      </c>
      <c r="F2120">
        <v>810</v>
      </c>
      <c r="G2120">
        <v>25</v>
      </c>
      <c r="H2120">
        <v>1293.9000000000001</v>
      </c>
      <c r="I2120">
        <v>3003.2</v>
      </c>
      <c r="J2120">
        <v>1.81</v>
      </c>
      <c r="K2120">
        <v>3.09</v>
      </c>
      <c r="L2120">
        <v>51.76</v>
      </c>
      <c r="M2120">
        <v>2.3199999999999998</v>
      </c>
      <c r="N2120">
        <v>1709.3</v>
      </c>
    </row>
    <row r="2121" spans="1:14" x14ac:dyDescent="0.2">
      <c r="A2121" s="1">
        <v>45650</v>
      </c>
      <c r="B2121" s="2" t="s">
        <v>29</v>
      </c>
      <c r="C2121" s="2" t="s">
        <v>35</v>
      </c>
      <c r="D2121" s="2" t="s">
        <v>25</v>
      </c>
      <c r="E2121">
        <v>33923</v>
      </c>
      <c r="F2121">
        <v>721</v>
      </c>
      <c r="G2121">
        <v>32</v>
      </c>
      <c r="H2121">
        <v>1823.29</v>
      </c>
      <c r="I2121">
        <v>3190.01</v>
      </c>
      <c r="J2121">
        <v>2.13</v>
      </c>
      <c r="K2121">
        <v>4.4400000000000004</v>
      </c>
      <c r="L2121">
        <v>56.98</v>
      </c>
      <c r="M2121">
        <v>1.75</v>
      </c>
      <c r="N2121">
        <v>1366.72</v>
      </c>
    </row>
    <row r="2122" spans="1:14" x14ac:dyDescent="0.2">
      <c r="A2122" s="1">
        <v>45650</v>
      </c>
      <c r="B2122" s="2" t="s">
        <v>30</v>
      </c>
      <c r="C2122" s="2" t="s">
        <v>28</v>
      </c>
      <c r="D2122" s="2" t="s">
        <v>16</v>
      </c>
      <c r="E2122">
        <v>15472</v>
      </c>
      <c r="F2122">
        <v>421</v>
      </c>
      <c r="G2122">
        <v>21</v>
      </c>
      <c r="H2122">
        <v>1005.99</v>
      </c>
      <c r="I2122">
        <v>1907.86</v>
      </c>
      <c r="J2122">
        <v>2.72</v>
      </c>
      <c r="K2122">
        <v>4.99</v>
      </c>
      <c r="L2122">
        <v>47.9</v>
      </c>
      <c r="M2122">
        <v>1.9</v>
      </c>
      <c r="N2122">
        <v>901.87</v>
      </c>
    </row>
    <row r="2123" spans="1:14" x14ac:dyDescent="0.2">
      <c r="A2123" s="1">
        <v>45650</v>
      </c>
      <c r="B2123" s="2" t="s">
        <v>31</v>
      </c>
      <c r="C2123" s="2" t="s">
        <v>15</v>
      </c>
      <c r="D2123" s="2" t="s">
        <v>25</v>
      </c>
      <c r="E2123">
        <v>36657</v>
      </c>
      <c r="F2123">
        <v>1338</v>
      </c>
      <c r="G2123">
        <v>86</v>
      </c>
      <c r="H2123">
        <v>866.55</v>
      </c>
      <c r="I2123">
        <v>6591.01</v>
      </c>
      <c r="J2123">
        <v>3.65</v>
      </c>
      <c r="K2123">
        <v>6.43</v>
      </c>
      <c r="L2123">
        <v>10.08</v>
      </c>
      <c r="M2123">
        <v>7.61</v>
      </c>
      <c r="N2123">
        <v>5724.46</v>
      </c>
    </row>
    <row r="2124" spans="1:14" x14ac:dyDescent="0.2">
      <c r="A2124" s="1">
        <v>45650</v>
      </c>
      <c r="B2124" s="2" t="s">
        <v>33</v>
      </c>
      <c r="C2124" s="2" t="s">
        <v>32</v>
      </c>
      <c r="D2124" s="2" t="s">
        <v>25</v>
      </c>
      <c r="E2124">
        <v>13995</v>
      </c>
      <c r="F2124">
        <v>716</v>
      </c>
      <c r="G2124">
        <v>89</v>
      </c>
      <c r="H2124">
        <v>704.63</v>
      </c>
      <c r="I2124">
        <v>9261.49</v>
      </c>
      <c r="J2124">
        <v>5.12</v>
      </c>
      <c r="K2124">
        <v>12.43</v>
      </c>
      <c r="L2124">
        <v>7.92</v>
      </c>
      <c r="M2124">
        <v>13.14</v>
      </c>
      <c r="N2124">
        <v>8556.86</v>
      </c>
    </row>
    <row r="2125" spans="1:14" x14ac:dyDescent="0.2">
      <c r="A2125" s="1">
        <v>45650</v>
      </c>
      <c r="B2125" s="2" t="s">
        <v>34</v>
      </c>
      <c r="C2125" s="2" t="s">
        <v>28</v>
      </c>
      <c r="D2125" s="2" t="s">
        <v>16</v>
      </c>
      <c r="E2125">
        <v>6448</v>
      </c>
      <c r="F2125">
        <v>489</v>
      </c>
      <c r="G2125">
        <v>60</v>
      </c>
      <c r="H2125">
        <v>210.56</v>
      </c>
      <c r="I2125">
        <v>8412.42</v>
      </c>
      <c r="J2125">
        <v>7.58</v>
      </c>
      <c r="K2125">
        <v>12.27</v>
      </c>
      <c r="L2125">
        <v>3.51</v>
      </c>
      <c r="M2125">
        <v>39.950000000000003</v>
      </c>
      <c r="N2125">
        <v>8201.86</v>
      </c>
    </row>
    <row r="2126" spans="1:14" x14ac:dyDescent="0.2">
      <c r="A2126" s="1">
        <v>45651</v>
      </c>
      <c r="B2126" s="2" t="s">
        <v>14</v>
      </c>
      <c r="C2126" s="2" t="s">
        <v>28</v>
      </c>
      <c r="D2126" s="2" t="s">
        <v>22</v>
      </c>
      <c r="E2126">
        <v>15992</v>
      </c>
      <c r="F2126">
        <v>673</v>
      </c>
      <c r="G2126">
        <v>71</v>
      </c>
      <c r="H2126">
        <v>1688.57</v>
      </c>
      <c r="I2126">
        <v>11786.54</v>
      </c>
      <c r="J2126">
        <v>4.21</v>
      </c>
      <c r="K2126">
        <v>10.55</v>
      </c>
      <c r="L2126">
        <v>23.78</v>
      </c>
      <c r="M2126">
        <v>6.98</v>
      </c>
      <c r="N2126">
        <v>10097.969999999999</v>
      </c>
    </row>
    <row r="2127" spans="1:14" x14ac:dyDescent="0.2">
      <c r="A2127" s="1">
        <v>45651</v>
      </c>
      <c r="B2127" s="2" t="s">
        <v>17</v>
      </c>
      <c r="C2127" s="2" t="s">
        <v>21</v>
      </c>
      <c r="D2127" s="2" t="s">
        <v>25</v>
      </c>
      <c r="E2127">
        <v>21614</v>
      </c>
      <c r="F2127">
        <v>862</v>
      </c>
      <c r="G2127">
        <v>58</v>
      </c>
      <c r="H2127">
        <v>876.41</v>
      </c>
      <c r="I2127">
        <v>7697.85</v>
      </c>
      <c r="J2127">
        <v>3.99</v>
      </c>
      <c r="K2127">
        <v>6.73</v>
      </c>
      <c r="L2127">
        <v>15.11</v>
      </c>
      <c r="M2127">
        <v>8.7799999999999994</v>
      </c>
      <c r="N2127">
        <v>6821.44</v>
      </c>
    </row>
    <row r="2128" spans="1:14" x14ac:dyDescent="0.2">
      <c r="A2128" s="1">
        <v>45651</v>
      </c>
      <c r="B2128" s="2" t="s">
        <v>20</v>
      </c>
      <c r="C2128" s="2" t="s">
        <v>32</v>
      </c>
      <c r="D2128" s="2" t="s">
        <v>25</v>
      </c>
      <c r="E2128">
        <v>18125</v>
      </c>
      <c r="F2128">
        <v>501</v>
      </c>
      <c r="G2128">
        <v>32</v>
      </c>
      <c r="H2128">
        <v>1241.54</v>
      </c>
      <c r="I2128">
        <v>3527.04</v>
      </c>
      <c r="J2128">
        <v>2.76</v>
      </c>
      <c r="K2128">
        <v>6.39</v>
      </c>
      <c r="L2128">
        <v>38.799999999999997</v>
      </c>
      <c r="M2128">
        <v>2.84</v>
      </c>
      <c r="N2128">
        <v>2285.5</v>
      </c>
    </row>
    <row r="2129" spans="1:14" x14ac:dyDescent="0.2">
      <c r="A2129" s="1">
        <v>45651</v>
      </c>
      <c r="B2129" s="2" t="s">
        <v>23</v>
      </c>
      <c r="C2129" s="2" t="s">
        <v>18</v>
      </c>
      <c r="D2129" s="2" t="s">
        <v>16</v>
      </c>
      <c r="E2129">
        <v>6476</v>
      </c>
      <c r="F2129">
        <v>172</v>
      </c>
      <c r="G2129">
        <v>25</v>
      </c>
      <c r="H2129">
        <v>1831.8</v>
      </c>
      <c r="I2129">
        <v>6229.43</v>
      </c>
      <c r="J2129">
        <v>2.66</v>
      </c>
      <c r="K2129">
        <v>14.53</v>
      </c>
      <c r="L2129">
        <v>73.27</v>
      </c>
      <c r="M2129">
        <v>3.4</v>
      </c>
      <c r="N2129">
        <v>4397.63</v>
      </c>
    </row>
    <row r="2130" spans="1:14" x14ac:dyDescent="0.2">
      <c r="A2130" s="1">
        <v>45651</v>
      </c>
      <c r="B2130" s="2" t="s">
        <v>24</v>
      </c>
      <c r="C2130" s="2" t="s">
        <v>32</v>
      </c>
      <c r="D2130" s="2" t="s">
        <v>16</v>
      </c>
      <c r="E2130">
        <v>22106</v>
      </c>
      <c r="F2130">
        <v>5268</v>
      </c>
      <c r="G2130">
        <v>446</v>
      </c>
      <c r="H2130">
        <v>224.39</v>
      </c>
      <c r="I2130">
        <v>54856.9</v>
      </c>
      <c r="J2130">
        <v>23.83</v>
      </c>
      <c r="K2130">
        <v>8.4700000000000006</v>
      </c>
      <c r="L2130">
        <v>0.5</v>
      </c>
      <c r="M2130">
        <v>244.47</v>
      </c>
      <c r="N2130">
        <v>54632.51</v>
      </c>
    </row>
    <row r="2131" spans="1:14" x14ac:dyDescent="0.2">
      <c r="A2131" s="1">
        <v>45651</v>
      </c>
      <c r="B2131" s="2" t="s">
        <v>26</v>
      </c>
      <c r="C2131" s="2" t="s">
        <v>35</v>
      </c>
      <c r="D2131" s="2" t="s">
        <v>25</v>
      </c>
      <c r="E2131">
        <v>40231</v>
      </c>
      <c r="F2131">
        <v>2434</v>
      </c>
      <c r="G2131">
        <v>350</v>
      </c>
      <c r="H2131">
        <v>0</v>
      </c>
      <c r="I2131">
        <v>49780.25</v>
      </c>
      <c r="J2131">
        <v>6.05</v>
      </c>
      <c r="K2131">
        <v>14.38</v>
      </c>
      <c r="L2131">
        <v>0</v>
      </c>
      <c r="M2131">
        <v>0</v>
      </c>
      <c r="N2131">
        <v>49780.25</v>
      </c>
    </row>
    <row r="2132" spans="1:14" x14ac:dyDescent="0.2">
      <c r="A2132" s="1">
        <v>45651</v>
      </c>
      <c r="B2132" s="2" t="s">
        <v>27</v>
      </c>
      <c r="C2132" s="2" t="s">
        <v>35</v>
      </c>
      <c r="D2132" s="2" t="s">
        <v>36</v>
      </c>
      <c r="E2132">
        <v>54296</v>
      </c>
      <c r="F2132">
        <v>963</v>
      </c>
      <c r="G2132">
        <v>43</v>
      </c>
      <c r="H2132">
        <v>1173.92</v>
      </c>
      <c r="I2132">
        <v>4687.7700000000004</v>
      </c>
      <c r="J2132">
        <v>1.77</v>
      </c>
      <c r="K2132">
        <v>4.47</v>
      </c>
      <c r="L2132">
        <v>27.3</v>
      </c>
      <c r="M2132">
        <v>3.99</v>
      </c>
      <c r="N2132">
        <v>3513.85</v>
      </c>
    </row>
    <row r="2133" spans="1:14" x14ac:dyDescent="0.2">
      <c r="A2133" s="1">
        <v>45651</v>
      </c>
      <c r="B2133" s="2" t="s">
        <v>29</v>
      </c>
      <c r="C2133" s="2" t="s">
        <v>35</v>
      </c>
      <c r="D2133" s="2" t="s">
        <v>36</v>
      </c>
      <c r="E2133">
        <v>24593</v>
      </c>
      <c r="F2133">
        <v>449</v>
      </c>
      <c r="G2133">
        <v>33</v>
      </c>
      <c r="H2133">
        <v>1215.9000000000001</v>
      </c>
      <c r="I2133">
        <v>4279.34</v>
      </c>
      <c r="J2133">
        <v>1.83</v>
      </c>
      <c r="K2133">
        <v>7.35</v>
      </c>
      <c r="L2133">
        <v>36.85</v>
      </c>
      <c r="M2133">
        <v>3.52</v>
      </c>
      <c r="N2133">
        <v>3063.44</v>
      </c>
    </row>
    <row r="2134" spans="1:14" x14ac:dyDescent="0.2">
      <c r="A2134" s="1">
        <v>45651</v>
      </c>
      <c r="B2134" s="2" t="s">
        <v>30</v>
      </c>
      <c r="C2134" s="2" t="s">
        <v>15</v>
      </c>
      <c r="D2134" s="2" t="s">
        <v>36</v>
      </c>
      <c r="E2134">
        <v>13178</v>
      </c>
      <c r="F2134">
        <v>379</v>
      </c>
      <c r="G2134">
        <v>16</v>
      </c>
      <c r="H2134">
        <v>826.94</v>
      </c>
      <c r="I2134">
        <v>1960.74</v>
      </c>
      <c r="J2134">
        <v>2.88</v>
      </c>
      <c r="K2134">
        <v>4.22</v>
      </c>
      <c r="L2134">
        <v>51.68</v>
      </c>
      <c r="M2134">
        <v>2.37</v>
      </c>
      <c r="N2134">
        <v>1133.8</v>
      </c>
    </row>
    <row r="2135" spans="1:14" x14ac:dyDescent="0.2">
      <c r="A2135" s="1">
        <v>45651</v>
      </c>
      <c r="B2135" s="2" t="s">
        <v>31</v>
      </c>
      <c r="C2135" s="2" t="s">
        <v>32</v>
      </c>
      <c r="D2135" s="2" t="s">
        <v>25</v>
      </c>
      <c r="E2135">
        <v>30970</v>
      </c>
      <c r="F2135">
        <v>1390</v>
      </c>
      <c r="G2135">
        <v>88</v>
      </c>
      <c r="H2135">
        <v>863.68</v>
      </c>
      <c r="I2135">
        <v>8283.06</v>
      </c>
      <c r="J2135">
        <v>4.49</v>
      </c>
      <c r="K2135">
        <v>6.33</v>
      </c>
      <c r="L2135">
        <v>9.81</v>
      </c>
      <c r="M2135">
        <v>9.59</v>
      </c>
      <c r="N2135">
        <v>7419.38</v>
      </c>
    </row>
    <row r="2136" spans="1:14" x14ac:dyDescent="0.2">
      <c r="A2136" s="1">
        <v>45651</v>
      </c>
      <c r="B2136" s="2" t="s">
        <v>33</v>
      </c>
      <c r="C2136" s="2" t="s">
        <v>28</v>
      </c>
      <c r="D2136" s="2" t="s">
        <v>16</v>
      </c>
      <c r="E2136">
        <v>11579</v>
      </c>
      <c r="F2136">
        <v>726</v>
      </c>
      <c r="G2136">
        <v>60</v>
      </c>
      <c r="H2136">
        <v>645.21</v>
      </c>
      <c r="I2136">
        <v>9155.2199999999993</v>
      </c>
      <c r="J2136">
        <v>6.27</v>
      </c>
      <c r="K2136">
        <v>8.26</v>
      </c>
      <c r="L2136">
        <v>10.75</v>
      </c>
      <c r="M2136">
        <v>14.19</v>
      </c>
      <c r="N2136">
        <v>8510.01</v>
      </c>
    </row>
    <row r="2137" spans="1:14" x14ac:dyDescent="0.2">
      <c r="A2137" s="1">
        <v>45651</v>
      </c>
      <c r="B2137" s="2" t="s">
        <v>34</v>
      </c>
      <c r="C2137" s="2" t="s">
        <v>21</v>
      </c>
      <c r="D2137" s="2" t="s">
        <v>19</v>
      </c>
      <c r="E2137">
        <v>8838</v>
      </c>
      <c r="F2137">
        <v>809</v>
      </c>
      <c r="G2137">
        <v>140</v>
      </c>
      <c r="H2137">
        <v>79.709999999999994</v>
      </c>
      <c r="I2137">
        <v>18666.080000000002</v>
      </c>
      <c r="J2137">
        <v>9.15</v>
      </c>
      <c r="K2137">
        <v>17.309999999999999</v>
      </c>
      <c r="L2137">
        <v>0.56999999999999995</v>
      </c>
      <c r="M2137">
        <v>234.17</v>
      </c>
      <c r="N2137">
        <v>18586.37</v>
      </c>
    </row>
    <row r="2138" spans="1:14" x14ac:dyDescent="0.2">
      <c r="A2138" s="1">
        <v>45652</v>
      </c>
      <c r="B2138" s="2" t="s">
        <v>14</v>
      </c>
      <c r="C2138" s="2" t="s">
        <v>28</v>
      </c>
      <c r="D2138" s="2" t="s">
        <v>22</v>
      </c>
      <c r="E2138">
        <v>11515</v>
      </c>
      <c r="F2138">
        <v>539</v>
      </c>
      <c r="G2138">
        <v>56</v>
      </c>
      <c r="H2138">
        <v>1250.07</v>
      </c>
      <c r="I2138">
        <v>8458.08</v>
      </c>
      <c r="J2138">
        <v>4.68</v>
      </c>
      <c r="K2138">
        <v>10.39</v>
      </c>
      <c r="L2138">
        <v>22.32</v>
      </c>
      <c r="M2138">
        <v>6.77</v>
      </c>
      <c r="N2138">
        <v>7208.01</v>
      </c>
    </row>
    <row r="2139" spans="1:14" x14ac:dyDescent="0.2">
      <c r="A2139" s="1">
        <v>45652</v>
      </c>
      <c r="B2139" s="2" t="s">
        <v>17</v>
      </c>
      <c r="C2139" s="2" t="s">
        <v>32</v>
      </c>
      <c r="D2139" s="2" t="s">
        <v>25</v>
      </c>
      <c r="E2139">
        <v>26763</v>
      </c>
      <c r="F2139">
        <v>1005</v>
      </c>
      <c r="G2139">
        <v>62</v>
      </c>
      <c r="H2139">
        <v>1584.37</v>
      </c>
      <c r="I2139">
        <v>8369.5</v>
      </c>
      <c r="J2139">
        <v>3.76</v>
      </c>
      <c r="K2139">
        <v>6.17</v>
      </c>
      <c r="L2139">
        <v>25.55</v>
      </c>
      <c r="M2139">
        <v>5.28</v>
      </c>
      <c r="N2139">
        <v>6785.13</v>
      </c>
    </row>
    <row r="2140" spans="1:14" x14ac:dyDescent="0.2">
      <c r="A2140" s="1">
        <v>45652</v>
      </c>
      <c r="B2140" s="2" t="s">
        <v>20</v>
      </c>
      <c r="C2140" s="2" t="s">
        <v>15</v>
      </c>
      <c r="D2140" s="2" t="s">
        <v>36</v>
      </c>
      <c r="E2140">
        <v>22241</v>
      </c>
      <c r="F2140">
        <v>942</v>
      </c>
      <c r="G2140">
        <v>61</v>
      </c>
      <c r="H2140">
        <v>1294.08</v>
      </c>
      <c r="I2140">
        <v>5388.49</v>
      </c>
      <c r="J2140">
        <v>4.24</v>
      </c>
      <c r="K2140">
        <v>6.48</v>
      </c>
      <c r="L2140">
        <v>21.21</v>
      </c>
      <c r="M2140">
        <v>4.16</v>
      </c>
      <c r="N2140">
        <v>4094.41</v>
      </c>
    </row>
    <row r="2141" spans="1:14" x14ac:dyDescent="0.2">
      <c r="A2141" s="1">
        <v>45652</v>
      </c>
      <c r="B2141" s="2" t="s">
        <v>23</v>
      </c>
      <c r="C2141" s="2" t="s">
        <v>18</v>
      </c>
      <c r="D2141" s="2" t="s">
        <v>36</v>
      </c>
      <c r="E2141">
        <v>4919</v>
      </c>
      <c r="F2141">
        <v>125</v>
      </c>
      <c r="G2141">
        <v>15</v>
      </c>
      <c r="H2141">
        <v>1992.32</v>
      </c>
      <c r="I2141">
        <v>4716.76</v>
      </c>
      <c r="J2141">
        <v>2.54</v>
      </c>
      <c r="K2141">
        <v>12</v>
      </c>
      <c r="L2141">
        <v>132.82</v>
      </c>
      <c r="M2141">
        <v>2.37</v>
      </c>
      <c r="N2141">
        <v>2724.44</v>
      </c>
    </row>
    <row r="2142" spans="1:14" x14ac:dyDescent="0.2">
      <c r="A2142" s="1">
        <v>45652</v>
      </c>
      <c r="B2142" s="2" t="s">
        <v>24</v>
      </c>
      <c r="C2142" s="2" t="s">
        <v>35</v>
      </c>
      <c r="D2142" s="2" t="s">
        <v>22</v>
      </c>
      <c r="E2142">
        <v>30619</v>
      </c>
      <c r="F2142">
        <v>4866</v>
      </c>
      <c r="G2142">
        <v>457</v>
      </c>
      <c r="H2142">
        <v>301.94</v>
      </c>
      <c r="I2142">
        <v>71649.45</v>
      </c>
      <c r="J2142">
        <v>15.89</v>
      </c>
      <c r="K2142">
        <v>9.39</v>
      </c>
      <c r="L2142">
        <v>0.66</v>
      </c>
      <c r="M2142">
        <v>237.3</v>
      </c>
      <c r="N2142">
        <v>71347.509999999995</v>
      </c>
    </row>
    <row r="2143" spans="1:14" x14ac:dyDescent="0.2">
      <c r="A2143" s="1">
        <v>45652</v>
      </c>
      <c r="B2143" s="2" t="s">
        <v>26</v>
      </c>
      <c r="C2143" s="2" t="s">
        <v>18</v>
      </c>
      <c r="D2143" s="2" t="s">
        <v>36</v>
      </c>
      <c r="E2143">
        <v>43783</v>
      </c>
      <c r="F2143">
        <v>1873</v>
      </c>
      <c r="G2143">
        <v>285</v>
      </c>
      <c r="H2143">
        <v>0</v>
      </c>
      <c r="I2143">
        <v>27915.360000000001</v>
      </c>
      <c r="J2143">
        <v>4.28</v>
      </c>
      <c r="K2143">
        <v>15.22</v>
      </c>
      <c r="L2143">
        <v>0</v>
      </c>
      <c r="M2143">
        <v>0</v>
      </c>
      <c r="N2143">
        <v>27915.360000000001</v>
      </c>
    </row>
    <row r="2144" spans="1:14" x14ac:dyDescent="0.2">
      <c r="A2144" s="1">
        <v>45652</v>
      </c>
      <c r="B2144" s="2" t="s">
        <v>27</v>
      </c>
      <c r="C2144" s="2" t="s">
        <v>35</v>
      </c>
      <c r="D2144" s="2" t="s">
        <v>19</v>
      </c>
      <c r="E2144">
        <v>51374</v>
      </c>
      <c r="F2144">
        <v>634</v>
      </c>
      <c r="G2144">
        <v>16</v>
      </c>
      <c r="H2144">
        <v>1334.15</v>
      </c>
      <c r="I2144">
        <v>1930.4</v>
      </c>
      <c r="J2144">
        <v>1.23</v>
      </c>
      <c r="K2144">
        <v>2.52</v>
      </c>
      <c r="L2144">
        <v>83.38</v>
      </c>
      <c r="M2144">
        <v>1.45</v>
      </c>
      <c r="N2144">
        <v>596.25</v>
      </c>
    </row>
    <row r="2145" spans="1:14" x14ac:dyDescent="0.2">
      <c r="A2145" s="1">
        <v>45652</v>
      </c>
      <c r="B2145" s="2" t="s">
        <v>29</v>
      </c>
      <c r="C2145" s="2" t="s">
        <v>18</v>
      </c>
      <c r="D2145" s="2" t="s">
        <v>19</v>
      </c>
      <c r="E2145">
        <v>22766</v>
      </c>
      <c r="F2145">
        <v>658</v>
      </c>
      <c r="G2145">
        <v>47</v>
      </c>
      <c r="H2145">
        <v>1397.24</v>
      </c>
      <c r="I2145">
        <v>5645.91</v>
      </c>
      <c r="J2145">
        <v>2.89</v>
      </c>
      <c r="K2145">
        <v>7.14</v>
      </c>
      <c r="L2145">
        <v>29.73</v>
      </c>
      <c r="M2145">
        <v>4.04</v>
      </c>
      <c r="N2145">
        <v>4248.67</v>
      </c>
    </row>
    <row r="2146" spans="1:14" x14ac:dyDescent="0.2">
      <c r="A2146" s="1">
        <v>45652</v>
      </c>
      <c r="B2146" s="2" t="s">
        <v>30</v>
      </c>
      <c r="C2146" s="2" t="s">
        <v>35</v>
      </c>
      <c r="D2146" s="2" t="s">
        <v>19</v>
      </c>
      <c r="E2146">
        <v>19285</v>
      </c>
      <c r="F2146">
        <v>653</v>
      </c>
      <c r="G2146">
        <v>29</v>
      </c>
      <c r="H2146">
        <v>870.74</v>
      </c>
      <c r="I2146">
        <v>2218.7600000000002</v>
      </c>
      <c r="J2146">
        <v>3.39</v>
      </c>
      <c r="K2146">
        <v>4.4400000000000004</v>
      </c>
      <c r="L2146">
        <v>30.03</v>
      </c>
      <c r="M2146">
        <v>2.5499999999999998</v>
      </c>
      <c r="N2146">
        <v>1348.02</v>
      </c>
    </row>
    <row r="2147" spans="1:14" x14ac:dyDescent="0.2">
      <c r="A2147" s="1">
        <v>45652</v>
      </c>
      <c r="B2147" s="2" t="s">
        <v>31</v>
      </c>
      <c r="C2147" s="2" t="s">
        <v>35</v>
      </c>
      <c r="D2147" s="2" t="s">
        <v>36</v>
      </c>
      <c r="E2147">
        <v>32080</v>
      </c>
      <c r="F2147">
        <v>1439</v>
      </c>
      <c r="G2147">
        <v>54</v>
      </c>
      <c r="H2147">
        <v>1239.29</v>
      </c>
      <c r="I2147">
        <v>4993.67</v>
      </c>
      <c r="J2147">
        <v>4.49</v>
      </c>
      <c r="K2147">
        <v>3.75</v>
      </c>
      <c r="L2147">
        <v>22.95</v>
      </c>
      <c r="M2147">
        <v>4.03</v>
      </c>
      <c r="N2147">
        <v>3754.38</v>
      </c>
    </row>
    <row r="2148" spans="1:14" x14ac:dyDescent="0.2">
      <c r="A2148" s="1">
        <v>45652</v>
      </c>
      <c r="B2148" s="2" t="s">
        <v>33</v>
      </c>
      <c r="C2148" s="2" t="s">
        <v>15</v>
      </c>
      <c r="D2148" s="2" t="s">
        <v>16</v>
      </c>
      <c r="E2148">
        <v>11215</v>
      </c>
      <c r="F2148">
        <v>508</v>
      </c>
      <c r="G2148">
        <v>60</v>
      </c>
      <c r="H2148">
        <v>744.02</v>
      </c>
      <c r="I2148">
        <v>6979.29</v>
      </c>
      <c r="J2148">
        <v>4.53</v>
      </c>
      <c r="K2148">
        <v>11.81</v>
      </c>
      <c r="L2148">
        <v>12.4</v>
      </c>
      <c r="M2148">
        <v>9.3800000000000008</v>
      </c>
      <c r="N2148">
        <v>6235.27</v>
      </c>
    </row>
    <row r="2149" spans="1:14" x14ac:dyDescent="0.2">
      <c r="A2149" s="1">
        <v>45652</v>
      </c>
      <c r="B2149" s="2" t="s">
        <v>34</v>
      </c>
      <c r="C2149" s="2" t="s">
        <v>21</v>
      </c>
      <c r="D2149" s="2" t="s">
        <v>22</v>
      </c>
      <c r="E2149">
        <v>8748</v>
      </c>
      <c r="F2149">
        <v>533</v>
      </c>
      <c r="G2149">
        <v>82</v>
      </c>
      <c r="H2149">
        <v>168.08</v>
      </c>
      <c r="I2149">
        <v>10069.42</v>
      </c>
      <c r="J2149">
        <v>6.09</v>
      </c>
      <c r="K2149">
        <v>15.38</v>
      </c>
      <c r="L2149">
        <v>2.0499999999999998</v>
      </c>
      <c r="M2149">
        <v>59.91</v>
      </c>
      <c r="N2149">
        <v>9901.34</v>
      </c>
    </row>
    <row r="2150" spans="1:14" x14ac:dyDescent="0.2">
      <c r="A2150" s="1">
        <v>45653</v>
      </c>
      <c r="B2150" s="2" t="s">
        <v>14</v>
      </c>
      <c r="C2150" s="2" t="s">
        <v>35</v>
      </c>
      <c r="D2150" s="2" t="s">
        <v>36</v>
      </c>
      <c r="E2150">
        <v>17271</v>
      </c>
      <c r="F2150">
        <v>758</v>
      </c>
      <c r="G2150">
        <v>77</v>
      </c>
      <c r="H2150">
        <v>1637.69</v>
      </c>
      <c r="I2150">
        <v>13204.35</v>
      </c>
      <c r="J2150">
        <v>4.3899999999999997</v>
      </c>
      <c r="K2150">
        <v>10.16</v>
      </c>
      <c r="L2150">
        <v>21.27</v>
      </c>
      <c r="M2150">
        <v>8.06</v>
      </c>
      <c r="N2150">
        <v>11566.66</v>
      </c>
    </row>
    <row r="2151" spans="1:14" x14ac:dyDescent="0.2">
      <c r="A2151" s="1">
        <v>45653</v>
      </c>
      <c r="B2151" s="2" t="s">
        <v>17</v>
      </c>
      <c r="C2151" s="2" t="s">
        <v>35</v>
      </c>
      <c r="D2151" s="2" t="s">
        <v>19</v>
      </c>
      <c r="E2151">
        <v>17362</v>
      </c>
      <c r="F2151">
        <v>438</v>
      </c>
      <c r="G2151">
        <v>25</v>
      </c>
      <c r="H2151">
        <v>1071.0899999999999</v>
      </c>
      <c r="I2151">
        <v>3238.55</v>
      </c>
      <c r="J2151">
        <v>2.52</v>
      </c>
      <c r="K2151">
        <v>5.71</v>
      </c>
      <c r="L2151">
        <v>42.84</v>
      </c>
      <c r="M2151">
        <v>3.02</v>
      </c>
      <c r="N2151">
        <v>2167.46</v>
      </c>
    </row>
    <row r="2152" spans="1:14" x14ac:dyDescent="0.2">
      <c r="A2152" s="1">
        <v>45653</v>
      </c>
      <c r="B2152" s="2" t="s">
        <v>20</v>
      </c>
      <c r="C2152" s="2" t="s">
        <v>15</v>
      </c>
      <c r="D2152" s="2" t="s">
        <v>36</v>
      </c>
      <c r="E2152">
        <v>17554</v>
      </c>
      <c r="F2152">
        <v>742</v>
      </c>
      <c r="G2152">
        <v>32</v>
      </c>
      <c r="H2152">
        <v>1326.65</v>
      </c>
      <c r="I2152">
        <v>3402.49</v>
      </c>
      <c r="J2152">
        <v>4.2300000000000004</v>
      </c>
      <c r="K2152">
        <v>4.3099999999999996</v>
      </c>
      <c r="L2152">
        <v>41.46</v>
      </c>
      <c r="M2152">
        <v>2.56</v>
      </c>
      <c r="N2152">
        <v>2075.84</v>
      </c>
    </row>
    <row r="2153" spans="1:14" x14ac:dyDescent="0.2">
      <c r="A2153" s="1">
        <v>45653</v>
      </c>
      <c r="B2153" s="2" t="s">
        <v>23</v>
      </c>
      <c r="C2153" s="2" t="s">
        <v>32</v>
      </c>
      <c r="D2153" s="2" t="s">
        <v>16</v>
      </c>
      <c r="E2153">
        <v>5864</v>
      </c>
      <c r="F2153">
        <v>125</v>
      </c>
      <c r="G2153">
        <v>15</v>
      </c>
      <c r="H2153">
        <v>2358.0700000000002</v>
      </c>
      <c r="I2153">
        <v>3824.45</v>
      </c>
      <c r="J2153">
        <v>2.13</v>
      </c>
      <c r="K2153">
        <v>12</v>
      </c>
      <c r="L2153">
        <v>157.19999999999999</v>
      </c>
      <c r="M2153">
        <v>1.62</v>
      </c>
      <c r="N2153">
        <v>1466.38</v>
      </c>
    </row>
    <row r="2154" spans="1:14" x14ac:dyDescent="0.2">
      <c r="A2154" s="1">
        <v>45653</v>
      </c>
      <c r="B2154" s="2" t="s">
        <v>24</v>
      </c>
      <c r="C2154" s="2" t="s">
        <v>21</v>
      </c>
      <c r="D2154" s="2" t="s">
        <v>36</v>
      </c>
      <c r="E2154">
        <v>21308</v>
      </c>
      <c r="F2154">
        <v>3651</v>
      </c>
      <c r="G2154">
        <v>393</v>
      </c>
      <c r="H2154">
        <v>312.16000000000003</v>
      </c>
      <c r="I2154">
        <v>49091.59</v>
      </c>
      <c r="J2154">
        <v>17.13</v>
      </c>
      <c r="K2154">
        <v>10.76</v>
      </c>
      <c r="L2154">
        <v>0.79</v>
      </c>
      <c r="M2154">
        <v>157.26</v>
      </c>
      <c r="N2154">
        <v>48779.43</v>
      </c>
    </row>
    <row r="2155" spans="1:14" x14ac:dyDescent="0.2">
      <c r="A2155" s="1">
        <v>45653</v>
      </c>
      <c r="B2155" s="2" t="s">
        <v>26</v>
      </c>
      <c r="C2155" s="2" t="s">
        <v>21</v>
      </c>
      <c r="D2155" s="2" t="s">
        <v>36</v>
      </c>
      <c r="E2155">
        <v>34483</v>
      </c>
      <c r="F2155">
        <v>2051</v>
      </c>
      <c r="G2155">
        <v>295</v>
      </c>
      <c r="H2155">
        <v>0</v>
      </c>
      <c r="I2155">
        <v>34161.410000000003</v>
      </c>
      <c r="J2155">
        <v>5.95</v>
      </c>
      <c r="K2155">
        <v>14.38</v>
      </c>
      <c r="L2155">
        <v>0</v>
      </c>
      <c r="M2155">
        <v>0</v>
      </c>
      <c r="N2155">
        <v>34161.410000000003</v>
      </c>
    </row>
    <row r="2156" spans="1:14" x14ac:dyDescent="0.2">
      <c r="A2156" s="1">
        <v>45653</v>
      </c>
      <c r="B2156" s="2" t="s">
        <v>27</v>
      </c>
      <c r="C2156" s="2" t="s">
        <v>15</v>
      </c>
      <c r="D2156" s="2" t="s">
        <v>36</v>
      </c>
      <c r="E2156">
        <v>42950</v>
      </c>
      <c r="F2156">
        <v>446</v>
      </c>
      <c r="G2156">
        <v>12</v>
      </c>
      <c r="H2156">
        <v>1688.13</v>
      </c>
      <c r="I2156">
        <v>1394.15</v>
      </c>
      <c r="J2156">
        <v>1.04</v>
      </c>
      <c r="K2156">
        <v>2.69</v>
      </c>
      <c r="L2156">
        <v>140.68</v>
      </c>
      <c r="M2156">
        <v>0.83</v>
      </c>
      <c r="N2156">
        <v>-293.98</v>
      </c>
    </row>
    <row r="2157" spans="1:14" x14ac:dyDescent="0.2">
      <c r="A2157" s="1">
        <v>45653</v>
      </c>
      <c r="B2157" s="2" t="s">
        <v>29</v>
      </c>
      <c r="C2157" s="2" t="s">
        <v>32</v>
      </c>
      <c r="D2157" s="2" t="s">
        <v>19</v>
      </c>
      <c r="E2157">
        <v>34182</v>
      </c>
      <c r="F2157">
        <v>922</v>
      </c>
      <c r="G2157">
        <v>51</v>
      </c>
      <c r="H2157">
        <v>1516.68</v>
      </c>
      <c r="I2157">
        <v>6538.34</v>
      </c>
      <c r="J2157">
        <v>2.7</v>
      </c>
      <c r="K2157">
        <v>5.53</v>
      </c>
      <c r="L2157">
        <v>29.74</v>
      </c>
      <c r="M2157">
        <v>4.3099999999999996</v>
      </c>
      <c r="N2157">
        <v>5021.66</v>
      </c>
    </row>
    <row r="2158" spans="1:14" x14ac:dyDescent="0.2">
      <c r="A2158" s="1">
        <v>45653</v>
      </c>
      <c r="B2158" s="2" t="s">
        <v>30</v>
      </c>
      <c r="C2158" s="2" t="s">
        <v>18</v>
      </c>
      <c r="D2158" s="2" t="s">
        <v>25</v>
      </c>
      <c r="E2158">
        <v>17549</v>
      </c>
      <c r="F2158">
        <v>393</v>
      </c>
      <c r="G2158">
        <v>21</v>
      </c>
      <c r="H2158">
        <v>909.33</v>
      </c>
      <c r="I2158">
        <v>1518.97</v>
      </c>
      <c r="J2158">
        <v>2.2400000000000002</v>
      </c>
      <c r="K2158">
        <v>5.34</v>
      </c>
      <c r="L2158">
        <v>43.3</v>
      </c>
      <c r="M2158">
        <v>1.67</v>
      </c>
      <c r="N2158">
        <v>609.64</v>
      </c>
    </row>
    <row r="2159" spans="1:14" x14ac:dyDescent="0.2">
      <c r="A2159" s="1">
        <v>45653</v>
      </c>
      <c r="B2159" s="2" t="s">
        <v>31</v>
      </c>
      <c r="C2159" s="2" t="s">
        <v>21</v>
      </c>
      <c r="D2159" s="2" t="s">
        <v>16</v>
      </c>
      <c r="E2159">
        <v>39218</v>
      </c>
      <c r="F2159">
        <v>989</v>
      </c>
      <c r="G2159">
        <v>67</v>
      </c>
      <c r="H2159">
        <v>1000.21</v>
      </c>
      <c r="I2159">
        <v>5081.5600000000004</v>
      </c>
      <c r="J2159">
        <v>2.52</v>
      </c>
      <c r="K2159">
        <v>6.77</v>
      </c>
      <c r="L2159">
        <v>14.93</v>
      </c>
      <c r="M2159">
        <v>5.08</v>
      </c>
      <c r="N2159">
        <v>4081.35</v>
      </c>
    </row>
    <row r="2160" spans="1:14" x14ac:dyDescent="0.2">
      <c r="A2160" s="1">
        <v>45653</v>
      </c>
      <c r="B2160" s="2" t="s">
        <v>33</v>
      </c>
      <c r="C2160" s="2" t="s">
        <v>35</v>
      </c>
      <c r="D2160" s="2" t="s">
        <v>25</v>
      </c>
      <c r="E2160">
        <v>13602</v>
      </c>
      <c r="F2160">
        <v>742</v>
      </c>
      <c r="G2160">
        <v>93</v>
      </c>
      <c r="H2160">
        <v>643.01</v>
      </c>
      <c r="I2160">
        <v>13862.66</v>
      </c>
      <c r="J2160">
        <v>5.46</v>
      </c>
      <c r="K2160">
        <v>12.53</v>
      </c>
      <c r="L2160">
        <v>6.91</v>
      </c>
      <c r="M2160">
        <v>21.56</v>
      </c>
      <c r="N2160">
        <v>13219.65</v>
      </c>
    </row>
    <row r="2161" spans="1:14" x14ac:dyDescent="0.2">
      <c r="A2161" s="1">
        <v>45653</v>
      </c>
      <c r="B2161" s="2" t="s">
        <v>34</v>
      </c>
      <c r="C2161" s="2" t="s">
        <v>28</v>
      </c>
      <c r="D2161" s="2" t="s">
        <v>22</v>
      </c>
      <c r="E2161">
        <v>8720</v>
      </c>
      <c r="F2161">
        <v>793</v>
      </c>
      <c r="G2161">
        <v>99</v>
      </c>
      <c r="H2161">
        <v>228.55</v>
      </c>
      <c r="I2161">
        <v>11383.93</v>
      </c>
      <c r="J2161">
        <v>9.09</v>
      </c>
      <c r="K2161">
        <v>12.48</v>
      </c>
      <c r="L2161">
        <v>2.31</v>
      </c>
      <c r="M2161">
        <v>49.81</v>
      </c>
      <c r="N2161">
        <v>11155.38</v>
      </c>
    </row>
    <row r="2162" spans="1:14" x14ac:dyDescent="0.2">
      <c r="A2162" s="1">
        <v>45654</v>
      </c>
      <c r="B2162" s="2" t="s">
        <v>14</v>
      </c>
      <c r="C2162" s="2" t="s">
        <v>32</v>
      </c>
      <c r="D2162" s="2" t="s">
        <v>25</v>
      </c>
      <c r="E2162">
        <v>14194</v>
      </c>
      <c r="F2162">
        <v>654</v>
      </c>
      <c r="G2162">
        <v>73</v>
      </c>
      <c r="H2162">
        <v>1081.45</v>
      </c>
      <c r="I2162">
        <v>9787.34</v>
      </c>
      <c r="J2162">
        <v>4.6100000000000003</v>
      </c>
      <c r="K2162">
        <v>11.16</v>
      </c>
      <c r="L2162">
        <v>14.81</v>
      </c>
      <c r="M2162">
        <v>9.0500000000000007</v>
      </c>
      <c r="N2162">
        <v>8705.89</v>
      </c>
    </row>
    <row r="2163" spans="1:14" x14ac:dyDescent="0.2">
      <c r="A2163" s="1">
        <v>45654</v>
      </c>
      <c r="B2163" s="2" t="s">
        <v>17</v>
      </c>
      <c r="C2163" s="2" t="s">
        <v>18</v>
      </c>
      <c r="D2163" s="2" t="s">
        <v>22</v>
      </c>
      <c r="E2163">
        <v>18103</v>
      </c>
      <c r="F2163">
        <v>475</v>
      </c>
      <c r="G2163">
        <v>26</v>
      </c>
      <c r="H2163">
        <v>741.61</v>
      </c>
      <c r="I2163">
        <v>3825.82</v>
      </c>
      <c r="J2163">
        <v>2.62</v>
      </c>
      <c r="K2163">
        <v>5.47</v>
      </c>
      <c r="L2163">
        <v>28.52</v>
      </c>
      <c r="M2163">
        <v>5.16</v>
      </c>
      <c r="N2163">
        <v>3084.21</v>
      </c>
    </row>
    <row r="2164" spans="1:14" x14ac:dyDescent="0.2">
      <c r="A2164" s="1">
        <v>45654</v>
      </c>
      <c r="B2164" s="2" t="s">
        <v>20</v>
      </c>
      <c r="C2164" s="2" t="s">
        <v>21</v>
      </c>
      <c r="D2164" s="2" t="s">
        <v>22</v>
      </c>
      <c r="E2164">
        <v>13693</v>
      </c>
      <c r="F2164">
        <v>498</v>
      </c>
      <c r="G2164">
        <v>36</v>
      </c>
      <c r="H2164">
        <v>791.18</v>
      </c>
      <c r="I2164">
        <v>2748.27</v>
      </c>
      <c r="J2164">
        <v>3.64</v>
      </c>
      <c r="K2164">
        <v>7.23</v>
      </c>
      <c r="L2164">
        <v>21.98</v>
      </c>
      <c r="M2164">
        <v>3.47</v>
      </c>
      <c r="N2164">
        <v>1957.09</v>
      </c>
    </row>
    <row r="2165" spans="1:14" x14ac:dyDescent="0.2">
      <c r="A2165" s="1">
        <v>45654</v>
      </c>
      <c r="B2165" s="2" t="s">
        <v>23</v>
      </c>
      <c r="C2165" s="2" t="s">
        <v>18</v>
      </c>
      <c r="D2165" s="2" t="s">
        <v>22</v>
      </c>
      <c r="E2165">
        <v>2966</v>
      </c>
      <c r="F2165">
        <v>61</v>
      </c>
      <c r="G2165">
        <v>5</v>
      </c>
      <c r="H2165">
        <v>1728.28</v>
      </c>
      <c r="I2165">
        <v>1125.54</v>
      </c>
      <c r="J2165">
        <v>2.06</v>
      </c>
      <c r="K2165">
        <v>8.1999999999999993</v>
      </c>
      <c r="L2165">
        <v>345.66</v>
      </c>
      <c r="M2165">
        <v>0.65</v>
      </c>
      <c r="N2165">
        <v>-602.74</v>
      </c>
    </row>
    <row r="2166" spans="1:14" x14ac:dyDescent="0.2">
      <c r="A2166" s="1">
        <v>45654</v>
      </c>
      <c r="B2166" s="2" t="s">
        <v>24</v>
      </c>
      <c r="C2166" s="2" t="s">
        <v>18</v>
      </c>
      <c r="D2166" s="2" t="s">
        <v>36</v>
      </c>
      <c r="E2166">
        <v>19347</v>
      </c>
      <c r="F2166">
        <v>3759</v>
      </c>
      <c r="G2166">
        <v>517</v>
      </c>
      <c r="H2166">
        <v>217.01</v>
      </c>
      <c r="I2166">
        <v>83009.649999999994</v>
      </c>
      <c r="J2166">
        <v>19.43</v>
      </c>
      <c r="K2166">
        <v>13.75</v>
      </c>
      <c r="L2166">
        <v>0.42</v>
      </c>
      <c r="M2166">
        <v>382.52</v>
      </c>
      <c r="N2166">
        <v>82792.639999999999</v>
      </c>
    </row>
    <row r="2167" spans="1:14" x14ac:dyDescent="0.2">
      <c r="A2167" s="1">
        <v>45654</v>
      </c>
      <c r="B2167" s="2" t="s">
        <v>26</v>
      </c>
      <c r="C2167" s="2" t="s">
        <v>18</v>
      </c>
      <c r="D2167" s="2" t="s">
        <v>19</v>
      </c>
      <c r="E2167">
        <v>30281</v>
      </c>
      <c r="F2167">
        <v>1430</v>
      </c>
      <c r="G2167">
        <v>161</v>
      </c>
      <c r="H2167">
        <v>0</v>
      </c>
      <c r="I2167">
        <v>19799.98</v>
      </c>
      <c r="J2167">
        <v>4.72</v>
      </c>
      <c r="K2167">
        <v>11.26</v>
      </c>
      <c r="L2167">
        <v>0</v>
      </c>
      <c r="M2167">
        <v>0</v>
      </c>
      <c r="N2167">
        <v>19799.98</v>
      </c>
    </row>
    <row r="2168" spans="1:14" x14ac:dyDescent="0.2">
      <c r="A2168" s="1">
        <v>45654</v>
      </c>
      <c r="B2168" s="2" t="s">
        <v>27</v>
      </c>
      <c r="C2168" s="2" t="s">
        <v>15</v>
      </c>
      <c r="D2168" s="2" t="s">
        <v>22</v>
      </c>
      <c r="E2168">
        <v>34788</v>
      </c>
      <c r="F2168">
        <v>654</v>
      </c>
      <c r="G2168">
        <v>15</v>
      </c>
      <c r="H2168">
        <v>728.2</v>
      </c>
      <c r="I2168">
        <v>1988.2</v>
      </c>
      <c r="J2168">
        <v>1.88</v>
      </c>
      <c r="K2168">
        <v>2.29</v>
      </c>
      <c r="L2168">
        <v>48.55</v>
      </c>
      <c r="M2168">
        <v>2.73</v>
      </c>
      <c r="N2168">
        <v>1260</v>
      </c>
    </row>
    <row r="2169" spans="1:14" x14ac:dyDescent="0.2">
      <c r="A2169" s="1">
        <v>45654</v>
      </c>
      <c r="B2169" s="2" t="s">
        <v>29</v>
      </c>
      <c r="C2169" s="2" t="s">
        <v>35</v>
      </c>
      <c r="D2169" s="2" t="s">
        <v>19</v>
      </c>
      <c r="E2169">
        <v>16164</v>
      </c>
      <c r="F2169">
        <v>259</v>
      </c>
      <c r="G2169">
        <v>9</v>
      </c>
      <c r="H2169">
        <v>788.2</v>
      </c>
      <c r="I2169">
        <v>941.05</v>
      </c>
      <c r="J2169">
        <v>1.6</v>
      </c>
      <c r="K2169">
        <v>3.47</v>
      </c>
      <c r="L2169">
        <v>87.58</v>
      </c>
      <c r="M2169">
        <v>1.19</v>
      </c>
      <c r="N2169">
        <v>152.85</v>
      </c>
    </row>
    <row r="2170" spans="1:14" x14ac:dyDescent="0.2">
      <c r="A2170" s="1">
        <v>45654</v>
      </c>
      <c r="B2170" s="2" t="s">
        <v>30</v>
      </c>
      <c r="C2170" s="2" t="s">
        <v>28</v>
      </c>
      <c r="D2170" s="2" t="s">
        <v>25</v>
      </c>
      <c r="E2170">
        <v>8798</v>
      </c>
      <c r="F2170">
        <v>285</v>
      </c>
      <c r="G2170">
        <v>9</v>
      </c>
      <c r="H2170">
        <v>686.65</v>
      </c>
      <c r="I2170">
        <v>862.37</v>
      </c>
      <c r="J2170">
        <v>3.24</v>
      </c>
      <c r="K2170">
        <v>3.16</v>
      </c>
      <c r="L2170">
        <v>76.290000000000006</v>
      </c>
      <c r="M2170">
        <v>1.26</v>
      </c>
      <c r="N2170">
        <v>175.72</v>
      </c>
    </row>
    <row r="2171" spans="1:14" x14ac:dyDescent="0.2">
      <c r="A2171" s="1">
        <v>45654</v>
      </c>
      <c r="B2171" s="2" t="s">
        <v>31</v>
      </c>
      <c r="C2171" s="2" t="s">
        <v>28</v>
      </c>
      <c r="D2171" s="2" t="s">
        <v>16</v>
      </c>
      <c r="E2171">
        <v>17921</v>
      </c>
      <c r="F2171">
        <v>676</v>
      </c>
      <c r="G2171">
        <v>42</v>
      </c>
      <c r="H2171">
        <v>897.09</v>
      </c>
      <c r="I2171">
        <v>3191.26</v>
      </c>
      <c r="J2171">
        <v>3.77</v>
      </c>
      <c r="K2171">
        <v>6.21</v>
      </c>
      <c r="L2171">
        <v>21.36</v>
      </c>
      <c r="M2171">
        <v>3.56</v>
      </c>
      <c r="N2171">
        <v>2294.17</v>
      </c>
    </row>
    <row r="2172" spans="1:14" x14ac:dyDescent="0.2">
      <c r="A2172" s="1">
        <v>45654</v>
      </c>
      <c r="B2172" s="2" t="s">
        <v>33</v>
      </c>
      <c r="C2172" s="2" t="s">
        <v>15</v>
      </c>
      <c r="D2172" s="2" t="s">
        <v>16</v>
      </c>
      <c r="E2172">
        <v>6547</v>
      </c>
      <c r="F2172">
        <v>442</v>
      </c>
      <c r="G2172">
        <v>51</v>
      </c>
      <c r="H2172">
        <v>500.46</v>
      </c>
      <c r="I2172">
        <v>5101.8100000000004</v>
      </c>
      <c r="J2172">
        <v>6.75</v>
      </c>
      <c r="K2172">
        <v>11.54</v>
      </c>
      <c r="L2172">
        <v>9.81</v>
      </c>
      <c r="M2172">
        <v>10.19</v>
      </c>
      <c r="N2172">
        <v>4601.3500000000004</v>
      </c>
    </row>
    <row r="2173" spans="1:14" x14ac:dyDescent="0.2">
      <c r="A2173" s="1">
        <v>45654</v>
      </c>
      <c r="B2173" s="2" t="s">
        <v>34</v>
      </c>
      <c r="C2173" s="2" t="s">
        <v>21</v>
      </c>
      <c r="D2173" s="2" t="s">
        <v>19</v>
      </c>
      <c r="E2173">
        <v>4215</v>
      </c>
      <c r="F2173">
        <v>321</v>
      </c>
      <c r="G2173">
        <v>40</v>
      </c>
      <c r="H2173">
        <v>100.42</v>
      </c>
      <c r="I2173">
        <v>7012.89</v>
      </c>
      <c r="J2173">
        <v>7.62</v>
      </c>
      <c r="K2173">
        <v>12.46</v>
      </c>
      <c r="L2173">
        <v>2.5099999999999998</v>
      </c>
      <c r="M2173">
        <v>69.84</v>
      </c>
      <c r="N2173">
        <v>6912.47</v>
      </c>
    </row>
    <row r="2174" spans="1:14" x14ac:dyDescent="0.2">
      <c r="A2174" s="1">
        <v>45655</v>
      </c>
      <c r="B2174" s="2" t="s">
        <v>14</v>
      </c>
      <c r="C2174" s="2" t="s">
        <v>28</v>
      </c>
      <c r="D2174" s="2" t="s">
        <v>25</v>
      </c>
      <c r="E2174">
        <v>8704</v>
      </c>
      <c r="F2174">
        <v>322</v>
      </c>
      <c r="G2174">
        <v>36</v>
      </c>
      <c r="H2174">
        <v>1453.59</v>
      </c>
      <c r="I2174">
        <v>4932.24</v>
      </c>
      <c r="J2174">
        <v>3.7</v>
      </c>
      <c r="K2174">
        <v>11.18</v>
      </c>
      <c r="L2174">
        <v>40.380000000000003</v>
      </c>
      <c r="M2174">
        <v>3.39</v>
      </c>
      <c r="N2174">
        <v>3478.65</v>
      </c>
    </row>
    <row r="2175" spans="1:14" x14ac:dyDescent="0.2">
      <c r="A2175" s="1">
        <v>45655</v>
      </c>
      <c r="B2175" s="2" t="s">
        <v>17</v>
      </c>
      <c r="C2175" s="2" t="s">
        <v>28</v>
      </c>
      <c r="D2175" s="2" t="s">
        <v>22</v>
      </c>
      <c r="E2175">
        <v>11984</v>
      </c>
      <c r="F2175">
        <v>467</v>
      </c>
      <c r="G2175">
        <v>40</v>
      </c>
      <c r="H2175">
        <v>749.5</v>
      </c>
      <c r="I2175">
        <v>4634.1400000000003</v>
      </c>
      <c r="J2175">
        <v>3.9</v>
      </c>
      <c r="K2175">
        <v>8.57</v>
      </c>
      <c r="L2175">
        <v>18.739999999999998</v>
      </c>
      <c r="M2175">
        <v>6.18</v>
      </c>
      <c r="N2175">
        <v>3884.64</v>
      </c>
    </row>
    <row r="2176" spans="1:14" x14ac:dyDescent="0.2">
      <c r="A2176" s="1">
        <v>45655</v>
      </c>
      <c r="B2176" s="2" t="s">
        <v>20</v>
      </c>
      <c r="C2176" s="2" t="s">
        <v>28</v>
      </c>
      <c r="D2176" s="2" t="s">
        <v>25</v>
      </c>
      <c r="E2176">
        <v>10207</v>
      </c>
      <c r="F2176">
        <v>344</v>
      </c>
      <c r="G2176">
        <v>16</v>
      </c>
      <c r="H2176">
        <v>938.83</v>
      </c>
      <c r="I2176">
        <v>1658.41</v>
      </c>
      <c r="J2176">
        <v>3.37</v>
      </c>
      <c r="K2176">
        <v>4.6500000000000004</v>
      </c>
      <c r="L2176">
        <v>58.68</v>
      </c>
      <c r="M2176">
        <v>1.77</v>
      </c>
      <c r="N2176">
        <v>719.58</v>
      </c>
    </row>
    <row r="2177" spans="1:14" x14ac:dyDescent="0.2">
      <c r="A2177" s="1">
        <v>45655</v>
      </c>
      <c r="B2177" s="2" t="s">
        <v>23</v>
      </c>
      <c r="C2177" s="2" t="s">
        <v>32</v>
      </c>
      <c r="D2177" s="2" t="s">
        <v>19</v>
      </c>
      <c r="E2177">
        <v>3103</v>
      </c>
      <c r="F2177">
        <v>72</v>
      </c>
      <c r="G2177">
        <v>8</v>
      </c>
      <c r="H2177">
        <v>999.52</v>
      </c>
      <c r="I2177">
        <v>2748.01</v>
      </c>
      <c r="J2177">
        <v>2.3199999999999998</v>
      </c>
      <c r="K2177">
        <v>11.11</v>
      </c>
      <c r="L2177">
        <v>124.94</v>
      </c>
      <c r="M2177">
        <v>2.75</v>
      </c>
      <c r="N2177">
        <v>1748.49</v>
      </c>
    </row>
    <row r="2178" spans="1:14" x14ac:dyDescent="0.2">
      <c r="A2178" s="1">
        <v>45655</v>
      </c>
      <c r="B2178" s="2" t="s">
        <v>24</v>
      </c>
      <c r="C2178" s="2" t="s">
        <v>35</v>
      </c>
      <c r="D2178" s="2" t="s">
        <v>22</v>
      </c>
      <c r="E2178">
        <v>15755</v>
      </c>
      <c r="F2178">
        <v>3596</v>
      </c>
      <c r="G2178">
        <v>306</v>
      </c>
      <c r="H2178">
        <v>150.77000000000001</v>
      </c>
      <c r="I2178">
        <v>38826.980000000003</v>
      </c>
      <c r="J2178">
        <v>22.82</v>
      </c>
      <c r="K2178">
        <v>8.51</v>
      </c>
      <c r="L2178">
        <v>0.49</v>
      </c>
      <c r="M2178">
        <v>257.52</v>
      </c>
      <c r="N2178">
        <v>38676.21</v>
      </c>
    </row>
    <row r="2179" spans="1:14" x14ac:dyDescent="0.2">
      <c r="A2179" s="1">
        <v>45655</v>
      </c>
      <c r="B2179" s="2" t="s">
        <v>26</v>
      </c>
      <c r="C2179" s="2" t="s">
        <v>35</v>
      </c>
      <c r="D2179" s="2" t="s">
        <v>16</v>
      </c>
      <c r="E2179">
        <v>24196</v>
      </c>
      <c r="F2179">
        <v>1806</v>
      </c>
      <c r="G2179">
        <v>224</v>
      </c>
      <c r="H2179">
        <v>0</v>
      </c>
      <c r="I2179">
        <v>30338.79</v>
      </c>
      <c r="J2179">
        <v>7.46</v>
      </c>
      <c r="K2179">
        <v>12.4</v>
      </c>
      <c r="L2179">
        <v>0</v>
      </c>
      <c r="M2179">
        <v>0</v>
      </c>
      <c r="N2179">
        <v>30338.79</v>
      </c>
    </row>
    <row r="2180" spans="1:14" x14ac:dyDescent="0.2">
      <c r="A2180" s="1">
        <v>45655</v>
      </c>
      <c r="B2180" s="2" t="s">
        <v>27</v>
      </c>
      <c r="C2180" s="2" t="s">
        <v>35</v>
      </c>
      <c r="D2180" s="2" t="s">
        <v>16</v>
      </c>
      <c r="E2180">
        <v>37969</v>
      </c>
      <c r="F2180">
        <v>698</v>
      </c>
      <c r="G2180">
        <v>31</v>
      </c>
      <c r="H2180">
        <v>1117.96</v>
      </c>
      <c r="I2180">
        <v>2596.7399999999998</v>
      </c>
      <c r="J2180">
        <v>1.84</v>
      </c>
      <c r="K2180">
        <v>4.4400000000000004</v>
      </c>
      <c r="L2180">
        <v>36.06</v>
      </c>
      <c r="M2180">
        <v>2.3199999999999998</v>
      </c>
      <c r="N2180">
        <v>1478.78</v>
      </c>
    </row>
    <row r="2181" spans="1:14" x14ac:dyDescent="0.2">
      <c r="A2181" s="1">
        <v>45655</v>
      </c>
      <c r="B2181" s="2" t="s">
        <v>29</v>
      </c>
      <c r="C2181" s="2" t="s">
        <v>28</v>
      </c>
      <c r="D2181" s="2" t="s">
        <v>16</v>
      </c>
      <c r="E2181">
        <v>15360</v>
      </c>
      <c r="F2181">
        <v>456</v>
      </c>
      <c r="G2181">
        <v>33</v>
      </c>
      <c r="H2181">
        <v>826.02</v>
      </c>
      <c r="I2181">
        <v>4993.45</v>
      </c>
      <c r="J2181">
        <v>2.97</v>
      </c>
      <c r="K2181">
        <v>7.24</v>
      </c>
      <c r="L2181">
        <v>25.03</v>
      </c>
      <c r="M2181">
        <v>6.05</v>
      </c>
      <c r="N2181">
        <v>4167.43</v>
      </c>
    </row>
    <row r="2182" spans="1:14" x14ac:dyDescent="0.2">
      <c r="A2182" s="1">
        <v>45655</v>
      </c>
      <c r="B2182" s="2" t="s">
        <v>30</v>
      </c>
      <c r="C2182" s="2" t="s">
        <v>21</v>
      </c>
      <c r="D2182" s="2" t="s">
        <v>25</v>
      </c>
      <c r="E2182">
        <v>11677</v>
      </c>
      <c r="F2182">
        <v>247</v>
      </c>
      <c r="G2182">
        <v>7</v>
      </c>
      <c r="H2182">
        <v>476.95</v>
      </c>
      <c r="I2182">
        <v>697.59</v>
      </c>
      <c r="J2182">
        <v>2.12</v>
      </c>
      <c r="K2182">
        <v>2.83</v>
      </c>
      <c r="L2182">
        <v>68.14</v>
      </c>
      <c r="M2182">
        <v>1.46</v>
      </c>
      <c r="N2182">
        <v>220.64</v>
      </c>
    </row>
    <row r="2183" spans="1:14" x14ac:dyDescent="0.2">
      <c r="A2183" s="1">
        <v>45655</v>
      </c>
      <c r="B2183" s="2" t="s">
        <v>31</v>
      </c>
      <c r="C2183" s="2" t="s">
        <v>21</v>
      </c>
      <c r="D2183" s="2" t="s">
        <v>22</v>
      </c>
      <c r="E2183">
        <v>26802</v>
      </c>
      <c r="F2183">
        <v>748</v>
      </c>
      <c r="G2183">
        <v>27</v>
      </c>
      <c r="H2183">
        <v>635.64</v>
      </c>
      <c r="I2183">
        <v>2320.4299999999998</v>
      </c>
      <c r="J2183">
        <v>2.79</v>
      </c>
      <c r="K2183">
        <v>3.61</v>
      </c>
      <c r="L2183">
        <v>23.54</v>
      </c>
      <c r="M2183">
        <v>3.65</v>
      </c>
      <c r="N2183">
        <v>1684.79</v>
      </c>
    </row>
    <row r="2184" spans="1:14" x14ac:dyDescent="0.2">
      <c r="A2184" s="1">
        <v>45655</v>
      </c>
      <c r="B2184" s="2" t="s">
        <v>33</v>
      </c>
      <c r="C2184" s="2" t="s">
        <v>15</v>
      </c>
      <c r="D2184" s="2" t="s">
        <v>22</v>
      </c>
      <c r="E2184">
        <v>8172</v>
      </c>
      <c r="F2184">
        <v>484</v>
      </c>
      <c r="G2184">
        <v>54</v>
      </c>
      <c r="H2184">
        <v>338.32</v>
      </c>
      <c r="I2184">
        <v>5947.63</v>
      </c>
      <c r="J2184">
        <v>5.92</v>
      </c>
      <c r="K2184">
        <v>11.16</v>
      </c>
      <c r="L2184">
        <v>6.27</v>
      </c>
      <c r="M2184">
        <v>17.579999999999998</v>
      </c>
      <c r="N2184">
        <v>5609.31</v>
      </c>
    </row>
    <row r="2185" spans="1:14" x14ac:dyDescent="0.2">
      <c r="A2185" s="1">
        <v>45655</v>
      </c>
      <c r="B2185" s="2" t="s">
        <v>34</v>
      </c>
      <c r="C2185" s="2" t="s">
        <v>15</v>
      </c>
      <c r="D2185" s="2" t="s">
        <v>22</v>
      </c>
      <c r="E2185">
        <v>5732</v>
      </c>
      <c r="F2185">
        <v>446</v>
      </c>
      <c r="G2185">
        <v>59</v>
      </c>
      <c r="H2185">
        <v>92.37</v>
      </c>
      <c r="I2185">
        <v>7939.85</v>
      </c>
      <c r="J2185">
        <v>7.78</v>
      </c>
      <c r="K2185">
        <v>13.23</v>
      </c>
      <c r="L2185">
        <v>1.57</v>
      </c>
      <c r="M2185">
        <v>85.96</v>
      </c>
      <c r="N2185">
        <v>7847.48</v>
      </c>
    </row>
    <row r="2186" spans="1:14" x14ac:dyDescent="0.2">
      <c r="A2186" s="1">
        <v>45656</v>
      </c>
      <c r="B2186" s="2" t="s">
        <v>14</v>
      </c>
      <c r="C2186" s="2" t="s">
        <v>35</v>
      </c>
      <c r="D2186" s="2" t="s">
        <v>36</v>
      </c>
      <c r="E2186">
        <v>20878</v>
      </c>
      <c r="F2186">
        <v>859</v>
      </c>
      <c r="G2186">
        <v>77</v>
      </c>
      <c r="H2186">
        <v>1722.01</v>
      </c>
      <c r="I2186">
        <v>13165.43</v>
      </c>
      <c r="J2186">
        <v>4.1100000000000003</v>
      </c>
      <c r="K2186">
        <v>8.9600000000000009</v>
      </c>
      <c r="L2186">
        <v>22.36</v>
      </c>
      <c r="M2186">
        <v>7.65</v>
      </c>
      <c r="N2186">
        <v>11443.42</v>
      </c>
    </row>
    <row r="2187" spans="1:14" x14ac:dyDescent="0.2">
      <c r="A2187" s="1">
        <v>45656</v>
      </c>
      <c r="B2187" s="2" t="s">
        <v>17</v>
      </c>
      <c r="C2187" s="2" t="s">
        <v>32</v>
      </c>
      <c r="D2187" s="2" t="s">
        <v>16</v>
      </c>
      <c r="E2187">
        <v>24648</v>
      </c>
      <c r="F2187">
        <v>674</v>
      </c>
      <c r="G2187">
        <v>36</v>
      </c>
      <c r="H2187">
        <v>1298.32</v>
      </c>
      <c r="I2187">
        <v>4508.55</v>
      </c>
      <c r="J2187">
        <v>2.73</v>
      </c>
      <c r="K2187">
        <v>5.34</v>
      </c>
      <c r="L2187">
        <v>36.06</v>
      </c>
      <c r="M2187">
        <v>3.47</v>
      </c>
      <c r="N2187">
        <v>3210.23</v>
      </c>
    </row>
    <row r="2188" spans="1:14" x14ac:dyDescent="0.2">
      <c r="A2188" s="1">
        <v>45656</v>
      </c>
      <c r="B2188" s="2" t="s">
        <v>20</v>
      </c>
      <c r="C2188" s="2" t="s">
        <v>15</v>
      </c>
      <c r="D2188" s="2" t="s">
        <v>16</v>
      </c>
      <c r="E2188">
        <v>22345</v>
      </c>
      <c r="F2188">
        <v>579</v>
      </c>
      <c r="G2188">
        <v>39</v>
      </c>
      <c r="H2188">
        <v>1186.58</v>
      </c>
      <c r="I2188">
        <v>3027.23</v>
      </c>
      <c r="J2188">
        <v>2.59</v>
      </c>
      <c r="K2188">
        <v>6.74</v>
      </c>
      <c r="L2188">
        <v>30.43</v>
      </c>
      <c r="M2188">
        <v>2.5499999999999998</v>
      </c>
      <c r="N2188">
        <v>1840.65</v>
      </c>
    </row>
    <row r="2189" spans="1:14" x14ac:dyDescent="0.2">
      <c r="A2189" s="1">
        <v>45656</v>
      </c>
      <c r="B2189" s="2" t="s">
        <v>23</v>
      </c>
      <c r="C2189" s="2" t="s">
        <v>28</v>
      </c>
      <c r="D2189" s="2" t="s">
        <v>22</v>
      </c>
      <c r="E2189">
        <v>5203</v>
      </c>
      <c r="F2189">
        <v>124</v>
      </c>
      <c r="G2189">
        <v>12</v>
      </c>
      <c r="H2189">
        <v>1466.41</v>
      </c>
      <c r="I2189">
        <v>3767.32</v>
      </c>
      <c r="J2189">
        <v>2.38</v>
      </c>
      <c r="K2189">
        <v>9.68</v>
      </c>
      <c r="L2189">
        <v>122.2</v>
      </c>
      <c r="M2189">
        <v>2.57</v>
      </c>
      <c r="N2189">
        <v>2300.91</v>
      </c>
    </row>
    <row r="2190" spans="1:14" x14ac:dyDescent="0.2">
      <c r="A2190" s="1">
        <v>45656</v>
      </c>
      <c r="B2190" s="2" t="s">
        <v>24</v>
      </c>
      <c r="C2190" s="2" t="s">
        <v>15</v>
      </c>
      <c r="D2190" s="2" t="s">
        <v>22</v>
      </c>
      <c r="E2190">
        <v>23717</v>
      </c>
      <c r="F2190">
        <v>3770</v>
      </c>
      <c r="G2190">
        <v>340</v>
      </c>
      <c r="H2190">
        <v>260.81</v>
      </c>
      <c r="I2190">
        <v>52905.23</v>
      </c>
      <c r="J2190">
        <v>15.9</v>
      </c>
      <c r="K2190">
        <v>9.02</v>
      </c>
      <c r="L2190">
        <v>0.77</v>
      </c>
      <c r="M2190">
        <v>202.85</v>
      </c>
      <c r="N2190">
        <v>52644.42</v>
      </c>
    </row>
    <row r="2191" spans="1:14" x14ac:dyDescent="0.2">
      <c r="A2191" s="1">
        <v>45656</v>
      </c>
      <c r="B2191" s="2" t="s">
        <v>26</v>
      </c>
      <c r="C2191" s="2" t="s">
        <v>32</v>
      </c>
      <c r="D2191" s="2" t="s">
        <v>16</v>
      </c>
      <c r="E2191">
        <v>39792</v>
      </c>
      <c r="F2191">
        <v>2178</v>
      </c>
      <c r="G2191">
        <v>302</v>
      </c>
      <c r="H2191">
        <v>0</v>
      </c>
      <c r="I2191">
        <v>32958.47</v>
      </c>
      <c r="J2191">
        <v>5.47</v>
      </c>
      <c r="K2191">
        <v>13.87</v>
      </c>
      <c r="L2191">
        <v>0</v>
      </c>
      <c r="M2191">
        <v>0</v>
      </c>
      <c r="N2191">
        <v>32958.47</v>
      </c>
    </row>
    <row r="2192" spans="1:14" x14ac:dyDescent="0.2">
      <c r="A2192" s="1">
        <v>45656</v>
      </c>
      <c r="B2192" s="2" t="s">
        <v>27</v>
      </c>
      <c r="C2192" s="2" t="s">
        <v>21</v>
      </c>
      <c r="D2192" s="2" t="s">
        <v>19</v>
      </c>
      <c r="E2192">
        <v>49343</v>
      </c>
      <c r="F2192">
        <v>551</v>
      </c>
      <c r="G2192">
        <v>11</v>
      </c>
      <c r="H2192">
        <v>1348.1</v>
      </c>
      <c r="I2192">
        <v>1098.8499999999999</v>
      </c>
      <c r="J2192">
        <v>1.1200000000000001</v>
      </c>
      <c r="K2192">
        <v>2</v>
      </c>
      <c r="L2192">
        <v>122.55</v>
      </c>
      <c r="M2192">
        <v>0.82</v>
      </c>
      <c r="N2192">
        <v>-249.25</v>
      </c>
    </row>
    <row r="2193" spans="1:14" x14ac:dyDescent="0.2">
      <c r="A2193" s="1">
        <v>45656</v>
      </c>
      <c r="B2193" s="2" t="s">
        <v>29</v>
      </c>
      <c r="C2193" s="2" t="s">
        <v>32</v>
      </c>
      <c r="D2193" s="2" t="s">
        <v>19</v>
      </c>
      <c r="E2193">
        <v>21238</v>
      </c>
      <c r="F2193">
        <v>463</v>
      </c>
      <c r="G2193">
        <v>19</v>
      </c>
      <c r="H2193">
        <v>1498.19</v>
      </c>
      <c r="I2193">
        <v>2155.41</v>
      </c>
      <c r="J2193">
        <v>2.1800000000000002</v>
      </c>
      <c r="K2193">
        <v>4.0999999999999996</v>
      </c>
      <c r="L2193">
        <v>78.849999999999994</v>
      </c>
      <c r="M2193">
        <v>1.44</v>
      </c>
      <c r="N2193">
        <v>657.22</v>
      </c>
    </row>
    <row r="2194" spans="1:14" x14ac:dyDescent="0.2">
      <c r="A2194" s="1">
        <v>45656</v>
      </c>
      <c r="B2194" s="2" t="s">
        <v>30</v>
      </c>
      <c r="C2194" s="2" t="s">
        <v>15</v>
      </c>
      <c r="D2194" s="2" t="s">
        <v>19</v>
      </c>
      <c r="E2194">
        <v>11594</v>
      </c>
      <c r="F2194">
        <v>312</v>
      </c>
      <c r="G2194">
        <v>9</v>
      </c>
      <c r="H2194">
        <v>1034.3699999999999</v>
      </c>
      <c r="I2194">
        <v>984.82</v>
      </c>
      <c r="J2194">
        <v>2.69</v>
      </c>
      <c r="K2194">
        <v>2.88</v>
      </c>
      <c r="L2194">
        <v>114.93</v>
      </c>
      <c r="M2194">
        <v>0.95</v>
      </c>
      <c r="N2194">
        <v>-49.55</v>
      </c>
    </row>
    <row r="2195" spans="1:14" x14ac:dyDescent="0.2">
      <c r="A2195" s="1">
        <v>45656</v>
      </c>
      <c r="B2195" s="2" t="s">
        <v>31</v>
      </c>
      <c r="C2195" s="2" t="s">
        <v>28</v>
      </c>
      <c r="D2195" s="2" t="s">
        <v>36</v>
      </c>
      <c r="E2195">
        <v>38217</v>
      </c>
      <c r="F2195">
        <v>981</v>
      </c>
      <c r="G2195">
        <v>62</v>
      </c>
      <c r="H2195">
        <v>1508.65</v>
      </c>
      <c r="I2195">
        <v>4733.9799999999996</v>
      </c>
      <c r="J2195">
        <v>2.57</v>
      </c>
      <c r="K2195">
        <v>6.32</v>
      </c>
      <c r="L2195">
        <v>24.33</v>
      </c>
      <c r="M2195">
        <v>3.14</v>
      </c>
      <c r="N2195">
        <v>3225.33</v>
      </c>
    </row>
    <row r="2196" spans="1:14" x14ac:dyDescent="0.2">
      <c r="A2196" s="1">
        <v>45656</v>
      </c>
      <c r="B2196" s="2" t="s">
        <v>33</v>
      </c>
      <c r="C2196" s="2" t="s">
        <v>35</v>
      </c>
      <c r="D2196" s="2" t="s">
        <v>36</v>
      </c>
      <c r="E2196">
        <v>12206</v>
      </c>
      <c r="F2196">
        <v>708</v>
      </c>
      <c r="G2196">
        <v>74</v>
      </c>
      <c r="H2196">
        <v>722.37</v>
      </c>
      <c r="I2196">
        <v>9397.76</v>
      </c>
      <c r="J2196">
        <v>5.8</v>
      </c>
      <c r="K2196">
        <v>10.45</v>
      </c>
      <c r="L2196">
        <v>9.76</v>
      </c>
      <c r="M2196">
        <v>13.01</v>
      </c>
      <c r="N2196">
        <v>8675.39</v>
      </c>
    </row>
    <row r="2197" spans="1:14" x14ac:dyDescent="0.2">
      <c r="A2197" s="1">
        <v>45656</v>
      </c>
      <c r="B2197" s="2" t="s">
        <v>34</v>
      </c>
      <c r="C2197" s="2" t="s">
        <v>35</v>
      </c>
      <c r="D2197" s="2" t="s">
        <v>22</v>
      </c>
      <c r="E2197">
        <v>6792</v>
      </c>
      <c r="F2197">
        <v>392</v>
      </c>
      <c r="G2197">
        <v>64</v>
      </c>
      <c r="H2197">
        <v>72.14</v>
      </c>
      <c r="I2197">
        <v>10365.36</v>
      </c>
      <c r="J2197">
        <v>5.77</v>
      </c>
      <c r="K2197">
        <v>16.329999999999998</v>
      </c>
      <c r="L2197">
        <v>1.1299999999999999</v>
      </c>
      <c r="M2197">
        <v>143.68</v>
      </c>
      <c r="N2197">
        <v>10293.219999999999</v>
      </c>
    </row>
    <row r="2198" spans="1:14" x14ac:dyDescent="0.2">
      <c r="A2198" s="1">
        <v>45657</v>
      </c>
      <c r="B2198" s="2" t="s">
        <v>14</v>
      </c>
      <c r="C2198" s="2" t="s">
        <v>28</v>
      </c>
      <c r="D2198" s="2" t="s">
        <v>19</v>
      </c>
      <c r="E2198">
        <v>19189</v>
      </c>
      <c r="F2198">
        <v>926</v>
      </c>
      <c r="G2198">
        <v>95</v>
      </c>
      <c r="H2198">
        <v>1747.61</v>
      </c>
      <c r="I2198">
        <v>11865.95</v>
      </c>
      <c r="J2198">
        <v>4.83</v>
      </c>
      <c r="K2198">
        <v>10.26</v>
      </c>
      <c r="L2198">
        <v>18.399999999999999</v>
      </c>
      <c r="M2198">
        <v>6.79</v>
      </c>
      <c r="N2198">
        <v>10118.34</v>
      </c>
    </row>
    <row r="2199" spans="1:14" x14ac:dyDescent="0.2">
      <c r="A2199" s="1">
        <v>45657</v>
      </c>
      <c r="B2199" s="2" t="s">
        <v>17</v>
      </c>
      <c r="C2199" s="2" t="s">
        <v>15</v>
      </c>
      <c r="D2199" s="2" t="s">
        <v>25</v>
      </c>
      <c r="E2199">
        <v>21666</v>
      </c>
      <c r="F2199">
        <v>807</v>
      </c>
      <c r="G2199">
        <v>70</v>
      </c>
      <c r="H2199">
        <v>1452.11</v>
      </c>
      <c r="I2199">
        <v>6475.52</v>
      </c>
      <c r="J2199">
        <v>3.72</v>
      </c>
      <c r="K2199">
        <v>8.67</v>
      </c>
      <c r="L2199">
        <v>20.74</v>
      </c>
      <c r="M2199">
        <v>4.46</v>
      </c>
      <c r="N2199">
        <v>5023.41</v>
      </c>
    </row>
    <row r="2200" spans="1:14" x14ac:dyDescent="0.2">
      <c r="A2200" s="1">
        <v>45657</v>
      </c>
      <c r="B2200" s="2" t="s">
        <v>20</v>
      </c>
      <c r="C2200" s="2" t="s">
        <v>32</v>
      </c>
      <c r="D2200" s="2" t="s">
        <v>36</v>
      </c>
      <c r="E2200">
        <v>19789</v>
      </c>
      <c r="F2200">
        <v>656</v>
      </c>
      <c r="G2200">
        <v>29</v>
      </c>
      <c r="H2200">
        <v>1371.75</v>
      </c>
      <c r="I2200">
        <v>3087.27</v>
      </c>
      <c r="J2200">
        <v>3.31</v>
      </c>
      <c r="K2200">
        <v>4.42</v>
      </c>
      <c r="L2200">
        <v>47.3</v>
      </c>
      <c r="M2200">
        <v>2.25</v>
      </c>
      <c r="N2200">
        <v>1715.52</v>
      </c>
    </row>
    <row r="2201" spans="1:14" x14ac:dyDescent="0.2">
      <c r="A2201" s="1">
        <v>45657</v>
      </c>
      <c r="B2201" s="2" t="s">
        <v>23</v>
      </c>
      <c r="C2201" s="2" t="s">
        <v>32</v>
      </c>
      <c r="D2201" s="2" t="s">
        <v>16</v>
      </c>
      <c r="E2201">
        <v>7790</v>
      </c>
      <c r="F2201">
        <v>197</v>
      </c>
      <c r="G2201">
        <v>19</v>
      </c>
      <c r="H2201">
        <v>1781.99</v>
      </c>
      <c r="I2201">
        <v>6838.07</v>
      </c>
      <c r="J2201">
        <v>2.5299999999999998</v>
      </c>
      <c r="K2201">
        <v>9.64</v>
      </c>
      <c r="L2201">
        <v>93.79</v>
      </c>
      <c r="M2201">
        <v>3.84</v>
      </c>
      <c r="N2201">
        <v>5056.08</v>
      </c>
    </row>
    <row r="2202" spans="1:14" x14ac:dyDescent="0.2">
      <c r="A2202" s="1">
        <v>45657</v>
      </c>
      <c r="B2202" s="2" t="s">
        <v>24</v>
      </c>
      <c r="C2202" s="2" t="s">
        <v>18</v>
      </c>
      <c r="D2202" s="2" t="s">
        <v>25</v>
      </c>
      <c r="E2202">
        <v>28837</v>
      </c>
      <c r="F2202">
        <v>5378</v>
      </c>
      <c r="G2202">
        <v>557</v>
      </c>
      <c r="H2202">
        <v>357.16</v>
      </c>
      <c r="I2202">
        <v>79004.800000000003</v>
      </c>
      <c r="J2202">
        <v>18.649999999999999</v>
      </c>
      <c r="K2202">
        <v>10.36</v>
      </c>
      <c r="L2202">
        <v>0.64</v>
      </c>
      <c r="M2202">
        <v>221.2</v>
      </c>
      <c r="N2202">
        <v>78647.64</v>
      </c>
    </row>
    <row r="2203" spans="1:14" x14ac:dyDescent="0.2">
      <c r="A2203" s="1">
        <v>45657</v>
      </c>
      <c r="B2203" s="2" t="s">
        <v>26</v>
      </c>
      <c r="C2203" s="2" t="s">
        <v>15</v>
      </c>
      <c r="D2203" s="2" t="s">
        <v>19</v>
      </c>
      <c r="E2203">
        <v>35445</v>
      </c>
      <c r="F2203">
        <v>2641</v>
      </c>
      <c r="G2203">
        <v>396</v>
      </c>
      <c r="H2203">
        <v>0</v>
      </c>
      <c r="I2203">
        <v>58507.25</v>
      </c>
      <c r="J2203">
        <v>7.45</v>
      </c>
      <c r="K2203">
        <v>14.99</v>
      </c>
      <c r="L2203">
        <v>0</v>
      </c>
      <c r="M2203">
        <v>0</v>
      </c>
      <c r="N2203">
        <v>58507.25</v>
      </c>
    </row>
    <row r="2204" spans="1:14" x14ac:dyDescent="0.2">
      <c r="A2204" s="1">
        <v>45657</v>
      </c>
      <c r="B2204" s="2" t="s">
        <v>27</v>
      </c>
      <c r="C2204" s="2" t="s">
        <v>32</v>
      </c>
      <c r="D2204" s="2" t="s">
        <v>25</v>
      </c>
      <c r="E2204">
        <v>40276</v>
      </c>
      <c r="F2204">
        <v>406</v>
      </c>
      <c r="G2204">
        <v>18</v>
      </c>
      <c r="H2204">
        <v>1752.06</v>
      </c>
      <c r="I2204">
        <v>1945.57</v>
      </c>
      <c r="J2204">
        <v>1.01</v>
      </c>
      <c r="K2204">
        <v>4.43</v>
      </c>
      <c r="L2204">
        <v>97.34</v>
      </c>
      <c r="M2204">
        <v>1.1100000000000001</v>
      </c>
      <c r="N2204">
        <v>193.51</v>
      </c>
    </row>
    <row r="2205" spans="1:14" x14ac:dyDescent="0.2">
      <c r="A2205" s="1">
        <v>45657</v>
      </c>
      <c r="B2205" s="2" t="s">
        <v>29</v>
      </c>
      <c r="C2205" s="2" t="s">
        <v>32</v>
      </c>
      <c r="D2205" s="2" t="s">
        <v>19</v>
      </c>
      <c r="E2205">
        <v>21877</v>
      </c>
      <c r="F2205">
        <v>529</v>
      </c>
      <c r="G2205">
        <v>32</v>
      </c>
      <c r="H2205">
        <v>1829.1</v>
      </c>
      <c r="I2205">
        <v>3657.09</v>
      </c>
      <c r="J2205">
        <v>2.42</v>
      </c>
      <c r="K2205">
        <v>6.05</v>
      </c>
      <c r="L2205">
        <v>57.16</v>
      </c>
      <c r="M2205">
        <v>2</v>
      </c>
      <c r="N2205">
        <v>1827.99</v>
      </c>
    </row>
    <row r="2206" spans="1:14" x14ac:dyDescent="0.2">
      <c r="A2206" s="1">
        <v>45657</v>
      </c>
      <c r="B2206" s="2" t="s">
        <v>30</v>
      </c>
      <c r="C2206" s="2" t="s">
        <v>35</v>
      </c>
      <c r="D2206" s="2" t="s">
        <v>16</v>
      </c>
      <c r="E2206">
        <v>16923</v>
      </c>
      <c r="F2206">
        <v>434</v>
      </c>
      <c r="G2206">
        <v>18</v>
      </c>
      <c r="H2206">
        <v>756.49</v>
      </c>
      <c r="I2206">
        <v>1735.54</v>
      </c>
      <c r="J2206">
        <v>2.56</v>
      </c>
      <c r="K2206">
        <v>4.1500000000000004</v>
      </c>
      <c r="L2206">
        <v>42.03</v>
      </c>
      <c r="M2206">
        <v>2.29</v>
      </c>
      <c r="N2206">
        <v>979.05</v>
      </c>
    </row>
    <row r="2207" spans="1:14" x14ac:dyDescent="0.2">
      <c r="A2207" s="1">
        <v>45657</v>
      </c>
      <c r="B2207" s="2" t="s">
        <v>31</v>
      </c>
      <c r="C2207" s="2" t="s">
        <v>28</v>
      </c>
      <c r="D2207" s="2" t="s">
        <v>16</v>
      </c>
      <c r="E2207">
        <v>28221</v>
      </c>
      <c r="F2207">
        <v>991</v>
      </c>
      <c r="G2207">
        <v>43</v>
      </c>
      <c r="H2207">
        <v>983.53</v>
      </c>
      <c r="I2207">
        <v>4500.3900000000003</v>
      </c>
      <c r="J2207">
        <v>3.51</v>
      </c>
      <c r="K2207">
        <v>4.34</v>
      </c>
      <c r="L2207">
        <v>22.87</v>
      </c>
      <c r="M2207">
        <v>4.58</v>
      </c>
      <c r="N2207">
        <v>3516.86</v>
      </c>
    </row>
    <row r="2208" spans="1:14" x14ac:dyDescent="0.2">
      <c r="A2208" s="1">
        <v>45657</v>
      </c>
      <c r="B2208" s="2" t="s">
        <v>33</v>
      </c>
      <c r="C2208" s="2" t="s">
        <v>35</v>
      </c>
      <c r="D2208" s="2" t="s">
        <v>19</v>
      </c>
      <c r="E2208">
        <v>9184</v>
      </c>
      <c r="F2208">
        <v>537</v>
      </c>
      <c r="G2208">
        <v>53</v>
      </c>
      <c r="H2208">
        <v>541.26</v>
      </c>
      <c r="I2208">
        <v>6657.54</v>
      </c>
      <c r="J2208">
        <v>5.85</v>
      </c>
      <c r="K2208">
        <v>9.8699999999999992</v>
      </c>
      <c r="L2208">
        <v>10.210000000000001</v>
      </c>
      <c r="M2208">
        <v>12.3</v>
      </c>
      <c r="N2208">
        <v>6116.28</v>
      </c>
    </row>
    <row r="2209" spans="1:14" x14ac:dyDescent="0.2">
      <c r="A2209" s="1">
        <v>45657</v>
      </c>
      <c r="B2209" s="2" t="s">
        <v>34</v>
      </c>
      <c r="C2209" s="2" t="s">
        <v>15</v>
      </c>
      <c r="D2209" s="2" t="s">
        <v>19</v>
      </c>
      <c r="E2209">
        <v>5160</v>
      </c>
      <c r="F2209">
        <v>457</v>
      </c>
      <c r="G2209">
        <v>70</v>
      </c>
      <c r="H2209">
        <v>143.38</v>
      </c>
      <c r="I2209">
        <v>9419.31</v>
      </c>
      <c r="J2209">
        <v>8.86</v>
      </c>
      <c r="K2209">
        <v>15.32</v>
      </c>
      <c r="L2209">
        <v>2.0499999999999998</v>
      </c>
      <c r="M2209">
        <v>65.69</v>
      </c>
      <c r="N2209">
        <v>9275.93</v>
      </c>
    </row>
    <row r="2210" spans="1:14" x14ac:dyDescent="0.2">
      <c r="A2210" s="1">
        <v>45658</v>
      </c>
      <c r="B2210" s="2" t="s">
        <v>14</v>
      </c>
      <c r="C2210" s="2" t="s">
        <v>35</v>
      </c>
      <c r="D2210" s="2" t="s">
        <v>19</v>
      </c>
      <c r="E2210">
        <v>16912</v>
      </c>
      <c r="F2210">
        <v>547</v>
      </c>
      <c r="G2210">
        <v>49</v>
      </c>
      <c r="H2210">
        <v>1734.72</v>
      </c>
      <c r="I2210">
        <v>8077.58</v>
      </c>
      <c r="J2210">
        <v>3.23</v>
      </c>
      <c r="K2210">
        <v>8.9600000000000009</v>
      </c>
      <c r="L2210">
        <v>35.4</v>
      </c>
      <c r="M2210">
        <v>4.66</v>
      </c>
      <c r="N2210">
        <v>6342.86</v>
      </c>
    </row>
    <row r="2211" spans="1:14" x14ac:dyDescent="0.2">
      <c r="A2211" s="1">
        <v>45658</v>
      </c>
      <c r="B2211" s="2" t="s">
        <v>17</v>
      </c>
      <c r="C2211" s="2" t="s">
        <v>15</v>
      </c>
      <c r="D2211" s="2" t="s">
        <v>19</v>
      </c>
      <c r="E2211">
        <v>16153</v>
      </c>
      <c r="F2211">
        <v>560</v>
      </c>
      <c r="G2211">
        <v>32</v>
      </c>
      <c r="H2211">
        <v>1009.85</v>
      </c>
      <c r="I2211">
        <v>4009.94</v>
      </c>
      <c r="J2211">
        <v>3.47</v>
      </c>
      <c r="K2211">
        <v>5.71</v>
      </c>
      <c r="L2211">
        <v>31.56</v>
      </c>
      <c r="M2211">
        <v>3.97</v>
      </c>
      <c r="N2211">
        <v>3000.09</v>
      </c>
    </row>
    <row r="2212" spans="1:14" x14ac:dyDescent="0.2">
      <c r="A2212" s="1">
        <v>45658</v>
      </c>
      <c r="B2212" s="2" t="s">
        <v>20</v>
      </c>
      <c r="C2212" s="2" t="s">
        <v>21</v>
      </c>
      <c r="D2212" s="2" t="s">
        <v>22</v>
      </c>
      <c r="E2212">
        <v>21529</v>
      </c>
      <c r="F2212">
        <v>723</v>
      </c>
      <c r="G2212">
        <v>42</v>
      </c>
      <c r="H2212">
        <v>766.45</v>
      </c>
      <c r="I2212">
        <v>3838.92</v>
      </c>
      <c r="J2212">
        <v>3.36</v>
      </c>
      <c r="K2212">
        <v>5.81</v>
      </c>
      <c r="L2212">
        <v>18.25</v>
      </c>
      <c r="M2212">
        <v>5.01</v>
      </c>
      <c r="N2212">
        <v>3072.47</v>
      </c>
    </row>
    <row r="2213" spans="1:14" x14ac:dyDescent="0.2">
      <c r="A2213" s="1">
        <v>45658</v>
      </c>
      <c r="B2213" s="2" t="s">
        <v>23</v>
      </c>
      <c r="C2213" s="2" t="s">
        <v>32</v>
      </c>
      <c r="D2213" s="2" t="s">
        <v>22</v>
      </c>
      <c r="E2213">
        <v>4558</v>
      </c>
      <c r="F2213">
        <v>78</v>
      </c>
      <c r="G2213">
        <v>10</v>
      </c>
      <c r="H2213">
        <v>1203.1300000000001</v>
      </c>
      <c r="I2213">
        <v>3358.52</v>
      </c>
      <c r="J2213">
        <v>1.71</v>
      </c>
      <c r="K2213">
        <v>12.82</v>
      </c>
      <c r="L2213">
        <v>120.31</v>
      </c>
      <c r="M2213">
        <v>2.79</v>
      </c>
      <c r="N2213">
        <v>2155.39</v>
      </c>
    </row>
    <row r="2214" spans="1:14" x14ac:dyDescent="0.2">
      <c r="A2214" s="1">
        <v>45658</v>
      </c>
      <c r="B2214" s="2" t="s">
        <v>24</v>
      </c>
      <c r="C2214" s="2" t="s">
        <v>18</v>
      </c>
      <c r="D2214" s="2" t="s">
        <v>25</v>
      </c>
      <c r="E2214">
        <v>25177</v>
      </c>
      <c r="F2214">
        <v>4773</v>
      </c>
      <c r="G2214">
        <v>524</v>
      </c>
      <c r="H2214">
        <v>128.74</v>
      </c>
      <c r="I2214">
        <v>55818.12</v>
      </c>
      <c r="J2214">
        <v>18.96</v>
      </c>
      <c r="K2214">
        <v>10.98</v>
      </c>
      <c r="L2214">
        <v>0.25</v>
      </c>
      <c r="M2214">
        <v>433.57</v>
      </c>
      <c r="N2214">
        <v>55689.38</v>
      </c>
    </row>
    <row r="2215" spans="1:14" x14ac:dyDescent="0.2">
      <c r="A2215" s="1">
        <v>45658</v>
      </c>
      <c r="B2215" s="2" t="s">
        <v>26</v>
      </c>
      <c r="C2215" s="2" t="s">
        <v>28</v>
      </c>
      <c r="D2215" s="2" t="s">
        <v>19</v>
      </c>
      <c r="E2215">
        <v>34552</v>
      </c>
      <c r="F2215">
        <v>2691</v>
      </c>
      <c r="G2215">
        <v>382</v>
      </c>
      <c r="H2215">
        <v>0</v>
      </c>
      <c r="I2215">
        <v>52230.080000000002</v>
      </c>
      <c r="J2215">
        <v>7.79</v>
      </c>
      <c r="K2215">
        <v>14.2</v>
      </c>
      <c r="L2215">
        <v>0</v>
      </c>
      <c r="M2215">
        <v>0</v>
      </c>
      <c r="N2215">
        <v>52230.080000000002</v>
      </c>
    </row>
    <row r="2216" spans="1:14" x14ac:dyDescent="0.2">
      <c r="A2216" s="1">
        <v>45658</v>
      </c>
      <c r="B2216" s="2" t="s">
        <v>27</v>
      </c>
      <c r="C2216" s="2" t="s">
        <v>15</v>
      </c>
      <c r="D2216" s="2" t="s">
        <v>22</v>
      </c>
      <c r="E2216">
        <v>42771</v>
      </c>
      <c r="F2216">
        <v>735</v>
      </c>
      <c r="G2216">
        <v>30</v>
      </c>
      <c r="H2216">
        <v>1209.95</v>
      </c>
      <c r="I2216">
        <v>3179.98</v>
      </c>
      <c r="J2216">
        <v>1.72</v>
      </c>
      <c r="K2216">
        <v>4.08</v>
      </c>
      <c r="L2216">
        <v>40.33</v>
      </c>
      <c r="M2216">
        <v>2.63</v>
      </c>
      <c r="N2216">
        <v>1970.03</v>
      </c>
    </row>
    <row r="2217" spans="1:14" x14ac:dyDescent="0.2">
      <c r="A2217" s="1">
        <v>45658</v>
      </c>
      <c r="B2217" s="2" t="s">
        <v>29</v>
      </c>
      <c r="C2217" s="2" t="s">
        <v>15</v>
      </c>
      <c r="D2217" s="2" t="s">
        <v>16</v>
      </c>
      <c r="E2217">
        <v>20858</v>
      </c>
      <c r="F2217">
        <v>372</v>
      </c>
      <c r="G2217">
        <v>21</v>
      </c>
      <c r="H2217">
        <v>1651.9</v>
      </c>
      <c r="I2217">
        <v>1941.4</v>
      </c>
      <c r="J2217">
        <v>1.78</v>
      </c>
      <c r="K2217">
        <v>5.65</v>
      </c>
      <c r="L2217">
        <v>78.66</v>
      </c>
      <c r="M2217">
        <v>1.18</v>
      </c>
      <c r="N2217">
        <v>289.5</v>
      </c>
    </row>
    <row r="2218" spans="1:14" x14ac:dyDescent="0.2">
      <c r="A2218" s="1">
        <v>45658</v>
      </c>
      <c r="B2218" s="2" t="s">
        <v>30</v>
      </c>
      <c r="C2218" s="2" t="s">
        <v>15</v>
      </c>
      <c r="D2218" s="2" t="s">
        <v>36</v>
      </c>
      <c r="E2218">
        <v>14637</v>
      </c>
      <c r="F2218">
        <v>345</v>
      </c>
      <c r="G2218">
        <v>13</v>
      </c>
      <c r="H2218">
        <v>852.92</v>
      </c>
      <c r="I2218">
        <v>1056.08</v>
      </c>
      <c r="J2218">
        <v>2.36</v>
      </c>
      <c r="K2218">
        <v>3.77</v>
      </c>
      <c r="L2218">
        <v>65.61</v>
      </c>
      <c r="M2218">
        <v>1.24</v>
      </c>
      <c r="N2218">
        <v>203.16</v>
      </c>
    </row>
    <row r="2219" spans="1:14" x14ac:dyDescent="0.2">
      <c r="A2219" s="1">
        <v>45658</v>
      </c>
      <c r="B2219" s="2" t="s">
        <v>31</v>
      </c>
      <c r="C2219" s="2" t="s">
        <v>35</v>
      </c>
      <c r="D2219" s="2" t="s">
        <v>19</v>
      </c>
      <c r="E2219">
        <v>35992</v>
      </c>
      <c r="F2219">
        <v>1399</v>
      </c>
      <c r="G2219">
        <v>74</v>
      </c>
      <c r="H2219">
        <v>907.71</v>
      </c>
      <c r="I2219">
        <v>7454.03</v>
      </c>
      <c r="J2219">
        <v>3.89</v>
      </c>
      <c r="K2219">
        <v>5.29</v>
      </c>
      <c r="L2219">
        <v>12.27</v>
      </c>
      <c r="M2219">
        <v>8.2100000000000009</v>
      </c>
      <c r="N2219">
        <v>6546.32</v>
      </c>
    </row>
    <row r="2220" spans="1:14" x14ac:dyDescent="0.2">
      <c r="A2220" s="1">
        <v>45658</v>
      </c>
      <c r="B2220" s="2" t="s">
        <v>33</v>
      </c>
      <c r="C2220" s="2" t="s">
        <v>28</v>
      </c>
      <c r="D2220" s="2" t="s">
        <v>36</v>
      </c>
      <c r="E2220">
        <v>9934</v>
      </c>
      <c r="F2220">
        <v>613</v>
      </c>
      <c r="G2220">
        <v>60</v>
      </c>
      <c r="H2220">
        <v>387.86</v>
      </c>
      <c r="I2220">
        <v>7395.66</v>
      </c>
      <c r="J2220">
        <v>6.17</v>
      </c>
      <c r="K2220">
        <v>9.7899999999999991</v>
      </c>
      <c r="L2220">
        <v>6.46</v>
      </c>
      <c r="M2220">
        <v>19.07</v>
      </c>
      <c r="N2220">
        <v>7007.8</v>
      </c>
    </row>
    <row r="2221" spans="1:14" x14ac:dyDescent="0.2">
      <c r="A2221" s="1">
        <v>45658</v>
      </c>
      <c r="B2221" s="2" t="s">
        <v>34</v>
      </c>
      <c r="C2221" s="2" t="s">
        <v>28</v>
      </c>
      <c r="D2221" s="2" t="s">
        <v>16</v>
      </c>
      <c r="E2221">
        <v>7897</v>
      </c>
      <c r="F2221">
        <v>452</v>
      </c>
      <c r="G2221">
        <v>67</v>
      </c>
      <c r="H2221">
        <v>236.25</v>
      </c>
      <c r="I2221">
        <v>9577.8799999999992</v>
      </c>
      <c r="J2221">
        <v>5.72</v>
      </c>
      <c r="K2221">
        <v>14.82</v>
      </c>
      <c r="L2221">
        <v>3.53</v>
      </c>
      <c r="M2221">
        <v>40.54</v>
      </c>
      <c r="N2221">
        <v>9341.6299999999992</v>
      </c>
    </row>
    <row r="2222" spans="1:14" x14ac:dyDescent="0.2">
      <c r="A2222" s="1">
        <v>45659</v>
      </c>
      <c r="B2222" s="2" t="s">
        <v>14</v>
      </c>
      <c r="C2222" s="2" t="s">
        <v>32</v>
      </c>
      <c r="D2222" s="2" t="s">
        <v>25</v>
      </c>
      <c r="E2222">
        <v>16414</v>
      </c>
      <c r="F2222">
        <v>721</v>
      </c>
      <c r="G2222">
        <v>76</v>
      </c>
      <c r="H2222">
        <v>1462.86</v>
      </c>
      <c r="I2222">
        <v>12378.4</v>
      </c>
      <c r="J2222">
        <v>4.3899999999999997</v>
      </c>
      <c r="K2222">
        <v>10.54</v>
      </c>
      <c r="L2222">
        <v>19.25</v>
      </c>
      <c r="M2222">
        <v>8.4600000000000009</v>
      </c>
      <c r="N2222">
        <v>10915.54</v>
      </c>
    </row>
    <row r="2223" spans="1:14" x14ac:dyDescent="0.2">
      <c r="A2223" s="1">
        <v>45659</v>
      </c>
      <c r="B2223" s="2" t="s">
        <v>17</v>
      </c>
      <c r="C2223" s="2" t="s">
        <v>21</v>
      </c>
      <c r="D2223" s="2" t="s">
        <v>19</v>
      </c>
      <c r="E2223">
        <v>16026</v>
      </c>
      <c r="F2223">
        <v>603</v>
      </c>
      <c r="G2223">
        <v>52</v>
      </c>
      <c r="H2223">
        <v>833.47</v>
      </c>
      <c r="I2223">
        <v>6472.29</v>
      </c>
      <c r="J2223">
        <v>3.76</v>
      </c>
      <c r="K2223">
        <v>8.6199999999999992</v>
      </c>
      <c r="L2223">
        <v>16.03</v>
      </c>
      <c r="M2223">
        <v>7.77</v>
      </c>
      <c r="N2223">
        <v>5638.82</v>
      </c>
    </row>
    <row r="2224" spans="1:14" x14ac:dyDescent="0.2">
      <c r="A2224" s="1">
        <v>45659</v>
      </c>
      <c r="B2224" s="2" t="s">
        <v>20</v>
      </c>
      <c r="C2224" s="2" t="s">
        <v>15</v>
      </c>
      <c r="D2224" s="2" t="s">
        <v>22</v>
      </c>
      <c r="E2224">
        <v>15969</v>
      </c>
      <c r="F2224">
        <v>602</v>
      </c>
      <c r="G2224">
        <v>38</v>
      </c>
      <c r="H2224">
        <v>1174.1400000000001</v>
      </c>
      <c r="I2224">
        <v>3223.03</v>
      </c>
      <c r="J2224">
        <v>3.77</v>
      </c>
      <c r="K2224">
        <v>6.31</v>
      </c>
      <c r="L2224">
        <v>30.9</v>
      </c>
      <c r="M2224">
        <v>2.75</v>
      </c>
      <c r="N2224">
        <v>2048.89</v>
      </c>
    </row>
    <row r="2225" spans="1:14" x14ac:dyDescent="0.2">
      <c r="A2225" s="1">
        <v>45659</v>
      </c>
      <c r="B2225" s="2" t="s">
        <v>23</v>
      </c>
      <c r="C2225" s="2" t="s">
        <v>15</v>
      </c>
      <c r="D2225" s="2" t="s">
        <v>25</v>
      </c>
      <c r="E2225">
        <v>4333</v>
      </c>
      <c r="F2225">
        <v>121</v>
      </c>
      <c r="G2225">
        <v>15</v>
      </c>
      <c r="H2225">
        <v>1892.42</v>
      </c>
      <c r="I2225">
        <v>2968.1</v>
      </c>
      <c r="J2225">
        <v>2.79</v>
      </c>
      <c r="K2225">
        <v>12.4</v>
      </c>
      <c r="L2225">
        <v>126.16</v>
      </c>
      <c r="M2225">
        <v>1.57</v>
      </c>
      <c r="N2225">
        <v>1075.68</v>
      </c>
    </row>
    <row r="2226" spans="1:14" x14ac:dyDescent="0.2">
      <c r="A2226" s="1">
        <v>45659</v>
      </c>
      <c r="B2226" s="2" t="s">
        <v>24</v>
      </c>
      <c r="C2226" s="2" t="s">
        <v>15</v>
      </c>
      <c r="D2226" s="2" t="s">
        <v>36</v>
      </c>
      <c r="E2226">
        <v>29962</v>
      </c>
      <c r="F2226">
        <v>6063</v>
      </c>
      <c r="G2226">
        <v>748</v>
      </c>
      <c r="H2226">
        <v>309.5</v>
      </c>
      <c r="I2226">
        <v>108318.72</v>
      </c>
      <c r="J2226">
        <v>20.239999999999998</v>
      </c>
      <c r="K2226">
        <v>12.34</v>
      </c>
      <c r="L2226">
        <v>0.41</v>
      </c>
      <c r="M2226">
        <v>349.98</v>
      </c>
      <c r="N2226">
        <v>108009.22</v>
      </c>
    </row>
    <row r="2227" spans="1:14" x14ac:dyDescent="0.2">
      <c r="A2227" s="1">
        <v>45659</v>
      </c>
      <c r="B2227" s="2" t="s">
        <v>26</v>
      </c>
      <c r="C2227" s="2" t="s">
        <v>15</v>
      </c>
      <c r="D2227" s="2" t="s">
        <v>19</v>
      </c>
      <c r="E2227">
        <v>38167</v>
      </c>
      <c r="F2227">
        <v>2918</v>
      </c>
      <c r="G2227">
        <v>399</v>
      </c>
      <c r="H2227">
        <v>0</v>
      </c>
      <c r="I2227">
        <v>47650.91</v>
      </c>
      <c r="J2227">
        <v>7.65</v>
      </c>
      <c r="K2227">
        <v>13.67</v>
      </c>
      <c r="L2227">
        <v>0</v>
      </c>
      <c r="M2227">
        <v>0</v>
      </c>
      <c r="N2227">
        <v>47650.91</v>
      </c>
    </row>
    <row r="2228" spans="1:14" x14ac:dyDescent="0.2">
      <c r="A2228" s="1">
        <v>45659</v>
      </c>
      <c r="B2228" s="2" t="s">
        <v>27</v>
      </c>
      <c r="C2228" s="2" t="s">
        <v>32</v>
      </c>
      <c r="D2228" s="2" t="s">
        <v>19</v>
      </c>
      <c r="E2228">
        <v>38642</v>
      </c>
      <c r="F2228">
        <v>751</v>
      </c>
      <c r="G2228">
        <v>21</v>
      </c>
      <c r="H2228">
        <v>859.72</v>
      </c>
      <c r="I2228">
        <v>2339.16</v>
      </c>
      <c r="J2228">
        <v>1.94</v>
      </c>
      <c r="K2228">
        <v>2.8</v>
      </c>
      <c r="L2228">
        <v>40.94</v>
      </c>
      <c r="M2228">
        <v>2.72</v>
      </c>
      <c r="N2228">
        <v>1479.44</v>
      </c>
    </row>
    <row r="2229" spans="1:14" x14ac:dyDescent="0.2">
      <c r="A2229" s="1">
        <v>45659</v>
      </c>
      <c r="B2229" s="2" t="s">
        <v>29</v>
      </c>
      <c r="C2229" s="2" t="s">
        <v>21</v>
      </c>
      <c r="D2229" s="2" t="s">
        <v>25</v>
      </c>
      <c r="E2229">
        <v>29474</v>
      </c>
      <c r="F2229">
        <v>567</v>
      </c>
      <c r="G2229">
        <v>43</v>
      </c>
      <c r="H2229">
        <v>1318.81</v>
      </c>
      <c r="I2229">
        <v>4985.75</v>
      </c>
      <c r="J2229">
        <v>1.92</v>
      </c>
      <c r="K2229">
        <v>7.58</v>
      </c>
      <c r="L2229">
        <v>30.67</v>
      </c>
      <c r="M2229">
        <v>3.78</v>
      </c>
      <c r="N2229">
        <v>3666.94</v>
      </c>
    </row>
    <row r="2230" spans="1:14" x14ac:dyDescent="0.2">
      <c r="A2230" s="1">
        <v>45659</v>
      </c>
      <c r="B2230" s="2" t="s">
        <v>30</v>
      </c>
      <c r="C2230" s="2" t="s">
        <v>21</v>
      </c>
      <c r="D2230" s="2" t="s">
        <v>19</v>
      </c>
      <c r="E2230">
        <v>11234</v>
      </c>
      <c r="F2230">
        <v>226</v>
      </c>
      <c r="G2230">
        <v>10</v>
      </c>
      <c r="H2230">
        <v>824.6</v>
      </c>
      <c r="I2230">
        <v>1122.98</v>
      </c>
      <c r="J2230">
        <v>2.0099999999999998</v>
      </c>
      <c r="K2230">
        <v>4.42</v>
      </c>
      <c r="L2230">
        <v>82.46</v>
      </c>
      <c r="M2230">
        <v>1.36</v>
      </c>
      <c r="N2230">
        <v>298.38</v>
      </c>
    </row>
    <row r="2231" spans="1:14" x14ac:dyDescent="0.2">
      <c r="A2231" s="1">
        <v>45659</v>
      </c>
      <c r="B2231" s="2" t="s">
        <v>31</v>
      </c>
      <c r="C2231" s="2" t="s">
        <v>18</v>
      </c>
      <c r="D2231" s="2" t="s">
        <v>36</v>
      </c>
      <c r="E2231">
        <v>25819</v>
      </c>
      <c r="F2231">
        <v>1042</v>
      </c>
      <c r="G2231">
        <v>37</v>
      </c>
      <c r="H2231">
        <v>924.69</v>
      </c>
      <c r="I2231">
        <v>3226.66</v>
      </c>
      <c r="J2231">
        <v>4.04</v>
      </c>
      <c r="K2231">
        <v>3.55</v>
      </c>
      <c r="L2231">
        <v>24.99</v>
      </c>
      <c r="M2231">
        <v>3.49</v>
      </c>
      <c r="N2231">
        <v>2301.9699999999998</v>
      </c>
    </row>
    <row r="2232" spans="1:14" x14ac:dyDescent="0.2">
      <c r="A2232" s="1">
        <v>45659</v>
      </c>
      <c r="B2232" s="2" t="s">
        <v>33</v>
      </c>
      <c r="C2232" s="2" t="s">
        <v>21</v>
      </c>
      <c r="D2232" s="2" t="s">
        <v>19</v>
      </c>
      <c r="E2232">
        <v>10779</v>
      </c>
      <c r="F2232">
        <v>612</v>
      </c>
      <c r="G2232">
        <v>73</v>
      </c>
      <c r="H2232">
        <v>697.57</v>
      </c>
      <c r="I2232">
        <v>7917.66</v>
      </c>
      <c r="J2232">
        <v>5.68</v>
      </c>
      <c r="K2232">
        <v>11.93</v>
      </c>
      <c r="L2232">
        <v>9.56</v>
      </c>
      <c r="M2232">
        <v>11.35</v>
      </c>
      <c r="N2232">
        <v>7220.09</v>
      </c>
    </row>
    <row r="2233" spans="1:14" x14ac:dyDescent="0.2">
      <c r="A2233" s="1">
        <v>45659</v>
      </c>
      <c r="B2233" s="2" t="s">
        <v>34</v>
      </c>
      <c r="C2233" s="2" t="s">
        <v>15</v>
      </c>
      <c r="D2233" s="2" t="s">
        <v>25</v>
      </c>
      <c r="E2233">
        <v>4401</v>
      </c>
      <c r="F2233">
        <v>434</v>
      </c>
      <c r="G2233">
        <v>74</v>
      </c>
      <c r="H2233">
        <v>223.14</v>
      </c>
      <c r="I2233">
        <v>9949.84</v>
      </c>
      <c r="J2233">
        <v>9.86</v>
      </c>
      <c r="K2233">
        <v>17.05</v>
      </c>
      <c r="L2233">
        <v>3.02</v>
      </c>
      <c r="M2233">
        <v>44.59</v>
      </c>
      <c r="N2233">
        <v>9726.7000000000007</v>
      </c>
    </row>
    <row r="2234" spans="1:14" x14ac:dyDescent="0.2">
      <c r="A2234" s="1">
        <v>45660</v>
      </c>
      <c r="B2234" s="2" t="s">
        <v>14</v>
      </c>
      <c r="C2234" s="2" t="s">
        <v>21</v>
      </c>
      <c r="D2234" s="2" t="s">
        <v>19</v>
      </c>
      <c r="E2234">
        <v>11887</v>
      </c>
      <c r="F2234">
        <v>508</v>
      </c>
      <c r="G2234">
        <v>55</v>
      </c>
      <c r="H2234">
        <v>1534.42</v>
      </c>
      <c r="I2234">
        <v>9109.4</v>
      </c>
      <c r="J2234">
        <v>4.2699999999999996</v>
      </c>
      <c r="K2234">
        <v>10.83</v>
      </c>
      <c r="L2234">
        <v>27.9</v>
      </c>
      <c r="M2234">
        <v>5.94</v>
      </c>
      <c r="N2234">
        <v>7574.98</v>
      </c>
    </row>
    <row r="2235" spans="1:14" x14ac:dyDescent="0.2">
      <c r="A2235" s="1">
        <v>45660</v>
      </c>
      <c r="B2235" s="2" t="s">
        <v>17</v>
      </c>
      <c r="C2235" s="2" t="s">
        <v>15</v>
      </c>
      <c r="D2235" s="2" t="s">
        <v>16</v>
      </c>
      <c r="E2235">
        <v>19497</v>
      </c>
      <c r="F2235">
        <v>453</v>
      </c>
      <c r="G2235">
        <v>26</v>
      </c>
      <c r="H2235">
        <v>899.17</v>
      </c>
      <c r="I2235">
        <v>3178.41</v>
      </c>
      <c r="J2235">
        <v>2.3199999999999998</v>
      </c>
      <c r="K2235">
        <v>5.74</v>
      </c>
      <c r="L2235">
        <v>34.58</v>
      </c>
      <c r="M2235">
        <v>3.53</v>
      </c>
      <c r="N2235">
        <v>2279.2399999999998</v>
      </c>
    </row>
    <row r="2236" spans="1:14" x14ac:dyDescent="0.2">
      <c r="A2236" s="1">
        <v>45660</v>
      </c>
      <c r="B2236" s="2" t="s">
        <v>20</v>
      </c>
      <c r="C2236" s="2" t="s">
        <v>21</v>
      </c>
      <c r="D2236" s="2" t="s">
        <v>19</v>
      </c>
      <c r="E2236">
        <v>19570</v>
      </c>
      <c r="F2236">
        <v>758</v>
      </c>
      <c r="G2236">
        <v>46</v>
      </c>
      <c r="H2236">
        <v>955.16</v>
      </c>
      <c r="I2236">
        <v>4184.38</v>
      </c>
      <c r="J2236">
        <v>3.87</v>
      </c>
      <c r="K2236">
        <v>6.07</v>
      </c>
      <c r="L2236">
        <v>20.76</v>
      </c>
      <c r="M2236">
        <v>4.38</v>
      </c>
      <c r="N2236">
        <v>3229.22</v>
      </c>
    </row>
    <row r="2237" spans="1:14" x14ac:dyDescent="0.2">
      <c r="A2237" s="1">
        <v>45660</v>
      </c>
      <c r="B2237" s="2" t="s">
        <v>23</v>
      </c>
      <c r="C2237" s="2" t="s">
        <v>21</v>
      </c>
      <c r="D2237" s="2" t="s">
        <v>19</v>
      </c>
      <c r="E2237">
        <v>4267</v>
      </c>
      <c r="F2237">
        <v>69</v>
      </c>
      <c r="G2237">
        <v>7</v>
      </c>
      <c r="H2237">
        <v>2080.42</v>
      </c>
      <c r="I2237">
        <v>2199.46</v>
      </c>
      <c r="J2237">
        <v>1.62</v>
      </c>
      <c r="K2237">
        <v>10.14</v>
      </c>
      <c r="L2237">
        <v>297.2</v>
      </c>
      <c r="M2237">
        <v>1.06</v>
      </c>
      <c r="N2237">
        <v>119.04</v>
      </c>
    </row>
    <row r="2238" spans="1:14" x14ac:dyDescent="0.2">
      <c r="A2238" s="1">
        <v>45660</v>
      </c>
      <c r="B2238" s="2" t="s">
        <v>24</v>
      </c>
      <c r="C2238" s="2" t="s">
        <v>28</v>
      </c>
      <c r="D2238" s="2" t="s">
        <v>19</v>
      </c>
      <c r="E2238">
        <v>21974</v>
      </c>
      <c r="F2238">
        <v>5013</v>
      </c>
      <c r="G2238">
        <v>520</v>
      </c>
      <c r="H2238">
        <v>244.24</v>
      </c>
      <c r="I2238">
        <v>58922.3</v>
      </c>
      <c r="J2238">
        <v>22.81</v>
      </c>
      <c r="K2238">
        <v>10.37</v>
      </c>
      <c r="L2238">
        <v>0.47</v>
      </c>
      <c r="M2238">
        <v>241.25</v>
      </c>
      <c r="N2238">
        <v>58678.06</v>
      </c>
    </row>
    <row r="2239" spans="1:14" x14ac:dyDescent="0.2">
      <c r="A2239" s="1">
        <v>45660</v>
      </c>
      <c r="B2239" s="2" t="s">
        <v>26</v>
      </c>
      <c r="C2239" s="2" t="s">
        <v>35</v>
      </c>
      <c r="D2239" s="2" t="s">
        <v>19</v>
      </c>
      <c r="E2239">
        <v>29961</v>
      </c>
      <c r="F2239">
        <v>1206</v>
      </c>
      <c r="G2239">
        <v>162</v>
      </c>
      <c r="H2239">
        <v>0</v>
      </c>
      <c r="I2239">
        <v>16459.5</v>
      </c>
      <c r="J2239">
        <v>4.03</v>
      </c>
      <c r="K2239">
        <v>13.43</v>
      </c>
      <c r="L2239">
        <v>0</v>
      </c>
      <c r="M2239">
        <v>0</v>
      </c>
      <c r="N2239">
        <v>16459.5</v>
      </c>
    </row>
    <row r="2240" spans="1:14" x14ac:dyDescent="0.2">
      <c r="A2240" s="1">
        <v>45660</v>
      </c>
      <c r="B2240" s="2" t="s">
        <v>27</v>
      </c>
      <c r="C2240" s="2" t="s">
        <v>32</v>
      </c>
      <c r="D2240" s="2" t="s">
        <v>19</v>
      </c>
      <c r="E2240">
        <v>37737</v>
      </c>
      <c r="F2240">
        <v>537</v>
      </c>
      <c r="G2240">
        <v>10</v>
      </c>
      <c r="H2240">
        <v>1545.1</v>
      </c>
      <c r="I2240">
        <v>1122.42</v>
      </c>
      <c r="J2240">
        <v>1.42</v>
      </c>
      <c r="K2240">
        <v>1.86</v>
      </c>
      <c r="L2240">
        <v>154.51</v>
      </c>
      <c r="M2240">
        <v>0.73</v>
      </c>
      <c r="N2240">
        <v>-422.68</v>
      </c>
    </row>
    <row r="2241" spans="1:14" x14ac:dyDescent="0.2">
      <c r="A2241" s="1">
        <v>45660</v>
      </c>
      <c r="B2241" s="2" t="s">
        <v>29</v>
      </c>
      <c r="C2241" s="2" t="s">
        <v>28</v>
      </c>
      <c r="D2241" s="2" t="s">
        <v>16</v>
      </c>
      <c r="E2241">
        <v>25785</v>
      </c>
      <c r="F2241">
        <v>720</v>
      </c>
      <c r="G2241">
        <v>39</v>
      </c>
      <c r="H2241">
        <v>1107.23</v>
      </c>
      <c r="I2241">
        <v>5038.26</v>
      </c>
      <c r="J2241">
        <v>2.79</v>
      </c>
      <c r="K2241">
        <v>5.42</v>
      </c>
      <c r="L2241">
        <v>28.39</v>
      </c>
      <c r="M2241">
        <v>4.55</v>
      </c>
      <c r="N2241">
        <v>3931.03</v>
      </c>
    </row>
    <row r="2242" spans="1:14" x14ac:dyDescent="0.2">
      <c r="A2242" s="1">
        <v>45660</v>
      </c>
      <c r="B2242" s="2" t="s">
        <v>30</v>
      </c>
      <c r="C2242" s="2" t="s">
        <v>28</v>
      </c>
      <c r="D2242" s="2" t="s">
        <v>16</v>
      </c>
      <c r="E2242">
        <v>10768</v>
      </c>
      <c r="F2242">
        <v>258</v>
      </c>
      <c r="G2242">
        <v>8</v>
      </c>
      <c r="H2242">
        <v>955.19</v>
      </c>
      <c r="I2242">
        <v>767.75</v>
      </c>
      <c r="J2242">
        <v>2.4</v>
      </c>
      <c r="K2242">
        <v>3.1</v>
      </c>
      <c r="L2242">
        <v>119.4</v>
      </c>
      <c r="M2242">
        <v>0.8</v>
      </c>
      <c r="N2242">
        <v>-187.44</v>
      </c>
    </row>
    <row r="2243" spans="1:14" x14ac:dyDescent="0.2">
      <c r="A2243" s="1">
        <v>45660</v>
      </c>
      <c r="B2243" s="2" t="s">
        <v>31</v>
      </c>
      <c r="C2243" s="2" t="s">
        <v>15</v>
      </c>
      <c r="D2243" s="2" t="s">
        <v>25</v>
      </c>
      <c r="E2243">
        <v>31012</v>
      </c>
      <c r="F2243">
        <v>1359</v>
      </c>
      <c r="G2243">
        <v>46</v>
      </c>
      <c r="H2243">
        <v>1028.0999999999999</v>
      </c>
      <c r="I2243">
        <v>3700.06</v>
      </c>
      <c r="J2243">
        <v>4.38</v>
      </c>
      <c r="K2243">
        <v>3.38</v>
      </c>
      <c r="L2243">
        <v>22.35</v>
      </c>
      <c r="M2243">
        <v>3.6</v>
      </c>
      <c r="N2243">
        <v>2671.96</v>
      </c>
    </row>
    <row r="2244" spans="1:14" x14ac:dyDescent="0.2">
      <c r="A2244" s="1">
        <v>45660</v>
      </c>
      <c r="B2244" s="2" t="s">
        <v>33</v>
      </c>
      <c r="C2244" s="2" t="s">
        <v>32</v>
      </c>
      <c r="D2244" s="2" t="s">
        <v>25</v>
      </c>
      <c r="E2244">
        <v>7341</v>
      </c>
      <c r="F2244">
        <v>429</v>
      </c>
      <c r="G2244">
        <v>46</v>
      </c>
      <c r="H2244">
        <v>574.52</v>
      </c>
      <c r="I2244">
        <v>6190.82</v>
      </c>
      <c r="J2244">
        <v>5.84</v>
      </c>
      <c r="K2244">
        <v>10.72</v>
      </c>
      <c r="L2244">
        <v>12.49</v>
      </c>
      <c r="M2244">
        <v>10.78</v>
      </c>
      <c r="N2244">
        <v>5616.3</v>
      </c>
    </row>
    <row r="2245" spans="1:14" x14ac:dyDescent="0.2">
      <c r="A2245" s="1">
        <v>45660</v>
      </c>
      <c r="B2245" s="2" t="s">
        <v>34</v>
      </c>
      <c r="C2245" s="2" t="s">
        <v>18</v>
      </c>
      <c r="D2245" s="2" t="s">
        <v>36</v>
      </c>
      <c r="E2245">
        <v>8354</v>
      </c>
      <c r="F2245">
        <v>561</v>
      </c>
      <c r="G2245">
        <v>69</v>
      </c>
      <c r="H2245">
        <v>90.1</v>
      </c>
      <c r="I2245">
        <v>10578.2</v>
      </c>
      <c r="J2245">
        <v>6.72</v>
      </c>
      <c r="K2245">
        <v>12.3</v>
      </c>
      <c r="L2245">
        <v>1.31</v>
      </c>
      <c r="M2245">
        <v>117.41</v>
      </c>
      <c r="N2245">
        <v>10488.1</v>
      </c>
    </row>
    <row r="2246" spans="1:14" x14ac:dyDescent="0.2">
      <c r="A2246" s="1">
        <v>45661</v>
      </c>
      <c r="B2246" s="2" t="s">
        <v>14</v>
      </c>
      <c r="C2246" s="2" t="s">
        <v>21</v>
      </c>
      <c r="D2246" s="2" t="s">
        <v>25</v>
      </c>
      <c r="E2246">
        <v>8694</v>
      </c>
      <c r="F2246">
        <v>432</v>
      </c>
      <c r="G2246">
        <v>42</v>
      </c>
      <c r="H2246">
        <v>895.89</v>
      </c>
      <c r="I2246">
        <v>5674.07</v>
      </c>
      <c r="J2246">
        <v>4.97</v>
      </c>
      <c r="K2246">
        <v>9.7200000000000006</v>
      </c>
      <c r="L2246">
        <v>21.33</v>
      </c>
      <c r="M2246">
        <v>6.33</v>
      </c>
      <c r="N2246">
        <v>4778.18</v>
      </c>
    </row>
    <row r="2247" spans="1:14" x14ac:dyDescent="0.2">
      <c r="A2247" s="1">
        <v>45661</v>
      </c>
      <c r="B2247" s="2" t="s">
        <v>17</v>
      </c>
      <c r="C2247" s="2" t="s">
        <v>18</v>
      </c>
      <c r="D2247" s="2" t="s">
        <v>36</v>
      </c>
      <c r="E2247">
        <v>14185</v>
      </c>
      <c r="F2247">
        <v>386</v>
      </c>
      <c r="G2247">
        <v>26</v>
      </c>
      <c r="H2247">
        <v>936.65</v>
      </c>
      <c r="I2247">
        <v>2699.62</v>
      </c>
      <c r="J2247">
        <v>2.72</v>
      </c>
      <c r="K2247">
        <v>6.74</v>
      </c>
      <c r="L2247">
        <v>36.020000000000003</v>
      </c>
      <c r="M2247">
        <v>2.88</v>
      </c>
      <c r="N2247">
        <v>1762.97</v>
      </c>
    </row>
    <row r="2248" spans="1:14" x14ac:dyDescent="0.2">
      <c r="A2248" s="1">
        <v>45661</v>
      </c>
      <c r="B2248" s="2" t="s">
        <v>20</v>
      </c>
      <c r="C2248" s="2" t="s">
        <v>32</v>
      </c>
      <c r="D2248" s="2" t="s">
        <v>19</v>
      </c>
      <c r="E2248">
        <v>10715</v>
      </c>
      <c r="F2248">
        <v>414</v>
      </c>
      <c r="G2248">
        <v>21</v>
      </c>
      <c r="H2248">
        <v>632.66</v>
      </c>
      <c r="I2248">
        <v>2124.31</v>
      </c>
      <c r="J2248">
        <v>3.86</v>
      </c>
      <c r="K2248">
        <v>5.07</v>
      </c>
      <c r="L2248">
        <v>30.13</v>
      </c>
      <c r="M2248">
        <v>3.36</v>
      </c>
      <c r="N2248">
        <v>1491.65</v>
      </c>
    </row>
    <row r="2249" spans="1:14" x14ac:dyDescent="0.2">
      <c r="A2249" s="1">
        <v>45661</v>
      </c>
      <c r="B2249" s="2" t="s">
        <v>23</v>
      </c>
      <c r="C2249" s="2" t="s">
        <v>28</v>
      </c>
      <c r="D2249" s="2" t="s">
        <v>16</v>
      </c>
      <c r="E2249">
        <v>3804</v>
      </c>
      <c r="F2249">
        <v>82</v>
      </c>
      <c r="G2249">
        <v>10</v>
      </c>
      <c r="H2249">
        <v>986.01</v>
      </c>
      <c r="I2249">
        <v>2871.74</v>
      </c>
      <c r="J2249">
        <v>2.16</v>
      </c>
      <c r="K2249">
        <v>12.2</v>
      </c>
      <c r="L2249">
        <v>98.6</v>
      </c>
      <c r="M2249">
        <v>2.91</v>
      </c>
      <c r="N2249">
        <v>1885.73</v>
      </c>
    </row>
    <row r="2250" spans="1:14" x14ac:dyDescent="0.2">
      <c r="A2250" s="1">
        <v>45661</v>
      </c>
      <c r="B2250" s="2" t="s">
        <v>24</v>
      </c>
      <c r="C2250" s="2" t="s">
        <v>21</v>
      </c>
      <c r="D2250" s="2" t="s">
        <v>22</v>
      </c>
      <c r="E2250">
        <v>12873</v>
      </c>
      <c r="F2250">
        <v>3045</v>
      </c>
      <c r="G2250">
        <v>388</v>
      </c>
      <c r="H2250">
        <v>182.47</v>
      </c>
      <c r="I2250">
        <v>54011.77</v>
      </c>
      <c r="J2250">
        <v>23.65</v>
      </c>
      <c r="K2250">
        <v>12.74</v>
      </c>
      <c r="L2250">
        <v>0.47</v>
      </c>
      <c r="M2250">
        <v>296</v>
      </c>
      <c r="N2250">
        <v>53829.3</v>
      </c>
    </row>
    <row r="2251" spans="1:14" x14ac:dyDescent="0.2">
      <c r="A2251" s="1">
        <v>45661</v>
      </c>
      <c r="B2251" s="2" t="s">
        <v>26</v>
      </c>
      <c r="C2251" s="2" t="s">
        <v>21</v>
      </c>
      <c r="D2251" s="2" t="s">
        <v>19</v>
      </c>
      <c r="E2251">
        <v>23666</v>
      </c>
      <c r="F2251">
        <v>1795</v>
      </c>
      <c r="G2251">
        <v>209</v>
      </c>
      <c r="H2251">
        <v>0</v>
      </c>
      <c r="I2251">
        <v>22650.02</v>
      </c>
      <c r="J2251">
        <v>7.58</v>
      </c>
      <c r="K2251">
        <v>11.64</v>
      </c>
      <c r="L2251">
        <v>0</v>
      </c>
      <c r="M2251">
        <v>0</v>
      </c>
      <c r="N2251">
        <v>22650.02</v>
      </c>
    </row>
    <row r="2252" spans="1:14" x14ac:dyDescent="0.2">
      <c r="A2252" s="1">
        <v>45661</v>
      </c>
      <c r="B2252" s="2" t="s">
        <v>27</v>
      </c>
      <c r="C2252" s="2" t="s">
        <v>28</v>
      </c>
      <c r="D2252" s="2" t="s">
        <v>25</v>
      </c>
      <c r="E2252">
        <v>23178</v>
      </c>
      <c r="F2252">
        <v>320</v>
      </c>
      <c r="G2252">
        <v>9</v>
      </c>
      <c r="H2252">
        <v>919.4</v>
      </c>
      <c r="I2252">
        <v>925.42</v>
      </c>
      <c r="J2252">
        <v>1.38</v>
      </c>
      <c r="K2252">
        <v>2.81</v>
      </c>
      <c r="L2252">
        <v>102.16</v>
      </c>
      <c r="M2252">
        <v>1.01</v>
      </c>
      <c r="N2252">
        <v>6.02</v>
      </c>
    </row>
    <row r="2253" spans="1:14" x14ac:dyDescent="0.2">
      <c r="A2253" s="1">
        <v>45661</v>
      </c>
      <c r="B2253" s="2" t="s">
        <v>29</v>
      </c>
      <c r="C2253" s="2" t="s">
        <v>28</v>
      </c>
      <c r="D2253" s="2" t="s">
        <v>22</v>
      </c>
      <c r="E2253">
        <v>13788</v>
      </c>
      <c r="F2253">
        <v>275</v>
      </c>
      <c r="G2253">
        <v>14</v>
      </c>
      <c r="H2253">
        <v>975.8</v>
      </c>
      <c r="I2253">
        <v>1413.94</v>
      </c>
      <c r="J2253">
        <v>1.99</v>
      </c>
      <c r="K2253">
        <v>5.09</v>
      </c>
      <c r="L2253">
        <v>69.7</v>
      </c>
      <c r="M2253">
        <v>1.45</v>
      </c>
      <c r="N2253">
        <v>438.14</v>
      </c>
    </row>
    <row r="2254" spans="1:14" x14ac:dyDescent="0.2">
      <c r="A2254" s="1">
        <v>45661</v>
      </c>
      <c r="B2254" s="2" t="s">
        <v>30</v>
      </c>
      <c r="C2254" s="2" t="s">
        <v>35</v>
      </c>
      <c r="D2254" s="2" t="s">
        <v>22</v>
      </c>
      <c r="E2254">
        <v>11729</v>
      </c>
      <c r="F2254">
        <v>392</v>
      </c>
      <c r="G2254">
        <v>21</v>
      </c>
      <c r="H2254">
        <v>649.62</v>
      </c>
      <c r="I2254">
        <v>1990.09</v>
      </c>
      <c r="J2254">
        <v>3.34</v>
      </c>
      <c r="K2254">
        <v>5.36</v>
      </c>
      <c r="L2254">
        <v>30.93</v>
      </c>
      <c r="M2254">
        <v>3.06</v>
      </c>
      <c r="N2254">
        <v>1340.47</v>
      </c>
    </row>
    <row r="2255" spans="1:14" x14ac:dyDescent="0.2">
      <c r="A2255" s="1">
        <v>45661</v>
      </c>
      <c r="B2255" s="2" t="s">
        <v>31</v>
      </c>
      <c r="C2255" s="2" t="s">
        <v>18</v>
      </c>
      <c r="D2255" s="2" t="s">
        <v>36</v>
      </c>
      <c r="E2255">
        <v>15554</v>
      </c>
      <c r="F2255">
        <v>459</v>
      </c>
      <c r="G2255">
        <v>20</v>
      </c>
      <c r="H2255">
        <v>698.81</v>
      </c>
      <c r="I2255">
        <v>1521.48</v>
      </c>
      <c r="J2255">
        <v>2.95</v>
      </c>
      <c r="K2255">
        <v>4.3600000000000003</v>
      </c>
      <c r="L2255">
        <v>34.94</v>
      </c>
      <c r="M2255">
        <v>2.1800000000000002</v>
      </c>
      <c r="N2255">
        <v>822.67</v>
      </c>
    </row>
    <row r="2256" spans="1:14" x14ac:dyDescent="0.2">
      <c r="A2256" s="1">
        <v>45661</v>
      </c>
      <c r="B2256" s="2" t="s">
        <v>33</v>
      </c>
      <c r="C2256" s="2" t="s">
        <v>35</v>
      </c>
      <c r="D2256" s="2" t="s">
        <v>22</v>
      </c>
      <c r="E2256">
        <v>5264</v>
      </c>
      <c r="F2256">
        <v>246</v>
      </c>
      <c r="G2256">
        <v>30</v>
      </c>
      <c r="H2256">
        <v>309.01</v>
      </c>
      <c r="I2256">
        <v>3711.25</v>
      </c>
      <c r="J2256">
        <v>4.67</v>
      </c>
      <c r="K2256">
        <v>12.2</v>
      </c>
      <c r="L2256">
        <v>10.3</v>
      </c>
      <c r="M2256">
        <v>12.01</v>
      </c>
      <c r="N2256">
        <v>3402.24</v>
      </c>
    </row>
    <row r="2257" spans="1:14" x14ac:dyDescent="0.2">
      <c r="A2257" s="1">
        <v>45661</v>
      </c>
      <c r="B2257" s="2" t="s">
        <v>34</v>
      </c>
      <c r="C2257" s="2" t="s">
        <v>35</v>
      </c>
      <c r="D2257" s="2" t="s">
        <v>16</v>
      </c>
      <c r="E2257">
        <v>4448</v>
      </c>
      <c r="F2257">
        <v>438</v>
      </c>
      <c r="G2257">
        <v>78</v>
      </c>
      <c r="H2257">
        <v>154.74</v>
      </c>
      <c r="I2257">
        <v>10773.83</v>
      </c>
      <c r="J2257">
        <v>9.85</v>
      </c>
      <c r="K2257">
        <v>17.809999999999999</v>
      </c>
      <c r="L2257">
        <v>1.98</v>
      </c>
      <c r="M2257">
        <v>69.63</v>
      </c>
      <c r="N2257">
        <v>10619.09</v>
      </c>
    </row>
    <row r="2258" spans="1:14" x14ac:dyDescent="0.2">
      <c r="A2258" s="1">
        <v>45662</v>
      </c>
      <c r="B2258" s="2" t="s">
        <v>14</v>
      </c>
      <c r="C2258" s="2" t="s">
        <v>18</v>
      </c>
      <c r="D2258" s="2" t="s">
        <v>36</v>
      </c>
      <c r="E2258">
        <v>9800</v>
      </c>
      <c r="F2258">
        <v>469</v>
      </c>
      <c r="G2258">
        <v>54</v>
      </c>
      <c r="H2258">
        <v>1246.1300000000001</v>
      </c>
      <c r="I2258">
        <v>7969.5</v>
      </c>
      <c r="J2258">
        <v>4.79</v>
      </c>
      <c r="K2258">
        <v>11.51</v>
      </c>
      <c r="L2258">
        <v>23.08</v>
      </c>
      <c r="M2258">
        <v>6.4</v>
      </c>
      <c r="N2258">
        <v>6723.37</v>
      </c>
    </row>
    <row r="2259" spans="1:14" x14ac:dyDescent="0.2">
      <c r="A2259" s="1">
        <v>45662</v>
      </c>
      <c r="B2259" s="2" t="s">
        <v>17</v>
      </c>
      <c r="C2259" s="2" t="s">
        <v>35</v>
      </c>
      <c r="D2259" s="2" t="s">
        <v>22</v>
      </c>
      <c r="E2259">
        <v>13666</v>
      </c>
      <c r="F2259">
        <v>474</v>
      </c>
      <c r="G2259">
        <v>39</v>
      </c>
      <c r="H2259">
        <v>833.91</v>
      </c>
      <c r="I2259">
        <v>4275.88</v>
      </c>
      <c r="J2259">
        <v>3.47</v>
      </c>
      <c r="K2259">
        <v>8.23</v>
      </c>
      <c r="L2259">
        <v>21.38</v>
      </c>
      <c r="M2259">
        <v>5.13</v>
      </c>
      <c r="N2259">
        <v>3441.97</v>
      </c>
    </row>
    <row r="2260" spans="1:14" x14ac:dyDescent="0.2">
      <c r="A2260" s="1">
        <v>45662</v>
      </c>
      <c r="B2260" s="2" t="s">
        <v>20</v>
      </c>
      <c r="C2260" s="2" t="s">
        <v>21</v>
      </c>
      <c r="D2260" s="2" t="s">
        <v>25</v>
      </c>
      <c r="E2260">
        <v>11661</v>
      </c>
      <c r="F2260">
        <v>366</v>
      </c>
      <c r="G2260">
        <v>27</v>
      </c>
      <c r="H2260">
        <v>817.72</v>
      </c>
      <c r="I2260">
        <v>2182.58</v>
      </c>
      <c r="J2260">
        <v>3.14</v>
      </c>
      <c r="K2260">
        <v>7.38</v>
      </c>
      <c r="L2260">
        <v>30.29</v>
      </c>
      <c r="M2260">
        <v>2.67</v>
      </c>
      <c r="N2260">
        <v>1364.86</v>
      </c>
    </row>
    <row r="2261" spans="1:14" x14ac:dyDescent="0.2">
      <c r="A2261" s="1">
        <v>45662</v>
      </c>
      <c r="B2261" s="2" t="s">
        <v>23</v>
      </c>
      <c r="C2261" s="2" t="s">
        <v>21</v>
      </c>
      <c r="D2261" s="2" t="s">
        <v>36</v>
      </c>
      <c r="E2261">
        <v>3359</v>
      </c>
      <c r="F2261">
        <v>99</v>
      </c>
      <c r="G2261">
        <v>12</v>
      </c>
      <c r="H2261">
        <v>1471.69</v>
      </c>
      <c r="I2261">
        <v>2309.65</v>
      </c>
      <c r="J2261">
        <v>2.95</v>
      </c>
      <c r="K2261">
        <v>12.12</v>
      </c>
      <c r="L2261">
        <v>122.64</v>
      </c>
      <c r="M2261">
        <v>1.57</v>
      </c>
      <c r="N2261">
        <v>837.96</v>
      </c>
    </row>
    <row r="2262" spans="1:14" x14ac:dyDescent="0.2">
      <c r="A2262" s="1">
        <v>45662</v>
      </c>
      <c r="B2262" s="2" t="s">
        <v>24</v>
      </c>
      <c r="C2262" s="2" t="s">
        <v>18</v>
      </c>
      <c r="D2262" s="2" t="s">
        <v>22</v>
      </c>
      <c r="E2262">
        <v>20734</v>
      </c>
      <c r="F2262">
        <v>4319</v>
      </c>
      <c r="G2262">
        <v>598</v>
      </c>
      <c r="H2262">
        <v>169.98</v>
      </c>
      <c r="I2262">
        <v>84803.58</v>
      </c>
      <c r="J2262">
        <v>20.83</v>
      </c>
      <c r="K2262">
        <v>13.85</v>
      </c>
      <c r="L2262">
        <v>0.28000000000000003</v>
      </c>
      <c r="M2262">
        <v>498.9</v>
      </c>
      <c r="N2262">
        <v>84633.600000000006</v>
      </c>
    </row>
    <row r="2263" spans="1:14" x14ac:dyDescent="0.2">
      <c r="A2263" s="1">
        <v>45662</v>
      </c>
      <c r="B2263" s="2" t="s">
        <v>26</v>
      </c>
      <c r="C2263" s="2" t="s">
        <v>32</v>
      </c>
      <c r="D2263" s="2" t="s">
        <v>36</v>
      </c>
      <c r="E2263">
        <v>18946</v>
      </c>
      <c r="F2263">
        <v>934</v>
      </c>
      <c r="G2263">
        <v>94</v>
      </c>
      <c r="H2263">
        <v>0</v>
      </c>
      <c r="I2263">
        <v>9506.5</v>
      </c>
      <c r="J2263">
        <v>4.93</v>
      </c>
      <c r="K2263">
        <v>10.06</v>
      </c>
      <c r="L2263">
        <v>0</v>
      </c>
      <c r="M2263">
        <v>0</v>
      </c>
      <c r="N2263">
        <v>9506.5</v>
      </c>
    </row>
    <row r="2264" spans="1:14" x14ac:dyDescent="0.2">
      <c r="A2264" s="1">
        <v>45662</v>
      </c>
      <c r="B2264" s="2" t="s">
        <v>27</v>
      </c>
      <c r="C2264" s="2" t="s">
        <v>15</v>
      </c>
      <c r="D2264" s="2" t="s">
        <v>36</v>
      </c>
      <c r="E2264">
        <v>21042</v>
      </c>
      <c r="F2264">
        <v>342</v>
      </c>
      <c r="G2264">
        <v>8</v>
      </c>
      <c r="H2264">
        <v>1082.48</v>
      </c>
      <c r="I2264">
        <v>923.15</v>
      </c>
      <c r="J2264">
        <v>1.63</v>
      </c>
      <c r="K2264">
        <v>2.34</v>
      </c>
      <c r="L2264">
        <v>135.31</v>
      </c>
      <c r="M2264">
        <v>0.85</v>
      </c>
      <c r="N2264">
        <v>-159.33000000000001</v>
      </c>
    </row>
    <row r="2265" spans="1:14" x14ac:dyDescent="0.2">
      <c r="A2265" s="1">
        <v>45662</v>
      </c>
      <c r="B2265" s="2" t="s">
        <v>29</v>
      </c>
      <c r="C2265" s="2" t="s">
        <v>28</v>
      </c>
      <c r="D2265" s="2" t="s">
        <v>36</v>
      </c>
      <c r="E2265">
        <v>14541</v>
      </c>
      <c r="F2265">
        <v>417</v>
      </c>
      <c r="G2265">
        <v>20</v>
      </c>
      <c r="H2265">
        <v>783.98</v>
      </c>
      <c r="I2265">
        <v>2409.6799999999998</v>
      </c>
      <c r="J2265">
        <v>2.87</v>
      </c>
      <c r="K2265">
        <v>4.8</v>
      </c>
      <c r="L2265">
        <v>39.200000000000003</v>
      </c>
      <c r="M2265">
        <v>3.07</v>
      </c>
      <c r="N2265">
        <v>1625.7</v>
      </c>
    </row>
    <row r="2266" spans="1:14" x14ac:dyDescent="0.2">
      <c r="A2266" s="1">
        <v>45662</v>
      </c>
      <c r="B2266" s="2" t="s">
        <v>30</v>
      </c>
      <c r="C2266" s="2" t="s">
        <v>28</v>
      </c>
      <c r="D2266" s="2" t="s">
        <v>36</v>
      </c>
      <c r="E2266">
        <v>8044</v>
      </c>
      <c r="F2266">
        <v>274</v>
      </c>
      <c r="G2266">
        <v>10</v>
      </c>
      <c r="H2266">
        <v>577.13</v>
      </c>
      <c r="I2266">
        <v>1081.8900000000001</v>
      </c>
      <c r="J2266">
        <v>3.41</v>
      </c>
      <c r="K2266">
        <v>3.65</v>
      </c>
      <c r="L2266">
        <v>57.71</v>
      </c>
      <c r="M2266">
        <v>1.87</v>
      </c>
      <c r="N2266">
        <v>504.76</v>
      </c>
    </row>
    <row r="2267" spans="1:14" x14ac:dyDescent="0.2">
      <c r="A2267" s="1">
        <v>45662</v>
      </c>
      <c r="B2267" s="2" t="s">
        <v>31</v>
      </c>
      <c r="C2267" s="2" t="s">
        <v>18</v>
      </c>
      <c r="D2267" s="2" t="s">
        <v>16</v>
      </c>
      <c r="E2267">
        <v>17766</v>
      </c>
      <c r="F2267">
        <v>734</v>
      </c>
      <c r="G2267">
        <v>36</v>
      </c>
      <c r="H2267">
        <v>703.09</v>
      </c>
      <c r="I2267">
        <v>2918.05</v>
      </c>
      <c r="J2267">
        <v>4.13</v>
      </c>
      <c r="K2267">
        <v>4.9000000000000004</v>
      </c>
      <c r="L2267">
        <v>19.53</v>
      </c>
      <c r="M2267">
        <v>4.1500000000000004</v>
      </c>
      <c r="N2267">
        <v>2214.96</v>
      </c>
    </row>
    <row r="2268" spans="1:14" x14ac:dyDescent="0.2">
      <c r="A2268" s="1">
        <v>45662</v>
      </c>
      <c r="B2268" s="2" t="s">
        <v>33</v>
      </c>
      <c r="C2268" s="2" t="s">
        <v>32</v>
      </c>
      <c r="D2268" s="2" t="s">
        <v>22</v>
      </c>
      <c r="E2268">
        <v>5265</v>
      </c>
      <c r="F2268">
        <v>220</v>
      </c>
      <c r="G2268">
        <v>26</v>
      </c>
      <c r="H2268">
        <v>321.05</v>
      </c>
      <c r="I2268">
        <v>3609.33</v>
      </c>
      <c r="J2268">
        <v>4.18</v>
      </c>
      <c r="K2268">
        <v>11.82</v>
      </c>
      <c r="L2268">
        <v>12.35</v>
      </c>
      <c r="M2268">
        <v>11.24</v>
      </c>
      <c r="N2268">
        <v>3288.28</v>
      </c>
    </row>
    <row r="2269" spans="1:14" x14ac:dyDescent="0.2">
      <c r="A2269" s="1">
        <v>45662</v>
      </c>
      <c r="B2269" s="2" t="s">
        <v>34</v>
      </c>
      <c r="C2269" s="2" t="s">
        <v>15</v>
      </c>
      <c r="D2269" s="2" t="s">
        <v>19</v>
      </c>
      <c r="E2269">
        <v>4818</v>
      </c>
      <c r="F2269">
        <v>251</v>
      </c>
      <c r="G2269">
        <v>36</v>
      </c>
      <c r="H2269">
        <v>48.96</v>
      </c>
      <c r="I2269">
        <v>5276.02</v>
      </c>
      <c r="J2269">
        <v>5.21</v>
      </c>
      <c r="K2269">
        <v>14.34</v>
      </c>
      <c r="L2269">
        <v>1.36</v>
      </c>
      <c r="M2269">
        <v>107.76</v>
      </c>
      <c r="N2269">
        <v>5227.0600000000004</v>
      </c>
    </row>
    <row r="2270" spans="1:14" x14ac:dyDescent="0.2">
      <c r="A2270" s="1">
        <v>45663</v>
      </c>
      <c r="B2270" s="2" t="s">
        <v>14</v>
      </c>
      <c r="C2270" s="2" t="s">
        <v>18</v>
      </c>
      <c r="D2270" s="2" t="s">
        <v>19</v>
      </c>
      <c r="E2270">
        <v>12289</v>
      </c>
      <c r="F2270">
        <v>447</v>
      </c>
      <c r="G2270">
        <v>48</v>
      </c>
      <c r="H2270">
        <v>1585.2</v>
      </c>
      <c r="I2270">
        <v>8088.89</v>
      </c>
      <c r="J2270">
        <v>3.64</v>
      </c>
      <c r="K2270">
        <v>10.74</v>
      </c>
      <c r="L2270">
        <v>33.020000000000003</v>
      </c>
      <c r="M2270">
        <v>5.0999999999999996</v>
      </c>
      <c r="N2270">
        <v>6503.69</v>
      </c>
    </row>
    <row r="2271" spans="1:14" x14ac:dyDescent="0.2">
      <c r="A2271" s="1">
        <v>45663</v>
      </c>
      <c r="B2271" s="2" t="s">
        <v>17</v>
      </c>
      <c r="C2271" s="2" t="s">
        <v>32</v>
      </c>
      <c r="D2271" s="2" t="s">
        <v>22</v>
      </c>
      <c r="E2271">
        <v>20012</v>
      </c>
      <c r="F2271">
        <v>600</v>
      </c>
      <c r="G2271">
        <v>34</v>
      </c>
      <c r="H2271">
        <v>1439.58</v>
      </c>
      <c r="I2271">
        <v>3237.29</v>
      </c>
      <c r="J2271">
        <v>3</v>
      </c>
      <c r="K2271">
        <v>5.67</v>
      </c>
      <c r="L2271">
        <v>42.34</v>
      </c>
      <c r="M2271">
        <v>2.25</v>
      </c>
      <c r="N2271">
        <v>1797.71</v>
      </c>
    </row>
    <row r="2272" spans="1:14" x14ac:dyDescent="0.2">
      <c r="A2272" s="1">
        <v>45663</v>
      </c>
      <c r="B2272" s="2" t="s">
        <v>20</v>
      </c>
      <c r="C2272" s="2" t="s">
        <v>18</v>
      </c>
      <c r="D2272" s="2" t="s">
        <v>16</v>
      </c>
      <c r="E2272">
        <v>21432</v>
      </c>
      <c r="F2272">
        <v>628</v>
      </c>
      <c r="G2272">
        <v>31</v>
      </c>
      <c r="H2272">
        <v>1161.72</v>
      </c>
      <c r="I2272">
        <v>2631.57</v>
      </c>
      <c r="J2272">
        <v>2.93</v>
      </c>
      <c r="K2272">
        <v>4.9400000000000004</v>
      </c>
      <c r="L2272">
        <v>37.47</v>
      </c>
      <c r="M2272">
        <v>2.27</v>
      </c>
      <c r="N2272">
        <v>1469.85</v>
      </c>
    </row>
    <row r="2273" spans="1:14" x14ac:dyDescent="0.2">
      <c r="A2273" s="1">
        <v>45663</v>
      </c>
      <c r="B2273" s="2" t="s">
        <v>23</v>
      </c>
      <c r="C2273" s="2" t="s">
        <v>15</v>
      </c>
      <c r="D2273" s="2" t="s">
        <v>22</v>
      </c>
      <c r="E2273">
        <v>6826</v>
      </c>
      <c r="F2273">
        <v>188</v>
      </c>
      <c r="G2273">
        <v>20</v>
      </c>
      <c r="H2273">
        <v>1293.23</v>
      </c>
      <c r="I2273">
        <v>4280.16</v>
      </c>
      <c r="J2273">
        <v>2.75</v>
      </c>
      <c r="K2273">
        <v>10.64</v>
      </c>
      <c r="L2273">
        <v>64.66</v>
      </c>
      <c r="M2273">
        <v>3.31</v>
      </c>
      <c r="N2273">
        <v>2986.93</v>
      </c>
    </row>
    <row r="2274" spans="1:14" x14ac:dyDescent="0.2">
      <c r="A2274" s="1">
        <v>45663</v>
      </c>
      <c r="B2274" s="2" t="s">
        <v>24</v>
      </c>
      <c r="C2274" s="2" t="s">
        <v>21</v>
      </c>
      <c r="D2274" s="2" t="s">
        <v>19</v>
      </c>
      <c r="E2274">
        <v>25878</v>
      </c>
      <c r="F2274">
        <v>6397</v>
      </c>
      <c r="G2274">
        <v>763</v>
      </c>
      <c r="H2274">
        <v>125.08</v>
      </c>
      <c r="I2274">
        <v>96957.21</v>
      </c>
      <c r="J2274">
        <v>24.72</v>
      </c>
      <c r="K2274">
        <v>11.93</v>
      </c>
      <c r="L2274">
        <v>0.16</v>
      </c>
      <c r="M2274">
        <v>775.16</v>
      </c>
      <c r="N2274">
        <v>96832.13</v>
      </c>
    </row>
    <row r="2275" spans="1:14" x14ac:dyDescent="0.2">
      <c r="A2275" s="1">
        <v>45663</v>
      </c>
      <c r="B2275" s="2" t="s">
        <v>26</v>
      </c>
      <c r="C2275" s="2" t="s">
        <v>35</v>
      </c>
      <c r="D2275" s="2" t="s">
        <v>22</v>
      </c>
      <c r="E2275">
        <v>40568</v>
      </c>
      <c r="F2275">
        <v>2376</v>
      </c>
      <c r="G2275">
        <v>318</v>
      </c>
      <c r="H2275">
        <v>0</v>
      </c>
      <c r="I2275">
        <v>39984.1</v>
      </c>
      <c r="J2275">
        <v>5.86</v>
      </c>
      <c r="K2275">
        <v>13.38</v>
      </c>
      <c r="L2275">
        <v>0</v>
      </c>
      <c r="M2275">
        <v>0</v>
      </c>
      <c r="N2275">
        <v>39984.1</v>
      </c>
    </row>
    <row r="2276" spans="1:14" x14ac:dyDescent="0.2">
      <c r="A2276" s="1">
        <v>45663</v>
      </c>
      <c r="B2276" s="2" t="s">
        <v>27</v>
      </c>
      <c r="C2276" s="2" t="s">
        <v>18</v>
      </c>
      <c r="D2276" s="2" t="s">
        <v>36</v>
      </c>
      <c r="E2276">
        <v>33540</v>
      </c>
      <c r="F2276">
        <v>394</v>
      </c>
      <c r="G2276">
        <v>18</v>
      </c>
      <c r="H2276">
        <v>1242.28</v>
      </c>
      <c r="I2276">
        <v>2118.84</v>
      </c>
      <c r="J2276">
        <v>1.17</v>
      </c>
      <c r="K2276">
        <v>4.57</v>
      </c>
      <c r="L2276">
        <v>69.02</v>
      </c>
      <c r="M2276">
        <v>1.71</v>
      </c>
      <c r="N2276">
        <v>876.56</v>
      </c>
    </row>
    <row r="2277" spans="1:14" x14ac:dyDescent="0.2">
      <c r="A2277" s="1">
        <v>45663</v>
      </c>
      <c r="B2277" s="2" t="s">
        <v>29</v>
      </c>
      <c r="C2277" s="2" t="s">
        <v>32</v>
      </c>
      <c r="D2277" s="2" t="s">
        <v>25</v>
      </c>
      <c r="E2277">
        <v>28762</v>
      </c>
      <c r="F2277">
        <v>708</v>
      </c>
      <c r="G2277">
        <v>40</v>
      </c>
      <c r="H2277">
        <v>1140.47</v>
      </c>
      <c r="I2277">
        <v>5276.6</v>
      </c>
      <c r="J2277">
        <v>2.46</v>
      </c>
      <c r="K2277">
        <v>5.65</v>
      </c>
      <c r="L2277">
        <v>28.51</v>
      </c>
      <c r="M2277">
        <v>4.63</v>
      </c>
      <c r="N2277">
        <v>4136.13</v>
      </c>
    </row>
    <row r="2278" spans="1:14" x14ac:dyDescent="0.2">
      <c r="A2278" s="1">
        <v>45663</v>
      </c>
      <c r="B2278" s="2" t="s">
        <v>30</v>
      </c>
      <c r="C2278" s="2" t="s">
        <v>35</v>
      </c>
      <c r="D2278" s="2" t="s">
        <v>22</v>
      </c>
      <c r="E2278">
        <v>10614</v>
      </c>
      <c r="F2278">
        <v>345</v>
      </c>
      <c r="G2278">
        <v>15</v>
      </c>
      <c r="H2278">
        <v>530.6</v>
      </c>
      <c r="I2278">
        <v>1728.54</v>
      </c>
      <c r="J2278">
        <v>3.25</v>
      </c>
      <c r="K2278">
        <v>4.3499999999999996</v>
      </c>
      <c r="L2278">
        <v>35.369999999999997</v>
      </c>
      <c r="M2278">
        <v>3.26</v>
      </c>
      <c r="N2278">
        <v>1197.94</v>
      </c>
    </row>
    <row r="2279" spans="1:14" x14ac:dyDescent="0.2">
      <c r="A2279" s="1">
        <v>45663</v>
      </c>
      <c r="B2279" s="2" t="s">
        <v>31</v>
      </c>
      <c r="C2279" s="2" t="s">
        <v>18</v>
      </c>
      <c r="D2279" s="2" t="s">
        <v>16</v>
      </c>
      <c r="E2279">
        <v>32828</v>
      </c>
      <c r="F2279">
        <v>932</v>
      </c>
      <c r="G2279">
        <v>44</v>
      </c>
      <c r="H2279">
        <v>1011.56</v>
      </c>
      <c r="I2279">
        <v>3154.05</v>
      </c>
      <c r="J2279">
        <v>2.84</v>
      </c>
      <c r="K2279">
        <v>4.72</v>
      </c>
      <c r="L2279">
        <v>22.99</v>
      </c>
      <c r="M2279">
        <v>3.12</v>
      </c>
      <c r="N2279">
        <v>2142.4899999999998</v>
      </c>
    </row>
    <row r="2280" spans="1:14" x14ac:dyDescent="0.2">
      <c r="A2280" s="1">
        <v>45663</v>
      </c>
      <c r="B2280" s="2" t="s">
        <v>33</v>
      </c>
      <c r="C2280" s="2" t="s">
        <v>35</v>
      </c>
      <c r="D2280" s="2" t="s">
        <v>19</v>
      </c>
      <c r="E2280">
        <v>7464</v>
      </c>
      <c r="F2280">
        <v>496</v>
      </c>
      <c r="G2280">
        <v>43</v>
      </c>
      <c r="H2280">
        <v>365.55</v>
      </c>
      <c r="I2280">
        <v>4619.88</v>
      </c>
      <c r="J2280">
        <v>6.65</v>
      </c>
      <c r="K2280">
        <v>8.67</v>
      </c>
      <c r="L2280">
        <v>8.5</v>
      </c>
      <c r="M2280">
        <v>12.64</v>
      </c>
      <c r="N2280">
        <v>4254.33</v>
      </c>
    </row>
    <row r="2281" spans="1:14" x14ac:dyDescent="0.2">
      <c r="A2281" s="1">
        <v>45663</v>
      </c>
      <c r="B2281" s="2" t="s">
        <v>34</v>
      </c>
      <c r="C2281" s="2" t="s">
        <v>28</v>
      </c>
      <c r="D2281" s="2" t="s">
        <v>25</v>
      </c>
      <c r="E2281">
        <v>7389</v>
      </c>
      <c r="F2281">
        <v>720</v>
      </c>
      <c r="G2281">
        <v>105</v>
      </c>
      <c r="H2281">
        <v>61.83</v>
      </c>
      <c r="I2281">
        <v>13024.83</v>
      </c>
      <c r="J2281">
        <v>9.74</v>
      </c>
      <c r="K2281">
        <v>14.58</v>
      </c>
      <c r="L2281">
        <v>0.59</v>
      </c>
      <c r="M2281">
        <v>210.66</v>
      </c>
      <c r="N2281">
        <v>12963</v>
      </c>
    </row>
    <row r="2282" spans="1:14" x14ac:dyDescent="0.2">
      <c r="A2282" s="1">
        <v>45664</v>
      </c>
      <c r="B2282" s="2" t="s">
        <v>14</v>
      </c>
      <c r="C2282" s="2" t="s">
        <v>32</v>
      </c>
      <c r="D2282" s="2" t="s">
        <v>25</v>
      </c>
      <c r="E2282">
        <v>17966</v>
      </c>
      <c r="F2282">
        <v>847</v>
      </c>
      <c r="G2282">
        <v>93</v>
      </c>
      <c r="H2282">
        <v>1175.01</v>
      </c>
      <c r="I2282">
        <v>14429.43</v>
      </c>
      <c r="J2282">
        <v>4.71</v>
      </c>
      <c r="K2282">
        <v>10.98</v>
      </c>
      <c r="L2282">
        <v>12.63</v>
      </c>
      <c r="M2282">
        <v>12.28</v>
      </c>
      <c r="N2282">
        <v>13254.42</v>
      </c>
    </row>
    <row r="2283" spans="1:14" x14ac:dyDescent="0.2">
      <c r="A2283" s="1">
        <v>45664</v>
      </c>
      <c r="B2283" s="2" t="s">
        <v>17</v>
      </c>
      <c r="C2283" s="2" t="s">
        <v>35</v>
      </c>
      <c r="D2283" s="2" t="s">
        <v>36</v>
      </c>
      <c r="E2283">
        <v>19576</v>
      </c>
      <c r="F2283">
        <v>402</v>
      </c>
      <c r="G2283">
        <v>32</v>
      </c>
      <c r="H2283">
        <v>1323.75</v>
      </c>
      <c r="I2283">
        <v>3123.3</v>
      </c>
      <c r="J2283">
        <v>2.0499999999999998</v>
      </c>
      <c r="K2283">
        <v>7.96</v>
      </c>
      <c r="L2283">
        <v>41.37</v>
      </c>
      <c r="M2283">
        <v>2.36</v>
      </c>
      <c r="N2283">
        <v>1799.55</v>
      </c>
    </row>
    <row r="2284" spans="1:14" x14ac:dyDescent="0.2">
      <c r="A2284" s="1">
        <v>45664</v>
      </c>
      <c r="B2284" s="2" t="s">
        <v>20</v>
      </c>
      <c r="C2284" s="2" t="s">
        <v>15</v>
      </c>
      <c r="D2284" s="2" t="s">
        <v>22</v>
      </c>
      <c r="E2284">
        <v>18561</v>
      </c>
      <c r="F2284">
        <v>664</v>
      </c>
      <c r="G2284">
        <v>40</v>
      </c>
      <c r="H2284">
        <v>715.09</v>
      </c>
      <c r="I2284">
        <v>3752.54</v>
      </c>
      <c r="J2284">
        <v>3.58</v>
      </c>
      <c r="K2284">
        <v>6.02</v>
      </c>
      <c r="L2284">
        <v>17.88</v>
      </c>
      <c r="M2284">
        <v>5.25</v>
      </c>
      <c r="N2284">
        <v>3037.45</v>
      </c>
    </row>
    <row r="2285" spans="1:14" x14ac:dyDescent="0.2">
      <c r="A2285" s="1">
        <v>45664</v>
      </c>
      <c r="B2285" s="2" t="s">
        <v>23</v>
      </c>
      <c r="C2285" s="2" t="s">
        <v>35</v>
      </c>
      <c r="D2285" s="2" t="s">
        <v>36</v>
      </c>
      <c r="E2285">
        <v>3692</v>
      </c>
      <c r="F2285">
        <v>60</v>
      </c>
      <c r="G2285">
        <v>8</v>
      </c>
      <c r="H2285">
        <v>1695.6</v>
      </c>
      <c r="I2285">
        <v>1506.15</v>
      </c>
      <c r="J2285">
        <v>1.63</v>
      </c>
      <c r="K2285">
        <v>13.33</v>
      </c>
      <c r="L2285">
        <v>211.95</v>
      </c>
      <c r="M2285">
        <v>0.89</v>
      </c>
      <c r="N2285">
        <v>-189.45</v>
      </c>
    </row>
    <row r="2286" spans="1:14" x14ac:dyDescent="0.2">
      <c r="A2286" s="1">
        <v>45664</v>
      </c>
      <c r="B2286" s="2" t="s">
        <v>24</v>
      </c>
      <c r="C2286" s="2" t="s">
        <v>35</v>
      </c>
      <c r="D2286" s="2" t="s">
        <v>22</v>
      </c>
      <c r="E2286">
        <v>25153</v>
      </c>
      <c r="F2286">
        <v>3926</v>
      </c>
      <c r="G2286">
        <v>512</v>
      </c>
      <c r="H2286">
        <v>224.06</v>
      </c>
      <c r="I2286">
        <v>81064.759999999995</v>
      </c>
      <c r="J2286">
        <v>15.61</v>
      </c>
      <c r="K2286">
        <v>13.04</v>
      </c>
      <c r="L2286">
        <v>0.44</v>
      </c>
      <c r="M2286">
        <v>361.8</v>
      </c>
      <c r="N2286">
        <v>80840.7</v>
      </c>
    </row>
    <row r="2287" spans="1:14" x14ac:dyDescent="0.2">
      <c r="A2287" s="1">
        <v>45664</v>
      </c>
      <c r="B2287" s="2" t="s">
        <v>26</v>
      </c>
      <c r="C2287" s="2" t="s">
        <v>21</v>
      </c>
      <c r="D2287" s="2" t="s">
        <v>36</v>
      </c>
      <c r="E2287">
        <v>35020</v>
      </c>
      <c r="F2287">
        <v>1450</v>
      </c>
      <c r="G2287">
        <v>218</v>
      </c>
      <c r="H2287">
        <v>0</v>
      </c>
      <c r="I2287">
        <v>23950.85</v>
      </c>
      <c r="J2287">
        <v>4.1399999999999997</v>
      </c>
      <c r="K2287">
        <v>15.03</v>
      </c>
      <c r="L2287">
        <v>0</v>
      </c>
      <c r="M2287">
        <v>0</v>
      </c>
      <c r="N2287">
        <v>23950.85</v>
      </c>
    </row>
    <row r="2288" spans="1:14" x14ac:dyDescent="0.2">
      <c r="A2288" s="1">
        <v>45664</v>
      </c>
      <c r="B2288" s="2" t="s">
        <v>27</v>
      </c>
      <c r="C2288" s="2" t="s">
        <v>18</v>
      </c>
      <c r="D2288" s="2" t="s">
        <v>22</v>
      </c>
      <c r="E2288">
        <v>39787</v>
      </c>
      <c r="F2288">
        <v>536</v>
      </c>
      <c r="G2288">
        <v>14</v>
      </c>
      <c r="H2288">
        <v>1044.02</v>
      </c>
      <c r="I2288">
        <v>1376.2</v>
      </c>
      <c r="J2288">
        <v>1.35</v>
      </c>
      <c r="K2288">
        <v>2.61</v>
      </c>
      <c r="L2288">
        <v>74.569999999999993</v>
      </c>
      <c r="M2288">
        <v>1.32</v>
      </c>
      <c r="N2288">
        <v>332.18</v>
      </c>
    </row>
    <row r="2289" spans="1:14" x14ac:dyDescent="0.2">
      <c r="A2289" s="1">
        <v>45664</v>
      </c>
      <c r="B2289" s="2" t="s">
        <v>29</v>
      </c>
      <c r="C2289" s="2" t="s">
        <v>21</v>
      </c>
      <c r="D2289" s="2" t="s">
        <v>22</v>
      </c>
      <c r="E2289">
        <v>27704</v>
      </c>
      <c r="F2289">
        <v>440</v>
      </c>
      <c r="G2289">
        <v>19</v>
      </c>
      <c r="H2289">
        <v>1667.29</v>
      </c>
      <c r="I2289">
        <v>2516.98</v>
      </c>
      <c r="J2289">
        <v>1.59</v>
      </c>
      <c r="K2289">
        <v>4.32</v>
      </c>
      <c r="L2289">
        <v>87.75</v>
      </c>
      <c r="M2289">
        <v>1.51</v>
      </c>
      <c r="N2289">
        <v>849.69</v>
      </c>
    </row>
    <row r="2290" spans="1:14" x14ac:dyDescent="0.2">
      <c r="A2290" s="1">
        <v>45664</v>
      </c>
      <c r="B2290" s="2" t="s">
        <v>30</v>
      </c>
      <c r="C2290" s="2" t="s">
        <v>21</v>
      </c>
      <c r="D2290" s="2" t="s">
        <v>16</v>
      </c>
      <c r="E2290">
        <v>11578</v>
      </c>
      <c r="F2290">
        <v>366</v>
      </c>
      <c r="G2290">
        <v>15</v>
      </c>
      <c r="H2290">
        <v>658.13</v>
      </c>
      <c r="I2290">
        <v>1218.53</v>
      </c>
      <c r="J2290">
        <v>3.16</v>
      </c>
      <c r="K2290">
        <v>4.0999999999999996</v>
      </c>
      <c r="L2290">
        <v>43.88</v>
      </c>
      <c r="M2290">
        <v>1.85</v>
      </c>
      <c r="N2290">
        <v>560.4</v>
      </c>
    </row>
    <row r="2291" spans="1:14" x14ac:dyDescent="0.2">
      <c r="A2291" s="1">
        <v>45664</v>
      </c>
      <c r="B2291" s="2" t="s">
        <v>31</v>
      </c>
      <c r="C2291" s="2" t="s">
        <v>32</v>
      </c>
      <c r="D2291" s="2" t="s">
        <v>25</v>
      </c>
      <c r="E2291">
        <v>30860</v>
      </c>
      <c r="F2291">
        <v>974</v>
      </c>
      <c r="G2291">
        <v>49</v>
      </c>
      <c r="H2291">
        <v>819.07</v>
      </c>
      <c r="I2291">
        <v>3706.12</v>
      </c>
      <c r="J2291">
        <v>3.16</v>
      </c>
      <c r="K2291">
        <v>5.03</v>
      </c>
      <c r="L2291">
        <v>16.72</v>
      </c>
      <c r="M2291">
        <v>4.5199999999999996</v>
      </c>
      <c r="N2291">
        <v>2887.05</v>
      </c>
    </row>
    <row r="2292" spans="1:14" x14ac:dyDescent="0.2">
      <c r="A2292" s="1">
        <v>45664</v>
      </c>
      <c r="B2292" s="2" t="s">
        <v>33</v>
      </c>
      <c r="C2292" s="2" t="s">
        <v>21</v>
      </c>
      <c r="D2292" s="2" t="s">
        <v>16</v>
      </c>
      <c r="E2292">
        <v>6620</v>
      </c>
      <c r="F2292">
        <v>444</v>
      </c>
      <c r="G2292">
        <v>38</v>
      </c>
      <c r="H2292">
        <v>550.84</v>
      </c>
      <c r="I2292">
        <v>3729.42</v>
      </c>
      <c r="J2292">
        <v>6.71</v>
      </c>
      <c r="K2292">
        <v>8.56</v>
      </c>
      <c r="L2292">
        <v>14.5</v>
      </c>
      <c r="M2292">
        <v>6.77</v>
      </c>
      <c r="N2292">
        <v>3178.58</v>
      </c>
    </row>
    <row r="2293" spans="1:14" x14ac:dyDescent="0.2">
      <c r="A2293" s="1">
        <v>45664</v>
      </c>
      <c r="B2293" s="2" t="s">
        <v>34</v>
      </c>
      <c r="C2293" s="2" t="s">
        <v>35</v>
      </c>
      <c r="D2293" s="2" t="s">
        <v>16</v>
      </c>
      <c r="E2293">
        <v>3724</v>
      </c>
      <c r="F2293">
        <v>333</v>
      </c>
      <c r="G2293">
        <v>56</v>
      </c>
      <c r="H2293">
        <v>210.52</v>
      </c>
      <c r="I2293">
        <v>10718.91</v>
      </c>
      <c r="J2293">
        <v>8.94</v>
      </c>
      <c r="K2293">
        <v>16.82</v>
      </c>
      <c r="L2293">
        <v>3.76</v>
      </c>
      <c r="M2293">
        <v>50.92</v>
      </c>
      <c r="N2293">
        <v>10508.39</v>
      </c>
    </row>
    <row r="2294" spans="1:14" x14ac:dyDescent="0.2">
      <c r="A2294" s="1">
        <v>45665</v>
      </c>
      <c r="B2294" s="2" t="s">
        <v>14</v>
      </c>
      <c r="C2294" s="2" t="s">
        <v>28</v>
      </c>
      <c r="D2294" s="2" t="s">
        <v>19</v>
      </c>
      <c r="E2294">
        <v>14136</v>
      </c>
      <c r="F2294">
        <v>536</v>
      </c>
      <c r="G2294">
        <v>54</v>
      </c>
      <c r="H2294">
        <v>1178.04</v>
      </c>
      <c r="I2294">
        <v>6321.79</v>
      </c>
      <c r="J2294">
        <v>3.79</v>
      </c>
      <c r="K2294">
        <v>10.07</v>
      </c>
      <c r="L2294">
        <v>21.82</v>
      </c>
      <c r="M2294">
        <v>5.37</v>
      </c>
      <c r="N2294">
        <v>5143.75</v>
      </c>
    </row>
    <row r="2295" spans="1:14" x14ac:dyDescent="0.2">
      <c r="A2295" s="1">
        <v>45665</v>
      </c>
      <c r="B2295" s="2" t="s">
        <v>17</v>
      </c>
      <c r="C2295" s="2" t="s">
        <v>32</v>
      </c>
      <c r="D2295" s="2" t="s">
        <v>25</v>
      </c>
      <c r="E2295">
        <v>16717</v>
      </c>
      <c r="F2295">
        <v>337</v>
      </c>
      <c r="G2295">
        <v>16</v>
      </c>
      <c r="H2295">
        <v>1194.44</v>
      </c>
      <c r="I2295">
        <v>1755.83</v>
      </c>
      <c r="J2295">
        <v>2.02</v>
      </c>
      <c r="K2295">
        <v>4.75</v>
      </c>
      <c r="L2295">
        <v>74.650000000000006</v>
      </c>
      <c r="M2295">
        <v>1.47</v>
      </c>
      <c r="N2295">
        <v>561.39</v>
      </c>
    </row>
    <row r="2296" spans="1:14" x14ac:dyDescent="0.2">
      <c r="A2296" s="1">
        <v>45665</v>
      </c>
      <c r="B2296" s="2" t="s">
        <v>20</v>
      </c>
      <c r="C2296" s="2" t="s">
        <v>18</v>
      </c>
      <c r="D2296" s="2" t="s">
        <v>25</v>
      </c>
      <c r="E2296">
        <v>16705</v>
      </c>
      <c r="F2296">
        <v>442</v>
      </c>
      <c r="G2296">
        <v>30</v>
      </c>
      <c r="H2296">
        <v>1067.19</v>
      </c>
      <c r="I2296">
        <v>2443.66</v>
      </c>
      <c r="J2296">
        <v>2.65</v>
      </c>
      <c r="K2296">
        <v>6.79</v>
      </c>
      <c r="L2296">
        <v>35.57</v>
      </c>
      <c r="M2296">
        <v>2.29</v>
      </c>
      <c r="N2296">
        <v>1376.47</v>
      </c>
    </row>
    <row r="2297" spans="1:14" x14ac:dyDescent="0.2">
      <c r="A2297" s="1">
        <v>45665</v>
      </c>
      <c r="B2297" s="2" t="s">
        <v>23</v>
      </c>
      <c r="C2297" s="2" t="s">
        <v>18</v>
      </c>
      <c r="D2297" s="2" t="s">
        <v>16</v>
      </c>
      <c r="E2297">
        <v>6272</v>
      </c>
      <c r="F2297">
        <v>97</v>
      </c>
      <c r="G2297">
        <v>9</v>
      </c>
      <c r="H2297">
        <v>1833.02</v>
      </c>
      <c r="I2297">
        <v>2536.84</v>
      </c>
      <c r="J2297">
        <v>1.55</v>
      </c>
      <c r="K2297">
        <v>9.2799999999999994</v>
      </c>
      <c r="L2297">
        <v>203.67</v>
      </c>
      <c r="M2297">
        <v>1.38</v>
      </c>
      <c r="N2297">
        <v>703.82</v>
      </c>
    </row>
    <row r="2298" spans="1:14" x14ac:dyDescent="0.2">
      <c r="A2298" s="1">
        <v>45665</v>
      </c>
      <c r="B2298" s="2" t="s">
        <v>24</v>
      </c>
      <c r="C2298" s="2" t="s">
        <v>15</v>
      </c>
      <c r="D2298" s="2" t="s">
        <v>16</v>
      </c>
      <c r="E2298">
        <v>26559</v>
      </c>
      <c r="F2298">
        <v>4588</v>
      </c>
      <c r="G2298">
        <v>390</v>
      </c>
      <c r="H2298">
        <v>345.5</v>
      </c>
      <c r="I2298">
        <v>50108.61</v>
      </c>
      <c r="J2298">
        <v>17.27</v>
      </c>
      <c r="K2298">
        <v>8.5</v>
      </c>
      <c r="L2298">
        <v>0.89</v>
      </c>
      <c r="M2298">
        <v>145.03</v>
      </c>
      <c r="N2298">
        <v>49763.11</v>
      </c>
    </row>
    <row r="2299" spans="1:14" x14ac:dyDescent="0.2">
      <c r="A2299" s="1">
        <v>45665</v>
      </c>
      <c r="B2299" s="2" t="s">
        <v>26</v>
      </c>
      <c r="C2299" s="2" t="s">
        <v>18</v>
      </c>
      <c r="D2299" s="2" t="s">
        <v>16</v>
      </c>
      <c r="E2299">
        <v>33543</v>
      </c>
      <c r="F2299">
        <v>2254</v>
      </c>
      <c r="G2299">
        <v>360</v>
      </c>
      <c r="H2299">
        <v>0</v>
      </c>
      <c r="I2299">
        <v>51356.55</v>
      </c>
      <c r="J2299">
        <v>6.72</v>
      </c>
      <c r="K2299">
        <v>15.97</v>
      </c>
      <c r="L2299">
        <v>0</v>
      </c>
      <c r="M2299">
        <v>0</v>
      </c>
      <c r="N2299">
        <v>51356.55</v>
      </c>
    </row>
    <row r="2300" spans="1:14" x14ac:dyDescent="0.2">
      <c r="A2300" s="1">
        <v>45665</v>
      </c>
      <c r="B2300" s="2" t="s">
        <v>27</v>
      </c>
      <c r="C2300" s="2" t="s">
        <v>28</v>
      </c>
      <c r="D2300" s="2" t="s">
        <v>36</v>
      </c>
      <c r="E2300">
        <v>40453</v>
      </c>
      <c r="F2300">
        <v>573</v>
      </c>
      <c r="G2300">
        <v>14</v>
      </c>
      <c r="H2300">
        <v>1426.3</v>
      </c>
      <c r="I2300">
        <v>1577.89</v>
      </c>
      <c r="J2300">
        <v>1.42</v>
      </c>
      <c r="K2300">
        <v>2.44</v>
      </c>
      <c r="L2300">
        <v>101.88</v>
      </c>
      <c r="M2300">
        <v>1.1100000000000001</v>
      </c>
      <c r="N2300">
        <v>151.59</v>
      </c>
    </row>
    <row r="2301" spans="1:14" x14ac:dyDescent="0.2">
      <c r="A2301" s="1">
        <v>45665</v>
      </c>
      <c r="B2301" s="2" t="s">
        <v>29</v>
      </c>
      <c r="C2301" s="2" t="s">
        <v>28</v>
      </c>
      <c r="D2301" s="2" t="s">
        <v>16</v>
      </c>
      <c r="E2301">
        <v>25070</v>
      </c>
      <c r="F2301">
        <v>704</v>
      </c>
      <c r="G2301">
        <v>37</v>
      </c>
      <c r="H2301">
        <v>1112.23</v>
      </c>
      <c r="I2301">
        <v>4057.43</v>
      </c>
      <c r="J2301">
        <v>2.81</v>
      </c>
      <c r="K2301">
        <v>5.26</v>
      </c>
      <c r="L2301">
        <v>30.06</v>
      </c>
      <c r="M2301">
        <v>3.65</v>
      </c>
      <c r="N2301">
        <v>2945.2</v>
      </c>
    </row>
    <row r="2302" spans="1:14" x14ac:dyDescent="0.2">
      <c r="A2302" s="1">
        <v>45665</v>
      </c>
      <c r="B2302" s="2" t="s">
        <v>30</v>
      </c>
      <c r="C2302" s="2" t="s">
        <v>32</v>
      </c>
      <c r="D2302" s="2" t="s">
        <v>19</v>
      </c>
      <c r="E2302">
        <v>15654</v>
      </c>
      <c r="F2302">
        <v>415</v>
      </c>
      <c r="G2302">
        <v>21</v>
      </c>
      <c r="H2302">
        <v>679.55</v>
      </c>
      <c r="I2302">
        <v>2254.7800000000002</v>
      </c>
      <c r="J2302">
        <v>2.65</v>
      </c>
      <c r="K2302">
        <v>5.0599999999999996</v>
      </c>
      <c r="L2302">
        <v>32.36</v>
      </c>
      <c r="M2302">
        <v>3.32</v>
      </c>
      <c r="N2302">
        <v>1575.23</v>
      </c>
    </row>
    <row r="2303" spans="1:14" x14ac:dyDescent="0.2">
      <c r="A2303" s="1">
        <v>45665</v>
      </c>
      <c r="B2303" s="2" t="s">
        <v>31</v>
      </c>
      <c r="C2303" s="2" t="s">
        <v>28</v>
      </c>
      <c r="D2303" s="2" t="s">
        <v>22</v>
      </c>
      <c r="E2303">
        <v>32834</v>
      </c>
      <c r="F2303">
        <v>1444</v>
      </c>
      <c r="G2303">
        <v>97</v>
      </c>
      <c r="H2303">
        <v>1255.07</v>
      </c>
      <c r="I2303">
        <v>7082.16</v>
      </c>
      <c r="J2303">
        <v>4.4000000000000004</v>
      </c>
      <c r="K2303">
        <v>6.72</v>
      </c>
      <c r="L2303">
        <v>12.94</v>
      </c>
      <c r="M2303">
        <v>5.64</v>
      </c>
      <c r="N2303">
        <v>5827.09</v>
      </c>
    </row>
    <row r="2304" spans="1:14" x14ac:dyDescent="0.2">
      <c r="A2304" s="1">
        <v>45665</v>
      </c>
      <c r="B2304" s="2" t="s">
        <v>33</v>
      </c>
      <c r="C2304" s="2" t="s">
        <v>21</v>
      </c>
      <c r="D2304" s="2" t="s">
        <v>16</v>
      </c>
      <c r="E2304">
        <v>6351</v>
      </c>
      <c r="F2304">
        <v>255</v>
      </c>
      <c r="G2304">
        <v>28</v>
      </c>
      <c r="H2304">
        <v>783.64</v>
      </c>
      <c r="I2304">
        <v>3320.93</v>
      </c>
      <c r="J2304">
        <v>4.0199999999999996</v>
      </c>
      <c r="K2304">
        <v>10.98</v>
      </c>
      <c r="L2304">
        <v>27.99</v>
      </c>
      <c r="M2304">
        <v>4.24</v>
      </c>
      <c r="N2304">
        <v>2537.29</v>
      </c>
    </row>
    <row r="2305" spans="1:14" x14ac:dyDescent="0.2">
      <c r="A2305" s="1">
        <v>45665</v>
      </c>
      <c r="B2305" s="2" t="s">
        <v>34</v>
      </c>
      <c r="C2305" s="2" t="s">
        <v>35</v>
      </c>
      <c r="D2305" s="2" t="s">
        <v>36</v>
      </c>
      <c r="E2305">
        <v>7405</v>
      </c>
      <c r="F2305">
        <v>448</v>
      </c>
      <c r="G2305">
        <v>62</v>
      </c>
      <c r="H2305">
        <v>89.77</v>
      </c>
      <c r="I2305">
        <v>7449.33</v>
      </c>
      <c r="J2305">
        <v>6.05</v>
      </c>
      <c r="K2305">
        <v>13.84</v>
      </c>
      <c r="L2305">
        <v>1.45</v>
      </c>
      <c r="M2305">
        <v>82.98</v>
      </c>
      <c r="N2305">
        <v>7359.56</v>
      </c>
    </row>
    <row r="2306" spans="1:14" x14ac:dyDescent="0.2">
      <c r="A2306" s="1">
        <v>45666</v>
      </c>
      <c r="B2306" s="2" t="s">
        <v>14</v>
      </c>
      <c r="C2306" s="2" t="s">
        <v>15</v>
      </c>
      <c r="D2306" s="2" t="s">
        <v>16</v>
      </c>
      <c r="E2306">
        <v>9892</v>
      </c>
      <c r="F2306">
        <v>448</v>
      </c>
      <c r="G2306">
        <v>45</v>
      </c>
      <c r="H2306">
        <v>1343.27</v>
      </c>
      <c r="I2306">
        <v>6851.08</v>
      </c>
      <c r="J2306">
        <v>4.53</v>
      </c>
      <c r="K2306">
        <v>10.039999999999999</v>
      </c>
      <c r="L2306">
        <v>29.85</v>
      </c>
      <c r="M2306">
        <v>5.0999999999999996</v>
      </c>
      <c r="N2306">
        <v>5507.81</v>
      </c>
    </row>
    <row r="2307" spans="1:14" x14ac:dyDescent="0.2">
      <c r="A2307" s="1">
        <v>45666</v>
      </c>
      <c r="B2307" s="2" t="s">
        <v>17</v>
      </c>
      <c r="C2307" s="2" t="s">
        <v>15</v>
      </c>
      <c r="D2307" s="2" t="s">
        <v>25</v>
      </c>
      <c r="E2307">
        <v>23932</v>
      </c>
      <c r="F2307">
        <v>782</v>
      </c>
      <c r="G2307">
        <v>61</v>
      </c>
      <c r="H2307">
        <v>1192.96</v>
      </c>
      <c r="I2307">
        <v>7809.2</v>
      </c>
      <c r="J2307">
        <v>3.27</v>
      </c>
      <c r="K2307">
        <v>7.8</v>
      </c>
      <c r="L2307">
        <v>19.559999999999999</v>
      </c>
      <c r="M2307">
        <v>6.55</v>
      </c>
      <c r="N2307">
        <v>6616.24</v>
      </c>
    </row>
    <row r="2308" spans="1:14" x14ac:dyDescent="0.2">
      <c r="A2308" s="1">
        <v>45666</v>
      </c>
      <c r="B2308" s="2" t="s">
        <v>20</v>
      </c>
      <c r="C2308" s="2" t="s">
        <v>35</v>
      </c>
      <c r="D2308" s="2" t="s">
        <v>25</v>
      </c>
      <c r="E2308">
        <v>19225</v>
      </c>
      <c r="F2308">
        <v>680</v>
      </c>
      <c r="G2308">
        <v>51</v>
      </c>
      <c r="H2308">
        <v>1187.8699999999999</v>
      </c>
      <c r="I2308">
        <v>5682.18</v>
      </c>
      <c r="J2308">
        <v>3.54</v>
      </c>
      <c r="K2308">
        <v>7.5</v>
      </c>
      <c r="L2308">
        <v>23.29</v>
      </c>
      <c r="M2308">
        <v>4.78</v>
      </c>
      <c r="N2308">
        <v>4494.3100000000004</v>
      </c>
    </row>
    <row r="2309" spans="1:14" x14ac:dyDescent="0.2">
      <c r="A2309" s="1">
        <v>45666</v>
      </c>
      <c r="B2309" s="2" t="s">
        <v>23</v>
      </c>
      <c r="C2309" s="2" t="s">
        <v>32</v>
      </c>
      <c r="D2309" s="2" t="s">
        <v>22</v>
      </c>
      <c r="E2309">
        <v>6139</v>
      </c>
      <c r="F2309">
        <v>133</v>
      </c>
      <c r="G2309">
        <v>15</v>
      </c>
      <c r="H2309">
        <v>1461.03</v>
      </c>
      <c r="I2309">
        <v>3333.12</v>
      </c>
      <c r="J2309">
        <v>2.17</v>
      </c>
      <c r="K2309">
        <v>11.28</v>
      </c>
      <c r="L2309">
        <v>97.4</v>
      </c>
      <c r="M2309">
        <v>2.2799999999999998</v>
      </c>
      <c r="N2309">
        <v>1872.09</v>
      </c>
    </row>
    <row r="2310" spans="1:14" x14ac:dyDescent="0.2">
      <c r="A2310" s="1">
        <v>45666</v>
      </c>
      <c r="B2310" s="2" t="s">
        <v>24</v>
      </c>
      <c r="C2310" s="2" t="s">
        <v>28</v>
      </c>
      <c r="D2310" s="2" t="s">
        <v>16</v>
      </c>
      <c r="E2310">
        <v>29250</v>
      </c>
      <c r="F2310">
        <v>6924</v>
      </c>
      <c r="G2310">
        <v>729</v>
      </c>
      <c r="H2310">
        <v>292.10000000000002</v>
      </c>
      <c r="I2310">
        <v>100195.9</v>
      </c>
      <c r="J2310">
        <v>23.67</v>
      </c>
      <c r="K2310">
        <v>10.53</v>
      </c>
      <c r="L2310">
        <v>0.4</v>
      </c>
      <c r="M2310">
        <v>343.02</v>
      </c>
      <c r="N2310">
        <v>99903.8</v>
      </c>
    </row>
    <row r="2311" spans="1:14" x14ac:dyDescent="0.2">
      <c r="A2311" s="1">
        <v>45666</v>
      </c>
      <c r="B2311" s="2" t="s">
        <v>26</v>
      </c>
      <c r="C2311" s="2" t="s">
        <v>32</v>
      </c>
      <c r="D2311" s="2" t="s">
        <v>25</v>
      </c>
      <c r="E2311">
        <v>31597</v>
      </c>
      <c r="F2311">
        <v>2097</v>
      </c>
      <c r="G2311">
        <v>250</v>
      </c>
      <c r="H2311">
        <v>0</v>
      </c>
      <c r="I2311">
        <v>36424.42</v>
      </c>
      <c r="J2311">
        <v>6.64</v>
      </c>
      <c r="K2311">
        <v>11.92</v>
      </c>
      <c r="L2311">
        <v>0</v>
      </c>
      <c r="M2311">
        <v>0</v>
      </c>
      <c r="N2311">
        <v>36424.42</v>
      </c>
    </row>
    <row r="2312" spans="1:14" x14ac:dyDescent="0.2">
      <c r="A2312" s="1">
        <v>45666</v>
      </c>
      <c r="B2312" s="2" t="s">
        <v>27</v>
      </c>
      <c r="C2312" s="2" t="s">
        <v>18</v>
      </c>
      <c r="D2312" s="2" t="s">
        <v>19</v>
      </c>
      <c r="E2312">
        <v>40389</v>
      </c>
      <c r="F2312">
        <v>475</v>
      </c>
      <c r="G2312">
        <v>21</v>
      </c>
      <c r="H2312">
        <v>1381.92</v>
      </c>
      <c r="I2312">
        <v>2173.62</v>
      </c>
      <c r="J2312">
        <v>1.18</v>
      </c>
      <c r="K2312">
        <v>4.42</v>
      </c>
      <c r="L2312">
        <v>65.81</v>
      </c>
      <c r="M2312">
        <v>1.57</v>
      </c>
      <c r="N2312">
        <v>791.7</v>
      </c>
    </row>
    <row r="2313" spans="1:14" x14ac:dyDescent="0.2">
      <c r="A2313" s="1">
        <v>45666</v>
      </c>
      <c r="B2313" s="2" t="s">
        <v>29</v>
      </c>
      <c r="C2313" s="2" t="s">
        <v>18</v>
      </c>
      <c r="D2313" s="2" t="s">
        <v>16</v>
      </c>
      <c r="E2313">
        <v>18888</v>
      </c>
      <c r="F2313">
        <v>444</v>
      </c>
      <c r="G2313">
        <v>27</v>
      </c>
      <c r="H2313">
        <v>1203.9000000000001</v>
      </c>
      <c r="I2313">
        <v>3399.47</v>
      </c>
      <c r="J2313">
        <v>2.35</v>
      </c>
      <c r="K2313">
        <v>6.08</v>
      </c>
      <c r="L2313">
        <v>44.59</v>
      </c>
      <c r="M2313">
        <v>2.82</v>
      </c>
      <c r="N2313">
        <v>2195.5700000000002</v>
      </c>
    </row>
    <row r="2314" spans="1:14" x14ac:dyDescent="0.2">
      <c r="A2314" s="1">
        <v>45666</v>
      </c>
      <c r="B2314" s="2" t="s">
        <v>30</v>
      </c>
      <c r="C2314" s="2" t="s">
        <v>28</v>
      </c>
      <c r="D2314" s="2" t="s">
        <v>22</v>
      </c>
      <c r="E2314">
        <v>14038</v>
      </c>
      <c r="F2314">
        <v>436</v>
      </c>
      <c r="G2314">
        <v>16</v>
      </c>
      <c r="H2314">
        <v>785.93</v>
      </c>
      <c r="I2314">
        <v>1468.56</v>
      </c>
      <c r="J2314">
        <v>3.11</v>
      </c>
      <c r="K2314">
        <v>3.67</v>
      </c>
      <c r="L2314">
        <v>49.12</v>
      </c>
      <c r="M2314">
        <v>1.87</v>
      </c>
      <c r="N2314">
        <v>682.63</v>
      </c>
    </row>
    <row r="2315" spans="1:14" x14ac:dyDescent="0.2">
      <c r="A2315" s="1">
        <v>45666</v>
      </c>
      <c r="B2315" s="2" t="s">
        <v>31</v>
      </c>
      <c r="C2315" s="2" t="s">
        <v>32</v>
      </c>
      <c r="D2315" s="2" t="s">
        <v>22</v>
      </c>
      <c r="E2315">
        <v>24458</v>
      </c>
      <c r="F2315">
        <v>981</v>
      </c>
      <c r="G2315">
        <v>61</v>
      </c>
      <c r="H2315">
        <v>789.81</v>
      </c>
      <c r="I2315">
        <v>5189.97</v>
      </c>
      <c r="J2315">
        <v>4.01</v>
      </c>
      <c r="K2315">
        <v>6.22</v>
      </c>
      <c r="L2315">
        <v>12.95</v>
      </c>
      <c r="M2315">
        <v>6.57</v>
      </c>
      <c r="N2315">
        <v>4400.16</v>
      </c>
    </row>
    <row r="2316" spans="1:14" x14ac:dyDescent="0.2">
      <c r="A2316" s="1">
        <v>45666</v>
      </c>
      <c r="B2316" s="2" t="s">
        <v>33</v>
      </c>
      <c r="C2316" s="2" t="s">
        <v>35</v>
      </c>
      <c r="D2316" s="2" t="s">
        <v>25</v>
      </c>
      <c r="E2316">
        <v>10503</v>
      </c>
      <c r="F2316">
        <v>535</v>
      </c>
      <c r="G2316">
        <v>67</v>
      </c>
      <c r="H2316">
        <v>515.87</v>
      </c>
      <c r="I2316">
        <v>6898.89</v>
      </c>
      <c r="J2316">
        <v>5.09</v>
      </c>
      <c r="K2316">
        <v>12.52</v>
      </c>
      <c r="L2316">
        <v>7.7</v>
      </c>
      <c r="M2316">
        <v>13.37</v>
      </c>
      <c r="N2316">
        <v>6383.02</v>
      </c>
    </row>
    <row r="2317" spans="1:14" x14ac:dyDescent="0.2">
      <c r="A2317" s="1">
        <v>45666</v>
      </c>
      <c r="B2317" s="2" t="s">
        <v>34</v>
      </c>
      <c r="C2317" s="2" t="s">
        <v>21</v>
      </c>
      <c r="D2317" s="2" t="s">
        <v>19</v>
      </c>
      <c r="E2317">
        <v>4561</v>
      </c>
      <c r="F2317">
        <v>400</v>
      </c>
      <c r="G2317">
        <v>63</v>
      </c>
      <c r="H2317">
        <v>144.69</v>
      </c>
      <c r="I2317">
        <v>8849.14</v>
      </c>
      <c r="J2317">
        <v>8.77</v>
      </c>
      <c r="K2317">
        <v>15.75</v>
      </c>
      <c r="L2317">
        <v>2.2999999999999998</v>
      </c>
      <c r="M2317">
        <v>61.16</v>
      </c>
      <c r="N2317">
        <v>8704.4500000000007</v>
      </c>
    </row>
    <row r="2318" spans="1:14" x14ac:dyDescent="0.2">
      <c r="A2318" s="1">
        <v>45667</v>
      </c>
      <c r="B2318" s="2" t="s">
        <v>14</v>
      </c>
      <c r="C2318" s="2" t="s">
        <v>15</v>
      </c>
      <c r="D2318" s="2" t="s">
        <v>36</v>
      </c>
      <c r="E2318">
        <v>16510</v>
      </c>
      <c r="F2318">
        <v>787</v>
      </c>
      <c r="G2318">
        <v>92</v>
      </c>
      <c r="H2318">
        <v>1003.97</v>
      </c>
      <c r="I2318">
        <v>15535.23</v>
      </c>
      <c r="J2318">
        <v>4.7699999999999996</v>
      </c>
      <c r="K2318">
        <v>11.69</v>
      </c>
      <c r="L2318">
        <v>10.91</v>
      </c>
      <c r="M2318">
        <v>15.47</v>
      </c>
      <c r="N2318">
        <v>14531.26</v>
      </c>
    </row>
    <row r="2319" spans="1:14" x14ac:dyDescent="0.2">
      <c r="A2319" s="1">
        <v>45667</v>
      </c>
      <c r="B2319" s="2" t="s">
        <v>17</v>
      </c>
      <c r="C2319" s="2" t="s">
        <v>35</v>
      </c>
      <c r="D2319" s="2" t="s">
        <v>22</v>
      </c>
      <c r="E2319">
        <v>16960</v>
      </c>
      <c r="F2319">
        <v>430</v>
      </c>
      <c r="G2319">
        <v>27</v>
      </c>
      <c r="H2319">
        <v>984.9</v>
      </c>
      <c r="I2319">
        <v>2438.41</v>
      </c>
      <c r="J2319">
        <v>2.54</v>
      </c>
      <c r="K2319">
        <v>6.28</v>
      </c>
      <c r="L2319">
        <v>36.479999999999997</v>
      </c>
      <c r="M2319">
        <v>2.48</v>
      </c>
      <c r="N2319">
        <v>1453.51</v>
      </c>
    </row>
    <row r="2320" spans="1:14" x14ac:dyDescent="0.2">
      <c r="A2320" s="1">
        <v>45667</v>
      </c>
      <c r="B2320" s="2" t="s">
        <v>20</v>
      </c>
      <c r="C2320" s="2" t="s">
        <v>18</v>
      </c>
      <c r="D2320" s="2" t="s">
        <v>25</v>
      </c>
      <c r="E2320">
        <v>16075</v>
      </c>
      <c r="F2320">
        <v>470</v>
      </c>
      <c r="G2320">
        <v>36</v>
      </c>
      <c r="H2320">
        <v>997.13</v>
      </c>
      <c r="I2320">
        <v>3005.13</v>
      </c>
      <c r="J2320">
        <v>2.92</v>
      </c>
      <c r="K2320">
        <v>7.66</v>
      </c>
      <c r="L2320">
        <v>27.7</v>
      </c>
      <c r="M2320">
        <v>3.01</v>
      </c>
      <c r="N2320">
        <v>2008</v>
      </c>
    </row>
    <row r="2321" spans="1:14" x14ac:dyDescent="0.2">
      <c r="A2321" s="1">
        <v>45667</v>
      </c>
      <c r="B2321" s="2" t="s">
        <v>23</v>
      </c>
      <c r="C2321" s="2" t="s">
        <v>28</v>
      </c>
      <c r="D2321" s="2" t="s">
        <v>22</v>
      </c>
      <c r="E2321">
        <v>5134</v>
      </c>
      <c r="F2321">
        <v>152</v>
      </c>
      <c r="G2321">
        <v>18</v>
      </c>
      <c r="H2321">
        <v>2100.12</v>
      </c>
      <c r="I2321">
        <v>4710.67</v>
      </c>
      <c r="J2321">
        <v>2.96</v>
      </c>
      <c r="K2321">
        <v>11.84</v>
      </c>
      <c r="L2321">
        <v>116.67</v>
      </c>
      <c r="M2321">
        <v>2.2400000000000002</v>
      </c>
      <c r="N2321">
        <v>2610.5500000000002</v>
      </c>
    </row>
    <row r="2322" spans="1:14" x14ac:dyDescent="0.2">
      <c r="A2322" s="1">
        <v>45667</v>
      </c>
      <c r="B2322" s="2" t="s">
        <v>24</v>
      </c>
      <c r="C2322" s="2" t="s">
        <v>15</v>
      </c>
      <c r="D2322" s="2" t="s">
        <v>36</v>
      </c>
      <c r="E2322">
        <v>23767</v>
      </c>
      <c r="F2322">
        <v>3769</v>
      </c>
      <c r="G2322">
        <v>318</v>
      </c>
      <c r="H2322">
        <v>296.44</v>
      </c>
      <c r="I2322">
        <v>39534.9</v>
      </c>
      <c r="J2322">
        <v>15.86</v>
      </c>
      <c r="K2322">
        <v>8.44</v>
      </c>
      <c r="L2322">
        <v>0.93</v>
      </c>
      <c r="M2322">
        <v>133.37</v>
      </c>
      <c r="N2322">
        <v>39238.46</v>
      </c>
    </row>
    <row r="2323" spans="1:14" x14ac:dyDescent="0.2">
      <c r="A2323" s="1">
        <v>45667</v>
      </c>
      <c r="B2323" s="2" t="s">
        <v>26</v>
      </c>
      <c r="C2323" s="2" t="s">
        <v>35</v>
      </c>
      <c r="D2323" s="2" t="s">
        <v>22</v>
      </c>
      <c r="E2323">
        <v>29368</v>
      </c>
      <c r="F2323">
        <v>1888</v>
      </c>
      <c r="G2323">
        <v>258</v>
      </c>
      <c r="H2323">
        <v>0</v>
      </c>
      <c r="I2323">
        <v>28019.41</v>
      </c>
      <c r="J2323">
        <v>6.43</v>
      </c>
      <c r="K2323">
        <v>13.67</v>
      </c>
      <c r="L2323">
        <v>0</v>
      </c>
      <c r="M2323">
        <v>0</v>
      </c>
      <c r="N2323">
        <v>28019.41</v>
      </c>
    </row>
    <row r="2324" spans="1:14" x14ac:dyDescent="0.2">
      <c r="A2324" s="1">
        <v>45667</v>
      </c>
      <c r="B2324" s="2" t="s">
        <v>27</v>
      </c>
      <c r="C2324" s="2" t="s">
        <v>18</v>
      </c>
      <c r="D2324" s="2" t="s">
        <v>16</v>
      </c>
      <c r="E2324">
        <v>35116</v>
      </c>
      <c r="F2324">
        <v>361</v>
      </c>
      <c r="G2324">
        <v>12</v>
      </c>
      <c r="H2324">
        <v>1116.0999999999999</v>
      </c>
      <c r="I2324">
        <v>1233.5999999999999</v>
      </c>
      <c r="J2324">
        <v>1.03</v>
      </c>
      <c r="K2324">
        <v>3.32</v>
      </c>
      <c r="L2324">
        <v>93.01</v>
      </c>
      <c r="M2324">
        <v>1.1100000000000001</v>
      </c>
      <c r="N2324">
        <v>117.5</v>
      </c>
    </row>
    <row r="2325" spans="1:14" x14ac:dyDescent="0.2">
      <c r="A2325" s="1">
        <v>45667</v>
      </c>
      <c r="B2325" s="2" t="s">
        <v>29</v>
      </c>
      <c r="C2325" s="2" t="s">
        <v>15</v>
      </c>
      <c r="D2325" s="2" t="s">
        <v>16</v>
      </c>
      <c r="E2325">
        <v>19521</v>
      </c>
      <c r="F2325">
        <v>399</v>
      </c>
      <c r="G2325">
        <v>24</v>
      </c>
      <c r="H2325">
        <v>1224.81</v>
      </c>
      <c r="I2325">
        <v>3237.5</v>
      </c>
      <c r="J2325">
        <v>2.04</v>
      </c>
      <c r="K2325">
        <v>6.02</v>
      </c>
      <c r="L2325">
        <v>51.03</v>
      </c>
      <c r="M2325">
        <v>2.64</v>
      </c>
      <c r="N2325">
        <v>2012.69</v>
      </c>
    </row>
    <row r="2326" spans="1:14" x14ac:dyDescent="0.2">
      <c r="A2326" s="1">
        <v>45667</v>
      </c>
      <c r="B2326" s="2" t="s">
        <v>30</v>
      </c>
      <c r="C2326" s="2" t="s">
        <v>18</v>
      </c>
      <c r="D2326" s="2" t="s">
        <v>25</v>
      </c>
      <c r="E2326">
        <v>9738</v>
      </c>
      <c r="F2326">
        <v>326</v>
      </c>
      <c r="G2326">
        <v>19</v>
      </c>
      <c r="H2326">
        <v>867.48</v>
      </c>
      <c r="I2326">
        <v>1642.17</v>
      </c>
      <c r="J2326">
        <v>3.35</v>
      </c>
      <c r="K2326">
        <v>5.83</v>
      </c>
      <c r="L2326">
        <v>45.66</v>
      </c>
      <c r="M2326">
        <v>1.89</v>
      </c>
      <c r="N2326">
        <v>774.69</v>
      </c>
    </row>
    <row r="2327" spans="1:14" x14ac:dyDescent="0.2">
      <c r="A2327" s="1">
        <v>45667</v>
      </c>
      <c r="B2327" s="2" t="s">
        <v>31</v>
      </c>
      <c r="C2327" s="2" t="s">
        <v>15</v>
      </c>
      <c r="D2327" s="2" t="s">
        <v>36</v>
      </c>
      <c r="E2327">
        <v>35966</v>
      </c>
      <c r="F2327">
        <v>1195</v>
      </c>
      <c r="G2327">
        <v>56</v>
      </c>
      <c r="H2327">
        <v>842.17</v>
      </c>
      <c r="I2327">
        <v>4516.8500000000004</v>
      </c>
      <c r="J2327">
        <v>3.32</v>
      </c>
      <c r="K2327">
        <v>4.6900000000000004</v>
      </c>
      <c r="L2327">
        <v>15.04</v>
      </c>
      <c r="M2327">
        <v>5.36</v>
      </c>
      <c r="N2327">
        <v>3674.68</v>
      </c>
    </row>
    <row r="2328" spans="1:14" x14ac:dyDescent="0.2">
      <c r="A2328" s="1">
        <v>45667</v>
      </c>
      <c r="B2328" s="2" t="s">
        <v>33</v>
      </c>
      <c r="C2328" s="2" t="s">
        <v>21</v>
      </c>
      <c r="D2328" s="2" t="s">
        <v>16</v>
      </c>
      <c r="E2328">
        <v>7552</v>
      </c>
      <c r="F2328">
        <v>420</v>
      </c>
      <c r="G2328">
        <v>45</v>
      </c>
      <c r="H2328">
        <v>622.33000000000004</v>
      </c>
      <c r="I2328">
        <v>5025.6000000000004</v>
      </c>
      <c r="J2328">
        <v>5.56</v>
      </c>
      <c r="K2328">
        <v>10.71</v>
      </c>
      <c r="L2328">
        <v>13.83</v>
      </c>
      <c r="M2328">
        <v>8.08</v>
      </c>
      <c r="N2328">
        <v>4403.2700000000004</v>
      </c>
    </row>
    <row r="2329" spans="1:14" x14ac:dyDescent="0.2">
      <c r="A2329" s="1">
        <v>45667</v>
      </c>
      <c r="B2329" s="2" t="s">
        <v>34</v>
      </c>
      <c r="C2329" s="2" t="s">
        <v>32</v>
      </c>
      <c r="D2329" s="2" t="s">
        <v>16</v>
      </c>
      <c r="E2329">
        <v>7142</v>
      </c>
      <c r="F2329">
        <v>640</v>
      </c>
      <c r="G2329">
        <v>111</v>
      </c>
      <c r="H2329">
        <v>70.48</v>
      </c>
      <c r="I2329">
        <v>16578.75</v>
      </c>
      <c r="J2329">
        <v>8.9600000000000009</v>
      </c>
      <c r="K2329">
        <v>17.34</v>
      </c>
      <c r="L2329">
        <v>0.63</v>
      </c>
      <c r="M2329">
        <v>235.23</v>
      </c>
      <c r="N2329">
        <v>16508.27</v>
      </c>
    </row>
    <row r="2330" spans="1:14" x14ac:dyDescent="0.2">
      <c r="A2330" s="1">
        <v>45668</v>
      </c>
      <c r="B2330" s="2" t="s">
        <v>14</v>
      </c>
      <c r="C2330" s="2" t="s">
        <v>15</v>
      </c>
      <c r="D2330" s="2" t="s">
        <v>16</v>
      </c>
      <c r="E2330">
        <v>9618</v>
      </c>
      <c r="F2330">
        <v>391</v>
      </c>
      <c r="G2330">
        <v>35</v>
      </c>
      <c r="H2330">
        <v>1021.28</v>
      </c>
      <c r="I2330">
        <v>6111.93</v>
      </c>
      <c r="J2330">
        <v>4.07</v>
      </c>
      <c r="K2330">
        <v>8.9499999999999993</v>
      </c>
      <c r="L2330">
        <v>29.18</v>
      </c>
      <c r="M2330">
        <v>5.98</v>
      </c>
      <c r="N2330">
        <v>5090.6499999999996</v>
      </c>
    </row>
    <row r="2331" spans="1:14" x14ac:dyDescent="0.2">
      <c r="A2331" s="1">
        <v>45668</v>
      </c>
      <c r="B2331" s="2" t="s">
        <v>17</v>
      </c>
      <c r="C2331" s="2" t="s">
        <v>35</v>
      </c>
      <c r="D2331" s="2" t="s">
        <v>22</v>
      </c>
      <c r="E2331">
        <v>13605</v>
      </c>
      <c r="F2331">
        <v>387</v>
      </c>
      <c r="G2331">
        <v>27</v>
      </c>
      <c r="H2331">
        <v>602.21</v>
      </c>
      <c r="I2331">
        <v>2559.7399999999998</v>
      </c>
      <c r="J2331">
        <v>2.84</v>
      </c>
      <c r="K2331">
        <v>6.98</v>
      </c>
      <c r="L2331">
        <v>22.3</v>
      </c>
      <c r="M2331">
        <v>4.25</v>
      </c>
      <c r="N2331">
        <v>1957.53</v>
      </c>
    </row>
    <row r="2332" spans="1:14" x14ac:dyDescent="0.2">
      <c r="A2332" s="1">
        <v>45668</v>
      </c>
      <c r="B2332" s="2" t="s">
        <v>20</v>
      </c>
      <c r="C2332" s="2" t="s">
        <v>28</v>
      </c>
      <c r="D2332" s="2" t="s">
        <v>19</v>
      </c>
      <c r="E2332">
        <v>14530</v>
      </c>
      <c r="F2332">
        <v>491</v>
      </c>
      <c r="G2332">
        <v>24</v>
      </c>
      <c r="H2332">
        <v>728.41</v>
      </c>
      <c r="I2332">
        <v>1770.1</v>
      </c>
      <c r="J2332">
        <v>3.38</v>
      </c>
      <c r="K2332">
        <v>4.8899999999999997</v>
      </c>
      <c r="L2332">
        <v>30.35</v>
      </c>
      <c r="M2332">
        <v>2.4300000000000002</v>
      </c>
      <c r="N2332">
        <v>1041.69</v>
      </c>
    </row>
    <row r="2333" spans="1:14" x14ac:dyDescent="0.2">
      <c r="A2333" s="1">
        <v>45668</v>
      </c>
      <c r="B2333" s="2" t="s">
        <v>23</v>
      </c>
      <c r="C2333" s="2" t="s">
        <v>35</v>
      </c>
      <c r="D2333" s="2" t="s">
        <v>36</v>
      </c>
      <c r="E2333">
        <v>4006</v>
      </c>
      <c r="F2333">
        <v>69</v>
      </c>
      <c r="G2333">
        <v>9</v>
      </c>
      <c r="H2333">
        <v>1010.1</v>
      </c>
      <c r="I2333">
        <v>3191.49</v>
      </c>
      <c r="J2333">
        <v>1.72</v>
      </c>
      <c r="K2333">
        <v>13.04</v>
      </c>
      <c r="L2333">
        <v>112.23</v>
      </c>
      <c r="M2333">
        <v>3.16</v>
      </c>
      <c r="N2333">
        <v>2181.39</v>
      </c>
    </row>
    <row r="2334" spans="1:14" x14ac:dyDescent="0.2">
      <c r="A2334" s="1">
        <v>45668</v>
      </c>
      <c r="B2334" s="2" t="s">
        <v>24</v>
      </c>
      <c r="C2334" s="2" t="s">
        <v>18</v>
      </c>
      <c r="D2334" s="2" t="s">
        <v>16</v>
      </c>
      <c r="E2334">
        <v>13910</v>
      </c>
      <c r="F2334">
        <v>2713</v>
      </c>
      <c r="G2334">
        <v>247</v>
      </c>
      <c r="H2334">
        <v>115.19</v>
      </c>
      <c r="I2334">
        <v>35822.44</v>
      </c>
      <c r="J2334">
        <v>19.5</v>
      </c>
      <c r="K2334">
        <v>9.1</v>
      </c>
      <c r="L2334">
        <v>0.47</v>
      </c>
      <c r="M2334">
        <v>310.99</v>
      </c>
      <c r="N2334">
        <v>35707.25</v>
      </c>
    </row>
    <row r="2335" spans="1:14" x14ac:dyDescent="0.2">
      <c r="A2335" s="1">
        <v>45668</v>
      </c>
      <c r="B2335" s="2" t="s">
        <v>26</v>
      </c>
      <c r="C2335" s="2" t="s">
        <v>21</v>
      </c>
      <c r="D2335" s="2" t="s">
        <v>16</v>
      </c>
      <c r="E2335">
        <v>26475</v>
      </c>
      <c r="F2335">
        <v>1125</v>
      </c>
      <c r="G2335">
        <v>164</v>
      </c>
      <c r="H2335">
        <v>0</v>
      </c>
      <c r="I2335">
        <v>19661.990000000002</v>
      </c>
      <c r="J2335">
        <v>4.25</v>
      </c>
      <c r="K2335">
        <v>14.58</v>
      </c>
      <c r="L2335">
        <v>0</v>
      </c>
      <c r="M2335">
        <v>0</v>
      </c>
      <c r="N2335">
        <v>19661.990000000002</v>
      </c>
    </row>
    <row r="2336" spans="1:14" x14ac:dyDescent="0.2">
      <c r="A2336" s="1">
        <v>45668</v>
      </c>
      <c r="B2336" s="2" t="s">
        <v>27</v>
      </c>
      <c r="C2336" s="2" t="s">
        <v>35</v>
      </c>
      <c r="D2336" s="2" t="s">
        <v>19</v>
      </c>
      <c r="E2336">
        <v>28993</v>
      </c>
      <c r="F2336">
        <v>330</v>
      </c>
      <c r="G2336">
        <v>10</v>
      </c>
      <c r="H2336">
        <v>592.23</v>
      </c>
      <c r="I2336">
        <v>1123.47</v>
      </c>
      <c r="J2336">
        <v>1.1399999999999999</v>
      </c>
      <c r="K2336">
        <v>3.03</v>
      </c>
      <c r="L2336">
        <v>59.22</v>
      </c>
      <c r="M2336">
        <v>1.9</v>
      </c>
      <c r="N2336">
        <v>531.24</v>
      </c>
    </row>
    <row r="2337" spans="1:14" x14ac:dyDescent="0.2">
      <c r="A2337" s="1">
        <v>45668</v>
      </c>
      <c r="B2337" s="2" t="s">
        <v>29</v>
      </c>
      <c r="C2337" s="2" t="s">
        <v>15</v>
      </c>
      <c r="D2337" s="2" t="s">
        <v>19</v>
      </c>
      <c r="E2337">
        <v>19078</v>
      </c>
      <c r="F2337">
        <v>374</v>
      </c>
      <c r="G2337">
        <v>27</v>
      </c>
      <c r="H2337">
        <v>915.53</v>
      </c>
      <c r="I2337">
        <v>3511.25</v>
      </c>
      <c r="J2337">
        <v>1.96</v>
      </c>
      <c r="K2337">
        <v>7.22</v>
      </c>
      <c r="L2337">
        <v>33.909999999999997</v>
      </c>
      <c r="M2337">
        <v>3.84</v>
      </c>
      <c r="N2337">
        <v>2595.7199999999998</v>
      </c>
    </row>
    <row r="2338" spans="1:14" x14ac:dyDescent="0.2">
      <c r="A2338" s="1">
        <v>45668</v>
      </c>
      <c r="B2338" s="2" t="s">
        <v>30</v>
      </c>
      <c r="C2338" s="2" t="s">
        <v>28</v>
      </c>
      <c r="D2338" s="2" t="s">
        <v>16</v>
      </c>
      <c r="E2338">
        <v>10491</v>
      </c>
      <c r="F2338">
        <v>315</v>
      </c>
      <c r="G2338">
        <v>10</v>
      </c>
      <c r="H2338">
        <v>598.25</v>
      </c>
      <c r="I2338">
        <v>1135.3900000000001</v>
      </c>
      <c r="J2338">
        <v>3</v>
      </c>
      <c r="K2338">
        <v>3.17</v>
      </c>
      <c r="L2338">
        <v>59.82</v>
      </c>
      <c r="M2338">
        <v>1.9</v>
      </c>
      <c r="N2338">
        <v>537.14</v>
      </c>
    </row>
    <row r="2339" spans="1:14" x14ac:dyDescent="0.2">
      <c r="A2339" s="1">
        <v>45668</v>
      </c>
      <c r="B2339" s="2" t="s">
        <v>31</v>
      </c>
      <c r="C2339" s="2" t="s">
        <v>18</v>
      </c>
      <c r="D2339" s="2" t="s">
        <v>16</v>
      </c>
      <c r="E2339">
        <v>21984</v>
      </c>
      <c r="F2339">
        <v>585</v>
      </c>
      <c r="G2339">
        <v>33</v>
      </c>
      <c r="H2339">
        <v>691.16</v>
      </c>
      <c r="I2339">
        <v>3173.98</v>
      </c>
      <c r="J2339">
        <v>2.66</v>
      </c>
      <c r="K2339">
        <v>5.64</v>
      </c>
      <c r="L2339">
        <v>20.94</v>
      </c>
      <c r="M2339">
        <v>4.59</v>
      </c>
      <c r="N2339">
        <v>2482.8200000000002</v>
      </c>
    </row>
    <row r="2340" spans="1:14" x14ac:dyDescent="0.2">
      <c r="A2340" s="1">
        <v>45668</v>
      </c>
      <c r="B2340" s="2" t="s">
        <v>33</v>
      </c>
      <c r="C2340" s="2" t="s">
        <v>18</v>
      </c>
      <c r="D2340" s="2" t="s">
        <v>22</v>
      </c>
      <c r="E2340">
        <v>8293</v>
      </c>
      <c r="F2340">
        <v>404</v>
      </c>
      <c r="G2340">
        <v>36</v>
      </c>
      <c r="H2340">
        <v>459.98</v>
      </c>
      <c r="I2340">
        <v>4141.92</v>
      </c>
      <c r="J2340">
        <v>4.87</v>
      </c>
      <c r="K2340">
        <v>8.91</v>
      </c>
      <c r="L2340">
        <v>12.78</v>
      </c>
      <c r="M2340">
        <v>9</v>
      </c>
      <c r="N2340">
        <v>3681.94</v>
      </c>
    </row>
    <row r="2341" spans="1:14" x14ac:dyDescent="0.2">
      <c r="A2341" s="1">
        <v>45668</v>
      </c>
      <c r="B2341" s="2" t="s">
        <v>34</v>
      </c>
      <c r="C2341" s="2" t="s">
        <v>15</v>
      </c>
      <c r="D2341" s="2" t="s">
        <v>22</v>
      </c>
      <c r="E2341">
        <v>3180</v>
      </c>
      <c r="F2341">
        <v>245</v>
      </c>
      <c r="G2341">
        <v>29</v>
      </c>
      <c r="H2341">
        <v>42.68</v>
      </c>
      <c r="I2341">
        <v>4051.82</v>
      </c>
      <c r="J2341">
        <v>7.7</v>
      </c>
      <c r="K2341">
        <v>11.84</v>
      </c>
      <c r="L2341">
        <v>1.47</v>
      </c>
      <c r="M2341">
        <v>94.93</v>
      </c>
      <c r="N2341">
        <v>4009.14</v>
      </c>
    </row>
    <row r="2342" spans="1:14" x14ac:dyDescent="0.2">
      <c r="A2342" s="1">
        <v>45669</v>
      </c>
      <c r="B2342" s="2" t="s">
        <v>14</v>
      </c>
      <c r="C2342" s="2" t="s">
        <v>35</v>
      </c>
      <c r="D2342" s="2" t="s">
        <v>19</v>
      </c>
      <c r="E2342">
        <v>9350</v>
      </c>
      <c r="F2342">
        <v>324</v>
      </c>
      <c r="G2342">
        <v>26</v>
      </c>
      <c r="H2342">
        <v>813.93</v>
      </c>
      <c r="I2342">
        <v>3791.86</v>
      </c>
      <c r="J2342">
        <v>3.47</v>
      </c>
      <c r="K2342">
        <v>8.02</v>
      </c>
      <c r="L2342">
        <v>31.3</v>
      </c>
      <c r="M2342">
        <v>4.66</v>
      </c>
      <c r="N2342">
        <v>2977.93</v>
      </c>
    </row>
    <row r="2343" spans="1:14" x14ac:dyDescent="0.2">
      <c r="A2343" s="1">
        <v>45669</v>
      </c>
      <c r="B2343" s="2" t="s">
        <v>17</v>
      </c>
      <c r="C2343" s="2" t="s">
        <v>28</v>
      </c>
      <c r="D2343" s="2" t="s">
        <v>25</v>
      </c>
      <c r="E2343">
        <v>15099</v>
      </c>
      <c r="F2343">
        <v>333</v>
      </c>
      <c r="G2343">
        <v>27</v>
      </c>
      <c r="H2343">
        <v>914.01</v>
      </c>
      <c r="I2343">
        <v>2891.91</v>
      </c>
      <c r="J2343">
        <v>2.21</v>
      </c>
      <c r="K2343">
        <v>8.11</v>
      </c>
      <c r="L2343">
        <v>33.85</v>
      </c>
      <c r="M2343">
        <v>3.16</v>
      </c>
      <c r="N2343">
        <v>1977.9</v>
      </c>
    </row>
    <row r="2344" spans="1:14" x14ac:dyDescent="0.2">
      <c r="A2344" s="1">
        <v>45669</v>
      </c>
      <c r="B2344" s="2" t="s">
        <v>20</v>
      </c>
      <c r="C2344" s="2" t="s">
        <v>35</v>
      </c>
      <c r="D2344" s="2" t="s">
        <v>16</v>
      </c>
      <c r="E2344">
        <v>12437</v>
      </c>
      <c r="F2344">
        <v>443</v>
      </c>
      <c r="G2344">
        <v>31</v>
      </c>
      <c r="H2344">
        <v>572.22</v>
      </c>
      <c r="I2344">
        <v>2947.01</v>
      </c>
      <c r="J2344">
        <v>3.56</v>
      </c>
      <c r="K2344">
        <v>7</v>
      </c>
      <c r="L2344">
        <v>18.46</v>
      </c>
      <c r="M2344">
        <v>5.15</v>
      </c>
      <c r="N2344">
        <v>2374.79</v>
      </c>
    </row>
    <row r="2345" spans="1:14" x14ac:dyDescent="0.2">
      <c r="A2345" s="1">
        <v>45669</v>
      </c>
      <c r="B2345" s="2" t="s">
        <v>23</v>
      </c>
      <c r="C2345" s="2" t="s">
        <v>35</v>
      </c>
      <c r="D2345" s="2" t="s">
        <v>19</v>
      </c>
      <c r="E2345">
        <v>4486</v>
      </c>
      <c r="F2345">
        <v>74</v>
      </c>
      <c r="G2345">
        <v>9</v>
      </c>
      <c r="H2345">
        <v>1348.1</v>
      </c>
      <c r="I2345">
        <v>2754.57</v>
      </c>
      <c r="J2345">
        <v>1.65</v>
      </c>
      <c r="K2345">
        <v>12.16</v>
      </c>
      <c r="L2345">
        <v>149.79</v>
      </c>
      <c r="M2345">
        <v>2.04</v>
      </c>
      <c r="N2345">
        <v>1406.47</v>
      </c>
    </row>
    <row r="2346" spans="1:14" x14ac:dyDescent="0.2">
      <c r="A2346" s="1">
        <v>45669</v>
      </c>
      <c r="B2346" s="2" t="s">
        <v>24</v>
      </c>
      <c r="C2346" s="2" t="s">
        <v>21</v>
      </c>
      <c r="D2346" s="2" t="s">
        <v>16</v>
      </c>
      <c r="E2346">
        <v>17573</v>
      </c>
      <c r="F2346">
        <v>4224</v>
      </c>
      <c r="G2346">
        <v>499</v>
      </c>
      <c r="H2346">
        <v>236.46</v>
      </c>
      <c r="I2346">
        <v>80257.94</v>
      </c>
      <c r="J2346">
        <v>24.04</v>
      </c>
      <c r="K2346">
        <v>11.81</v>
      </c>
      <c r="L2346">
        <v>0.47</v>
      </c>
      <c r="M2346">
        <v>339.41</v>
      </c>
      <c r="N2346">
        <v>80021.48</v>
      </c>
    </row>
    <row r="2347" spans="1:14" x14ac:dyDescent="0.2">
      <c r="A2347" s="1">
        <v>45669</v>
      </c>
      <c r="B2347" s="2" t="s">
        <v>26</v>
      </c>
      <c r="C2347" s="2" t="s">
        <v>28</v>
      </c>
      <c r="D2347" s="2" t="s">
        <v>36</v>
      </c>
      <c r="E2347">
        <v>25348</v>
      </c>
      <c r="F2347">
        <v>1330</v>
      </c>
      <c r="G2347">
        <v>139</v>
      </c>
      <c r="H2347">
        <v>0</v>
      </c>
      <c r="I2347">
        <v>21766.720000000001</v>
      </c>
      <c r="J2347">
        <v>5.25</v>
      </c>
      <c r="K2347">
        <v>10.45</v>
      </c>
      <c r="L2347">
        <v>0</v>
      </c>
      <c r="M2347">
        <v>0</v>
      </c>
      <c r="N2347">
        <v>21766.720000000001</v>
      </c>
    </row>
    <row r="2348" spans="1:14" x14ac:dyDescent="0.2">
      <c r="A2348" s="1">
        <v>45669</v>
      </c>
      <c r="B2348" s="2" t="s">
        <v>27</v>
      </c>
      <c r="C2348" s="2" t="s">
        <v>28</v>
      </c>
      <c r="D2348" s="2" t="s">
        <v>19</v>
      </c>
      <c r="E2348">
        <v>25866</v>
      </c>
      <c r="F2348">
        <v>390</v>
      </c>
      <c r="G2348">
        <v>15</v>
      </c>
      <c r="H2348">
        <v>1063.99</v>
      </c>
      <c r="I2348">
        <v>1565.42</v>
      </c>
      <c r="J2348">
        <v>1.51</v>
      </c>
      <c r="K2348">
        <v>3.85</v>
      </c>
      <c r="L2348">
        <v>70.930000000000007</v>
      </c>
      <c r="M2348">
        <v>1.47</v>
      </c>
      <c r="N2348">
        <v>501.43</v>
      </c>
    </row>
    <row r="2349" spans="1:14" x14ac:dyDescent="0.2">
      <c r="A2349" s="1">
        <v>45669</v>
      </c>
      <c r="B2349" s="2" t="s">
        <v>29</v>
      </c>
      <c r="C2349" s="2" t="s">
        <v>28</v>
      </c>
      <c r="D2349" s="2" t="s">
        <v>36</v>
      </c>
      <c r="E2349">
        <v>19982</v>
      </c>
      <c r="F2349">
        <v>338</v>
      </c>
      <c r="G2349">
        <v>26</v>
      </c>
      <c r="H2349">
        <v>1159.99</v>
      </c>
      <c r="I2349">
        <v>3358.45</v>
      </c>
      <c r="J2349">
        <v>1.69</v>
      </c>
      <c r="K2349">
        <v>7.69</v>
      </c>
      <c r="L2349">
        <v>44.62</v>
      </c>
      <c r="M2349">
        <v>2.9</v>
      </c>
      <c r="N2349">
        <v>2198.46</v>
      </c>
    </row>
    <row r="2350" spans="1:14" x14ac:dyDescent="0.2">
      <c r="A2350" s="1">
        <v>45669</v>
      </c>
      <c r="B2350" s="2" t="s">
        <v>30</v>
      </c>
      <c r="C2350" s="2" t="s">
        <v>28</v>
      </c>
      <c r="D2350" s="2" t="s">
        <v>22</v>
      </c>
      <c r="E2350">
        <v>9198</v>
      </c>
      <c r="F2350">
        <v>233</v>
      </c>
      <c r="G2350">
        <v>7</v>
      </c>
      <c r="H2350">
        <v>566.69000000000005</v>
      </c>
      <c r="I2350">
        <v>487.92</v>
      </c>
      <c r="J2350">
        <v>2.5299999999999998</v>
      </c>
      <c r="K2350">
        <v>3</v>
      </c>
      <c r="L2350">
        <v>80.959999999999994</v>
      </c>
      <c r="M2350">
        <v>0.86</v>
      </c>
      <c r="N2350">
        <v>-78.77</v>
      </c>
    </row>
    <row r="2351" spans="1:14" x14ac:dyDescent="0.2">
      <c r="A2351" s="1">
        <v>45669</v>
      </c>
      <c r="B2351" s="2" t="s">
        <v>31</v>
      </c>
      <c r="C2351" s="2" t="s">
        <v>18</v>
      </c>
      <c r="D2351" s="2" t="s">
        <v>22</v>
      </c>
      <c r="E2351">
        <v>16751</v>
      </c>
      <c r="F2351">
        <v>704</v>
      </c>
      <c r="G2351">
        <v>36</v>
      </c>
      <c r="H2351">
        <v>690.68</v>
      </c>
      <c r="I2351">
        <v>3730.31</v>
      </c>
      <c r="J2351">
        <v>4.2</v>
      </c>
      <c r="K2351">
        <v>5.1100000000000003</v>
      </c>
      <c r="L2351">
        <v>19.190000000000001</v>
      </c>
      <c r="M2351">
        <v>5.4</v>
      </c>
      <c r="N2351">
        <v>3039.63</v>
      </c>
    </row>
    <row r="2352" spans="1:14" x14ac:dyDescent="0.2">
      <c r="A2352" s="1">
        <v>45669</v>
      </c>
      <c r="B2352" s="2" t="s">
        <v>33</v>
      </c>
      <c r="C2352" s="2" t="s">
        <v>15</v>
      </c>
      <c r="D2352" s="2" t="s">
        <v>16</v>
      </c>
      <c r="E2352">
        <v>7706</v>
      </c>
      <c r="F2352">
        <v>313</v>
      </c>
      <c r="G2352">
        <v>39</v>
      </c>
      <c r="H2352">
        <v>290.39</v>
      </c>
      <c r="I2352">
        <v>5649.69</v>
      </c>
      <c r="J2352">
        <v>4.0599999999999996</v>
      </c>
      <c r="K2352">
        <v>12.46</v>
      </c>
      <c r="L2352">
        <v>7.45</v>
      </c>
      <c r="M2352">
        <v>19.46</v>
      </c>
      <c r="N2352">
        <v>5359.3</v>
      </c>
    </row>
    <row r="2353" spans="1:14" x14ac:dyDescent="0.2">
      <c r="A2353" s="1">
        <v>45669</v>
      </c>
      <c r="B2353" s="2" t="s">
        <v>34</v>
      </c>
      <c r="C2353" s="2" t="s">
        <v>21</v>
      </c>
      <c r="D2353" s="2" t="s">
        <v>16</v>
      </c>
      <c r="E2353">
        <v>4142</v>
      </c>
      <c r="F2353">
        <v>308</v>
      </c>
      <c r="G2353">
        <v>49</v>
      </c>
      <c r="H2353">
        <v>134.03</v>
      </c>
      <c r="I2353">
        <v>7647.1</v>
      </c>
      <c r="J2353">
        <v>7.44</v>
      </c>
      <c r="K2353">
        <v>15.91</v>
      </c>
      <c r="L2353">
        <v>2.74</v>
      </c>
      <c r="M2353">
        <v>57.06</v>
      </c>
      <c r="N2353">
        <v>7513.07</v>
      </c>
    </row>
    <row r="2354" spans="1:14" x14ac:dyDescent="0.2">
      <c r="A2354" s="1">
        <v>45670</v>
      </c>
      <c r="B2354" s="2" t="s">
        <v>14</v>
      </c>
      <c r="C2354" s="2" t="s">
        <v>28</v>
      </c>
      <c r="D2354" s="2" t="s">
        <v>25</v>
      </c>
      <c r="E2354">
        <v>17760</v>
      </c>
      <c r="F2354">
        <v>837</v>
      </c>
      <c r="G2354">
        <v>82</v>
      </c>
      <c r="H2354">
        <v>1099.3599999999999</v>
      </c>
      <c r="I2354">
        <v>13985.57</v>
      </c>
      <c r="J2354">
        <v>4.71</v>
      </c>
      <c r="K2354">
        <v>9.8000000000000007</v>
      </c>
      <c r="L2354">
        <v>13.41</v>
      </c>
      <c r="M2354">
        <v>12.72</v>
      </c>
      <c r="N2354">
        <v>12886.21</v>
      </c>
    </row>
    <row r="2355" spans="1:14" x14ac:dyDescent="0.2">
      <c r="A2355" s="1">
        <v>45670</v>
      </c>
      <c r="B2355" s="2" t="s">
        <v>17</v>
      </c>
      <c r="C2355" s="2" t="s">
        <v>28</v>
      </c>
      <c r="D2355" s="2" t="s">
        <v>25</v>
      </c>
      <c r="E2355">
        <v>22972</v>
      </c>
      <c r="F2355">
        <v>746</v>
      </c>
      <c r="G2355">
        <v>64</v>
      </c>
      <c r="H2355">
        <v>999.26</v>
      </c>
      <c r="I2355">
        <v>5915.35</v>
      </c>
      <c r="J2355">
        <v>3.25</v>
      </c>
      <c r="K2355">
        <v>8.58</v>
      </c>
      <c r="L2355">
        <v>15.61</v>
      </c>
      <c r="M2355">
        <v>5.92</v>
      </c>
      <c r="N2355">
        <v>4916.09</v>
      </c>
    </row>
    <row r="2356" spans="1:14" x14ac:dyDescent="0.2">
      <c r="A2356" s="1">
        <v>45670</v>
      </c>
      <c r="B2356" s="2" t="s">
        <v>20</v>
      </c>
      <c r="C2356" s="2" t="s">
        <v>15</v>
      </c>
      <c r="D2356" s="2" t="s">
        <v>36</v>
      </c>
      <c r="E2356">
        <v>16881</v>
      </c>
      <c r="F2356">
        <v>627</v>
      </c>
      <c r="G2356">
        <v>25</v>
      </c>
      <c r="H2356">
        <v>1130.6199999999999</v>
      </c>
      <c r="I2356">
        <v>2017.09</v>
      </c>
      <c r="J2356">
        <v>3.71</v>
      </c>
      <c r="K2356">
        <v>3.99</v>
      </c>
      <c r="L2356">
        <v>45.22</v>
      </c>
      <c r="M2356">
        <v>1.78</v>
      </c>
      <c r="N2356">
        <v>886.47</v>
      </c>
    </row>
    <row r="2357" spans="1:14" x14ac:dyDescent="0.2">
      <c r="A2357" s="1">
        <v>45670</v>
      </c>
      <c r="B2357" s="2" t="s">
        <v>23</v>
      </c>
      <c r="C2357" s="2" t="s">
        <v>21</v>
      </c>
      <c r="D2357" s="2" t="s">
        <v>25</v>
      </c>
      <c r="E2357">
        <v>7075</v>
      </c>
      <c r="F2357">
        <v>108</v>
      </c>
      <c r="G2357">
        <v>14</v>
      </c>
      <c r="H2357">
        <v>1693.36</v>
      </c>
      <c r="I2357">
        <v>3411.85</v>
      </c>
      <c r="J2357">
        <v>1.53</v>
      </c>
      <c r="K2357">
        <v>12.96</v>
      </c>
      <c r="L2357">
        <v>120.95</v>
      </c>
      <c r="M2357">
        <v>2.0099999999999998</v>
      </c>
      <c r="N2357">
        <v>1718.49</v>
      </c>
    </row>
    <row r="2358" spans="1:14" x14ac:dyDescent="0.2">
      <c r="A2358" s="1">
        <v>45670</v>
      </c>
      <c r="B2358" s="2" t="s">
        <v>24</v>
      </c>
      <c r="C2358" s="2" t="s">
        <v>28</v>
      </c>
      <c r="D2358" s="2" t="s">
        <v>19</v>
      </c>
      <c r="E2358">
        <v>20511</v>
      </c>
      <c r="F2358">
        <v>3076</v>
      </c>
      <c r="G2358">
        <v>252</v>
      </c>
      <c r="H2358">
        <v>279.13</v>
      </c>
      <c r="I2358">
        <v>38551.019999999997</v>
      </c>
      <c r="J2358">
        <v>15</v>
      </c>
      <c r="K2358">
        <v>8.19</v>
      </c>
      <c r="L2358">
        <v>1.1100000000000001</v>
      </c>
      <c r="M2358">
        <v>138.11000000000001</v>
      </c>
      <c r="N2358">
        <v>38271.89</v>
      </c>
    </row>
    <row r="2359" spans="1:14" x14ac:dyDescent="0.2">
      <c r="A2359" s="1">
        <v>45670</v>
      </c>
      <c r="B2359" s="2" t="s">
        <v>26</v>
      </c>
      <c r="C2359" s="2" t="s">
        <v>32</v>
      </c>
      <c r="D2359" s="2" t="s">
        <v>16</v>
      </c>
      <c r="E2359">
        <v>38700</v>
      </c>
      <c r="F2359">
        <v>2750</v>
      </c>
      <c r="G2359">
        <v>368</v>
      </c>
      <c r="H2359">
        <v>0</v>
      </c>
      <c r="I2359">
        <v>44332.15</v>
      </c>
      <c r="J2359">
        <v>7.11</v>
      </c>
      <c r="K2359">
        <v>13.38</v>
      </c>
      <c r="L2359">
        <v>0</v>
      </c>
      <c r="M2359">
        <v>0</v>
      </c>
      <c r="N2359">
        <v>44332.15</v>
      </c>
    </row>
    <row r="2360" spans="1:14" x14ac:dyDescent="0.2">
      <c r="A2360" s="1">
        <v>45670</v>
      </c>
      <c r="B2360" s="2" t="s">
        <v>27</v>
      </c>
      <c r="C2360" s="2" t="s">
        <v>15</v>
      </c>
      <c r="D2360" s="2" t="s">
        <v>22</v>
      </c>
      <c r="E2360">
        <v>47787</v>
      </c>
      <c r="F2360">
        <v>681</v>
      </c>
      <c r="G2360">
        <v>18</v>
      </c>
      <c r="H2360">
        <v>1136.76</v>
      </c>
      <c r="I2360">
        <v>2112.31</v>
      </c>
      <c r="J2360">
        <v>1.43</v>
      </c>
      <c r="K2360">
        <v>2.64</v>
      </c>
      <c r="L2360">
        <v>63.15</v>
      </c>
      <c r="M2360">
        <v>1.86</v>
      </c>
      <c r="N2360">
        <v>975.55</v>
      </c>
    </row>
    <row r="2361" spans="1:14" x14ac:dyDescent="0.2">
      <c r="A2361" s="1">
        <v>45670</v>
      </c>
      <c r="B2361" s="2" t="s">
        <v>29</v>
      </c>
      <c r="C2361" s="2" t="s">
        <v>28</v>
      </c>
      <c r="D2361" s="2" t="s">
        <v>36</v>
      </c>
      <c r="E2361">
        <v>18134</v>
      </c>
      <c r="F2361">
        <v>488</v>
      </c>
      <c r="G2361">
        <v>27</v>
      </c>
      <c r="H2361">
        <v>1269.3800000000001</v>
      </c>
      <c r="I2361">
        <v>2604.88</v>
      </c>
      <c r="J2361">
        <v>2.69</v>
      </c>
      <c r="K2361">
        <v>5.53</v>
      </c>
      <c r="L2361">
        <v>47.01</v>
      </c>
      <c r="M2361">
        <v>2.0499999999999998</v>
      </c>
      <c r="N2361">
        <v>1335.5</v>
      </c>
    </row>
    <row r="2362" spans="1:14" x14ac:dyDescent="0.2">
      <c r="A2362" s="1">
        <v>45670</v>
      </c>
      <c r="B2362" s="2" t="s">
        <v>30</v>
      </c>
      <c r="C2362" s="2" t="s">
        <v>18</v>
      </c>
      <c r="D2362" s="2" t="s">
        <v>36</v>
      </c>
      <c r="E2362">
        <v>10101</v>
      </c>
      <c r="F2362">
        <v>268</v>
      </c>
      <c r="G2362">
        <v>10</v>
      </c>
      <c r="H2362">
        <v>520.16</v>
      </c>
      <c r="I2362">
        <v>1033.68</v>
      </c>
      <c r="J2362">
        <v>2.65</v>
      </c>
      <c r="K2362">
        <v>3.73</v>
      </c>
      <c r="L2362">
        <v>52.02</v>
      </c>
      <c r="M2362">
        <v>1.99</v>
      </c>
      <c r="N2362">
        <v>513.52</v>
      </c>
    </row>
    <row r="2363" spans="1:14" x14ac:dyDescent="0.2">
      <c r="A2363" s="1">
        <v>45670</v>
      </c>
      <c r="B2363" s="2" t="s">
        <v>31</v>
      </c>
      <c r="C2363" s="2" t="s">
        <v>28</v>
      </c>
      <c r="D2363" s="2" t="s">
        <v>16</v>
      </c>
      <c r="E2363">
        <v>32762</v>
      </c>
      <c r="F2363">
        <v>1104</v>
      </c>
      <c r="G2363">
        <v>74</v>
      </c>
      <c r="H2363">
        <v>1310.4000000000001</v>
      </c>
      <c r="I2363">
        <v>7764.58</v>
      </c>
      <c r="J2363">
        <v>3.37</v>
      </c>
      <c r="K2363">
        <v>6.7</v>
      </c>
      <c r="L2363">
        <v>17.71</v>
      </c>
      <c r="M2363">
        <v>5.93</v>
      </c>
      <c r="N2363">
        <v>6454.18</v>
      </c>
    </row>
    <row r="2364" spans="1:14" x14ac:dyDescent="0.2">
      <c r="A2364" s="1">
        <v>45670</v>
      </c>
      <c r="B2364" s="2" t="s">
        <v>33</v>
      </c>
      <c r="C2364" s="2" t="s">
        <v>18</v>
      </c>
      <c r="D2364" s="2" t="s">
        <v>19</v>
      </c>
      <c r="E2364">
        <v>6559</v>
      </c>
      <c r="F2364">
        <v>432</v>
      </c>
      <c r="G2364">
        <v>50</v>
      </c>
      <c r="H2364">
        <v>475.22</v>
      </c>
      <c r="I2364">
        <v>5278.95</v>
      </c>
      <c r="J2364">
        <v>6.59</v>
      </c>
      <c r="K2364">
        <v>11.57</v>
      </c>
      <c r="L2364">
        <v>9.5</v>
      </c>
      <c r="M2364">
        <v>11.11</v>
      </c>
      <c r="N2364">
        <v>4803.7299999999996</v>
      </c>
    </row>
    <row r="2365" spans="1:14" x14ac:dyDescent="0.2">
      <c r="A2365" s="1">
        <v>45670</v>
      </c>
      <c r="B2365" s="2" t="s">
        <v>34</v>
      </c>
      <c r="C2365" s="2" t="s">
        <v>15</v>
      </c>
      <c r="D2365" s="2" t="s">
        <v>19</v>
      </c>
      <c r="E2365">
        <v>5422</v>
      </c>
      <c r="F2365">
        <v>327</v>
      </c>
      <c r="G2365">
        <v>39</v>
      </c>
      <c r="H2365">
        <v>236.22</v>
      </c>
      <c r="I2365">
        <v>5905.82</v>
      </c>
      <c r="J2365">
        <v>6.03</v>
      </c>
      <c r="K2365">
        <v>11.93</v>
      </c>
      <c r="L2365">
        <v>6.06</v>
      </c>
      <c r="M2365">
        <v>25</v>
      </c>
      <c r="N2365">
        <v>5669.6</v>
      </c>
    </row>
    <row r="2366" spans="1:14" x14ac:dyDescent="0.2">
      <c r="A2366" s="1">
        <v>45671</v>
      </c>
      <c r="B2366" s="2" t="s">
        <v>14</v>
      </c>
      <c r="C2366" s="2" t="s">
        <v>18</v>
      </c>
      <c r="D2366" s="2" t="s">
        <v>25</v>
      </c>
      <c r="E2366">
        <v>14917</v>
      </c>
      <c r="F2366">
        <v>604</v>
      </c>
      <c r="G2366">
        <v>68</v>
      </c>
      <c r="H2366">
        <v>1012.07</v>
      </c>
      <c r="I2366">
        <v>10221.469999999999</v>
      </c>
      <c r="J2366">
        <v>4.05</v>
      </c>
      <c r="K2366">
        <v>11.26</v>
      </c>
      <c r="L2366">
        <v>14.88</v>
      </c>
      <c r="M2366">
        <v>10.1</v>
      </c>
      <c r="N2366">
        <v>9209.4</v>
      </c>
    </row>
    <row r="2367" spans="1:14" x14ac:dyDescent="0.2">
      <c r="A2367" s="1">
        <v>45671</v>
      </c>
      <c r="B2367" s="2" t="s">
        <v>17</v>
      </c>
      <c r="C2367" s="2" t="s">
        <v>15</v>
      </c>
      <c r="D2367" s="2" t="s">
        <v>25</v>
      </c>
      <c r="E2367">
        <v>23922</v>
      </c>
      <c r="F2367">
        <v>676</v>
      </c>
      <c r="G2367">
        <v>37</v>
      </c>
      <c r="H2367">
        <v>1165.26</v>
      </c>
      <c r="I2367">
        <v>3095.67</v>
      </c>
      <c r="J2367">
        <v>2.83</v>
      </c>
      <c r="K2367">
        <v>5.47</v>
      </c>
      <c r="L2367">
        <v>31.49</v>
      </c>
      <c r="M2367">
        <v>2.66</v>
      </c>
      <c r="N2367">
        <v>1930.41</v>
      </c>
    </row>
    <row r="2368" spans="1:14" x14ac:dyDescent="0.2">
      <c r="A2368" s="1">
        <v>45671</v>
      </c>
      <c r="B2368" s="2" t="s">
        <v>20</v>
      </c>
      <c r="C2368" s="2" t="s">
        <v>15</v>
      </c>
      <c r="D2368" s="2" t="s">
        <v>25</v>
      </c>
      <c r="E2368">
        <v>21339</v>
      </c>
      <c r="F2368">
        <v>608</v>
      </c>
      <c r="G2368">
        <v>48</v>
      </c>
      <c r="H2368">
        <v>781.28</v>
      </c>
      <c r="I2368">
        <v>3856.05</v>
      </c>
      <c r="J2368">
        <v>2.85</v>
      </c>
      <c r="K2368">
        <v>7.89</v>
      </c>
      <c r="L2368">
        <v>16.28</v>
      </c>
      <c r="M2368">
        <v>4.9400000000000004</v>
      </c>
      <c r="N2368">
        <v>3074.77</v>
      </c>
    </row>
    <row r="2369" spans="1:14" x14ac:dyDescent="0.2">
      <c r="A2369" s="1">
        <v>45671</v>
      </c>
      <c r="B2369" s="2" t="s">
        <v>23</v>
      </c>
      <c r="C2369" s="2" t="s">
        <v>21</v>
      </c>
      <c r="D2369" s="2" t="s">
        <v>19</v>
      </c>
      <c r="E2369">
        <v>6559</v>
      </c>
      <c r="F2369">
        <v>129</v>
      </c>
      <c r="G2369">
        <v>13</v>
      </c>
      <c r="H2369">
        <v>1724.83</v>
      </c>
      <c r="I2369">
        <v>3955.74</v>
      </c>
      <c r="J2369">
        <v>1.97</v>
      </c>
      <c r="K2369">
        <v>10.08</v>
      </c>
      <c r="L2369">
        <v>132.68</v>
      </c>
      <c r="M2369">
        <v>2.29</v>
      </c>
      <c r="N2369">
        <v>2230.91</v>
      </c>
    </row>
    <row r="2370" spans="1:14" x14ac:dyDescent="0.2">
      <c r="A2370" s="1">
        <v>45671</v>
      </c>
      <c r="B2370" s="2" t="s">
        <v>24</v>
      </c>
      <c r="C2370" s="2" t="s">
        <v>32</v>
      </c>
      <c r="D2370" s="2" t="s">
        <v>25</v>
      </c>
      <c r="E2370">
        <v>25528</v>
      </c>
      <c r="F2370">
        <v>3978</v>
      </c>
      <c r="G2370">
        <v>429</v>
      </c>
      <c r="H2370">
        <v>312.82</v>
      </c>
      <c r="I2370">
        <v>62075.74</v>
      </c>
      <c r="J2370">
        <v>15.58</v>
      </c>
      <c r="K2370">
        <v>10.78</v>
      </c>
      <c r="L2370">
        <v>0.73</v>
      </c>
      <c r="M2370">
        <v>198.44</v>
      </c>
      <c r="N2370">
        <v>61762.92</v>
      </c>
    </row>
    <row r="2371" spans="1:14" x14ac:dyDescent="0.2">
      <c r="A2371" s="1">
        <v>45671</v>
      </c>
      <c r="B2371" s="2" t="s">
        <v>26</v>
      </c>
      <c r="C2371" s="2" t="s">
        <v>15</v>
      </c>
      <c r="D2371" s="2" t="s">
        <v>25</v>
      </c>
      <c r="E2371">
        <v>37855</v>
      </c>
      <c r="F2371">
        <v>2803</v>
      </c>
      <c r="G2371">
        <v>380</v>
      </c>
      <c r="H2371">
        <v>0</v>
      </c>
      <c r="I2371">
        <v>61075.53</v>
      </c>
      <c r="J2371">
        <v>7.4</v>
      </c>
      <c r="K2371">
        <v>13.56</v>
      </c>
      <c r="L2371">
        <v>0</v>
      </c>
      <c r="M2371">
        <v>0</v>
      </c>
      <c r="N2371">
        <v>61075.53</v>
      </c>
    </row>
    <row r="2372" spans="1:14" x14ac:dyDescent="0.2">
      <c r="A2372" s="1">
        <v>45671</v>
      </c>
      <c r="B2372" s="2" t="s">
        <v>27</v>
      </c>
      <c r="C2372" s="2" t="s">
        <v>18</v>
      </c>
      <c r="D2372" s="2" t="s">
        <v>36</v>
      </c>
      <c r="E2372">
        <v>38620</v>
      </c>
      <c r="F2372">
        <v>769</v>
      </c>
      <c r="G2372">
        <v>36</v>
      </c>
      <c r="H2372">
        <v>1095.21</v>
      </c>
      <c r="I2372">
        <v>3493.17</v>
      </c>
      <c r="J2372">
        <v>1.99</v>
      </c>
      <c r="K2372">
        <v>4.68</v>
      </c>
      <c r="L2372">
        <v>30.42</v>
      </c>
      <c r="M2372">
        <v>3.19</v>
      </c>
      <c r="N2372">
        <v>2397.96</v>
      </c>
    </row>
    <row r="2373" spans="1:14" x14ac:dyDescent="0.2">
      <c r="A2373" s="1">
        <v>45671</v>
      </c>
      <c r="B2373" s="2" t="s">
        <v>29</v>
      </c>
      <c r="C2373" s="2" t="s">
        <v>15</v>
      </c>
      <c r="D2373" s="2" t="s">
        <v>22</v>
      </c>
      <c r="E2373">
        <v>20304</v>
      </c>
      <c r="F2373">
        <v>340</v>
      </c>
      <c r="G2373">
        <v>14</v>
      </c>
      <c r="H2373">
        <v>1552.81</v>
      </c>
      <c r="I2373">
        <v>1665.02</v>
      </c>
      <c r="J2373">
        <v>1.67</v>
      </c>
      <c r="K2373">
        <v>4.12</v>
      </c>
      <c r="L2373">
        <v>110.92</v>
      </c>
      <c r="M2373">
        <v>1.07</v>
      </c>
      <c r="N2373">
        <v>112.21</v>
      </c>
    </row>
    <row r="2374" spans="1:14" x14ac:dyDescent="0.2">
      <c r="A2374" s="1">
        <v>45671</v>
      </c>
      <c r="B2374" s="2" t="s">
        <v>30</v>
      </c>
      <c r="C2374" s="2" t="s">
        <v>28</v>
      </c>
      <c r="D2374" s="2" t="s">
        <v>19</v>
      </c>
      <c r="E2374">
        <v>11114</v>
      </c>
      <c r="F2374">
        <v>373</v>
      </c>
      <c r="G2374">
        <v>21</v>
      </c>
      <c r="H2374">
        <v>506.73</v>
      </c>
      <c r="I2374">
        <v>2251.7399999999998</v>
      </c>
      <c r="J2374">
        <v>3.36</v>
      </c>
      <c r="K2374">
        <v>5.63</v>
      </c>
      <c r="L2374">
        <v>24.13</v>
      </c>
      <c r="M2374">
        <v>4.4400000000000004</v>
      </c>
      <c r="N2374">
        <v>1745.01</v>
      </c>
    </row>
    <row r="2375" spans="1:14" x14ac:dyDescent="0.2">
      <c r="A2375" s="1">
        <v>45671</v>
      </c>
      <c r="B2375" s="2" t="s">
        <v>31</v>
      </c>
      <c r="C2375" s="2" t="s">
        <v>15</v>
      </c>
      <c r="D2375" s="2" t="s">
        <v>36</v>
      </c>
      <c r="E2375">
        <v>23838</v>
      </c>
      <c r="F2375">
        <v>610</v>
      </c>
      <c r="G2375">
        <v>22</v>
      </c>
      <c r="H2375">
        <v>1010.54</v>
      </c>
      <c r="I2375">
        <v>2069.77</v>
      </c>
      <c r="J2375">
        <v>2.56</v>
      </c>
      <c r="K2375">
        <v>3.61</v>
      </c>
      <c r="L2375">
        <v>45.93</v>
      </c>
      <c r="M2375">
        <v>2.0499999999999998</v>
      </c>
      <c r="N2375">
        <v>1059.23</v>
      </c>
    </row>
    <row r="2376" spans="1:14" x14ac:dyDescent="0.2">
      <c r="A2376" s="1">
        <v>45671</v>
      </c>
      <c r="B2376" s="2" t="s">
        <v>33</v>
      </c>
      <c r="C2376" s="2" t="s">
        <v>21</v>
      </c>
      <c r="D2376" s="2" t="s">
        <v>25</v>
      </c>
      <c r="E2376">
        <v>10443</v>
      </c>
      <c r="F2376">
        <v>649</v>
      </c>
      <c r="G2376">
        <v>57</v>
      </c>
      <c r="H2376">
        <v>399.62</v>
      </c>
      <c r="I2376">
        <v>7483.03</v>
      </c>
      <c r="J2376">
        <v>6.21</v>
      </c>
      <c r="K2376">
        <v>8.7799999999999994</v>
      </c>
      <c r="L2376">
        <v>7.01</v>
      </c>
      <c r="M2376">
        <v>18.73</v>
      </c>
      <c r="N2376">
        <v>7083.41</v>
      </c>
    </row>
    <row r="2377" spans="1:14" x14ac:dyDescent="0.2">
      <c r="A2377" s="1">
        <v>45671</v>
      </c>
      <c r="B2377" s="2" t="s">
        <v>34</v>
      </c>
      <c r="C2377" s="2" t="s">
        <v>32</v>
      </c>
      <c r="D2377" s="2" t="s">
        <v>16</v>
      </c>
      <c r="E2377">
        <v>6144</v>
      </c>
      <c r="F2377">
        <v>453</v>
      </c>
      <c r="G2377">
        <v>66</v>
      </c>
      <c r="H2377">
        <v>102.06</v>
      </c>
      <c r="I2377">
        <v>9502.5400000000009</v>
      </c>
      <c r="J2377">
        <v>7.37</v>
      </c>
      <c r="K2377">
        <v>14.57</v>
      </c>
      <c r="L2377">
        <v>1.55</v>
      </c>
      <c r="M2377">
        <v>93.11</v>
      </c>
      <c r="N2377">
        <v>9400.48</v>
      </c>
    </row>
    <row r="2378" spans="1:14" x14ac:dyDescent="0.2">
      <c r="A2378" s="1">
        <v>45672</v>
      </c>
      <c r="B2378" s="2" t="s">
        <v>14</v>
      </c>
      <c r="C2378" s="2" t="s">
        <v>18</v>
      </c>
      <c r="D2378" s="2" t="s">
        <v>22</v>
      </c>
      <c r="E2378">
        <v>13956</v>
      </c>
      <c r="F2378">
        <v>520</v>
      </c>
      <c r="G2378">
        <v>61</v>
      </c>
      <c r="H2378">
        <v>1146.76</v>
      </c>
      <c r="I2378">
        <v>10201.370000000001</v>
      </c>
      <c r="J2378">
        <v>3.73</v>
      </c>
      <c r="K2378">
        <v>11.73</v>
      </c>
      <c r="L2378">
        <v>18.8</v>
      </c>
      <c r="M2378">
        <v>8.9</v>
      </c>
      <c r="N2378">
        <v>9054.61</v>
      </c>
    </row>
    <row r="2379" spans="1:14" x14ac:dyDescent="0.2">
      <c r="A2379" s="1">
        <v>45672</v>
      </c>
      <c r="B2379" s="2" t="s">
        <v>17</v>
      </c>
      <c r="C2379" s="2" t="s">
        <v>32</v>
      </c>
      <c r="D2379" s="2" t="s">
        <v>36</v>
      </c>
      <c r="E2379">
        <v>15982</v>
      </c>
      <c r="F2379">
        <v>356</v>
      </c>
      <c r="G2379">
        <v>20</v>
      </c>
      <c r="H2379">
        <v>1332.92</v>
      </c>
      <c r="I2379">
        <v>2538.5</v>
      </c>
      <c r="J2379">
        <v>2.23</v>
      </c>
      <c r="K2379">
        <v>5.62</v>
      </c>
      <c r="L2379">
        <v>66.650000000000006</v>
      </c>
      <c r="M2379">
        <v>1.9</v>
      </c>
      <c r="N2379">
        <v>1205.58</v>
      </c>
    </row>
    <row r="2380" spans="1:14" x14ac:dyDescent="0.2">
      <c r="A2380" s="1">
        <v>45672</v>
      </c>
      <c r="B2380" s="2" t="s">
        <v>20</v>
      </c>
      <c r="C2380" s="2" t="s">
        <v>28</v>
      </c>
      <c r="D2380" s="2" t="s">
        <v>22</v>
      </c>
      <c r="E2380">
        <v>17174</v>
      </c>
      <c r="F2380">
        <v>615</v>
      </c>
      <c r="G2380">
        <v>39</v>
      </c>
      <c r="H2380">
        <v>981.89</v>
      </c>
      <c r="I2380">
        <v>2834</v>
      </c>
      <c r="J2380">
        <v>3.58</v>
      </c>
      <c r="K2380">
        <v>6.34</v>
      </c>
      <c r="L2380">
        <v>25.18</v>
      </c>
      <c r="M2380">
        <v>2.89</v>
      </c>
      <c r="N2380">
        <v>1852.11</v>
      </c>
    </row>
    <row r="2381" spans="1:14" x14ac:dyDescent="0.2">
      <c r="A2381" s="1">
        <v>45672</v>
      </c>
      <c r="B2381" s="2" t="s">
        <v>23</v>
      </c>
      <c r="C2381" s="2" t="s">
        <v>18</v>
      </c>
      <c r="D2381" s="2" t="s">
        <v>36</v>
      </c>
      <c r="E2381">
        <v>4290</v>
      </c>
      <c r="F2381">
        <v>105</v>
      </c>
      <c r="G2381">
        <v>12</v>
      </c>
      <c r="H2381">
        <v>1222.68</v>
      </c>
      <c r="I2381">
        <v>2407.3200000000002</v>
      </c>
      <c r="J2381">
        <v>2.4500000000000002</v>
      </c>
      <c r="K2381">
        <v>11.43</v>
      </c>
      <c r="L2381">
        <v>101.89</v>
      </c>
      <c r="M2381">
        <v>1.97</v>
      </c>
      <c r="N2381">
        <v>1184.6400000000001</v>
      </c>
    </row>
    <row r="2382" spans="1:14" x14ac:dyDescent="0.2">
      <c r="A2382" s="1">
        <v>45672</v>
      </c>
      <c r="B2382" s="2" t="s">
        <v>24</v>
      </c>
      <c r="C2382" s="2" t="s">
        <v>35</v>
      </c>
      <c r="D2382" s="2" t="s">
        <v>22</v>
      </c>
      <c r="E2382">
        <v>25664</v>
      </c>
      <c r="F2382">
        <v>5323</v>
      </c>
      <c r="G2382">
        <v>716</v>
      </c>
      <c r="H2382">
        <v>353.38</v>
      </c>
      <c r="I2382">
        <v>91697.71</v>
      </c>
      <c r="J2382">
        <v>20.74</v>
      </c>
      <c r="K2382">
        <v>13.45</v>
      </c>
      <c r="L2382">
        <v>0.49</v>
      </c>
      <c r="M2382">
        <v>259.49</v>
      </c>
      <c r="N2382">
        <v>91344.33</v>
      </c>
    </row>
    <row r="2383" spans="1:14" x14ac:dyDescent="0.2">
      <c r="A2383" s="1">
        <v>45672</v>
      </c>
      <c r="B2383" s="2" t="s">
        <v>26</v>
      </c>
      <c r="C2383" s="2" t="s">
        <v>35</v>
      </c>
      <c r="D2383" s="2" t="s">
        <v>19</v>
      </c>
      <c r="E2383">
        <v>39900</v>
      </c>
      <c r="F2383">
        <v>2040</v>
      </c>
      <c r="G2383">
        <v>254</v>
      </c>
      <c r="H2383">
        <v>0</v>
      </c>
      <c r="I2383">
        <v>32310.86</v>
      </c>
      <c r="J2383">
        <v>5.1100000000000003</v>
      </c>
      <c r="K2383">
        <v>12.45</v>
      </c>
      <c r="L2383">
        <v>0</v>
      </c>
      <c r="M2383">
        <v>0</v>
      </c>
      <c r="N2383">
        <v>32310.86</v>
      </c>
    </row>
    <row r="2384" spans="1:14" x14ac:dyDescent="0.2">
      <c r="A2384" s="1">
        <v>45672</v>
      </c>
      <c r="B2384" s="2" t="s">
        <v>27</v>
      </c>
      <c r="C2384" s="2" t="s">
        <v>18</v>
      </c>
      <c r="D2384" s="2" t="s">
        <v>25</v>
      </c>
      <c r="E2384">
        <v>40386</v>
      </c>
      <c r="F2384">
        <v>505</v>
      </c>
      <c r="G2384">
        <v>18</v>
      </c>
      <c r="H2384">
        <v>898.18</v>
      </c>
      <c r="I2384">
        <v>1936.99</v>
      </c>
      <c r="J2384">
        <v>1.25</v>
      </c>
      <c r="K2384">
        <v>3.56</v>
      </c>
      <c r="L2384">
        <v>49.9</v>
      </c>
      <c r="M2384">
        <v>2.16</v>
      </c>
      <c r="N2384">
        <v>1038.81</v>
      </c>
    </row>
    <row r="2385" spans="1:14" x14ac:dyDescent="0.2">
      <c r="A2385" s="1">
        <v>45672</v>
      </c>
      <c r="B2385" s="2" t="s">
        <v>29</v>
      </c>
      <c r="C2385" s="2" t="s">
        <v>21</v>
      </c>
      <c r="D2385" s="2" t="s">
        <v>25</v>
      </c>
      <c r="E2385">
        <v>27260</v>
      </c>
      <c r="F2385">
        <v>660</v>
      </c>
      <c r="G2385">
        <v>48</v>
      </c>
      <c r="H2385">
        <v>1164.3900000000001</v>
      </c>
      <c r="I2385">
        <v>5489.51</v>
      </c>
      <c r="J2385">
        <v>2.42</v>
      </c>
      <c r="K2385">
        <v>7.27</v>
      </c>
      <c r="L2385">
        <v>24.26</v>
      </c>
      <c r="M2385">
        <v>4.71</v>
      </c>
      <c r="N2385">
        <v>4325.12</v>
      </c>
    </row>
    <row r="2386" spans="1:14" x14ac:dyDescent="0.2">
      <c r="A2386" s="1">
        <v>45672</v>
      </c>
      <c r="B2386" s="2" t="s">
        <v>30</v>
      </c>
      <c r="C2386" s="2" t="s">
        <v>15</v>
      </c>
      <c r="D2386" s="2" t="s">
        <v>36</v>
      </c>
      <c r="E2386">
        <v>15657</v>
      </c>
      <c r="F2386">
        <v>542</v>
      </c>
      <c r="G2386">
        <v>22</v>
      </c>
      <c r="H2386">
        <v>549.66</v>
      </c>
      <c r="I2386">
        <v>1911.58</v>
      </c>
      <c r="J2386">
        <v>3.46</v>
      </c>
      <c r="K2386">
        <v>4.0599999999999996</v>
      </c>
      <c r="L2386">
        <v>24.98</v>
      </c>
      <c r="M2386">
        <v>3.48</v>
      </c>
      <c r="N2386">
        <v>1361.92</v>
      </c>
    </row>
    <row r="2387" spans="1:14" x14ac:dyDescent="0.2">
      <c r="A2387" s="1">
        <v>45672</v>
      </c>
      <c r="B2387" s="2" t="s">
        <v>31</v>
      </c>
      <c r="C2387" s="2" t="s">
        <v>28</v>
      </c>
      <c r="D2387" s="2" t="s">
        <v>22</v>
      </c>
      <c r="E2387">
        <v>35756</v>
      </c>
      <c r="F2387">
        <v>1515</v>
      </c>
      <c r="G2387">
        <v>92</v>
      </c>
      <c r="H2387">
        <v>917.63</v>
      </c>
      <c r="I2387">
        <v>9770.51</v>
      </c>
      <c r="J2387">
        <v>4.24</v>
      </c>
      <c r="K2387">
        <v>6.07</v>
      </c>
      <c r="L2387">
        <v>9.9700000000000006</v>
      </c>
      <c r="M2387">
        <v>10.65</v>
      </c>
      <c r="N2387">
        <v>8852.8799999999992</v>
      </c>
    </row>
    <row r="2388" spans="1:14" x14ac:dyDescent="0.2">
      <c r="A2388" s="1">
        <v>45672</v>
      </c>
      <c r="B2388" s="2" t="s">
        <v>33</v>
      </c>
      <c r="C2388" s="2" t="s">
        <v>18</v>
      </c>
      <c r="D2388" s="2" t="s">
        <v>36</v>
      </c>
      <c r="E2388">
        <v>8818</v>
      </c>
      <c r="F2388">
        <v>602</v>
      </c>
      <c r="G2388">
        <v>55</v>
      </c>
      <c r="H2388">
        <v>428.71</v>
      </c>
      <c r="I2388">
        <v>6596.9</v>
      </c>
      <c r="J2388">
        <v>6.83</v>
      </c>
      <c r="K2388">
        <v>9.14</v>
      </c>
      <c r="L2388">
        <v>7.79</v>
      </c>
      <c r="M2388">
        <v>15.39</v>
      </c>
      <c r="N2388">
        <v>6168.19</v>
      </c>
    </row>
    <row r="2389" spans="1:14" x14ac:dyDescent="0.2">
      <c r="A2389" s="1">
        <v>45672</v>
      </c>
      <c r="B2389" s="2" t="s">
        <v>34</v>
      </c>
      <c r="C2389" s="2" t="s">
        <v>28</v>
      </c>
      <c r="D2389" s="2" t="s">
        <v>25</v>
      </c>
      <c r="E2389">
        <v>5486</v>
      </c>
      <c r="F2389">
        <v>433</v>
      </c>
      <c r="G2389">
        <v>75</v>
      </c>
      <c r="H2389">
        <v>72.28</v>
      </c>
      <c r="I2389">
        <v>13089.62</v>
      </c>
      <c r="J2389">
        <v>7.89</v>
      </c>
      <c r="K2389">
        <v>17.32</v>
      </c>
      <c r="L2389">
        <v>0.96</v>
      </c>
      <c r="M2389">
        <v>181.1</v>
      </c>
      <c r="N2389">
        <v>13017.34</v>
      </c>
    </row>
    <row r="2390" spans="1:14" x14ac:dyDescent="0.2">
      <c r="A2390" s="1">
        <v>45673</v>
      </c>
      <c r="B2390" s="2" t="s">
        <v>14</v>
      </c>
      <c r="C2390" s="2" t="s">
        <v>28</v>
      </c>
      <c r="D2390" s="2" t="s">
        <v>16</v>
      </c>
      <c r="E2390">
        <v>10528</v>
      </c>
      <c r="F2390">
        <v>391</v>
      </c>
      <c r="G2390">
        <v>32</v>
      </c>
      <c r="H2390">
        <v>1462.56</v>
      </c>
      <c r="I2390">
        <v>4204.01</v>
      </c>
      <c r="J2390">
        <v>3.71</v>
      </c>
      <c r="K2390">
        <v>8.18</v>
      </c>
      <c r="L2390">
        <v>45.7</v>
      </c>
      <c r="M2390">
        <v>2.87</v>
      </c>
      <c r="N2390">
        <v>2741.45</v>
      </c>
    </row>
    <row r="2391" spans="1:14" x14ac:dyDescent="0.2">
      <c r="A2391" s="1">
        <v>45673</v>
      </c>
      <c r="B2391" s="2" t="s">
        <v>17</v>
      </c>
      <c r="C2391" s="2" t="s">
        <v>28</v>
      </c>
      <c r="D2391" s="2" t="s">
        <v>36</v>
      </c>
      <c r="E2391">
        <v>21219</v>
      </c>
      <c r="F2391">
        <v>750</v>
      </c>
      <c r="G2391">
        <v>42</v>
      </c>
      <c r="H2391">
        <v>1297.44</v>
      </c>
      <c r="I2391">
        <v>5010.58</v>
      </c>
      <c r="J2391">
        <v>3.53</v>
      </c>
      <c r="K2391">
        <v>5.6</v>
      </c>
      <c r="L2391">
        <v>30.89</v>
      </c>
      <c r="M2391">
        <v>3.86</v>
      </c>
      <c r="N2391">
        <v>3713.14</v>
      </c>
    </row>
    <row r="2392" spans="1:14" x14ac:dyDescent="0.2">
      <c r="A2392" s="1">
        <v>45673</v>
      </c>
      <c r="B2392" s="2" t="s">
        <v>20</v>
      </c>
      <c r="C2392" s="2" t="s">
        <v>35</v>
      </c>
      <c r="D2392" s="2" t="s">
        <v>16</v>
      </c>
      <c r="E2392">
        <v>13245</v>
      </c>
      <c r="F2392">
        <v>343</v>
      </c>
      <c r="G2392">
        <v>15</v>
      </c>
      <c r="H2392">
        <v>859.85</v>
      </c>
      <c r="I2392">
        <v>1709.6</v>
      </c>
      <c r="J2392">
        <v>2.59</v>
      </c>
      <c r="K2392">
        <v>4.37</v>
      </c>
      <c r="L2392">
        <v>57.32</v>
      </c>
      <c r="M2392">
        <v>1.99</v>
      </c>
      <c r="N2392">
        <v>849.75</v>
      </c>
    </row>
    <row r="2393" spans="1:14" x14ac:dyDescent="0.2">
      <c r="A2393" s="1">
        <v>45673</v>
      </c>
      <c r="B2393" s="2" t="s">
        <v>23</v>
      </c>
      <c r="C2393" s="2" t="s">
        <v>28</v>
      </c>
      <c r="D2393" s="2" t="s">
        <v>16</v>
      </c>
      <c r="E2393">
        <v>4706</v>
      </c>
      <c r="F2393">
        <v>84</v>
      </c>
      <c r="G2393">
        <v>10</v>
      </c>
      <c r="H2393">
        <v>1364.78</v>
      </c>
      <c r="I2393">
        <v>2340.1</v>
      </c>
      <c r="J2393">
        <v>1.78</v>
      </c>
      <c r="K2393">
        <v>11.9</v>
      </c>
      <c r="L2393">
        <v>136.47999999999999</v>
      </c>
      <c r="M2393">
        <v>1.71</v>
      </c>
      <c r="N2393">
        <v>975.32</v>
      </c>
    </row>
    <row r="2394" spans="1:14" x14ac:dyDescent="0.2">
      <c r="A2394" s="1">
        <v>45673</v>
      </c>
      <c r="B2394" s="2" t="s">
        <v>24</v>
      </c>
      <c r="C2394" s="2" t="s">
        <v>18</v>
      </c>
      <c r="D2394" s="2" t="s">
        <v>36</v>
      </c>
      <c r="E2394">
        <v>27036</v>
      </c>
      <c r="F2394">
        <v>5716</v>
      </c>
      <c r="G2394">
        <v>703</v>
      </c>
      <c r="H2394">
        <v>353.71</v>
      </c>
      <c r="I2394">
        <v>95340.84</v>
      </c>
      <c r="J2394">
        <v>21.14</v>
      </c>
      <c r="K2394">
        <v>12.3</v>
      </c>
      <c r="L2394">
        <v>0.5</v>
      </c>
      <c r="M2394">
        <v>269.55</v>
      </c>
      <c r="N2394">
        <v>94987.13</v>
      </c>
    </row>
    <row r="2395" spans="1:14" x14ac:dyDescent="0.2">
      <c r="A2395" s="1">
        <v>45673</v>
      </c>
      <c r="B2395" s="2" t="s">
        <v>26</v>
      </c>
      <c r="C2395" s="2" t="s">
        <v>28</v>
      </c>
      <c r="D2395" s="2" t="s">
        <v>16</v>
      </c>
      <c r="E2395">
        <v>40636</v>
      </c>
      <c r="F2395">
        <v>2875</v>
      </c>
      <c r="G2395">
        <v>458</v>
      </c>
      <c r="H2395">
        <v>0</v>
      </c>
      <c r="I2395">
        <v>42870.59</v>
      </c>
      <c r="J2395">
        <v>7.08</v>
      </c>
      <c r="K2395">
        <v>15.93</v>
      </c>
      <c r="L2395">
        <v>0</v>
      </c>
      <c r="M2395">
        <v>0</v>
      </c>
      <c r="N2395">
        <v>42870.59</v>
      </c>
    </row>
    <row r="2396" spans="1:14" x14ac:dyDescent="0.2">
      <c r="A2396" s="1">
        <v>45673</v>
      </c>
      <c r="B2396" s="2" t="s">
        <v>27</v>
      </c>
      <c r="C2396" s="2" t="s">
        <v>32</v>
      </c>
      <c r="D2396" s="2" t="s">
        <v>25</v>
      </c>
      <c r="E2396">
        <v>35161</v>
      </c>
      <c r="F2396">
        <v>542</v>
      </c>
      <c r="G2396">
        <v>26</v>
      </c>
      <c r="H2396">
        <v>885.19</v>
      </c>
      <c r="I2396">
        <v>2227.84</v>
      </c>
      <c r="J2396">
        <v>1.54</v>
      </c>
      <c r="K2396">
        <v>4.8</v>
      </c>
      <c r="L2396">
        <v>34.049999999999997</v>
      </c>
      <c r="M2396">
        <v>2.52</v>
      </c>
      <c r="N2396">
        <v>1342.65</v>
      </c>
    </row>
    <row r="2397" spans="1:14" x14ac:dyDescent="0.2">
      <c r="A2397" s="1">
        <v>45673</v>
      </c>
      <c r="B2397" s="2" t="s">
        <v>29</v>
      </c>
      <c r="C2397" s="2" t="s">
        <v>18</v>
      </c>
      <c r="D2397" s="2" t="s">
        <v>16</v>
      </c>
      <c r="E2397">
        <v>26840</v>
      </c>
      <c r="F2397">
        <v>424</v>
      </c>
      <c r="G2397">
        <v>16</v>
      </c>
      <c r="H2397">
        <v>1182.6600000000001</v>
      </c>
      <c r="I2397">
        <v>1846.97</v>
      </c>
      <c r="J2397">
        <v>1.58</v>
      </c>
      <c r="K2397">
        <v>3.77</v>
      </c>
      <c r="L2397">
        <v>73.92</v>
      </c>
      <c r="M2397">
        <v>1.56</v>
      </c>
      <c r="N2397">
        <v>664.31</v>
      </c>
    </row>
    <row r="2398" spans="1:14" x14ac:dyDescent="0.2">
      <c r="A2398" s="1">
        <v>45673</v>
      </c>
      <c r="B2398" s="2" t="s">
        <v>30</v>
      </c>
      <c r="C2398" s="2" t="s">
        <v>32</v>
      </c>
      <c r="D2398" s="2" t="s">
        <v>25</v>
      </c>
      <c r="E2398">
        <v>16492</v>
      </c>
      <c r="F2398">
        <v>536</v>
      </c>
      <c r="G2398">
        <v>16</v>
      </c>
      <c r="H2398">
        <v>809.9</v>
      </c>
      <c r="I2398">
        <v>1703.75</v>
      </c>
      <c r="J2398">
        <v>3.25</v>
      </c>
      <c r="K2398">
        <v>2.99</v>
      </c>
      <c r="L2398">
        <v>50.62</v>
      </c>
      <c r="M2398">
        <v>2.1</v>
      </c>
      <c r="N2398">
        <v>893.85</v>
      </c>
    </row>
    <row r="2399" spans="1:14" x14ac:dyDescent="0.2">
      <c r="A2399" s="1">
        <v>45673</v>
      </c>
      <c r="B2399" s="2" t="s">
        <v>31</v>
      </c>
      <c r="C2399" s="2" t="s">
        <v>15</v>
      </c>
      <c r="D2399" s="2" t="s">
        <v>19</v>
      </c>
      <c r="E2399">
        <v>27418</v>
      </c>
      <c r="F2399">
        <v>1032</v>
      </c>
      <c r="G2399">
        <v>54</v>
      </c>
      <c r="H2399">
        <v>1073.03</v>
      </c>
      <c r="I2399">
        <v>4543.9399999999996</v>
      </c>
      <c r="J2399">
        <v>3.76</v>
      </c>
      <c r="K2399">
        <v>5.23</v>
      </c>
      <c r="L2399">
        <v>19.87</v>
      </c>
      <c r="M2399">
        <v>4.2300000000000004</v>
      </c>
      <c r="N2399">
        <v>3470.91</v>
      </c>
    </row>
    <row r="2400" spans="1:14" x14ac:dyDescent="0.2">
      <c r="A2400" s="1">
        <v>45673</v>
      </c>
      <c r="B2400" s="2" t="s">
        <v>33</v>
      </c>
      <c r="C2400" s="2" t="s">
        <v>32</v>
      </c>
      <c r="D2400" s="2" t="s">
        <v>25</v>
      </c>
      <c r="E2400">
        <v>7561</v>
      </c>
      <c r="F2400">
        <v>434</v>
      </c>
      <c r="G2400">
        <v>51</v>
      </c>
      <c r="H2400">
        <v>623.08000000000004</v>
      </c>
      <c r="I2400">
        <v>6984.97</v>
      </c>
      <c r="J2400">
        <v>5.74</v>
      </c>
      <c r="K2400">
        <v>11.75</v>
      </c>
      <c r="L2400">
        <v>12.22</v>
      </c>
      <c r="M2400">
        <v>11.21</v>
      </c>
      <c r="N2400">
        <v>6361.89</v>
      </c>
    </row>
    <row r="2401" spans="1:14" x14ac:dyDescent="0.2">
      <c r="A2401" s="1">
        <v>45673</v>
      </c>
      <c r="B2401" s="2" t="s">
        <v>34</v>
      </c>
      <c r="C2401" s="2" t="s">
        <v>21</v>
      </c>
      <c r="D2401" s="2" t="s">
        <v>36</v>
      </c>
      <c r="E2401">
        <v>3916</v>
      </c>
      <c r="F2401">
        <v>216</v>
      </c>
      <c r="G2401">
        <v>26</v>
      </c>
      <c r="H2401">
        <v>100.44</v>
      </c>
      <c r="I2401">
        <v>3873.78</v>
      </c>
      <c r="J2401">
        <v>5.52</v>
      </c>
      <c r="K2401">
        <v>12.04</v>
      </c>
      <c r="L2401">
        <v>3.86</v>
      </c>
      <c r="M2401">
        <v>38.57</v>
      </c>
      <c r="N2401">
        <v>3773.34</v>
      </c>
    </row>
    <row r="2402" spans="1:14" x14ac:dyDescent="0.2">
      <c r="A2402" s="1">
        <v>45674</v>
      </c>
      <c r="B2402" s="2" t="s">
        <v>14</v>
      </c>
      <c r="C2402" s="2" t="s">
        <v>35</v>
      </c>
      <c r="D2402" s="2" t="s">
        <v>19</v>
      </c>
      <c r="E2402">
        <v>17678</v>
      </c>
      <c r="F2402">
        <v>715</v>
      </c>
      <c r="G2402">
        <v>80</v>
      </c>
      <c r="H2402">
        <v>1126.1500000000001</v>
      </c>
      <c r="I2402">
        <v>10750.81</v>
      </c>
      <c r="J2402">
        <v>4.04</v>
      </c>
      <c r="K2402">
        <v>11.19</v>
      </c>
      <c r="L2402">
        <v>14.08</v>
      </c>
      <c r="M2402">
        <v>9.5500000000000007</v>
      </c>
      <c r="N2402">
        <v>9624.66</v>
      </c>
    </row>
    <row r="2403" spans="1:14" x14ac:dyDescent="0.2">
      <c r="A2403" s="1">
        <v>45674</v>
      </c>
      <c r="B2403" s="2" t="s">
        <v>17</v>
      </c>
      <c r="C2403" s="2" t="s">
        <v>18</v>
      </c>
      <c r="D2403" s="2" t="s">
        <v>22</v>
      </c>
      <c r="E2403">
        <v>22533</v>
      </c>
      <c r="F2403">
        <v>856</v>
      </c>
      <c r="G2403">
        <v>44</v>
      </c>
      <c r="H2403">
        <v>1259.8399999999999</v>
      </c>
      <c r="I2403">
        <v>4291.5600000000004</v>
      </c>
      <c r="J2403">
        <v>3.8</v>
      </c>
      <c r="K2403">
        <v>5.14</v>
      </c>
      <c r="L2403">
        <v>28.63</v>
      </c>
      <c r="M2403">
        <v>3.41</v>
      </c>
      <c r="N2403">
        <v>3031.72</v>
      </c>
    </row>
    <row r="2404" spans="1:14" x14ac:dyDescent="0.2">
      <c r="A2404" s="1">
        <v>45674</v>
      </c>
      <c r="B2404" s="2" t="s">
        <v>20</v>
      </c>
      <c r="C2404" s="2" t="s">
        <v>28</v>
      </c>
      <c r="D2404" s="2" t="s">
        <v>19</v>
      </c>
      <c r="E2404">
        <v>20143</v>
      </c>
      <c r="F2404">
        <v>829</v>
      </c>
      <c r="G2404">
        <v>44</v>
      </c>
      <c r="H2404">
        <v>894.41</v>
      </c>
      <c r="I2404">
        <v>3657.97</v>
      </c>
      <c r="J2404">
        <v>4.12</v>
      </c>
      <c r="K2404">
        <v>5.31</v>
      </c>
      <c r="L2404">
        <v>20.329999999999998</v>
      </c>
      <c r="M2404">
        <v>4.09</v>
      </c>
      <c r="N2404">
        <v>2763.56</v>
      </c>
    </row>
    <row r="2405" spans="1:14" x14ac:dyDescent="0.2">
      <c r="A2405" s="1">
        <v>45674</v>
      </c>
      <c r="B2405" s="2" t="s">
        <v>23</v>
      </c>
      <c r="C2405" s="2" t="s">
        <v>32</v>
      </c>
      <c r="D2405" s="2" t="s">
        <v>25</v>
      </c>
      <c r="E2405">
        <v>4166</v>
      </c>
      <c r="F2405">
        <v>123</v>
      </c>
      <c r="G2405">
        <v>18</v>
      </c>
      <c r="H2405">
        <v>1361.78</v>
      </c>
      <c r="I2405">
        <v>4594.17</v>
      </c>
      <c r="J2405">
        <v>2.95</v>
      </c>
      <c r="K2405">
        <v>14.63</v>
      </c>
      <c r="L2405">
        <v>75.650000000000006</v>
      </c>
      <c r="M2405">
        <v>3.37</v>
      </c>
      <c r="N2405">
        <v>3232.39</v>
      </c>
    </row>
    <row r="2406" spans="1:14" x14ac:dyDescent="0.2">
      <c r="A2406" s="1">
        <v>45674</v>
      </c>
      <c r="B2406" s="2" t="s">
        <v>24</v>
      </c>
      <c r="C2406" s="2" t="s">
        <v>32</v>
      </c>
      <c r="D2406" s="2" t="s">
        <v>36</v>
      </c>
      <c r="E2406">
        <v>26073</v>
      </c>
      <c r="F2406">
        <v>4615</v>
      </c>
      <c r="G2406">
        <v>531</v>
      </c>
      <c r="H2406">
        <v>270.32</v>
      </c>
      <c r="I2406">
        <v>89565.95</v>
      </c>
      <c r="J2406">
        <v>17.7</v>
      </c>
      <c r="K2406">
        <v>11.51</v>
      </c>
      <c r="L2406">
        <v>0.51</v>
      </c>
      <c r="M2406">
        <v>331.33</v>
      </c>
      <c r="N2406">
        <v>89295.63</v>
      </c>
    </row>
    <row r="2407" spans="1:14" x14ac:dyDescent="0.2">
      <c r="A2407" s="1">
        <v>45674</v>
      </c>
      <c r="B2407" s="2" t="s">
        <v>26</v>
      </c>
      <c r="C2407" s="2" t="s">
        <v>15</v>
      </c>
      <c r="D2407" s="2" t="s">
        <v>19</v>
      </c>
      <c r="E2407">
        <v>24046</v>
      </c>
      <c r="F2407">
        <v>1176</v>
      </c>
      <c r="G2407">
        <v>170</v>
      </c>
      <c r="H2407">
        <v>0</v>
      </c>
      <c r="I2407">
        <v>24191.55</v>
      </c>
      <c r="J2407">
        <v>4.8899999999999997</v>
      </c>
      <c r="K2407">
        <v>14.46</v>
      </c>
      <c r="L2407">
        <v>0</v>
      </c>
      <c r="M2407">
        <v>0</v>
      </c>
      <c r="N2407">
        <v>24191.55</v>
      </c>
    </row>
    <row r="2408" spans="1:14" x14ac:dyDescent="0.2">
      <c r="A2408" s="1">
        <v>45674</v>
      </c>
      <c r="B2408" s="2" t="s">
        <v>27</v>
      </c>
      <c r="C2408" s="2" t="s">
        <v>15</v>
      </c>
      <c r="D2408" s="2" t="s">
        <v>36</v>
      </c>
      <c r="E2408">
        <v>33177</v>
      </c>
      <c r="F2408">
        <v>562</v>
      </c>
      <c r="G2408">
        <v>12</v>
      </c>
      <c r="H2408">
        <v>976.64</v>
      </c>
      <c r="I2408">
        <v>1428.56</v>
      </c>
      <c r="J2408">
        <v>1.69</v>
      </c>
      <c r="K2408">
        <v>2.14</v>
      </c>
      <c r="L2408">
        <v>81.39</v>
      </c>
      <c r="M2408">
        <v>1.46</v>
      </c>
      <c r="N2408">
        <v>451.92</v>
      </c>
    </row>
    <row r="2409" spans="1:14" x14ac:dyDescent="0.2">
      <c r="A2409" s="1">
        <v>45674</v>
      </c>
      <c r="B2409" s="2" t="s">
        <v>29</v>
      </c>
      <c r="C2409" s="2" t="s">
        <v>18</v>
      </c>
      <c r="D2409" s="2" t="s">
        <v>16</v>
      </c>
      <c r="E2409">
        <v>22987</v>
      </c>
      <c r="F2409">
        <v>537</v>
      </c>
      <c r="G2409">
        <v>37</v>
      </c>
      <c r="H2409">
        <v>1586.18</v>
      </c>
      <c r="I2409">
        <v>4321.75</v>
      </c>
      <c r="J2409">
        <v>2.34</v>
      </c>
      <c r="K2409">
        <v>6.89</v>
      </c>
      <c r="L2409">
        <v>42.87</v>
      </c>
      <c r="M2409">
        <v>2.72</v>
      </c>
      <c r="N2409">
        <v>2735.57</v>
      </c>
    </row>
    <row r="2410" spans="1:14" x14ac:dyDescent="0.2">
      <c r="A2410" s="1">
        <v>45674</v>
      </c>
      <c r="B2410" s="2" t="s">
        <v>30</v>
      </c>
      <c r="C2410" s="2" t="s">
        <v>15</v>
      </c>
      <c r="D2410" s="2" t="s">
        <v>22</v>
      </c>
      <c r="E2410">
        <v>16520</v>
      </c>
      <c r="F2410">
        <v>434</v>
      </c>
      <c r="G2410">
        <v>20</v>
      </c>
      <c r="H2410">
        <v>531.99</v>
      </c>
      <c r="I2410">
        <v>2240.66</v>
      </c>
      <c r="J2410">
        <v>2.63</v>
      </c>
      <c r="K2410">
        <v>4.6100000000000003</v>
      </c>
      <c r="L2410">
        <v>26.6</v>
      </c>
      <c r="M2410">
        <v>4.21</v>
      </c>
      <c r="N2410">
        <v>1708.67</v>
      </c>
    </row>
    <row r="2411" spans="1:14" x14ac:dyDescent="0.2">
      <c r="A2411" s="1">
        <v>45674</v>
      </c>
      <c r="B2411" s="2" t="s">
        <v>31</v>
      </c>
      <c r="C2411" s="2" t="s">
        <v>18</v>
      </c>
      <c r="D2411" s="2" t="s">
        <v>19</v>
      </c>
      <c r="E2411">
        <v>34827</v>
      </c>
      <c r="F2411">
        <v>1256</v>
      </c>
      <c r="G2411">
        <v>70</v>
      </c>
      <c r="H2411">
        <v>1052.17</v>
      </c>
      <c r="I2411">
        <v>6364.53</v>
      </c>
      <c r="J2411">
        <v>3.61</v>
      </c>
      <c r="K2411">
        <v>5.57</v>
      </c>
      <c r="L2411">
        <v>15.03</v>
      </c>
      <c r="M2411">
        <v>6.05</v>
      </c>
      <c r="N2411">
        <v>5312.36</v>
      </c>
    </row>
    <row r="2412" spans="1:14" x14ac:dyDescent="0.2">
      <c r="A2412" s="1">
        <v>45674</v>
      </c>
      <c r="B2412" s="2" t="s">
        <v>33</v>
      </c>
      <c r="C2412" s="2" t="s">
        <v>35</v>
      </c>
      <c r="D2412" s="2" t="s">
        <v>19</v>
      </c>
      <c r="E2412">
        <v>9007</v>
      </c>
      <c r="F2412">
        <v>374</v>
      </c>
      <c r="G2412">
        <v>39</v>
      </c>
      <c r="H2412">
        <v>428.92</v>
      </c>
      <c r="I2412">
        <v>4094.21</v>
      </c>
      <c r="J2412">
        <v>4.1500000000000004</v>
      </c>
      <c r="K2412">
        <v>10.43</v>
      </c>
      <c r="L2412">
        <v>11</v>
      </c>
      <c r="M2412">
        <v>9.5500000000000007</v>
      </c>
      <c r="N2412">
        <v>3665.29</v>
      </c>
    </row>
    <row r="2413" spans="1:14" x14ac:dyDescent="0.2">
      <c r="A2413" s="1">
        <v>45674</v>
      </c>
      <c r="B2413" s="2" t="s">
        <v>34</v>
      </c>
      <c r="C2413" s="2" t="s">
        <v>32</v>
      </c>
      <c r="D2413" s="2" t="s">
        <v>25</v>
      </c>
      <c r="E2413">
        <v>5346</v>
      </c>
      <c r="F2413">
        <v>284</v>
      </c>
      <c r="G2413">
        <v>50</v>
      </c>
      <c r="H2413">
        <v>203.19</v>
      </c>
      <c r="I2413">
        <v>7284.28</v>
      </c>
      <c r="J2413">
        <v>5.31</v>
      </c>
      <c r="K2413">
        <v>17.61</v>
      </c>
      <c r="L2413">
        <v>4.0599999999999996</v>
      </c>
      <c r="M2413">
        <v>35.85</v>
      </c>
      <c r="N2413">
        <v>7081.09</v>
      </c>
    </row>
    <row r="2414" spans="1:14" x14ac:dyDescent="0.2">
      <c r="A2414" s="1">
        <v>45675</v>
      </c>
      <c r="B2414" s="2" t="s">
        <v>14</v>
      </c>
      <c r="C2414" s="2" t="s">
        <v>35</v>
      </c>
      <c r="D2414" s="2" t="s">
        <v>16</v>
      </c>
      <c r="E2414">
        <v>11671</v>
      </c>
      <c r="F2414">
        <v>520</v>
      </c>
      <c r="G2414">
        <v>52</v>
      </c>
      <c r="H2414">
        <v>1236.51</v>
      </c>
      <c r="I2414">
        <v>6557.99</v>
      </c>
      <c r="J2414">
        <v>4.46</v>
      </c>
      <c r="K2414">
        <v>10</v>
      </c>
      <c r="L2414">
        <v>23.78</v>
      </c>
      <c r="M2414">
        <v>5.3</v>
      </c>
      <c r="N2414">
        <v>5321.48</v>
      </c>
    </row>
    <row r="2415" spans="1:14" x14ac:dyDescent="0.2">
      <c r="A2415" s="1">
        <v>45675</v>
      </c>
      <c r="B2415" s="2" t="s">
        <v>17</v>
      </c>
      <c r="C2415" s="2" t="s">
        <v>18</v>
      </c>
      <c r="D2415" s="2" t="s">
        <v>22</v>
      </c>
      <c r="E2415">
        <v>14662</v>
      </c>
      <c r="F2415">
        <v>546</v>
      </c>
      <c r="G2415">
        <v>40</v>
      </c>
      <c r="H2415">
        <v>514.38</v>
      </c>
      <c r="I2415">
        <v>5835.04</v>
      </c>
      <c r="J2415">
        <v>3.72</v>
      </c>
      <c r="K2415">
        <v>7.33</v>
      </c>
      <c r="L2415">
        <v>12.86</v>
      </c>
      <c r="M2415">
        <v>11.34</v>
      </c>
      <c r="N2415">
        <v>5320.66</v>
      </c>
    </row>
    <row r="2416" spans="1:14" x14ac:dyDescent="0.2">
      <c r="A2416" s="1">
        <v>45675</v>
      </c>
      <c r="B2416" s="2" t="s">
        <v>20</v>
      </c>
      <c r="C2416" s="2" t="s">
        <v>28</v>
      </c>
      <c r="D2416" s="2" t="s">
        <v>22</v>
      </c>
      <c r="E2416">
        <v>11109</v>
      </c>
      <c r="F2416">
        <v>434</v>
      </c>
      <c r="G2416">
        <v>24</v>
      </c>
      <c r="H2416">
        <v>533.09</v>
      </c>
      <c r="I2416">
        <v>2824.62</v>
      </c>
      <c r="J2416">
        <v>3.91</v>
      </c>
      <c r="K2416">
        <v>5.53</v>
      </c>
      <c r="L2416">
        <v>22.21</v>
      </c>
      <c r="M2416">
        <v>5.3</v>
      </c>
      <c r="N2416">
        <v>2291.5300000000002</v>
      </c>
    </row>
    <row r="2417" spans="1:14" x14ac:dyDescent="0.2">
      <c r="A2417" s="1">
        <v>45675</v>
      </c>
      <c r="B2417" s="2" t="s">
        <v>23</v>
      </c>
      <c r="C2417" s="2" t="s">
        <v>15</v>
      </c>
      <c r="D2417" s="2" t="s">
        <v>36</v>
      </c>
      <c r="E2417">
        <v>4356</v>
      </c>
      <c r="F2417">
        <v>90</v>
      </c>
      <c r="G2417">
        <v>8</v>
      </c>
      <c r="H2417">
        <v>894.88</v>
      </c>
      <c r="I2417">
        <v>2639.01</v>
      </c>
      <c r="J2417">
        <v>2.0699999999999998</v>
      </c>
      <c r="K2417">
        <v>8.89</v>
      </c>
      <c r="L2417">
        <v>111.86</v>
      </c>
      <c r="M2417">
        <v>2.95</v>
      </c>
      <c r="N2417">
        <v>1744.13</v>
      </c>
    </row>
    <row r="2418" spans="1:14" x14ac:dyDescent="0.2">
      <c r="A2418" s="1">
        <v>45675</v>
      </c>
      <c r="B2418" s="2" t="s">
        <v>24</v>
      </c>
      <c r="C2418" s="2" t="s">
        <v>18</v>
      </c>
      <c r="D2418" s="2" t="s">
        <v>19</v>
      </c>
      <c r="E2418">
        <v>18755</v>
      </c>
      <c r="F2418">
        <v>4349</v>
      </c>
      <c r="G2418">
        <v>472</v>
      </c>
      <c r="H2418">
        <v>117.88</v>
      </c>
      <c r="I2418">
        <v>54273.1</v>
      </c>
      <c r="J2418">
        <v>23.19</v>
      </c>
      <c r="K2418">
        <v>10.85</v>
      </c>
      <c r="L2418">
        <v>0.25</v>
      </c>
      <c r="M2418">
        <v>460.41</v>
      </c>
      <c r="N2418">
        <v>54155.22</v>
      </c>
    </row>
    <row r="2419" spans="1:14" x14ac:dyDescent="0.2">
      <c r="A2419" s="1">
        <v>45675</v>
      </c>
      <c r="B2419" s="2" t="s">
        <v>26</v>
      </c>
      <c r="C2419" s="2" t="s">
        <v>32</v>
      </c>
      <c r="D2419" s="2" t="s">
        <v>22</v>
      </c>
      <c r="E2419">
        <v>29170</v>
      </c>
      <c r="F2419">
        <v>2262</v>
      </c>
      <c r="G2419">
        <v>324</v>
      </c>
      <c r="H2419">
        <v>0</v>
      </c>
      <c r="I2419">
        <v>46608.03</v>
      </c>
      <c r="J2419">
        <v>7.75</v>
      </c>
      <c r="K2419">
        <v>14.32</v>
      </c>
      <c r="L2419">
        <v>0</v>
      </c>
      <c r="M2419">
        <v>0</v>
      </c>
      <c r="N2419">
        <v>46608.03</v>
      </c>
    </row>
    <row r="2420" spans="1:14" x14ac:dyDescent="0.2">
      <c r="A2420" s="1">
        <v>45675</v>
      </c>
      <c r="B2420" s="2" t="s">
        <v>27</v>
      </c>
      <c r="C2420" s="2" t="s">
        <v>21</v>
      </c>
      <c r="D2420" s="2" t="s">
        <v>16</v>
      </c>
      <c r="E2420">
        <v>25831</v>
      </c>
      <c r="F2420">
        <v>269</v>
      </c>
      <c r="G2420">
        <v>6</v>
      </c>
      <c r="H2420">
        <v>1040.6600000000001</v>
      </c>
      <c r="I2420">
        <v>535.91</v>
      </c>
      <c r="J2420">
        <v>1.04</v>
      </c>
      <c r="K2420">
        <v>2.23</v>
      </c>
      <c r="L2420">
        <v>173.44</v>
      </c>
      <c r="M2420">
        <v>0.51</v>
      </c>
      <c r="N2420">
        <v>-504.75</v>
      </c>
    </row>
    <row r="2421" spans="1:14" x14ac:dyDescent="0.2">
      <c r="A2421" s="1">
        <v>45675</v>
      </c>
      <c r="B2421" s="2" t="s">
        <v>29</v>
      </c>
      <c r="C2421" s="2" t="s">
        <v>28</v>
      </c>
      <c r="D2421" s="2" t="s">
        <v>22</v>
      </c>
      <c r="E2421">
        <v>17256</v>
      </c>
      <c r="F2421">
        <v>438</v>
      </c>
      <c r="G2421">
        <v>29</v>
      </c>
      <c r="H2421">
        <v>957.1</v>
      </c>
      <c r="I2421">
        <v>3481.51</v>
      </c>
      <c r="J2421">
        <v>2.54</v>
      </c>
      <c r="K2421">
        <v>6.62</v>
      </c>
      <c r="L2421">
        <v>33</v>
      </c>
      <c r="M2421">
        <v>3.64</v>
      </c>
      <c r="N2421">
        <v>2524.41</v>
      </c>
    </row>
    <row r="2422" spans="1:14" x14ac:dyDescent="0.2">
      <c r="A2422" s="1">
        <v>45675</v>
      </c>
      <c r="B2422" s="2" t="s">
        <v>30</v>
      </c>
      <c r="C2422" s="2" t="s">
        <v>28</v>
      </c>
      <c r="D2422" s="2" t="s">
        <v>22</v>
      </c>
      <c r="E2422">
        <v>8841</v>
      </c>
      <c r="F2422">
        <v>204</v>
      </c>
      <c r="G2422">
        <v>8</v>
      </c>
      <c r="H2422">
        <v>626.54</v>
      </c>
      <c r="I2422">
        <v>592.86</v>
      </c>
      <c r="J2422">
        <v>2.31</v>
      </c>
      <c r="K2422">
        <v>3.92</v>
      </c>
      <c r="L2422">
        <v>78.319999999999993</v>
      </c>
      <c r="M2422">
        <v>0.95</v>
      </c>
      <c r="N2422">
        <v>-33.68</v>
      </c>
    </row>
    <row r="2423" spans="1:14" x14ac:dyDescent="0.2">
      <c r="A2423" s="1">
        <v>45675</v>
      </c>
      <c r="B2423" s="2" t="s">
        <v>31</v>
      </c>
      <c r="C2423" s="2" t="s">
        <v>15</v>
      </c>
      <c r="D2423" s="2" t="s">
        <v>19</v>
      </c>
      <c r="E2423">
        <v>22408</v>
      </c>
      <c r="F2423">
        <v>725</v>
      </c>
      <c r="G2423">
        <v>21</v>
      </c>
      <c r="H2423">
        <v>869.1</v>
      </c>
      <c r="I2423">
        <v>2145.14</v>
      </c>
      <c r="J2423">
        <v>3.24</v>
      </c>
      <c r="K2423">
        <v>2.9</v>
      </c>
      <c r="L2423">
        <v>41.39</v>
      </c>
      <c r="M2423">
        <v>2.4700000000000002</v>
      </c>
      <c r="N2423">
        <v>1276.04</v>
      </c>
    </row>
    <row r="2424" spans="1:14" x14ac:dyDescent="0.2">
      <c r="A2424" s="1">
        <v>45675</v>
      </c>
      <c r="B2424" s="2" t="s">
        <v>33</v>
      </c>
      <c r="C2424" s="2" t="s">
        <v>18</v>
      </c>
      <c r="D2424" s="2" t="s">
        <v>36</v>
      </c>
      <c r="E2424">
        <v>8396</v>
      </c>
      <c r="F2424">
        <v>444</v>
      </c>
      <c r="G2424">
        <v>54</v>
      </c>
      <c r="H2424">
        <v>433.09</v>
      </c>
      <c r="I2424">
        <v>6271.58</v>
      </c>
      <c r="J2424">
        <v>5.29</v>
      </c>
      <c r="K2424">
        <v>12.16</v>
      </c>
      <c r="L2424">
        <v>8.02</v>
      </c>
      <c r="M2424">
        <v>14.48</v>
      </c>
      <c r="N2424">
        <v>5838.49</v>
      </c>
    </row>
    <row r="2425" spans="1:14" x14ac:dyDescent="0.2">
      <c r="A2425" s="1">
        <v>45675</v>
      </c>
      <c r="B2425" s="2" t="s">
        <v>34</v>
      </c>
      <c r="C2425" s="2" t="s">
        <v>18</v>
      </c>
      <c r="D2425" s="2" t="s">
        <v>25</v>
      </c>
      <c r="E2425">
        <v>4566</v>
      </c>
      <c r="F2425">
        <v>303</v>
      </c>
      <c r="G2425">
        <v>47</v>
      </c>
      <c r="H2425">
        <v>101.18</v>
      </c>
      <c r="I2425">
        <v>7578.83</v>
      </c>
      <c r="J2425">
        <v>6.64</v>
      </c>
      <c r="K2425">
        <v>15.51</v>
      </c>
      <c r="L2425">
        <v>2.15</v>
      </c>
      <c r="M2425">
        <v>74.900000000000006</v>
      </c>
      <c r="N2425">
        <v>7477.65</v>
      </c>
    </row>
    <row r="2426" spans="1:14" x14ac:dyDescent="0.2">
      <c r="A2426" s="1">
        <v>45676</v>
      </c>
      <c r="B2426" s="2" t="s">
        <v>14</v>
      </c>
      <c r="C2426" s="2" t="s">
        <v>18</v>
      </c>
      <c r="D2426" s="2" t="s">
        <v>36</v>
      </c>
      <c r="E2426">
        <v>11362</v>
      </c>
      <c r="F2426">
        <v>424</v>
      </c>
      <c r="G2426">
        <v>41</v>
      </c>
      <c r="H2426">
        <v>997.79</v>
      </c>
      <c r="I2426">
        <v>5480.32</v>
      </c>
      <c r="J2426">
        <v>3.73</v>
      </c>
      <c r="K2426">
        <v>9.67</v>
      </c>
      <c r="L2426">
        <v>24.34</v>
      </c>
      <c r="M2426">
        <v>5.49</v>
      </c>
      <c r="N2426">
        <v>4482.53</v>
      </c>
    </row>
    <row r="2427" spans="1:14" x14ac:dyDescent="0.2">
      <c r="A2427" s="1">
        <v>45676</v>
      </c>
      <c r="B2427" s="2" t="s">
        <v>17</v>
      </c>
      <c r="C2427" s="2" t="s">
        <v>28</v>
      </c>
      <c r="D2427" s="2" t="s">
        <v>25</v>
      </c>
      <c r="E2427">
        <v>16674</v>
      </c>
      <c r="F2427">
        <v>530</v>
      </c>
      <c r="G2427">
        <v>34</v>
      </c>
      <c r="H2427">
        <v>866.85</v>
      </c>
      <c r="I2427">
        <v>3345.86</v>
      </c>
      <c r="J2427">
        <v>3.18</v>
      </c>
      <c r="K2427">
        <v>6.42</v>
      </c>
      <c r="L2427">
        <v>25.5</v>
      </c>
      <c r="M2427">
        <v>3.86</v>
      </c>
      <c r="N2427">
        <v>2479.0100000000002</v>
      </c>
    </row>
    <row r="2428" spans="1:14" x14ac:dyDescent="0.2">
      <c r="A2428" s="1">
        <v>45676</v>
      </c>
      <c r="B2428" s="2" t="s">
        <v>20</v>
      </c>
      <c r="C2428" s="2" t="s">
        <v>32</v>
      </c>
      <c r="D2428" s="2" t="s">
        <v>22</v>
      </c>
      <c r="E2428">
        <v>14528</v>
      </c>
      <c r="F2428">
        <v>582</v>
      </c>
      <c r="G2428">
        <v>40</v>
      </c>
      <c r="H2428">
        <v>788.89</v>
      </c>
      <c r="I2428">
        <v>4133.45</v>
      </c>
      <c r="J2428">
        <v>4.01</v>
      </c>
      <c r="K2428">
        <v>6.87</v>
      </c>
      <c r="L2428">
        <v>19.72</v>
      </c>
      <c r="M2428">
        <v>5.24</v>
      </c>
      <c r="N2428">
        <v>3344.56</v>
      </c>
    </row>
    <row r="2429" spans="1:14" x14ac:dyDescent="0.2">
      <c r="A2429" s="1">
        <v>45676</v>
      </c>
      <c r="B2429" s="2" t="s">
        <v>23</v>
      </c>
      <c r="C2429" s="2" t="s">
        <v>28</v>
      </c>
      <c r="D2429" s="2" t="s">
        <v>16</v>
      </c>
      <c r="E2429">
        <v>4882</v>
      </c>
      <c r="F2429">
        <v>102</v>
      </c>
      <c r="G2429">
        <v>11</v>
      </c>
      <c r="H2429">
        <v>793.67</v>
      </c>
      <c r="I2429">
        <v>2690.73</v>
      </c>
      <c r="J2429">
        <v>2.09</v>
      </c>
      <c r="K2429">
        <v>10.78</v>
      </c>
      <c r="L2429">
        <v>72.150000000000006</v>
      </c>
      <c r="M2429">
        <v>3.39</v>
      </c>
      <c r="N2429">
        <v>1897.06</v>
      </c>
    </row>
    <row r="2430" spans="1:14" x14ac:dyDescent="0.2">
      <c r="A2430" s="1">
        <v>45676</v>
      </c>
      <c r="B2430" s="2" t="s">
        <v>24</v>
      </c>
      <c r="C2430" s="2" t="s">
        <v>32</v>
      </c>
      <c r="D2430" s="2" t="s">
        <v>16</v>
      </c>
      <c r="E2430">
        <v>16668</v>
      </c>
      <c r="F2430">
        <v>2663</v>
      </c>
      <c r="G2430">
        <v>353</v>
      </c>
      <c r="H2430">
        <v>158.19999999999999</v>
      </c>
      <c r="I2430">
        <v>55386.64</v>
      </c>
      <c r="J2430">
        <v>15.98</v>
      </c>
      <c r="K2430">
        <v>13.26</v>
      </c>
      <c r="L2430">
        <v>0.45</v>
      </c>
      <c r="M2430">
        <v>350.11</v>
      </c>
      <c r="N2430">
        <v>55228.44</v>
      </c>
    </row>
    <row r="2431" spans="1:14" x14ac:dyDescent="0.2">
      <c r="A2431" s="1">
        <v>45676</v>
      </c>
      <c r="B2431" s="2" t="s">
        <v>26</v>
      </c>
      <c r="C2431" s="2" t="s">
        <v>32</v>
      </c>
      <c r="D2431" s="2" t="s">
        <v>36</v>
      </c>
      <c r="E2431">
        <v>17100</v>
      </c>
      <c r="F2431">
        <v>1323</v>
      </c>
      <c r="G2431">
        <v>190</v>
      </c>
      <c r="H2431">
        <v>0</v>
      </c>
      <c r="I2431">
        <v>20009.28</v>
      </c>
      <c r="J2431">
        <v>7.74</v>
      </c>
      <c r="K2431">
        <v>14.36</v>
      </c>
      <c r="L2431">
        <v>0</v>
      </c>
      <c r="M2431">
        <v>0</v>
      </c>
      <c r="N2431">
        <v>20009.28</v>
      </c>
    </row>
    <row r="2432" spans="1:14" x14ac:dyDescent="0.2">
      <c r="A2432" s="1">
        <v>45676</v>
      </c>
      <c r="B2432" s="2" t="s">
        <v>27</v>
      </c>
      <c r="C2432" s="2" t="s">
        <v>32</v>
      </c>
      <c r="D2432" s="2" t="s">
        <v>36</v>
      </c>
      <c r="E2432">
        <v>22254</v>
      </c>
      <c r="F2432">
        <v>340</v>
      </c>
      <c r="G2432">
        <v>15</v>
      </c>
      <c r="H2432">
        <v>762.05</v>
      </c>
      <c r="I2432">
        <v>1378.95</v>
      </c>
      <c r="J2432">
        <v>1.53</v>
      </c>
      <c r="K2432">
        <v>4.41</v>
      </c>
      <c r="L2432">
        <v>50.8</v>
      </c>
      <c r="M2432">
        <v>1.81</v>
      </c>
      <c r="N2432">
        <v>616.9</v>
      </c>
    </row>
    <row r="2433" spans="1:14" x14ac:dyDescent="0.2">
      <c r="A2433" s="1">
        <v>45676</v>
      </c>
      <c r="B2433" s="2" t="s">
        <v>29</v>
      </c>
      <c r="C2433" s="2" t="s">
        <v>32</v>
      </c>
      <c r="D2433" s="2" t="s">
        <v>22</v>
      </c>
      <c r="E2433">
        <v>20999</v>
      </c>
      <c r="F2433">
        <v>515</v>
      </c>
      <c r="G2433">
        <v>36</v>
      </c>
      <c r="H2433">
        <v>705.07</v>
      </c>
      <c r="I2433">
        <v>3612.38</v>
      </c>
      <c r="J2433">
        <v>2.4500000000000002</v>
      </c>
      <c r="K2433">
        <v>6.99</v>
      </c>
      <c r="L2433">
        <v>19.59</v>
      </c>
      <c r="M2433">
        <v>5.12</v>
      </c>
      <c r="N2433">
        <v>2907.31</v>
      </c>
    </row>
    <row r="2434" spans="1:14" x14ac:dyDescent="0.2">
      <c r="A2434" s="1">
        <v>45676</v>
      </c>
      <c r="B2434" s="2" t="s">
        <v>30</v>
      </c>
      <c r="C2434" s="2" t="s">
        <v>15</v>
      </c>
      <c r="D2434" s="2" t="s">
        <v>25</v>
      </c>
      <c r="E2434">
        <v>11482</v>
      </c>
      <c r="F2434">
        <v>302</v>
      </c>
      <c r="G2434">
        <v>15</v>
      </c>
      <c r="H2434">
        <v>608.27</v>
      </c>
      <c r="I2434">
        <v>1670.54</v>
      </c>
      <c r="J2434">
        <v>2.63</v>
      </c>
      <c r="K2434">
        <v>4.97</v>
      </c>
      <c r="L2434">
        <v>40.549999999999997</v>
      </c>
      <c r="M2434">
        <v>2.75</v>
      </c>
      <c r="N2434">
        <v>1062.27</v>
      </c>
    </row>
    <row r="2435" spans="1:14" x14ac:dyDescent="0.2">
      <c r="A2435" s="1">
        <v>45676</v>
      </c>
      <c r="B2435" s="2" t="s">
        <v>31</v>
      </c>
      <c r="C2435" s="2" t="s">
        <v>21</v>
      </c>
      <c r="D2435" s="2" t="s">
        <v>22</v>
      </c>
      <c r="E2435">
        <v>24391</v>
      </c>
      <c r="F2435">
        <v>973</v>
      </c>
      <c r="G2435">
        <v>51</v>
      </c>
      <c r="H2435">
        <v>846.1</v>
      </c>
      <c r="I2435">
        <v>4346.6400000000003</v>
      </c>
      <c r="J2435">
        <v>3.99</v>
      </c>
      <c r="K2435">
        <v>5.24</v>
      </c>
      <c r="L2435">
        <v>16.59</v>
      </c>
      <c r="M2435">
        <v>5.14</v>
      </c>
      <c r="N2435">
        <v>3500.54</v>
      </c>
    </row>
    <row r="2436" spans="1:14" x14ac:dyDescent="0.2">
      <c r="A2436" s="1">
        <v>45676</v>
      </c>
      <c r="B2436" s="2" t="s">
        <v>33</v>
      </c>
      <c r="C2436" s="2" t="s">
        <v>18</v>
      </c>
      <c r="D2436" s="2" t="s">
        <v>36</v>
      </c>
      <c r="E2436">
        <v>6646</v>
      </c>
      <c r="F2436">
        <v>328</v>
      </c>
      <c r="G2436">
        <v>31</v>
      </c>
      <c r="H2436">
        <v>472.27</v>
      </c>
      <c r="I2436">
        <v>4424.13</v>
      </c>
      <c r="J2436">
        <v>4.9400000000000004</v>
      </c>
      <c r="K2436">
        <v>9.4499999999999993</v>
      </c>
      <c r="L2436">
        <v>15.23</v>
      </c>
      <c r="M2436">
        <v>9.3699999999999992</v>
      </c>
      <c r="N2436">
        <v>3951.86</v>
      </c>
    </row>
    <row r="2437" spans="1:14" x14ac:dyDescent="0.2">
      <c r="A2437" s="1">
        <v>45676</v>
      </c>
      <c r="B2437" s="2" t="s">
        <v>34</v>
      </c>
      <c r="C2437" s="2" t="s">
        <v>15</v>
      </c>
      <c r="D2437" s="2" t="s">
        <v>25</v>
      </c>
      <c r="E2437">
        <v>5126</v>
      </c>
      <c r="F2437">
        <v>451</v>
      </c>
      <c r="G2437">
        <v>62</v>
      </c>
      <c r="H2437">
        <v>56.83</v>
      </c>
      <c r="I2437">
        <v>10433.18</v>
      </c>
      <c r="J2437">
        <v>8.8000000000000007</v>
      </c>
      <c r="K2437">
        <v>13.75</v>
      </c>
      <c r="L2437">
        <v>0.92</v>
      </c>
      <c r="M2437">
        <v>183.59</v>
      </c>
      <c r="N2437">
        <v>10376.35</v>
      </c>
    </row>
    <row r="2438" spans="1:14" x14ac:dyDescent="0.2">
      <c r="A2438" s="1">
        <v>45677</v>
      </c>
      <c r="B2438" s="2" t="s">
        <v>14</v>
      </c>
      <c r="C2438" s="2" t="s">
        <v>32</v>
      </c>
      <c r="D2438" s="2" t="s">
        <v>19</v>
      </c>
      <c r="E2438">
        <v>16357</v>
      </c>
      <c r="F2438">
        <v>758</v>
      </c>
      <c r="G2438">
        <v>63</v>
      </c>
      <c r="H2438">
        <v>1362.48</v>
      </c>
      <c r="I2438">
        <v>10963.93</v>
      </c>
      <c r="J2438">
        <v>4.63</v>
      </c>
      <c r="K2438">
        <v>8.31</v>
      </c>
      <c r="L2438">
        <v>21.63</v>
      </c>
      <c r="M2438">
        <v>8.0500000000000007</v>
      </c>
      <c r="N2438">
        <v>9601.4500000000007</v>
      </c>
    </row>
    <row r="2439" spans="1:14" x14ac:dyDescent="0.2">
      <c r="A2439" s="1">
        <v>45677</v>
      </c>
      <c r="B2439" s="2" t="s">
        <v>17</v>
      </c>
      <c r="C2439" s="2" t="s">
        <v>32</v>
      </c>
      <c r="D2439" s="2" t="s">
        <v>36</v>
      </c>
      <c r="E2439">
        <v>14880</v>
      </c>
      <c r="F2439">
        <v>564</v>
      </c>
      <c r="G2439">
        <v>32</v>
      </c>
      <c r="H2439">
        <v>857.06</v>
      </c>
      <c r="I2439">
        <v>4169.88</v>
      </c>
      <c r="J2439">
        <v>3.79</v>
      </c>
      <c r="K2439">
        <v>5.67</v>
      </c>
      <c r="L2439">
        <v>26.78</v>
      </c>
      <c r="M2439">
        <v>4.87</v>
      </c>
      <c r="N2439">
        <v>3312.82</v>
      </c>
    </row>
    <row r="2440" spans="1:14" x14ac:dyDescent="0.2">
      <c r="A2440" s="1">
        <v>45677</v>
      </c>
      <c r="B2440" s="2" t="s">
        <v>20</v>
      </c>
      <c r="C2440" s="2" t="s">
        <v>28</v>
      </c>
      <c r="D2440" s="2" t="s">
        <v>25</v>
      </c>
      <c r="E2440">
        <v>13422</v>
      </c>
      <c r="F2440">
        <v>565</v>
      </c>
      <c r="G2440">
        <v>34</v>
      </c>
      <c r="H2440">
        <v>1138.29</v>
      </c>
      <c r="I2440">
        <v>2547.8200000000002</v>
      </c>
      <c r="J2440">
        <v>4.21</v>
      </c>
      <c r="K2440">
        <v>6.02</v>
      </c>
      <c r="L2440">
        <v>33.479999999999997</v>
      </c>
      <c r="M2440">
        <v>2.2400000000000002</v>
      </c>
      <c r="N2440">
        <v>1409.53</v>
      </c>
    </row>
    <row r="2441" spans="1:14" x14ac:dyDescent="0.2">
      <c r="A2441" s="1">
        <v>45677</v>
      </c>
      <c r="B2441" s="2" t="s">
        <v>23</v>
      </c>
      <c r="C2441" s="2" t="s">
        <v>15</v>
      </c>
      <c r="D2441" s="2" t="s">
        <v>22</v>
      </c>
      <c r="E2441">
        <v>6822</v>
      </c>
      <c r="F2441">
        <v>196</v>
      </c>
      <c r="G2441">
        <v>21</v>
      </c>
      <c r="H2441">
        <v>1918.71</v>
      </c>
      <c r="I2441">
        <v>4238.8599999999997</v>
      </c>
      <c r="J2441">
        <v>2.87</v>
      </c>
      <c r="K2441">
        <v>10.71</v>
      </c>
      <c r="L2441">
        <v>91.37</v>
      </c>
      <c r="M2441">
        <v>2.21</v>
      </c>
      <c r="N2441">
        <v>2320.15</v>
      </c>
    </row>
    <row r="2442" spans="1:14" x14ac:dyDescent="0.2">
      <c r="A2442" s="1">
        <v>45677</v>
      </c>
      <c r="B2442" s="2" t="s">
        <v>24</v>
      </c>
      <c r="C2442" s="2" t="s">
        <v>35</v>
      </c>
      <c r="D2442" s="2" t="s">
        <v>36</v>
      </c>
      <c r="E2442">
        <v>24553</v>
      </c>
      <c r="F2442">
        <v>5851</v>
      </c>
      <c r="G2442">
        <v>722</v>
      </c>
      <c r="H2442">
        <v>213.88</v>
      </c>
      <c r="I2442">
        <v>100703.87</v>
      </c>
      <c r="J2442">
        <v>23.83</v>
      </c>
      <c r="K2442">
        <v>12.34</v>
      </c>
      <c r="L2442">
        <v>0.3</v>
      </c>
      <c r="M2442">
        <v>470.84</v>
      </c>
      <c r="N2442">
        <v>100489.99</v>
      </c>
    </row>
    <row r="2443" spans="1:14" x14ac:dyDescent="0.2">
      <c r="A2443" s="1">
        <v>45677</v>
      </c>
      <c r="B2443" s="2" t="s">
        <v>26</v>
      </c>
      <c r="C2443" s="2" t="s">
        <v>35</v>
      </c>
      <c r="D2443" s="2" t="s">
        <v>19</v>
      </c>
      <c r="E2443">
        <v>41853</v>
      </c>
      <c r="F2443">
        <v>2798</v>
      </c>
      <c r="G2443">
        <v>415</v>
      </c>
      <c r="H2443">
        <v>0</v>
      </c>
      <c r="I2443">
        <v>52212.4</v>
      </c>
      <c r="J2443">
        <v>6.69</v>
      </c>
      <c r="K2443">
        <v>14.83</v>
      </c>
      <c r="L2443">
        <v>0</v>
      </c>
      <c r="M2443">
        <v>0</v>
      </c>
      <c r="N2443">
        <v>52212.4</v>
      </c>
    </row>
    <row r="2444" spans="1:14" x14ac:dyDescent="0.2">
      <c r="A2444" s="1">
        <v>45677</v>
      </c>
      <c r="B2444" s="2" t="s">
        <v>27</v>
      </c>
      <c r="C2444" s="2" t="s">
        <v>28</v>
      </c>
      <c r="D2444" s="2" t="s">
        <v>22</v>
      </c>
      <c r="E2444">
        <v>37526</v>
      </c>
      <c r="F2444">
        <v>496</v>
      </c>
      <c r="G2444">
        <v>12</v>
      </c>
      <c r="H2444">
        <v>1149.58</v>
      </c>
      <c r="I2444">
        <v>1243.43</v>
      </c>
      <c r="J2444">
        <v>1.32</v>
      </c>
      <c r="K2444">
        <v>2.42</v>
      </c>
      <c r="L2444">
        <v>95.8</v>
      </c>
      <c r="M2444">
        <v>1.08</v>
      </c>
      <c r="N2444">
        <v>93.85</v>
      </c>
    </row>
    <row r="2445" spans="1:14" x14ac:dyDescent="0.2">
      <c r="A2445" s="1">
        <v>45677</v>
      </c>
      <c r="B2445" s="2" t="s">
        <v>29</v>
      </c>
      <c r="C2445" s="2" t="s">
        <v>21</v>
      </c>
      <c r="D2445" s="2" t="s">
        <v>36</v>
      </c>
      <c r="E2445">
        <v>23948</v>
      </c>
      <c r="F2445">
        <v>387</v>
      </c>
      <c r="G2445">
        <v>21</v>
      </c>
      <c r="H2445">
        <v>1170.5999999999999</v>
      </c>
      <c r="I2445">
        <v>2842.62</v>
      </c>
      <c r="J2445">
        <v>1.62</v>
      </c>
      <c r="K2445">
        <v>5.43</v>
      </c>
      <c r="L2445">
        <v>55.74</v>
      </c>
      <c r="M2445">
        <v>2.4300000000000002</v>
      </c>
      <c r="N2445">
        <v>1672.02</v>
      </c>
    </row>
    <row r="2446" spans="1:14" x14ac:dyDescent="0.2">
      <c r="A2446" s="1">
        <v>45677</v>
      </c>
      <c r="B2446" s="2" t="s">
        <v>30</v>
      </c>
      <c r="C2446" s="2" t="s">
        <v>32</v>
      </c>
      <c r="D2446" s="2" t="s">
        <v>25</v>
      </c>
      <c r="E2446">
        <v>13641</v>
      </c>
      <c r="F2446">
        <v>291</v>
      </c>
      <c r="G2446">
        <v>13</v>
      </c>
      <c r="H2446">
        <v>746.46</v>
      </c>
      <c r="I2446">
        <v>1440.06</v>
      </c>
      <c r="J2446">
        <v>2.13</v>
      </c>
      <c r="K2446">
        <v>4.47</v>
      </c>
      <c r="L2446">
        <v>57.42</v>
      </c>
      <c r="M2446">
        <v>1.93</v>
      </c>
      <c r="N2446">
        <v>693.6</v>
      </c>
    </row>
    <row r="2447" spans="1:14" x14ac:dyDescent="0.2">
      <c r="A2447" s="1">
        <v>45677</v>
      </c>
      <c r="B2447" s="2" t="s">
        <v>31</v>
      </c>
      <c r="C2447" s="2" t="s">
        <v>35</v>
      </c>
      <c r="D2447" s="2" t="s">
        <v>25</v>
      </c>
      <c r="E2447">
        <v>30651</v>
      </c>
      <c r="F2447">
        <v>1263</v>
      </c>
      <c r="G2447">
        <v>81</v>
      </c>
      <c r="H2447">
        <v>940.82</v>
      </c>
      <c r="I2447">
        <v>6548.77</v>
      </c>
      <c r="J2447">
        <v>4.12</v>
      </c>
      <c r="K2447">
        <v>6.41</v>
      </c>
      <c r="L2447">
        <v>11.62</v>
      </c>
      <c r="M2447">
        <v>6.96</v>
      </c>
      <c r="N2447">
        <v>5607.95</v>
      </c>
    </row>
    <row r="2448" spans="1:14" x14ac:dyDescent="0.2">
      <c r="A2448" s="1">
        <v>45677</v>
      </c>
      <c r="B2448" s="2" t="s">
        <v>33</v>
      </c>
      <c r="C2448" s="2" t="s">
        <v>35</v>
      </c>
      <c r="D2448" s="2" t="s">
        <v>25</v>
      </c>
      <c r="E2448">
        <v>10136</v>
      </c>
      <c r="F2448">
        <v>432</v>
      </c>
      <c r="G2448">
        <v>34</v>
      </c>
      <c r="H2448">
        <v>764.3</v>
      </c>
      <c r="I2448">
        <v>3280.45</v>
      </c>
      <c r="J2448">
        <v>4.26</v>
      </c>
      <c r="K2448">
        <v>7.87</v>
      </c>
      <c r="L2448">
        <v>22.48</v>
      </c>
      <c r="M2448">
        <v>4.29</v>
      </c>
      <c r="N2448">
        <v>2516.15</v>
      </c>
    </row>
    <row r="2449" spans="1:14" x14ac:dyDescent="0.2">
      <c r="A2449" s="1">
        <v>45677</v>
      </c>
      <c r="B2449" s="2" t="s">
        <v>34</v>
      </c>
      <c r="C2449" s="2" t="s">
        <v>15</v>
      </c>
      <c r="D2449" s="2" t="s">
        <v>22</v>
      </c>
      <c r="E2449">
        <v>5008</v>
      </c>
      <c r="F2449">
        <v>460</v>
      </c>
      <c r="G2449">
        <v>64</v>
      </c>
      <c r="H2449">
        <v>189.58</v>
      </c>
      <c r="I2449">
        <v>8723.26</v>
      </c>
      <c r="J2449">
        <v>9.19</v>
      </c>
      <c r="K2449">
        <v>13.91</v>
      </c>
      <c r="L2449">
        <v>2.96</v>
      </c>
      <c r="M2449">
        <v>46.01</v>
      </c>
      <c r="N2449">
        <v>8533.68</v>
      </c>
    </row>
    <row r="2450" spans="1:14" x14ac:dyDescent="0.2">
      <c r="A2450" s="1">
        <v>45678</v>
      </c>
      <c r="B2450" s="2" t="s">
        <v>14</v>
      </c>
      <c r="C2450" s="2" t="s">
        <v>21</v>
      </c>
      <c r="D2450" s="2" t="s">
        <v>22</v>
      </c>
      <c r="E2450">
        <v>9936</v>
      </c>
      <c r="F2450">
        <v>301</v>
      </c>
      <c r="G2450">
        <v>26</v>
      </c>
      <c r="H2450">
        <v>1682.73</v>
      </c>
      <c r="I2450">
        <v>3390.89</v>
      </c>
      <c r="J2450">
        <v>3.03</v>
      </c>
      <c r="K2450">
        <v>8.64</v>
      </c>
      <c r="L2450">
        <v>64.72</v>
      </c>
      <c r="M2450">
        <v>2.02</v>
      </c>
      <c r="N2450">
        <v>1708.16</v>
      </c>
    </row>
    <row r="2451" spans="1:14" x14ac:dyDescent="0.2">
      <c r="A2451" s="1">
        <v>45678</v>
      </c>
      <c r="B2451" s="2" t="s">
        <v>17</v>
      </c>
      <c r="C2451" s="2" t="s">
        <v>32</v>
      </c>
      <c r="D2451" s="2" t="s">
        <v>19</v>
      </c>
      <c r="E2451">
        <v>17625</v>
      </c>
      <c r="F2451">
        <v>489</v>
      </c>
      <c r="G2451">
        <v>36</v>
      </c>
      <c r="H2451">
        <v>766.45</v>
      </c>
      <c r="I2451">
        <v>3416.08</v>
      </c>
      <c r="J2451">
        <v>2.77</v>
      </c>
      <c r="K2451">
        <v>7.36</v>
      </c>
      <c r="L2451">
        <v>21.29</v>
      </c>
      <c r="M2451">
        <v>4.46</v>
      </c>
      <c r="N2451">
        <v>2649.63</v>
      </c>
    </row>
    <row r="2452" spans="1:14" x14ac:dyDescent="0.2">
      <c r="A2452" s="1">
        <v>45678</v>
      </c>
      <c r="B2452" s="2" t="s">
        <v>20</v>
      </c>
      <c r="C2452" s="2" t="s">
        <v>15</v>
      </c>
      <c r="D2452" s="2" t="s">
        <v>19</v>
      </c>
      <c r="E2452">
        <v>14532</v>
      </c>
      <c r="F2452">
        <v>408</v>
      </c>
      <c r="G2452">
        <v>21</v>
      </c>
      <c r="H2452">
        <v>628.19000000000005</v>
      </c>
      <c r="I2452">
        <v>1843.97</v>
      </c>
      <c r="J2452">
        <v>2.81</v>
      </c>
      <c r="K2452">
        <v>5.15</v>
      </c>
      <c r="L2452">
        <v>29.91</v>
      </c>
      <c r="M2452">
        <v>2.94</v>
      </c>
      <c r="N2452">
        <v>1215.78</v>
      </c>
    </row>
    <row r="2453" spans="1:14" x14ac:dyDescent="0.2">
      <c r="A2453" s="1">
        <v>45678</v>
      </c>
      <c r="B2453" s="2" t="s">
        <v>23</v>
      </c>
      <c r="C2453" s="2" t="s">
        <v>15</v>
      </c>
      <c r="D2453" s="2" t="s">
        <v>22</v>
      </c>
      <c r="E2453">
        <v>4524</v>
      </c>
      <c r="F2453">
        <v>103</v>
      </c>
      <c r="G2453">
        <v>13</v>
      </c>
      <c r="H2453">
        <v>1286.24</v>
      </c>
      <c r="I2453">
        <v>3310.16</v>
      </c>
      <c r="J2453">
        <v>2.2799999999999998</v>
      </c>
      <c r="K2453">
        <v>12.62</v>
      </c>
      <c r="L2453">
        <v>98.94</v>
      </c>
      <c r="M2453">
        <v>2.57</v>
      </c>
      <c r="N2453">
        <v>2023.92</v>
      </c>
    </row>
    <row r="2454" spans="1:14" x14ac:dyDescent="0.2">
      <c r="A2454" s="1">
        <v>45678</v>
      </c>
      <c r="B2454" s="2" t="s">
        <v>24</v>
      </c>
      <c r="C2454" s="2" t="s">
        <v>15</v>
      </c>
      <c r="D2454" s="2" t="s">
        <v>22</v>
      </c>
      <c r="E2454">
        <v>21524</v>
      </c>
      <c r="F2454">
        <v>5181</v>
      </c>
      <c r="G2454">
        <v>565</v>
      </c>
      <c r="H2454">
        <v>121.71</v>
      </c>
      <c r="I2454">
        <v>68089.259999999995</v>
      </c>
      <c r="J2454">
        <v>24.07</v>
      </c>
      <c r="K2454">
        <v>10.91</v>
      </c>
      <c r="L2454">
        <v>0.22</v>
      </c>
      <c r="M2454">
        <v>559.44000000000005</v>
      </c>
      <c r="N2454">
        <v>67967.55</v>
      </c>
    </row>
    <row r="2455" spans="1:14" x14ac:dyDescent="0.2">
      <c r="A2455" s="1">
        <v>45678</v>
      </c>
      <c r="B2455" s="2" t="s">
        <v>26</v>
      </c>
      <c r="C2455" s="2" t="s">
        <v>32</v>
      </c>
      <c r="D2455" s="2" t="s">
        <v>25</v>
      </c>
      <c r="E2455">
        <v>25419</v>
      </c>
      <c r="F2455">
        <v>1470</v>
      </c>
      <c r="G2455">
        <v>183</v>
      </c>
      <c r="H2455">
        <v>0</v>
      </c>
      <c r="I2455">
        <v>17031.810000000001</v>
      </c>
      <c r="J2455">
        <v>5.78</v>
      </c>
      <c r="K2455">
        <v>12.45</v>
      </c>
      <c r="L2455">
        <v>0</v>
      </c>
      <c r="M2455">
        <v>0</v>
      </c>
      <c r="N2455">
        <v>17031.810000000001</v>
      </c>
    </row>
    <row r="2456" spans="1:14" x14ac:dyDescent="0.2">
      <c r="A2456" s="1">
        <v>45678</v>
      </c>
      <c r="B2456" s="2" t="s">
        <v>27</v>
      </c>
      <c r="C2456" s="2" t="s">
        <v>15</v>
      </c>
      <c r="D2456" s="2" t="s">
        <v>19</v>
      </c>
      <c r="E2456">
        <v>38096</v>
      </c>
      <c r="F2456">
        <v>595</v>
      </c>
      <c r="G2456">
        <v>21</v>
      </c>
      <c r="H2456">
        <v>935.53</v>
      </c>
      <c r="I2456">
        <v>2256.59</v>
      </c>
      <c r="J2456">
        <v>1.56</v>
      </c>
      <c r="K2456">
        <v>3.53</v>
      </c>
      <c r="L2456">
        <v>44.55</v>
      </c>
      <c r="M2456">
        <v>2.41</v>
      </c>
      <c r="N2456">
        <v>1321.06</v>
      </c>
    </row>
    <row r="2457" spans="1:14" x14ac:dyDescent="0.2">
      <c r="A2457" s="1">
        <v>45678</v>
      </c>
      <c r="B2457" s="2" t="s">
        <v>29</v>
      </c>
      <c r="C2457" s="2" t="s">
        <v>15</v>
      </c>
      <c r="D2457" s="2" t="s">
        <v>16</v>
      </c>
      <c r="E2457">
        <v>28905</v>
      </c>
      <c r="F2457">
        <v>638</v>
      </c>
      <c r="G2457">
        <v>32</v>
      </c>
      <c r="H2457">
        <v>1197.04</v>
      </c>
      <c r="I2457">
        <v>3361.83</v>
      </c>
      <c r="J2457">
        <v>2.21</v>
      </c>
      <c r="K2457">
        <v>5.0199999999999996</v>
      </c>
      <c r="L2457">
        <v>37.409999999999997</v>
      </c>
      <c r="M2457">
        <v>2.81</v>
      </c>
      <c r="N2457">
        <v>2164.79</v>
      </c>
    </row>
    <row r="2458" spans="1:14" x14ac:dyDescent="0.2">
      <c r="A2458" s="1">
        <v>45678</v>
      </c>
      <c r="B2458" s="2" t="s">
        <v>30</v>
      </c>
      <c r="C2458" s="2" t="s">
        <v>35</v>
      </c>
      <c r="D2458" s="2" t="s">
        <v>25</v>
      </c>
      <c r="E2458">
        <v>12943</v>
      </c>
      <c r="F2458">
        <v>295</v>
      </c>
      <c r="G2458">
        <v>9</v>
      </c>
      <c r="H2458">
        <v>914.52</v>
      </c>
      <c r="I2458">
        <v>850.36</v>
      </c>
      <c r="J2458">
        <v>2.2799999999999998</v>
      </c>
      <c r="K2458">
        <v>3.05</v>
      </c>
      <c r="L2458">
        <v>101.61</v>
      </c>
      <c r="M2458">
        <v>0.93</v>
      </c>
      <c r="N2458">
        <v>-64.16</v>
      </c>
    </row>
    <row r="2459" spans="1:14" x14ac:dyDescent="0.2">
      <c r="A2459" s="1">
        <v>45678</v>
      </c>
      <c r="B2459" s="2" t="s">
        <v>31</v>
      </c>
      <c r="C2459" s="2" t="s">
        <v>28</v>
      </c>
      <c r="D2459" s="2" t="s">
        <v>25</v>
      </c>
      <c r="E2459">
        <v>30602</v>
      </c>
      <c r="F2459">
        <v>938</v>
      </c>
      <c r="G2459">
        <v>31</v>
      </c>
      <c r="H2459">
        <v>1143.95</v>
      </c>
      <c r="I2459">
        <v>2794.56</v>
      </c>
      <c r="J2459">
        <v>3.07</v>
      </c>
      <c r="K2459">
        <v>3.3</v>
      </c>
      <c r="L2459">
        <v>36.9</v>
      </c>
      <c r="M2459">
        <v>2.44</v>
      </c>
      <c r="N2459">
        <v>1650.61</v>
      </c>
    </row>
    <row r="2460" spans="1:14" x14ac:dyDescent="0.2">
      <c r="A2460" s="1">
        <v>45678</v>
      </c>
      <c r="B2460" s="2" t="s">
        <v>33</v>
      </c>
      <c r="C2460" s="2" t="s">
        <v>32</v>
      </c>
      <c r="D2460" s="2" t="s">
        <v>36</v>
      </c>
      <c r="E2460">
        <v>6602</v>
      </c>
      <c r="F2460">
        <v>320</v>
      </c>
      <c r="G2460">
        <v>25</v>
      </c>
      <c r="H2460">
        <v>445.61</v>
      </c>
      <c r="I2460">
        <v>3221.87</v>
      </c>
      <c r="J2460">
        <v>4.8499999999999996</v>
      </c>
      <c r="K2460">
        <v>7.81</v>
      </c>
      <c r="L2460">
        <v>17.82</v>
      </c>
      <c r="M2460">
        <v>7.23</v>
      </c>
      <c r="N2460">
        <v>2776.26</v>
      </c>
    </row>
    <row r="2461" spans="1:14" x14ac:dyDescent="0.2">
      <c r="A2461" s="1">
        <v>45678</v>
      </c>
      <c r="B2461" s="2" t="s">
        <v>34</v>
      </c>
      <c r="C2461" s="2" t="s">
        <v>15</v>
      </c>
      <c r="D2461" s="2" t="s">
        <v>25</v>
      </c>
      <c r="E2461">
        <v>6888</v>
      </c>
      <c r="F2461">
        <v>368</v>
      </c>
      <c r="G2461">
        <v>62</v>
      </c>
      <c r="H2461">
        <v>203.77</v>
      </c>
      <c r="I2461">
        <v>8860.84</v>
      </c>
      <c r="J2461">
        <v>5.34</v>
      </c>
      <c r="K2461">
        <v>16.850000000000001</v>
      </c>
      <c r="L2461">
        <v>3.29</v>
      </c>
      <c r="M2461">
        <v>43.48</v>
      </c>
      <c r="N2461">
        <v>8657.07</v>
      </c>
    </row>
    <row r="2462" spans="1:14" x14ac:dyDescent="0.2">
      <c r="A2462" s="1">
        <v>45679</v>
      </c>
      <c r="B2462" s="2" t="s">
        <v>14</v>
      </c>
      <c r="C2462" s="2" t="s">
        <v>35</v>
      </c>
      <c r="D2462" s="2" t="s">
        <v>36</v>
      </c>
      <c r="E2462">
        <v>13586</v>
      </c>
      <c r="F2462">
        <v>667</v>
      </c>
      <c r="G2462">
        <v>55</v>
      </c>
      <c r="H2462">
        <v>1426.06</v>
      </c>
      <c r="I2462">
        <v>7647.31</v>
      </c>
      <c r="J2462">
        <v>4.91</v>
      </c>
      <c r="K2462">
        <v>8.25</v>
      </c>
      <c r="L2462">
        <v>25.93</v>
      </c>
      <c r="M2462">
        <v>5.36</v>
      </c>
      <c r="N2462">
        <v>6221.25</v>
      </c>
    </row>
    <row r="2463" spans="1:14" x14ac:dyDescent="0.2">
      <c r="A2463" s="1">
        <v>45679</v>
      </c>
      <c r="B2463" s="2" t="s">
        <v>17</v>
      </c>
      <c r="C2463" s="2" t="s">
        <v>18</v>
      </c>
      <c r="D2463" s="2" t="s">
        <v>25</v>
      </c>
      <c r="E2463">
        <v>16678</v>
      </c>
      <c r="F2463">
        <v>453</v>
      </c>
      <c r="G2463">
        <v>26</v>
      </c>
      <c r="H2463">
        <v>873</v>
      </c>
      <c r="I2463">
        <v>3762.86</v>
      </c>
      <c r="J2463">
        <v>2.72</v>
      </c>
      <c r="K2463">
        <v>5.74</v>
      </c>
      <c r="L2463">
        <v>33.58</v>
      </c>
      <c r="M2463">
        <v>4.3099999999999996</v>
      </c>
      <c r="N2463">
        <v>2889.86</v>
      </c>
    </row>
    <row r="2464" spans="1:14" x14ac:dyDescent="0.2">
      <c r="A2464" s="1">
        <v>45679</v>
      </c>
      <c r="B2464" s="2" t="s">
        <v>20</v>
      </c>
      <c r="C2464" s="2" t="s">
        <v>18</v>
      </c>
      <c r="D2464" s="2" t="s">
        <v>16</v>
      </c>
      <c r="E2464">
        <v>17132</v>
      </c>
      <c r="F2464">
        <v>591</v>
      </c>
      <c r="G2464">
        <v>43</v>
      </c>
      <c r="H2464">
        <v>946.65</v>
      </c>
      <c r="I2464">
        <v>4276.5</v>
      </c>
      <c r="J2464">
        <v>3.45</v>
      </c>
      <c r="K2464">
        <v>7.28</v>
      </c>
      <c r="L2464">
        <v>22.02</v>
      </c>
      <c r="M2464">
        <v>4.5199999999999996</v>
      </c>
      <c r="N2464">
        <v>3329.85</v>
      </c>
    </row>
    <row r="2465" spans="1:14" x14ac:dyDescent="0.2">
      <c r="A2465" s="1">
        <v>45679</v>
      </c>
      <c r="B2465" s="2" t="s">
        <v>23</v>
      </c>
      <c r="C2465" s="2" t="s">
        <v>28</v>
      </c>
      <c r="D2465" s="2" t="s">
        <v>22</v>
      </c>
      <c r="E2465">
        <v>5324</v>
      </c>
      <c r="F2465">
        <v>85</v>
      </c>
      <c r="G2465">
        <v>10</v>
      </c>
      <c r="H2465">
        <v>2082.42</v>
      </c>
      <c r="I2465">
        <v>3476.64</v>
      </c>
      <c r="J2465">
        <v>1.6</v>
      </c>
      <c r="K2465">
        <v>11.76</v>
      </c>
      <c r="L2465">
        <v>208.24</v>
      </c>
      <c r="M2465">
        <v>1.67</v>
      </c>
      <c r="N2465">
        <v>1394.22</v>
      </c>
    </row>
    <row r="2466" spans="1:14" x14ac:dyDescent="0.2">
      <c r="A2466" s="1">
        <v>45679</v>
      </c>
      <c r="B2466" s="2" t="s">
        <v>24</v>
      </c>
      <c r="C2466" s="2" t="s">
        <v>18</v>
      </c>
      <c r="D2466" s="2" t="s">
        <v>16</v>
      </c>
      <c r="E2466">
        <v>22888</v>
      </c>
      <c r="F2466">
        <v>4612</v>
      </c>
      <c r="G2466">
        <v>543</v>
      </c>
      <c r="H2466">
        <v>301.83999999999997</v>
      </c>
      <c r="I2466">
        <v>73021.2</v>
      </c>
      <c r="J2466">
        <v>20.149999999999999</v>
      </c>
      <c r="K2466">
        <v>11.77</v>
      </c>
      <c r="L2466">
        <v>0.56000000000000005</v>
      </c>
      <c r="M2466">
        <v>241.92</v>
      </c>
      <c r="N2466">
        <v>72719.360000000001</v>
      </c>
    </row>
    <row r="2467" spans="1:14" x14ac:dyDescent="0.2">
      <c r="A2467" s="1">
        <v>45679</v>
      </c>
      <c r="B2467" s="2" t="s">
        <v>26</v>
      </c>
      <c r="C2467" s="2" t="s">
        <v>21</v>
      </c>
      <c r="D2467" s="2" t="s">
        <v>19</v>
      </c>
      <c r="E2467">
        <v>24667</v>
      </c>
      <c r="F2467">
        <v>1543</v>
      </c>
      <c r="G2467">
        <v>199</v>
      </c>
      <c r="H2467">
        <v>0</v>
      </c>
      <c r="I2467">
        <v>18973.439999999999</v>
      </c>
      <c r="J2467">
        <v>6.26</v>
      </c>
      <c r="K2467">
        <v>12.9</v>
      </c>
      <c r="L2467">
        <v>0</v>
      </c>
      <c r="M2467">
        <v>0</v>
      </c>
      <c r="N2467">
        <v>18973.439999999999</v>
      </c>
    </row>
    <row r="2468" spans="1:14" x14ac:dyDescent="0.2">
      <c r="A2468" s="1">
        <v>45679</v>
      </c>
      <c r="B2468" s="2" t="s">
        <v>27</v>
      </c>
      <c r="C2468" s="2" t="s">
        <v>21</v>
      </c>
      <c r="D2468" s="2" t="s">
        <v>19</v>
      </c>
      <c r="E2468">
        <v>34836</v>
      </c>
      <c r="F2468">
        <v>584</v>
      </c>
      <c r="G2468">
        <v>15</v>
      </c>
      <c r="H2468">
        <v>986.9</v>
      </c>
      <c r="I2468">
        <v>1615.16</v>
      </c>
      <c r="J2468">
        <v>1.68</v>
      </c>
      <c r="K2468">
        <v>2.57</v>
      </c>
      <c r="L2468">
        <v>65.790000000000006</v>
      </c>
      <c r="M2468">
        <v>1.64</v>
      </c>
      <c r="N2468">
        <v>628.26</v>
      </c>
    </row>
    <row r="2469" spans="1:14" x14ac:dyDescent="0.2">
      <c r="A2469" s="1">
        <v>45679</v>
      </c>
      <c r="B2469" s="2" t="s">
        <v>29</v>
      </c>
      <c r="C2469" s="2" t="s">
        <v>15</v>
      </c>
      <c r="D2469" s="2" t="s">
        <v>19</v>
      </c>
      <c r="E2469">
        <v>24805</v>
      </c>
      <c r="F2469">
        <v>588</v>
      </c>
      <c r="G2469">
        <v>30</v>
      </c>
      <c r="H2469">
        <v>1562.52</v>
      </c>
      <c r="I2469">
        <v>3675.71</v>
      </c>
      <c r="J2469">
        <v>2.37</v>
      </c>
      <c r="K2469">
        <v>5.0999999999999996</v>
      </c>
      <c r="L2469">
        <v>52.08</v>
      </c>
      <c r="M2469">
        <v>2.35</v>
      </c>
      <c r="N2469">
        <v>2113.19</v>
      </c>
    </row>
    <row r="2470" spans="1:14" x14ac:dyDescent="0.2">
      <c r="A2470" s="1">
        <v>45679</v>
      </c>
      <c r="B2470" s="2" t="s">
        <v>30</v>
      </c>
      <c r="C2470" s="2" t="s">
        <v>21</v>
      </c>
      <c r="D2470" s="2" t="s">
        <v>16</v>
      </c>
      <c r="E2470">
        <v>12649</v>
      </c>
      <c r="F2470">
        <v>367</v>
      </c>
      <c r="G2470">
        <v>20</v>
      </c>
      <c r="H2470">
        <v>487.8</v>
      </c>
      <c r="I2470">
        <v>2303.6</v>
      </c>
      <c r="J2470">
        <v>2.9</v>
      </c>
      <c r="K2470">
        <v>5.45</v>
      </c>
      <c r="L2470">
        <v>24.39</v>
      </c>
      <c r="M2470">
        <v>4.72</v>
      </c>
      <c r="N2470">
        <v>1815.8</v>
      </c>
    </row>
    <row r="2471" spans="1:14" x14ac:dyDescent="0.2">
      <c r="A2471" s="1">
        <v>45679</v>
      </c>
      <c r="B2471" s="2" t="s">
        <v>31</v>
      </c>
      <c r="C2471" s="2" t="s">
        <v>15</v>
      </c>
      <c r="D2471" s="2" t="s">
        <v>19</v>
      </c>
      <c r="E2471">
        <v>32686</v>
      </c>
      <c r="F2471">
        <v>1434</v>
      </c>
      <c r="G2471">
        <v>63</v>
      </c>
      <c r="H2471">
        <v>1121.77</v>
      </c>
      <c r="I2471">
        <v>5540.49</v>
      </c>
      <c r="J2471">
        <v>4.3899999999999997</v>
      </c>
      <c r="K2471">
        <v>4.3899999999999997</v>
      </c>
      <c r="L2471">
        <v>17.809999999999999</v>
      </c>
      <c r="M2471">
        <v>4.9400000000000004</v>
      </c>
      <c r="N2471">
        <v>4418.72</v>
      </c>
    </row>
    <row r="2472" spans="1:14" x14ac:dyDescent="0.2">
      <c r="A2472" s="1">
        <v>45679</v>
      </c>
      <c r="B2472" s="2" t="s">
        <v>33</v>
      </c>
      <c r="C2472" s="2" t="s">
        <v>21</v>
      </c>
      <c r="D2472" s="2" t="s">
        <v>25</v>
      </c>
      <c r="E2472">
        <v>11636</v>
      </c>
      <c r="F2472">
        <v>634</v>
      </c>
      <c r="G2472">
        <v>57</v>
      </c>
      <c r="H2472">
        <v>690.02</v>
      </c>
      <c r="I2472">
        <v>7534.19</v>
      </c>
      <c r="J2472">
        <v>5.45</v>
      </c>
      <c r="K2472">
        <v>8.99</v>
      </c>
      <c r="L2472">
        <v>12.11</v>
      </c>
      <c r="M2472">
        <v>10.92</v>
      </c>
      <c r="N2472">
        <v>6844.17</v>
      </c>
    </row>
    <row r="2473" spans="1:14" x14ac:dyDescent="0.2">
      <c r="A2473" s="1">
        <v>45679</v>
      </c>
      <c r="B2473" s="2" t="s">
        <v>34</v>
      </c>
      <c r="C2473" s="2" t="s">
        <v>18</v>
      </c>
      <c r="D2473" s="2" t="s">
        <v>19</v>
      </c>
      <c r="E2473">
        <v>4239</v>
      </c>
      <c r="F2473">
        <v>352</v>
      </c>
      <c r="G2473">
        <v>56</v>
      </c>
      <c r="H2473">
        <v>140.1</v>
      </c>
      <c r="I2473">
        <v>9598.81</v>
      </c>
      <c r="J2473">
        <v>8.3000000000000007</v>
      </c>
      <c r="K2473">
        <v>15.91</v>
      </c>
      <c r="L2473">
        <v>2.5</v>
      </c>
      <c r="M2473">
        <v>68.510000000000005</v>
      </c>
      <c r="N2473">
        <v>9458.7099999999991</v>
      </c>
    </row>
    <row r="2474" spans="1:14" x14ac:dyDescent="0.2">
      <c r="A2474" s="1">
        <v>45680</v>
      </c>
      <c r="B2474" s="2" t="s">
        <v>14</v>
      </c>
      <c r="C2474" s="2" t="s">
        <v>28</v>
      </c>
      <c r="D2474" s="2" t="s">
        <v>16</v>
      </c>
      <c r="E2474">
        <v>14910</v>
      </c>
      <c r="F2474">
        <v>673</v>
      </c>
      <c r="G2474">
        <v>60</v>
      </c>
      <c r="H2474">
        <v>1246.76</v>
      </c>
      <c r="I2474">
        <v>10811.49</v>
      </c>
      <c r="J2474">
        <v>4.51</v>
      </c>
      <c r="K2474">
        <v>8.92</v>
      </c>
      <c r="L2474">
        <v>20.78</v>
      </c>
      <c r="M2474">
        <v>8.67</v>
      </c>
      <c r="N2474">
        <v>9564.73</v>
      </c>
    </row>
    <row r="2475" spans="1:14" x14ac:dyDescent="0.2">
      <c r="A2475" s="1">
        <v>45680</v>
      </c>
      <c r="B2475" s="2" t="s">
        <v>17</v>
      </c>
      <c r="C2475" s="2" t="s">
        <v>32</v>
      </c>
      <c r="D2475" s="2" t="s">
        <v>25</v>
      </c>
      <c r="E2475">
        <v>18055</v>
      </c>
      <c r="F2475">
        <v>562</v>
      </c>
      <c r="G2475">
        <v>36</v>
      </c>
      <c r="H2475">
        <v>1227.58</v>
      </c>
      <c r="I2475">
        <v>5054.16</v>
      </c>
      <c r="J2475">
        <v>3.11</v>
      </c>
      <c r="K2475">
        <v>6.41</v>
      </c>
      <c r="L2475">
        <v>34.1</v>
      </c>
      <c r="M2475">
        <v>4.12</v>
      </c>
      <c r="N2475">
        <v>3826.58</v>
      </c>
    </row>
    <row r="2476" spans="1:14" x14ac:dyDescent="0.2">
      <c r="A2476" s="1">
        <v>45680</v>
      </c>
      <c r="B2476" s="2" t="s">
        <v>20</v>
      </c>
      <c r="C2476" s="2" t="s">
        <v>21</v>
      </c>
      <c r="D2476" s="2" t="s">
        <v>25</v>
      </c>
      <c r="E2476">
        <v>15901</v>
      </c>
      <c r="F2476">
        <v>688</v>
      </c>
      <c r="G2476">
        <v>44</v>
      </c>
      <c r="H2476">
        <v>1127.53</v>
      </c>
      <c r="I2476">
        <v>3986.17</v>
      </c>
      <c r="J2476">
        <v>4.33</v>
      </c>
      <c r="K2476">
        <v>6.4</v>
      </c>
      <c r="L2476">
        <v>25.63</v>
      </c>
      <c r="M2476">
        <v>3.54</v>
      </c>
      <c r="N2476">
        <v>2858.64</v>
      </c>
    </row>
    <row r="2477" spans="1:14" x14ac:dyDescent="0.2">
      <c r="A2477" s="1">
        <v>45680</v>
      </c>
      <c r="B2477" s="2" t="s">
        <v>23</v>
      </c>
      <c r="C2477" s="2" t="s">
        <v>28</v>
      </c>
      <c r="D2477" s="2" t="s">
        <v>22</v>
      </c>
      <c r="E2477">
        <v>7136</v>
      </c>
      <c r="F2477">
        <v>135</v>
      </c>
      <c r="G2477">
        <v>15</v>
      </c>
      <c r="H2477">
        <v>1676.89</v>
      </c>
      <c r="I2477">
        <v>4506.29</v>
      </c>
      <c r="J2477">
        <v>1.89</v>
      </c>
      <c r="K2477">
        <v>11.11</v>
      </c>
      <c r="L2477">
        <v>111.79</v>
      </c>
      <c r="M2477">
        <v>2.69</v>
      </c>
      <c r="N2477">
        <v>2829.4</v>
      </c>
    </row>
    <row r="2478" spans="1:14" x14ac:dyDescent="0.2">
      <c r="A2478" s="1">
        <v>45680</v>
      </c>
      <c r="B2478" s="2" t="s">
        <v>24</v>
      </c>
      <c r="C2478" s="2" t="s">
        <v>32</v>
      </c>
      <c r="D2478" s="2" t="s">
        <v>19</v>
      </c>
      <c r="E2478">
        <v>26539</v>
      </c>
      <c r="F2478">
        <v>4089</v>
      </c>
      <c r="G2478">
        <v>463</v>
      </c>
      <c r="H2478">
        <v>183.43</v>
      </c>
      <c r="I2478">
        <v>75050.97</v>
      </c>
      <c r="J2478">
        <v>15.41</v>
      </c>
      <c r="K2478">
        <v>11.32</v>
      </c>
      <c r="L2478">
        <v>0.4</v>
      </c>
      <c r="M2478">
        <v>409.15</v>
      </c>
      <c r="N2478">
        <v>74867.539999999994</v>
      </c>
    </row>
    <row r="2479" spans="1:14" x14ac:dyDescent="0.2">
      <c r="A2479" s="1">
        <v>45680</v>
      </c>
      <c r="B2479" s="2" t="s">
        <v>26</v>
      </c>
      <c r="C2479" s="2" t="s">
        <v>15</v>
      </c>
      <c r="D2479" s="2" t="s">
        <v>16</v>
      </c>
      <c r="E2479">
        <v>29227</v>
      </c>
      <c r="F2479">
        <v>1177</v>
      </c>
      <c r="G2479">
        <v>157</v>
      </c>
      <c r="H2479">
        <v>0</v>
      </c>
      <c r="I2479">
        <v>22045.07</v>
      </c>
      <c r="J2479">
        <v>4.03</v>
      </c>
      <c r="K2479">
        <v>13.34</v>
      </c>
      <c r="L2479">
        <v>0</v>
      </c>
      <c r="M2479">
        <v>0</v>
      </c>
      <c r="N2479">
        <v>22045.07</v>
      </c>
    </row>
    <row r="2480" spans="1:14" x14ac:dyDescent="0.2">
      <c r="A2480" s="1">
        <v>45680</v>
      </c>
      <c r="B2480" s="2" t="s">
        <v>27</v>
      </c>
      <c r="C2480" s="2" t="s">
        <v>28</v>
      </c>
      <c r="D2480" s="2" t="s">
        <v>36</v>
      </c>
      <c r="E2480">
        <v>41179</v>
      </c>
      <c r="F2480">
        <v>751</v>
      </c>
      <c r="G2480">
        <v>32</v>
      </c>
      <c r="H2480">
        <v>859.52</v>
      </c>
      <c r="I2480">
        <v>3236.66</v>
      </c>
      <c r="J2480">
        <v>1.82</v>
      </c>
      <c r="K2480">
        <v>4.26</v>
      </c>
      <c r="L2480">
        <v>26.86</v>
      </c>
      <c r="M2480">
        <v>3.77</v>
      </c>
      <c r="N2480">
        <v>2377.14</v>
      </c>
    </row>
    <row r="2481" spans="1:14" x14ac:dyDescent="0.2">
      <c r="A2481" s="1">
        <v>45680</v>
      </c>
      <c r="B2481" s="2" t="s">
        <v>29</v>
      </c>
      <c r="C2481" s="2" t="s">
        <v>28</v>
      </c>
      <c r="D2481" s="2" t="s">
        <v>19</v>
      </c>
      <c r="E2481">
        <v>22144</v>
      </c>
      <c r="F2481">
        <v>368</v>
      </c>
      <c r="G2481">
        <v>19</v>
      </c>
      <c r="H2481">
        <v>1539.99</v>
      </c>
      <c r="I2481">
        <v>2245.44</v>
      </c>
      <c r="J2481">
        <v>1.66</v>
      </c>
      <c r="K2481">
        <v>5.16</v>
      </c>
      <c r="L2481">
        <v>81.05</v>
      </c>
      <c r="M2481">
        <v>1.46</v>
      </c>
      <c r="N2481">
        <v>705.45</v>
      </c>
    </row>
    <row r="2482" spans="1:14" x14ac:dyDescent="0.2">
      <c r="A2482" s="1">
        <v>45680</v>
      </c>
      <c r="B2482" s="2" t="s">
        <v>30</v>
      </c>
      <c r="C2482" s="2" t="s">
        <v>32</v>
      </c>
      <c r="D2482" s="2" t="s">
        <v>16</v>
      </c>
      <c r="E2482">
        <v>12832</v>
      </c>
      <c r="F2482">
        <v>260</v>
      </c>
      <c r="G2482">
        <v>14</v>
      </c>
      <c r="H2482">
        <v>705.71</v>
      </c>
      <c r="I2482">
        <v>1264.26</v>
      </c>
      <c r="J2482">
        <v>2.0299999999999998</v>
      </c>
      <c r="K2482">
        <v>5.38</v>
      </c>
      <c r="L2482">
        <v>50.41</v>
      </c>
      <c r="M2482">
        <v>1.79</v>
      </c>
      <c r="N2482">
        <v>558.54999999999995</v>
      </c>
    </row>
    <row r="2483" spans="1:14" x14ac:dyDescent="0.2">
      <c r="A2483" s="1">
        <v>45680</v>
      </c>
      <c r="B2483" s="2" t="s">
        <v>31</v>
      </c>
      <c r="C2483" s="2" t="s">
        <v>18</v>
      </c>
      <c r="D2483" s="2" t="s">
        <v>19</v>
      </c>
      <c r="E2483">
        <v>28824</v>
      </c>
      <c r="F2483">
        <v>922</v>
      </c>
      <c r="G2483">
        <v>51</v>
      </c>
      <c r="H2483">
        <v>1117.75</v>
      </c>
      <c r="I2483">
        <v>4764.87</v>
      </c>
      <c r="J2483">
        <v>3.2</v>
      </c>
      <c r="K2483">
        <v>5.53</v>
      </c>
      <c r="L2483">
        <v>21.92</v>
      </c>
      <c r="M2483">
        <v>4.26</v>
      </c>
      <c r="N2483">
        <v>3647.12</v>
      </c>
    </row>
    <row r="2484" spans="1:14" x14ac:dyDescent="0.2">
      <c r="A2484" s="1">
        <v>45680</v>
      </c>
      <c r="B2484" s="2" t="s">
        <v>33</v>
      </c>
      <c r="C2484" s="2" t="s">
        <v>21</v>
      </c>
      <c r="D2484" s="2" t="s">
        <v>25</v>
      </c>
      <c r="E2484">
        <v>8557</v>
      </c>
      <c r="F2484">
        <v>566</v>
      </c>
      <c r="G2484">
        <v>49</v>
      </c>
      <c r="H2484">
        <v>797.16</v>
      </c>
      <c r="I2484">
        <v>6013.01</v>
      </c>
      <c r="J2484">
        <v>6.61</v>
      </c>
      <c r="K2484">
        <v>8.66</v>
      </c>
      <c r="L2484">
        <v>16.27</v>
      </c>
      <c r="M2484">
        <v>7.54</v>
      </c>
      <c r="N2484">
        <v>5215.8500000000004</v>
      </c>
    </row>
    <row r="2485" spans="1:14" x14ac:dyDescent="0.2">
      <c r="A2485" s="1">
        <v>45680</v>
      </c>
      <c r="B2485" s="2" t="s">
        <v>34</v>
      </c>
      <c r="C2485" s="2" t="s">
        <v>28</v>
      </c>
      <c r="D2485" s="2" t="s">
        <v>22</v>
      </c>
      <c r="E2485">
        <v>3739</v>
      </c>
      <c r="F2485">
        <v>250</v>
      </c>
      <c r="G2485">
        <v>30</v>
      </c>
      <c r="H2485">
        <v>81.03</v>
      </c>
      <c r="I2485">
        <v>4582.7299999999996</v>
      </c>
      <c r="J2485">
        <v>6.69</v>
      </c>
      <c r="K2485">
        <v>12</v>
      </c>
      <c r="L2485">
        <v>2.7</v>
      </c>
      <c r="M2485">
        <v>56.56</v>
      </c>
      <c r="N2485">
        <v>4501.7</v>
      </c>
    </row>
    <row r="2486" spans="1:14" x14ac:dyDescent="0.2">
      <c r="A2486" s="1">
        <v>45681</v>
      </c>
      <c r="B2486" s="2" t="s">
        <v>14</v>
      </c>
      <c r="C2486" s="2" t="s">
        <v>15</v>
      </c>
      <c r="D2486" s="2" t="s">
        <v>19</v>
      </c>
      <c r="E2486">
        <v>12865</v>
      </c>
      <c r="F2486">
        <v>633</v>
      </c>
      <c r="G2486">
        <v>63</v>
      </c>
      <c r="H2486">
        <v>1321.89</v>
      </c>
      <c r="I2486">
        <v>10251.24</v>
      </c>
      <c r="J2486">
        <v>4.92</v>
      </c>
      <c r="K2486">
        <v>9.9499999999999993</v>
      </c>
      <c r="L2486">
        <v>20.98</v>
      </c>
      <c r="M2486">
        <v>7.75</v>
      </c>
      <c r="N2486">
        <v>8929.35</v>
      </c>
    </row>
    <row r="2487" spans="1:14" x14ac:dyDescent="0.2">
      <c r="A2487" s="1">
        <v>45681</v>
      </c>
      <c r="B2487" s="2" t="s">
        <v>17</v>
      </c>
      <c r="C2487" s="2" t="s">
        <v>32</v>
      </c>
      <c r="D2487" s="2" t="s">
        <v>25</v>
      </c>
      <c r="E2487">
        <v>15800</v>
      </c>
      <c r="F2487">
        <v>454</v>
      </c>
      <c r="G2487">
        <v>34</v>
      </c>
      <c r="H2487">
        <v>1012.59</v>
      </c>
      <c r="I2487">
        <v>4512.82</v>
      </c>
      <c r="J2487">
        <v>2.87</v>
      </c>
      <c r="K2487">
        <v>7.49</v>
      </c>
      <c r="L2487">
        <v>29.78</v>
      </c>
      <c r="M2487">
        <v>4.46</v>
      </c>
      <c r="N2487">
        <v>3500.23</v>
      </c>
    </row>
    <row r="2488" spans="1:14" x14ac:dyDescent="0.2">
      <c r="A2488" s="1">
        <v>45681</v>
      </c>
      <c r="B2488" s="2" t="s">
        <v>20</v>
      </c>
      <c r="C2488" s="2" t="s">
        <v>15</v>
      </c>
      <c r="D2488" s="2" t="s">
        <v>25</v>
      </c>
      <c r="E2488">
        <v>13969</v>
      </c>
      <c r="F2488">
        <v>367</v>
      </c>
      <c r="G2488">
        <v>27</v>
      </c>
      <c r="H2488">
        <v>1145.22</v>
      </c>
      <c r="I2488">
        <v>2565.4299999999998</v>
      </c>
      <c r="J2488">
        <v>2.63</v>
      </c>
      <c r="K2488">
        <v>7.36</v>
      </c>
      <c r="L2488">
        <v>42.42</v>
      </c>
      <c r="M2488">
        <v>2.2400000000000002</v>
      </c>
      <c r="N2488">
        <v>1420.21</v>
      </c>
    </row>
    <row r="2489" spans="1:14" x14ac:dyDescent="0.2">
      <c r="A2489" s="1">
        <v>45681</v>
      </c>
      <c r="B2489" s="2" t="s">
        <v>23</v>
      </c>
      <c r="C2489" s="2" t="s">
        <v>21</v>
      </c>
      <c r="D2489" s="2" t="s">
        <v>22</v>
      </c>
      <c r="E2489">
        <v>5533</v>
      </c>
      <c r="F2489">
        <v>92</v>
      </c>
      <c r="G2489">
        <v>9</v>
      </c>
      <c r="H2489">
        <v>1357.78</v>
      </c>
      <c r="I2489">
        <v>1786.04</v>
      </c>
      <c r="J2489">
        <v>1.66</v>
      </c>
      <c r="K2489">
        <v>9.7799999999999994</v>
      </c>
      <c r="L2489">
        <v>150.86000000000001</v>
      </c>
      <c r="M2489">
        <v>1.32</v>
      </c>
      <c r="N2489">
        <v>428.26</v>
      </c>
    </row>
    <row r="2490" spans="1:14" x14ac:dyDescent="0.2">
      <c r="A2490" s="1">
        <v>45681</v>
      </c>
      <c r="B2490" s="2" t="s">
        <v>24</v>
      </c>
      <c r="C2490" s="2" t="s">
        <v>35</v>
      </c>
      <c r="D2490" s="2" t="s">
        <v>36</v>
      </c>
      <c r="E2490">
        <v>24456</v>
      </c>
      <c r="F2490">
        <v>4570</v>
      </c>
      <c r="G2490">
        <v>435</v>
      </c>
      <c r="H2490">
        <v>344.13</v>
      </c>
      <c r="I2490">
        <v>57329.23</v>
      </c>
      <c r="J2490">
        <v>18.690000000000001</v>
      </c>
      <c r="K2490">
        <v>9.52</v>
      </c>
      <c r="L2490">
        <v>0.79</v>
      </c>
      <c r="M2490">
        <v>166.59</v>
      </c>
      <c r="N2490">
        <v>56985.1</v>
      </c>
    </row>
    <row r="2491" spans="1:14" x14ac:dyDescent="0.2">
      <c r="A2491" s="1">
        <v>45681</v>
      </c>
      <c r="B2491" s="2" t="s">
        <v>26</v>
      </c>
      <c r="C2491" s="2" t="s">
        <v>21</v>
      </c>
      <c r="D2491" s="2" t="s">
        <v>16</v>
      </c>
      <c r="E2491">
        <v>41467</v>
      </c>
      <c r="F2491">
        <v>3178</v>
      </c>
      <c r="G2491">
        <v>418</v>
      </c>
      <c r="H2491">
        <v>0</v>
      </c>
      <c r="I2491">
        <v>60810.7</v>
      </c>
      <c r="J2491">
        <v>7.66</v>
      </c>
      <c r="K2491">
        <v>13.15</v>
      </c>
      <c r="L2491">
        <v>0</v>
      </c>
      <c r="M2491">
        <v>0</v>
      </c>
      <c r="N2491">
        <v>60810.7</v>
      </c>
    </row>
    <row r="2492" spans="1:14" x14ac:dyDescent="0.2">
      <c r="A2492" s="1">
        <v>45681</v>
      </c>
      <c r="B2492" s="2" t="s">
        <v>27</v>
      </c>
      <c r="C2492" s="2" t="s">
        <v>21</v>
      </c>
      <c r="D2492" s="2" t="s">
        <v>22</v>
      </c>
      <c r="E2492">
        <v>46858</v>
      </c>
      <c r="F2492">
        <v>909</v>
      </c>
      <c r="G2492">
        <v>38</v>
      </c>
      <c r="H2492">
        <v>1245.97</v>
      </c>
      <c r="I2492">
        <v>3611.24</v>
      </c>
      <c r="J2492">
        <v>1.94</v>
      </c>
      <c r="K2492">
        <v>4.18</v>
      </c>
      <c r="L2492">
        <v>32.79</v>
      </c>
      <c r="M2492">
        <v>2.9</v>
      </c>
      <c r="N2492">
        <v>2365.27</v>
      </c>
    </row>
    <row r="2493" spans="1:14" x14ac:dyDescent="0.2">
      <c r="A2493" s="1">
        <v>45681</v>
      </c>
      <c r="B2493" s="2" t="s">
        <v>29</v>
      </c>
      <c r="C2493" s="2" t="s">
        <v>15</v>
      </c>
      <c r="D2493" s="2" t="s">
        <v>25</v>
      </c>
      <c r="E2493">
        <v>20929</v>
      </c>
      <c r="F2493">
        <v>397</v>
      </c>
      <c r="G2493">
        <v>24</v>
      </c>
      <c r="H2493">
        <v>1252.5</v>
      </c>
      <c r="I2493">
        <v>2751.67</v>
      </c>
      <c r="J2493">
        <v>1.9</v>
      </c>
      <c r="K2493">
        <v>6.05</v>
      </c>
      <c r="L2493">
        <v>52.19</v>
      </c>
      <c r="M2493">
        <v>2.2000000000000002</v>
      </c>
      <c r="N2493">
        <v>1499.17</v>
      </c>
    </row>
    <row r="2494" spans="1:14" x14ac:dyDescent="0.2">
      <c r="A2494" s="1">
        <v>45681</v>
      </c>
      <c r="B2494" s="2" t="s">
        <v>30</v>
      </c>
      <c r="C2494" s="2" t="s">
        <v>18</v>
      </c>
      <c r="D2494" s="2" t="s">
        <v>36</v>
      </c>
      <c r="E2494">
        <v>12573</v>
      </c>
      <c r="F2494">
        <v>283</v>
      </c>
      <c r="G2494">
        <v>9</v>
      </c>
      <c r="H2494">
        <v>618.6</v>
      </c>
      <c r="I2494">
        <v>1023.55</v>
      </c>
      <c r="J2494">
        <v>2.25</v>
      </c>
      <c r="K2494">
        <v>3.18</v>
      </c>
      <c r="L2494">
        <v>68.73</v>
      </c>
      <c r="M2494">
        <v>1.65</v>
      </c>
      <c r="N2494">
        <v>404.95</v>
      </c>
    </row>
    <row r="2495" spans="1:14" x14ac:dyDescent="0.2">
      <c r="A2495" s="1">
        <v>45681</v>
      </c>
      <c r="B2495" s="2" t="s">
        <v>31</v>
      </c>
      <c r="C2495" s="2" t="s">
        <v>18</v>
      </c>
      <c r="D2495" s="2" t="s">
        <v>36</v>
      </c>
      <c r="E2495">
        <v>24590</v>
      </c>
      <c r="F2495">
        <v>778</v>
      </c>
      <c r="G2495">
        <v>39</v>
      </c>
      <c r="H2495">
        <v>1096.5899999999999</v>
      </c>
      <c r="I2495">
        <v>4097.24</v>
      </c>
      <c r="J2495">
        <v>3.16</v>
      </c>
      <c r="K2495">
        <v>5.01</v>
      </c>
      <c r="L2495">
        <v>28.12</v>
      </c>
      <c r="M2495">
        <v>3.74</v>
      </c>
      <c r="N2495">
        <v>3000.65</v>
      </c>
    </row>
    <row r="2496" spans="1:14" x14ac:dyDescent="0.2">
      <c r="A2496" s="1">
        <v>45681</v>
      </c>
      <c r="B2496" s="2" t="s">
        <v>33</v>
      </c>
      <c r="C2496" s="2" t="s">
        <v>35</v>
      </c>
      <c r="D2496" s="2" t="s">
        <v>25</v>
      </c>
      <c r="E2496">
        <v>11152</v>
      </c>
      <c r="F2496">
        <v>673</v>
      </c>
      <c r="G2496">
        <v>61</v>
      </c>
      <c r="H2496">
        <v>710.29</v>
      </c>
      <c r="I2496">
        <v>7946.98</v>
      </c>
      <c r="J2496">
        <v>6.03</v>
      </c>
      <c r="K2496">
        <v>9.06</v>
      </c>
      <c r="L2496">
        <v>11.64</v>
      </c>
      <c r="M2496">
        <v>11.19</v>
      </c>
      <c r="N2496">
        <v>7236.69</v>
      </c>
    </row>
    <row r="2497" spans="1:14" x14ac:dyDescent="0.2">
      <c r="A2497" s="1">
        <v>45681</v>
      </c>
      <c r="B2497" s="2" t="s">
        <v>34</v>
      </c>
      <c r="C2497" s="2" t="s">
        <v>35</v>
      </c>
      <c r="D2497" s="2" t="s">
        <v>22</v>
      </c>
      <c r="E2497">
        <v>4128</v>
      </c>
      <c r="F2497">
        <v>387</v>
      </c>
      <c r="G2497">
        <v>61</v>
      </c>
      <c r="H2497">
        <v>97.18</v>
      </c>
      <c r="I2497">
        <v>9949.82</v>
      </c>
      <c r="J2497">
        <v>9.3800000000000008</v>
      </c>
      <c r="K2497">
        <v>15.76</v>
      </c>
      <c r="L2497">
        <v>1.59</v>
      </c>
      <c r="M2497">
        <v>102.39</v>
      </c>
      <c r="N2497">
        <v>9852.64</v>
      </c>
    </row>
    <row r="2498" spans="1:14" x14ac:dyDescent="0.2">
      <c r="A2498" s="1">
        <v>45682</v>
      </c>
      <c r="B2498" s="2" t="s">
        <v>14</v>
      </c>
      <c r="C2498" s="2" t="s">
        <v>21</v>
      </c>
      <c r="D2498" s="2" t="s">
        <v>25</v>
      </c>
      <c r="E2498">
        <v>10341</v>
      </c>
      <c r="F2498">
        <v>484</v>
      </c>
      <c r="G2498">
        <v>47</v>
      </c>
      <c r="H2498">
        <v>688.09</v>
      </c>
      <c r="I2498">
        <v>5931.49</v>
      </c>
      <c r="J2498">
        <v>4.68</v>
      </c>
      <c r="K2498">
        <v>9.7100000000000009</v>
      </c>
      <c r="L2498">
        <v>14.64</v>
      </c>
      <c r="M2498">
        <v>8.6199999999999992</v>
      </c>
      <c r="N2498">
        <v>5243.4</v>
      </c>
    </row>
    <row r="2499" spans="1:14" x14ac:dyDescent="0.2">
      <c r="A2499" s="1">
        <v>45682</v>
      </c>
      <c r="B2499" s="2" t="s">
        <v>17</v>
      </c>
      <c r="C2499" s="2" t="s">
        <v>35</v>
      </c>
      <c r="D2499" s="2" t="s">
        <v>16</v>
      </c>
      <c r="E2499">
        <v>10154</v>
      </c>
      <c r="F2499">
        <v>277</v>
      </c>
      <c r="G2499">
        <v>15</v>
      </c>
      <c r="H2499">
        <v>869.84</v>
      </c>
      <c r="I2499">
        <v>2220.0300000000002</v>
      </c>
      <c r="J2499">
        <v>2.73</v>
      </c>
      <c r="K2499">
        <v>5.42</v>
      </c>
      <c r="L2499">
        <v>57.99</v>
      </c>
      <c r="M2499">
        <v>2.5499999999999998</v>
      </c>
      <c r="N2499">
        <v>1350.19</v>
      </c>
    </row>
    <row r="2500" spans="1:14" x14ac:dyDescent="0.2">
      <c r="A2500" s="1">
        <v>45682</v>
      </c>
      <c r="B2500" s="2" t="s">
        <v>20</v>
      </c>
      <c r="C2500" s="2" t="s">
        <v>35</v>
      </c>
      <c r="D2500" s="2" t="s">
        <v>36</v>
      </c>
      <c r="E2500">
        <v>13986</v>
      </c>
      <c r="F2500">
        <v>405</v>
      </c>
      <c r="G2500">
        <v>24</v>
      </c>
      <c r="H2500">
        <v>652.70000000000005</v>
      </c>
      <c r="I2500">
        <v>2595.16</v>
      </c>
      <c r="J2500">
        <v>2.9</v>
      </c>
      <c r="K2500">
        <v>5.93</v>
      </c>
      <c r="L2500">
        <v>27.2</v>
      </c>
      <c r="M2500">
        <v>3.98</v>
      </c>
      <c r="N2500">
        <v>1942.46</v>
      </c>
    </row>
    <row r="2501" spans="1:14" x14ac:dyDescent="0.2">
      <c r="A2501" s="1">
        <v>45682</v>
      </c>
      <c r="B2501" s="2" t="s">
        <v>23</v>
      </c>
      <c r="C2501" s="2" t="s">
        <v>15</v>
      </c>
      <c r="D2501" s="2" t="s">
        <v>22</v>
      </c>
      <c r="E2501">
        <v>2945</v>
      </c>
      <c r="F2501">
        <v>69</v>
      </c>
      <c r="G2501">
        <v>7</v>
      </c>
      <c r="H2501">
        <v>1167.0899999999999</v>
      </c>
      <c r="I2501">
        <v>2041.01</v>
      </c>
      <c r="J2501">
        <v>2.34</v>
      </c>
      <c r="K2501">
        <v>10.14</v>
      </c>
      <c r="L2501">
        <v>166.73</v>
      </c>
      <c r="M2501">
        <v>1.75</v>
      </c>
      <c r="N2501">
        <v>873.92</v>
      </c>
    </row>
    <row r="2502" spans="1:14" x14ac:dyDescent="0.2">
      <c r="A2502" s="1">
        <v>45682</v>
      </c>
      <c r="B2502" s="2" t="s">
        <v>24</v>
      </c>
      <c r="C2502" s="2" t="s">
        <v>18</v>
      </c>
      <c r="D2502" s="2" t="s">
        <v>22</v>
      </c>
      <c r="E2502">
        <v>14229</v>
      </c>
      <c r="F2502">
        <v>2436</v>
      </c>
      <c r="G2502">
        <v>215</v>
      </c>
      <c r="H2502">
        <v>88.23</v>
      </c>
      <c r="I2502">
        <v>31138.080000000002</v>
      </c>
      <c r="J2502">
        <v>17.12</v>
      </c>
      <c r="K2502">
        <v>8.83</v>
      </c>
      <c r="L2502">
        <v>0.41</v>
      </c>
      <c r="M2502">
        <v>352.92</v>
      </c>
      <c r="N2502">
        <v>31049.85</v>
      </c>
    </row>
    <row r="2503" spans="1:14" x14ac:dyDescent="0.2">
      <c r="A2503" s="1">
        <v>45682</v>
      </c>
      <c r="B2503" s="2" t="s">
        <v>26</v>
      </c>
      <c r="C2503" s="2" t="s">
        <v>35</v>
      </c>
      <c r="D2503" s="2" t="s">
        <v>25</v>
      </c>
      <c r="E2503">
        <v>28024</v>
      </c>
      <c r="F2503">
        <v>2112</v>
      </c>
      <c r="G2503">
        <v>285</v>
      </c>
      <c r="H2503">
        <v>0</v>
      </c>
      <c r="I2503">
        <v>32491.33</v>
      </c>
      <c r="J2503">
        <v>7.54</v>
      </c>
      <c r="K2503">
        <v>13.49</v>
      </c>
      <c r="L2503">
        <v>0</v>
      </c>
      <c r="M2503">
        <v>0</v>
      </c>
      <c r="N2503">
        <v>32491.33</v>
      </c>
    </row>
    <row r="2504" spans="1:14" x14ac:dyDescent="0.2">
      <c r="A2504" s="1">
        <v>45682</v>
      </c>
      <c r="B2504" s="2" t="s">
        <v>27</v>
      </c>
      <c r="C2504" s="2" t="s">
        <v>18</v>
      </c>
      <c r="D2504" s="2" t="s">
        <v>25</v>
      </c>
      <c r="E2504">
        <v>25178</v>
      </c>
      <c r="F2504">
        <v>420</v>
      </c>
      <c r="G2504">
        <v>11</v>
      </c>
      <c r="H2504">
        <v>614.37</v>
      </c>
      <c r="I2504">
        <v>1074.48</v>
      </c>
      <c r="J2504">
        <v>1.67</v>
      </c>
      <c r="K2504">
        <v>2.62</v>
      </c>
      <c r="L2504">
        <v>55.85</v>
      </c>
      <c r="M2504">
        <v>1.75</v>
      </c>
      <c r="N2504">
        <v>460.11</v>
      </c>
    </row>
    <row r="2505" spans="1:14" x14ac:dyDescent="0.2">
      <c r="A2505" s="1">
        <v>45682</v>
      </c>
      <c r="B2505" s="2" t="s">
        <v>29</v>
      </c>
      <c r="C2505" s="2" t="s">
        <v>15</v>
      </c>
      <c r="D2505" s="2" t="s">
        <v>19</v>
      </c>
      <c r="E2505">
        <v>17634</v>
      </c>
      <c r="F2505">
        <v>456</v>
      </c>
      <c r="G2505">
        <v>30</v>
      </c>
      <c r="H2505">
        <v>1045.93</v>
      </c>
      <c r="I2505">
        <v>4498.5600000000004</v>
      </c>
      <c r="J2505">
        <v>2.59</v>
      </c>
      <c r="K2505">
        <v>6.58</v>
      </c>
      <c r="L2505">
        <v>34.86</v>
      </c>
      <c r="M2505">
        <v>4.3</v>
      </c>
      <c r="N2505">
        <v>3452.63</v>
      </c>
    </row>
    <row r="2506" spans="1:14" x14ac:dyDescent="0.2">
      <c r="A2506" s="1">
        <v>45682</v>
      </c>
      <c r="B2506" s="2" t="s">
        <v>30</v>
      </c>
      <c r="C2506" s="2" t="s">
        <v>28</v>
      </c>
      <c r="D2506" s="2" t="s">
        <v>25</v>
      </c>
      <c r="E2506">
        <v>9331</v>
      </c>
      <c r="F2506">
        <v>309</v>
      </c>
      <c r="G2506">
        <v>10</v>
      </c>
      <c r="H2506">
        <v>609.03</v>
      </c>
      <c r="I2506">
        <v>903.78</v>
      </c>
      <c r="J2506">
        <v>3.31</v>
      </c>
      <c r="K2506">
        <v>3.24</v>
      </c>
      <c r="L2506">
        <v>60.9</v>
      </c>
      <c r="M2506">
        <v>1.48</v>
      </c>
      <c r="N2506">
        <v>294.75</v>
      </c>
    </row>
    <row r="2507" spans="1:14" x14ac:dyDescent="0.2">
      <c r="A2507" s="1">
        <v>45682</v>
      </c>
      <c r="B2507" s="2" t="s">
        <v>31</v>
      </c>
      <c r="C2507" s="2" t="s">
        <v>32</v>
      </c>
      <c r="D2507" s="2" t="s">
        <v>19</v>
      </c>
      <c r="E2507">
        <v>24917</v>
      </c>
      <c r="F2507">
        <v>833</v>
      </c>
      <c r="G2507">
        <v>34</v>
      </c>
      <c r="H2507">
        <v>601.20000000000005</v>
      </c>
      <c r="I2507">
        <v>2725.05</v>
      </c>
      <c r="J2507">
        <v>3.34</v>
      </c>
      <c r="K2507">
        <v>4.08</v>
      </c>
      <c r="L2507">
        <v>17.68</v>
      </c>
      <c r="M2507">
        <v>4.53</v>
      </c>
      <c r="N2507">
        <v>2123.85</v>
      </c>
    </row>
    <row r="2508" spans="1:14" x14ac:dyDescent="0.2">
      <c r="A2508" s="1">
        <v>45682</v>
      </c>
      <c r="B2508" s="2" t="s">
        <v>33</v>
      </c>
      <c r="C2508" s="2" t="s">
        <v>18</v>
      </c>
      <c r="D2508" s="2" t="s">
        <v>19</v>
      </c>
      <c r="E2508">
        <v>5147</v>
      </c>
      <c r="F2508">
        <v>248</v>
      </c>
      <c r="G2508">
        <v>30</v>
      </c>
      <c r="H2508">
        <v>585.55999999999995</v>
      </c>
      <c r="I2508">
        <v>3213.7</v>
      </c>
      <c r="J2508">
        <v>4.82</v>
      </c>
      <c r="K2508">
        <v>12.1</v>
      </c>
      <c r="L2508">
        <v>19.52</v>
      </c>
      <c r="M2508">
        <v>5.49</v>
      </c>
      <c r="N2508">
        <v>2628.14</v>
      </c>
    </row>
    <row r="2509" spans="1:14" x14ac:dyDescent="0.2">
      <c r="A2509" s="1">
        <v>45682</v>
      </c>
      <c r="B2509" s="2" t="s">
        <v>34</v>
      </c>
      <c r="C2509" s="2" t="s">
        <v>32</v>
      </c>
      <c r="D2509" s="2" t="s">
        <v>22</v>
      </c>
      <c r="E2509">
        <v>5481</v>
      </c>
      <c r="F2509">
        <v>403</v>
      </c>
      <c r="G2509">
        <v>57</v>
      </c>
      <c r="H2509">
        <v>141.91</v>
      </c>
      <c r="I2509">
        <v>10125.040000000001</v>
      </c>
      <c r="J2509">
        <v>7.35</v>
      </c>
      <c r="K2509">
        <v>14.14</v>
      </c>
      <c r="L2509">
        <v>2.4900000000000002</v>
      </c>
      <c r="M2509">
        <v>71.349999999999994</v>
      </c>
      <c r="N2509">
        <v>9983.1299999999992</v>
      </c>
    </row>
    <row r="2510" spans="1:14" x14ac:dyDescent="0.2">
      <c r="A2510" s="1">
        <v>45683</v>
      </c>
      <c r="B2510" s="2" t="s">
        <v>14</v>
      </c>
      <c r="C2510" s="2" t="s">
        <v>21</v>
      </c>
      <c r="D2510" s="2" t="s">
        <v>25</v>
      </c>
      <c r="E2510">
        <v>8332</v>
      </c>
      <c r="F2510">
        <v>294</v>
      </c>
      <c r="G2510">
        <v>24</v>
      </c>
      <c r="H2510">
        <v>926.46</v>
      </c>
      <c r="I2510">
        <v>4314.75</v>
      </c>
      <c r="J2510">
        <v>3.53</v>
      </c>
      <c r="K2510">
        <v>8.16</v>
      </c>
      <c r="L2510">
        <v>38.6</v>
      </c>
      <c r="M2510">
        <v>4.66</v>
      </c>
      <c r="N2510">
        <v>3388.29</v>
      </c>
    </row>
    <row r="2511" spans="1:14" x14ac:dyDescent="0.2">
      <c r="A2511" s="1">
        <v>45683</v>
      </c>
      <c r="B2511" s="2" t="s">
        <v>17</v>
      </c>
      <c r="C2511" s="2" t="s">
        <v>18</v>
      </c>
      <c r="D2511" s="2" t="s">
        <v>25</v>
      </c>
      <c r="E2511">
        <v>13748</v>
      </c>
      <c r="F2511">
        <v>334</v>
      </c>
      <c r="G2511">
        <v>26</v>
      </c>
      <c r="H2511">
        <v>579.03</v>
      </c>
      <c r="I2511">
        <v>2558.1799999999998</v>
      </c>
      <c r="J2511">
        <v>2.4300000000000002</v>
      </c>
      <c r="K2511">
        <v>7.78</v>
      </c>
      <c r="L2511">
        <v>22.27</v>
      </c>
      <c r="M2511">
        <v>4.42</v>
      </c>
      <c r="N2511">
        <v>1979.15</v>
      </c>
    </row>
    <row r="2512" spans="1:14" x14ac:dyDescent="0.2">
      <c r="A2512" s="1">
        <v>45683</v>
      </c>
      <c r="B2512" s="2" t="s">
        <v>20</v>
      </c>
      <c r="C2512" s="2" t="s">
        <v>21</v>
      </c>
      <c r="D2512" s="2" t="s">
        <v>36</v>
      </c>
      <c r="E2512">
        <v>10858</v>
      </c>
      <c r="F2512">
        <v>456</v>
      </c>
      <c r="G2512">
        <v>21</v>
      </c>
      <c r="H2512">
        <v>440.88</v>
      </c>
      <c r="I2512">
        <v>2115.86</v>
      </c>
      <c r="J2512">
        <v>4.2</v>
      </c>
      <c r="K2512">
        <v>4.6100000000000003</v>
      </c>
      <c r="L2512">
        <v>20.99</v>
      </c>
      <c r="M2512">
        <v>4.8</v>
      </c>
      <c r="N2512">
        <v>1674.98</v>
      </c>
    </row>
    <row r="2513" spans="1:14" x14ac:dyDescent="0.2">
      <c r="A2513" s="1">
        <v>45683</v>
      </c>
      <c r="B2513" s="2" t="s">
        <v>23</v>
      </c>
      <c r="C2513" s="2" t="s">
        <v>32</v>
      </c>
      <c r="D2513" s="2" t="s">
        <v>25</v>
      </c>
      <c r="E2513">
        <v>3587</v>
      </c>
      <c r="F2513">
        <v>85</v>
      </c>
      <c r="G2513">
        <v>10</v>
      </c>
      <c r="H2513">
        <v>1159.9100000000001</v>
      </c>
      <c r="I2513">
        <v>2360.33</v>
      </c>
      <c r="J2513">
        <v>2.37</v>
      </c>
      <c r="K2513">
        <v>11.76</v>
      </c>
      <c r="L2513">
        <v>115.99</v>
      </c>
      <c r="M2513">
        <v>2.0299999999999998</v>
      </c>
      <c r="N2513">
        <v>1200.42</v>
      </c>
    </row>
    <row r="2514" spans="1:14" x14ac:dyDescent="0.2">
      <c r="A2514" s="1">
        <v>45683</v>
      </c>
      <c r="B2514" s="2" t="s">
        <v>24</v>
      </c>
      <c r="C2514" s="2" t="s">
        <v>28</v>
      </c>
      <c r="D2514" s="2" t="s">
        <v>16</v>
      </c>
      <c r="E2514">
        <v>18646</v>
      </c>
      <c r="F2514">
        <v>4287</v>
      </c>
      <c r="G2514">
        <v>433</v>
      </c>
      <c r="H2514">
        <v>133.78</v>
      </c>
      <c r="I2514">
        <v>63801.13</v>
      </c>
      <c r="J2514">
        <v>22.99</v>
      </c>
      <c r="K2514">
        <v>10.1</v>
      </c>
      <c r="L2514">
        <v>0.31</v>
      </c>
      <c r="M2514">
        <v>476.91</v>
      </c>
      <c r="N2514">
        <v>63667.35</v>
      </c>
    </row>
    <row r="2515" spans="1:14" x14ac:dyDescent="0.2">
      <c r="A2515" s="1">
        <v>45683</v>
      </c>
      <c r="B2515" s="2" t="s">
        <v>26</v>
      </c>
      <c r="C2515" s="2" t="s">
        <v>35</v>
      </c>
      <c r="D2515" s="2" t="s">
        <v>22</v>
      </c>
      <c r="E2515">
        <v>21318</v>
      </c>
      <c r="F2515">
        <v>1268</v>
      </c>
      <c r="G2515">
        <v>136</v>
      </c>
      <c r="H2515">
        <v>0</v>
      </c>
      <c r="I2515">
        <v>18534.73</v>
      </c>
      <c r="J2515">
        <v>5.95</v>
      </c>
      <c r="K2515">
        <v>10.73</v>
      </c>
      <c r="L2515">
        <v>0</v>
      </c>
      <c r="M2515">
        <v>0</v>
      </c>
      <c r="N2515">
        <v>18534.73</v>
      </c>
    </row>
    <row r="2516" spans="1:14" x14ac:dyDescent="0.2">
      <c r="A2516" s="1">
        <v>45683</v>
      </c>
      <c r="B2516" s="2" t="s">
        <v>27</v>
      </c>
      <c r="C2516" s="2" t="s">
        <v>21</v>
      </c>
      <c r="D2516" s="2" t="s">
        <v>19</v>
      </c>
      <c r="E2516">
        <v>26507</v>
      </c>
      <c r="F2516">
        <v>314</v>
      </c>
      <c r="G2516">
        <v>10</v>
      </c>
      <c r="H2516">
        <v>1055.46</v>
      </c>
      <c r="I2516">
        <v>1145.29</v>
      </c>
      <c r="J2516">
        <v>1.18</v>
      </c>
      <c r="K2516">
        <v>3.18</v>
      </c>
      <c r="L2516">
        <v>105.55</v>
      </c>
      <c r="M2516">
        <v>1.0900000000000001</v>
      </c>
      <c r="N2516">
        <v>89.83</v>
      </c>
    </row>
    <row r="2517" spans="1:14" x14ac:dyDescent="0.2">
      <c r="A2517" s="1">
        <v>45683</v>
      </c>
      <c r="B2517" s="2" t="s">
        <v>29</v>
      </c>
      <c r="C2517" s="2" t="s">
        <v>35</v>
      </c>
      <c r="D2517" s="2" t="s">
        <v>19</v>
      </c>
      <c r="E2517">
        <v>19503</v>
      </c>
      <c r="F2517">
        <v>336</v>
      </c>
      <c r="G2517">
        <v>17</v>
      </c>
      <c r="H2517">
        <v>804.46</v>
      </c>
      <c r="I2517">
        <v>1861.69</v>
      </c>
      <c r="J2517">
        <v>1.72</v>
      </c>
      <c r="K2517">
        <v>5.0599999999999996</v>
      </c>
      <c r="L2517">
        <v>47.32</v>
      </c>
      <c r="M2517">
        <v>2.31</v>
      </c>
      <c r="N2517">
        <v>1057.23</v>
      </c>
    </row>
    <row r="2518" spans="1:14" x14ac:dyDescent="0.2">
      <c r="A2518" s="1">
        <v>45683</v>
      </c>
      <c r="B2518" s="2" t="s">
        <v>30</v>
      </c>
      <c r="C2518" s="2" t="s">
        <v>35</v>
      </c>
      <c r="D2518" s="2" t="s">
        <v>22</v>
      </c>
      <c r="E2518">
        <v>7817</v>
      </c>
      <c r="F2518">
        <v>220</v>
      </c>
      <c r="G2518">
        <v>7</v>
      </c>
      <c r="H2518">
        <v>420.65</v>
      </c>
      <c r="I2518">
        <v>790.38</v>
      </c>
      <c r="J2518">
        <v>2.81</v>
      </c>
      <c r="K2518">
        <v>3.18</v>
      </c>
      <c r="L2518">
        <v>60.09</v>
      </c>
      <c r="M2518">
        <v>1.88</v>
      </c>
      <c r="N2518">
        <v>369.73</v>
      </c>
    </row>
    <row r="2519" spans="1:14" x14ac:dyDescent="0.2">
      <c r="A2519" s="1">
        <v>45683</v>
      </c>
      <c r="B2519" s="2" t="s">
        <v>31</v>
      </c>
      <c r="C2519" s="2" t="s">
        <v>32</v>
      </c>
      <c r="D2519" s="2" t="s">
        <v>25</v>
      </c>
      <c r="E2519">
        <v>24365</v>
      </c>
      <c r="F2519">
        <v>821</v>
      </c>
      <c r="G2519">
        <v>32</v>
      </c>
      <c r="H2519">
        <v>837.24</v>
      </c>
      <c r="I2519">
        <v>2319.4699999999998</v>
      </c>
      <c r="J2519">
        <v>3.37</v>
      </c>
      <c r="K2519">
        <v>3.9</v>
      </c>
      <c r="L2519">
        <v>26.16</v>
      </c>
      <c r="M2519">
        <v>2.77</v>
      </c>
      <c r="N2519">
        <v>1482.23</v>
      </c>
    </row>
    <row r="2520" spans="1:14" x14ac:dyDescent="0.2">
      <c r="A2520" s="1">
        <v>45683</v>
      </c>
      <c r="B2520" s="2" t="s">
        <v>33</v>
      </c>
      <c r="C2520" s="2" t="s">
        <v>28</v>
      </c>
      <c r="D2520" s="2" t="s">
        <v>25</v>
      </c>
      <c r="E2520">
        <v>6508</v>
      </c>
      <c r="F2520">
        <v>357</v>
      </c>
      <c r="G2520">
        <v>31</v>
      </c>
      <c r="H2520">
        <v>413.73</v>
      </c>
      <c r="I2520">
        <v>3112.54</v>
      </c>
      <c r="J2520">
        <v>5.49</v>
      </c>
      <c r="K2520">
        <v>8.68</v>
      </c>
      <c r="L2520">
        <v>13.35</v>
      </c>
      <c r="M2520">
        <v>7.52</v>
      </c>
      <c r="N2520">
        <v>2698.81</v>
      </c>
    </row>
    <row r="2521" spans="1:14" x14ac:dyDescent="0.2">
      <c r="A2521" s="1">
        <v>45683</v>
      </c>
      <c r="B2521" s="2" t="s">
        <v>34</v>
      </c>
      <c r="C2521" s="2" t="s">
        <v>15</v>
      </c>
      <c r="D2521" s="2" t="s">
        <v>16</v>
      </c>
      <c r="E2521">
        <v>3450</v>
      </c>
      <c r="F2521">
        <v>223</v>
      </c>
      <c r="G2521">
        <v>29</v>
      </c>
      <c r="H2521">
        <v>110.57</v>
      </c>
      <c r="I2521">
        <v>4042.91</v>
      </c>
      <c r="J2521">
        <v>6.46</v>
      </c>
      <c r="K2521">
        <v>13</v>
      </c>
      <c r="L2521">
        <v>3.81</v>
      </c>
      <c r="M2521">
        <v>36.56</v>
      </c>
      <c r="N2521">
        <v>3932.34</v>
      </c>
    </row>
    <row r="2522" spans="1:14" x14ac:dyDescent="0.2">
      <c r="A2522" s="1">
        <v>45684</v>
      </c>
      <c r="B2522" s="2" t="s">
        <v>14</v>
      </c>
      <c r="C2522" s="2" t="s">
        <v>18</v>
      </c>
      <c r="D2522" s="2" t="s">
        <v>19</v>
      </c>
      <c r="E2522">
        <v>14209</v>
      </c>
      <c r="F2522">
        <v>634</v>
      </c>
      <c r="G2522">
        <v>72</v>
      </c>
      <c r="H2522">
        <v>1321.73</v>
      </c>
      <c r="I2522">
        <v>13121.58</v>
      </c>
      <c r="J2522">
        <v>4.46</v>
      </c>
      <c r="K2522">
        <v>11.36</v>
      </c>
      <c r="L2522">
        <v>18.36</v>
      </c>
      <c r="M2522">
        <v>9.93</v>
      </c>
      <c r="N2522">
        <v>11799.85</v>
      </c>
    </row>
    <row r="2523" spans="1:14" x14ac:dyDescent="0.2">
      <c r="A2523" s="1">
        <v>45684</v>
      </c>
      <c r="B2523" s="2" t="s">
        <v>17</v>
      </c>
      <c r="C2523" s="2" t="s">
        <v>28</v>
      </c>
      <c r="D2523" s="2" t="s">
        <v>22</v>
      </c>
      <c r="E2523">
        <v>21740</v>
      </c>
      <c r="F2523">
        <v>507</v>
      </c>
      <c r="G2523">
        <v>25</v>
      </c>
      <c r="H2523">
        <v>1342.22</v>
      </c>
      <c r="I2523">
        <v>2720.48</v>
      </c>
      <c r="J2523">
        <v>2.33</v>
      </c>
      <c r="K2523">
        <v>4.93</v>
      </c>
      <c r="L2523">
        <v>53.69</v>
      </c>
      <c r="M2523">
        <v>2.0299999999999998</v>
      </c>
      <c r="N2523">
        <v>1378.26</v>
      </c>
    </row>
    <row r="2524" spans="1:14" x14ac:dyDescent="0.2">
      <c r="A2524" s="1">
        <v>45684</v>
      </c>
      <c r="B2524" s="2" t="s">
        <v>20</v>
      </c>
      <c r="C2524" s="2" t="s">
        <v>15</v>
      </c>
      <c r="D2524" s="2" t="s">
        <v>25</v>
      </c>
      <c r="E2524">
        <v>17340</v>
      </c>
      <c r="F2524">
        <v>640</v>
      </c>
      <c r="G2524">
        <v>40</v>
      </c>
      <c r="H2524">
        <v>903.06</v>
      </c>
      <c r="I2524">
        <v>4055.5</v>
      </c>
      <c r="J2524">
        <v>3.69</v>
      </c>
      <c r="K2524">
        <v>6.25</v>
      </c>
      <c r="L2524">
        <v>22.58</v>
      </c>
      <c r="M2524">
        <v>4.49</v>
      </c>
      <c r="N2524">
        <v>3152.44</v>
      </c>
    </row>
    <row r="2525" spans="1:14" x14ac:dyDescent="0.2">
      <c r="A2525" s="1">
        <v>45684</v>
      </c>
      <c r="B2525" s="2" t="s">
        <v>23</v>
      </c>
      <c r="C2525" s="2" t="s">
        <v>32</v>
      </c>
      <c r="D2525" s="2" t="s">
        <v>22</v>
      </c>
      <c r="E2525">
        <v>4981</v>
      </c>
      <c r="F2525">
        <v>78</v>
      </c>
      <c r="G2525">
        <v>8</v>
      </c>
      <c r="H2525">
        <v>1524.72</v>
      </c>
      <c r="I2525">
        <v>1748.46</v>
      </c>
      <c r="J2525">
        <v>1.57</v>
      </c>
      <c r="K2525">
        <v>10.26</v>
      </c>
      <c r="L2525">
        <v>190.59</v>
      </c>
      <c r="M2525">
        <v>1.1499999999999999</v>
      </c>
      <c r="N2525">
        <v>223.74</v>
      </c>
    </row>
    <row r="2526" spans="1:14" x14ac:dyDescent="0.2">
      <c r="A2526" s="1">
        <v>45684</v>
      </c>
      <c r="B2526" s="2" t="s">
        <v>24</v>
      </c>
      <c r="C2526" s="2" t="s">
        <v>18</v>
      </c>
      <c r="D2526" s="2" t="s">
        <v>19</v>
      </c>
      <c r="E2526">
        <v>26445</v>
      </c>
      <c r="F2526">
        <v>5816</v>
      </c>
      <c r="G2526">
        <v>718</v>
      </c>
      <c r="H2526">
        <v>302.76</v>
      </c>
      <c r="I2526">
        <v>87320.88</v>
      </c>
      <c r="J2526">
        <v>21.99</v>
      </c>
      <c r="K2526">
        <v>12.35</v>
      </c>
      <c r="L2526">
        <v>0.42</v>
      </c>
      <c r="M2526">
        <v>288.42</v>
      </c>
      <c r="N2526">
        <v>87018.12</v>
      </c>
    </row>
    <row r="2527" spans="1:14" x14ac:dyDescent="0.2">
      <c r="A2527" s="1">
        <v>45684</v>
      </c>
      <c r="B2527" s="2" t="s">
        <v>26</v>
      </c>
      <c r="C2527" s="2" t="s">
        <v>28</v>
      </c>
      <c r="D2527" s="2" t="s">
        <v>16</v>
      </c>
      <c r="E2527">
        <v>39584</v>
      </c>
      <c r="F2527">
        <v>2890</v>
      </c>
      <c r="G2527">
        <v>338</v>
      </c>
      <c r="H2527">
        <v>0</v>
      </c>
      <c r="I2527">
        <v>46950.67</v>
      </c>
      <c r="J2527">
        <v>7.3</v>
      </c>
      <c r="K2527">
        <v>11.7</v>
      </c>
      <c r="L2527">
        <v>0</v>
      </c>
      <c r="M2527">
        <v>0</v>
      </c>
      <c r="N2527">
        <v>46950.67</v>
      </c>
    </row>
    <row r="2528" spans="1:14" x14ac:dyDescent="0.2">
      <c r="A2528" s="1">
        <v>45684</v>
      </c>
      <c r="B2528" s="2" t="s">
        <v>27</v>
      </c>
      <c r="C2528" s="2" t="s">
        <v>28</v>
      </c>
      <c r="D2528" s="2" t="s">
        <v>19</v>
      </c>
      <c r="E2528">
        <v>46665</v>
      </c>
      <c r="F2528">
        <v>577</v>
      </c>
      <c r="G2528">
        <v>13</v>
      </c>
      <c r="H2528">
        <v>1134.21</v>
      </c>
      <c r="I2528">
        <v>1106.75</v>
      </c>
      <c r="J2528">
        <v>1.24</v>
      </c>
      <c r="K2528">
        <v>2.25</v>
      </c>
      <c r="L2528">
        <v>87.25</v>
      </c>
      <c r="M2528">
        <v>0.98</v>
      </c>
      <c r="N2528">
        <v>-27.46</v>
      </c>
    </row>
    <row r="2529" spans="1:14" x14ac:dyDescent="0.2">
      <c r="A2529" s="1">
        <v>45684</v>
      </c>
      <c r="B2529" s="2" t="s">
        <v>29</v>
      </c>
      <c r="C2529" s="2" t="s">
        <v>32</v>
      </c>
      <c r="D2529" s="2" t="s">
        <v>19</v>
      </c>
      <c r="E2529">
        <v>28350</v>
      </c>
      <c r="F2529">
        <v>811</v>
      </c>
      <c r="G2529">
        <v>54</v>
      </c>
      <c r="H2529">
        <v>1388.41</v>
      </c>
      <c r="I2529">
        <v>6727.68</v>
      </c>
      <c r="J2529">
        <v>2.86</v>
      </c>
      <c r="K2529">
        <v>6.66</v>
      </c>
      <c r="L2529">
        <v>25.71</v>
      </c>
      <c r="M2529">
        <v>4.8499999999999996</v>
      </c>
      <c r="N2529">
        <v>5339.27</v>
      </c>
    </row>
    <row r="2530" spans="1:14" x14ac:dyDescent="0.2">
      <c r="A2530" s="1">
        <v>45684</v>
      </c>
      <c r="B2530" s="2" t="s">
        <v>30</v>
      </c>
      <c r="C2530" s="2" t="s">
        <v>18</v>
      </c>
      <c r="D2530" s="2" t="s">
        <v>25</v>
      </c>
      <c r="E2530">
        <v>9980</v>
      </c>
      <c r="F2530">
        <v>297</v>
      </c>
      <c r="G2530">
        <v>16</v>
      </c>
      <c r="H2530">
        <v>536.91</v>
      </c>
      <c r="I2530">
        <v>1263.7</v>
      </c>
      <c r="J2530">
        <v>2.98</v>
      </c>
      <c r="K2530">
        <v>5.39</v>
      </c>
      <c r="L2530">
        <v>33.56</v>
      </c>
      <c r="M2530">
        <v>2.35</v>
      </c>
      <c r="N2530">
        <v>726.79</v>
      </c>
    </row>
    <row r="2531" spans="1:14" x14ac:dyDescent="0.2">
      <c r="A2531" s="1">
        <v>45684</v>
      </c>
      <c r="B2531" s="2" t="s">
        <v>31</v>
      </c>
      <c r="C2531" s="2" t="s">
        <v>35</v>
      </c>
      <c r="D2531" s="2" t="s">
        <v>25</v>
      </c>
      <c r="E2531">
        <v>30860</v>
      </c>
      <c r="F2531">
        <v>1070</v>
      </c>
      <c r="G2531">
        <v>62</v>
      </c>
      <c r="H2531">
        <v>920.75</v>
      </c>
      <c r="I2531">
        <v>6942.27</v>
      </c>
      <c r="J2531">
        <v>3.47</v>
      </c>
      <c r="K2531">
        <v>5.79</v>
      </c>
      <c r="L2531">
        <v>14.85</v>
      </c>
      <c r="M2531">
        <v>7.54</v>
      </c>
      <c r="N2531">
        <v>6021.52</v>
      </c>
    </row>
    <row r="2532" spans="1:14" x14ac:dyDescent="0.2">
      <c r="A2532" s="1">
        <v>45684</v>
      </c>
      <c r="B2532" s="2" t="s">
        <v>33</v>
      </c>
      <c r="C2532" s="2" t="s">
        <v>32</v>
      </c>
      <c r="D2532" s="2" t="s">
        <v>36</v>
      </c>
      <c r="E2532">
        <v>8497</v>
      </c>
      <c r="F2532">
        <v>417</v>
      </c>
      <c r="G2532">
        <v>38</v>
      </c>
      <c r="H2532">
        <v>481.41</v>
      </c>
      <c r="I2532">
        <v>4644.2700000000004</v>
      </c>
      <c r="J2532">
        <v>4.91</v>
      </c>
      <c r="K2532">
        <v>9.11</v>
      </c>
      <c r="L2532">
        <v>12.67</v>
      </c>
      <c r="M2532">
        <v>9.65</v>
      </c>
      <c r="N2532">
        <v>4162.8599999999997</v>
      </c>
    </row>
    <row r="2533" spans="1:14" x14ac:dyDescent="0.2">
      <c r="A2533" s="1">
        <v>45684</v>
      </c>
      <c r="B2533" s="2" t="s">
        <v>34</v>
      </c>
      <c r="C2533" s="2" t="s">
        <v>28</v>
      </c>
      <c r="D2533" s="2" t="s">
        <v>16</v>
      </c>
      <c r="E2533">
        <v>4366</v>
      </c>
      <c r="F2533">
        <v>238</v>
      </c>
      <c r="G2533">
        <v>39</v>
      </c>
      <c r="H2533">
        <v>165.64</v>
      </c>
      <c r="I2533">
        <v>6340.27</v>
      </c>
      <c r="J2533">
        <v>5.45</v>
      </c>
      <c r="K2533">
        <v>16.39</v>
      </c>
      <c r="L2533">
        <v>4.25</v>
      </c>
      <c r="M2533">
        <v>38.28</v>
      </c>
      <c r="N2533">
        <v>6174.63</v>
      </c>
    </row>
    <row r="2534" spans="1:14" x14ac:dyDescent="0.2">
      <c r="A2534" s="1">
        <v>45685</v>
      </c>
      <c r="B2534" s="2" t="s">
        <v>14</v>
      </c>
      <c r="C2534" s="2" t="s">
        <v>35</v>
      </c>
      <c r="D2534" s="2" t="s">
        <v>22</v>
      </c>
      <c r="E2534">
        <v>12471</v>
      </c>
      <c r="F2534">
        <v>393</v>
      </c>
      <c r="G2534">
        <v>40</v>
      </c>
      <c r="H2534">
        <v>1215.1400000000001</v>
      </c>
      <c r="I2534">
        <v>6762.11</v>
      </c>
      <c r="J2534">
        <v>3.15</v>
      </c>
      <c r="K2534">
        <v>10.18</v>
      </c>
      <c r="L2534">
        <v>30.38</v>
      </c>
      <c r="M2534">
        <v>5.56</v>
      </c>
      <c r="N2534">
        <v>5546.97</v>
      </c>
    </row>
    <row r="2535" spans="1:14" x14ac:dyDescent="0.2">
      <c r="A2535" s="1">
        <v>45685</v>
      </c>
      <c r="B2535" s="2" t="s">
        <v>17</v>
      </c>
      <c r="C2535" s="2" t="s">
        <v>35</v>
      </c>
      <c r="D2535" s="2" t="s">
        <v>25</v>
      </c>
      <c r="E2535">
        <v>22880</v>
      </c>
      <c r="F2535">
        <v>684</v>
      </c>
      <c r="G2535">
        <v>39</v>
      </c>
      <c r="H2535">
        <v>1001.14</v>
      </c>
      <c r="I2535">
        <v>5173.46</v>
      </c>
      <c r="J2535">
        <v>2.99</v>
      </c>
      <c r="K2535">
        <v>5.7</v>
      </c>
      <c r="L2535">
        <v>25.67</v>
      </c>
      <c r="M2535">
        <v>5.17</v>
      </c>
      <c r="N2535">
        <v>4172.32</v>
      </c>
    </row>
    <row r="2536" spans="1:14" x14ac:dyDescent="0.2">
      <c r="A2536" s="1">
        <v>45685</v>
      </c>
      <c r="B2536" s="2" t="s">
        <v>20</v>
      </c>
      <c r="C2536" s="2" t="s">
        <v>18</v>
      </c>
      <c r="D2536" s="2" t="s">
        <v>16</v>
      </c>
      <c r="E2536">
        <v>18266</v>
      </c>
      <c r="F2536">
        <v>470</v>
      </c>
      <c r="G2536">
        <v>34</v>
      </c>
      <c r="H2536">
        <v>941.72</v>
      </c>
      <c r="I2536">
        <v>3489.89</v>
      </c>
      <c r="J2536">
        <v>2.57</v>
      </c>
      <c r="K2536">
        <v>7.23</v>
      </c>
      <c r="L2536">
        <v>27.7</v>
      </c>
      <c r="M2536">
        <v>3.71</v>
      </c>
      <c r="N2536">
        <v>2548.17</v>
      </c>
    </row>
    <row r="2537" spans="1:14" x14ac:dyDescent="0.2">
      <c r="A2537" s="1">
        <v>45685</v>
      </c>
      <c r="B2537" s="2" t="s">
        <v>23</v>
      </c>
      <c r="C2537" s="2" t="s">
        <v>21</v>
      </c>
      <c r="D2537" s="2" t="s">
        <v>25</v>
      </c>
      <c r="E2537">
        <v>4320</v>
      </c>
      <c r="F2537">
        <v>93</v>
      </c>
      <c r="G2537">
        <v>13</v>
      </c>
      <c r="H2537">
        <v>1177.54</v>
      </c>
      <c r="I2537">
        <v>3381.87</v>
      </c>
      <c r="J2537">
        <v>2.15</v>
      </c>
      <c r="K2537">
        <v>13.98</v>
      </c>
      <c r="L2537">
        <v>90.58</v>
      </c>
      <c r="M2537">
        <v>2.87</v>
      </c>
      <c r="N2537">
        <v>2204.33</v>
      </c>
    </row>
    <row r="2538" spans="1:14" x14ac:dyDescent="0.2">
      <c r="A2538" s="1">
        <v>45685</v>
      </c>
      <c r="B2538" s="2" t="s">
        <v>24</v>
      </c>
      <c r="C2538" s="2" t="s">
        <v>32</v>
      </c>
      <c r="D2538" s="2" t="s">
        <v>16</v>
      </c>
      <c r="E2538">
        <v>27628</v>
      </c>
      <c r="F2538">
        <v>5332</v>
      </c>
      <c r="G2538">
        <v>477</v>
      </c>
      <c r="H2538">
        <v>160.88</v>
      </c>
      <c r="I2538">
        <v>56774.9</v>
      </c>
      <c r="J2538">
        <v>19.3</v>
      </c>
      <c r="K2538">
        <v>8.9499999999999993</v>
      </c>
      <c r="L2538">
        <v>0.34</v>
      </c>
      <c r="M2538">
        <v>352.9</v>
      </c>
      <c r="N2538">
        <v>56614.02</v>
      </c>
    </row>
    <row r="2539" spans="1:14" x14ac:dyDescent="0.2">
      <c r="A2539" s="1">
        <v>45685</v>
      </c>
      <c r="B2539" s="2" t="s">
        <v>26</v>
      </c>
      <c r="C2539" s="2" t="s">
        <v>15</v>
      </c>
      <c r="D2539" s="2" t="s">
        <v>16</v>
      </c>
      <c r="E2539">
        <v>28713</v>
      </c>
      <c r="F2539">
        <v>1932</v>
      </c>
      <c r="G2539">
        <v>261</v>
      </c>
      <c r="H2539">
        <v>0</v>
      </c>
      <c r="I2539">
        <v>24498.42</v>
      </c>
      <c r="J2539">
        <v>6.73</v>
      </c>
      <c r="K2539">
        <v>13.51</v>
      </c>
      <c r="L2539">
        <v>0</v>
      </c>
      <c r="M2539">
        <v>0</v>
      </c>
      <c r="N2539">
        <v>24498.42</v>
      </c>
    </row>
    <row r="2540" spans="1:14" x14ac:dyDescent="0.2">
      <c r="A2540" s="1">
        <v>45685</v>
      </c>
      <c r="B2540" s="2" t="s">
        <v>27</v>
      </c>
      <c r="C2540" s="2" t="s">
        <v>21</v>
      </c>
      <c r="D2540" s="2" t="s">
        <v>22</v>
      </c>
      <c r="E2540">
        <v>41288</v>
      </c>
      <c r="F2540">
        <v>704</v>
      </c>
      <c r="G2540">
        <v>16</v>
      </c>
      <c r="H2540">
        <v>1371.06</v>
      </c>
      <c r="I2540">
        <v>2218.0100000000002</v>
      </c>
      <c r="J2540">
        <v>1.71</v>
      </c>
      <c r="K2540">
        <v>2.27</v>
      </c>
      <c r="L2540">
        <v>85.69</v>
      </c>
      <c r="M2540">
        <v>1.62</v>
      </c>
      <c r="N2540">
        <v>846.95</v>
      </c>
    </row>
    <row r="2541" spans="1:14" x14ac:dyDescent="0.2">
      <c r="A2541" s="1">
        <v>45685</v>
      </c>
      <c r="B2541" s="2" t="s">
        <v>29</v>
      </c>
      <c r="C2541" s="2" t="s">
        <v>15</v>
      </c>
      <c r="D2541" s="2" t="s">
        <v>36</v>
      </c>
      <c r="E2541">
        <v>22612</v>
      </c>
      <c r="F2541">
        <v>576</v>
      </c>
      <c r="G2541">
        <v>33</v>
      </c>
      <c r="H2541">
        <v>1096.4100000000001</v>
      </c>
      <c r="I2541">
        <v>3030.7</v>
      </c>
      <c r="J2541">
        <v>2.5499999999999998</v>
      </c>
      <c r="K2541">
        <v>5.73</v>
      </c>
      <c r="L2541">
        <v>33.22</v>
      </c>
      <c r="M2541">
        <v>2.76</v>
      </c>
      <c r="N2541">
        <v>1934.29</v>
      </c>
    </row>
    <row r="2542" spans="1:14" x14ac:dyDescent="0.2">
      <c r="A2542" s="1">
        <v>45685</v>
      </c>
      <c r="B2542" s="2" t="s">
        <v>30</v>
      </c>
      <c r="C2542" s="2" t="s">
        <v>18</v>
      </c>
      <c r="D2542" s="2" t="s">
        <v>22</v>
      </c>
      <c r="E2542">
        <v>11890</v>
      </c>
      <c r="F2542">
        <v>356</v>
      </c>
      <c r="G2542">
        <v>16</v>
      </c>
      <c r="H2542">
        <v>572.89</v>
      </c>
      <c r="I2542">
        <v>1476.14</v>
      </c>
      <c r="J2542">
        <v>2.99</v>
      </c>
      <c r="K2542">
        <v>4.49</v>
      </c>
      <c r="L2542">
        <v>35.81</v>
      </c>
      <c r="M2542">
        <v>2.58</v>
      </c>
      <c r="N2542">
        <v>903.25</v>
      </c>
    </row>
    <row r="2543" spans="1:14" x14ac:dyDescent="0.2">
      <c r="A2543" s="1">
        <v>45685</v>
      </c>
      <c r="B2543" s="2" t="s">
        <v>31</v>
      </c>
      <c r="C2543" s="2" t="s">
        <v>32</v>
      </c>
      <c r="D2543" s="2" t="s">
        <v>36</v>
      </c>
      <c r="E2543">
        <v>27442</v>
      </c>
      <c r="F2543">
        <v>1090</v>
      </c>
      <c r="G2543">
        <v>60</v>
      </c>
      <c r="H2543">
        <v>1116.71</v>
      </c>
      <c r="I2543">
        <v>5353.16</v>
      </c>
      <c r="J2543">
        <v>3.97</v>
      </c>
      <c r="K2543">
        <v>5.5</v>
      </c>
      <c r="L2543">
        <v>18.61</v>
      </c>
      <c r="M2543">
        <v>4.79</v>
      </c>
      <c r="N2543">
        <v>4236.45</v>
      </c>
    </row>
    <row r="2544" spans="1:14" x14ac:dyDescent="0.2">
      <c r="A2544" s="1">
        <v>45685</v>
      </c>
      <c r="B2544" s="2" t="s">
        <v>33</v>
      </c>
      <c r="C2544" s="2" t="s">
        <v>15</v>
      </c>
      <c r="D2544" s="2" t="s">
        <v>16</v>
      </c>
      <c r="E2544">
        <v>8018</v>
      </c>
      <c r="F2544">
        <v>547</v>
      </c>
      <c r="G2544">
        <v>49</v>
      </c>
      <c r="H2544">
        <v>749.25</v>
      </c>
      <c r="I2544">
        <v>5328.58</v>
      </c>
      <c r="J2544">
        <v>6.82</v>
      </c>
      <c r="K2544">
        <v>8.9600000000000009</v>
      </c>
      <c r="L2544">
        <v>15.29</v>
      </c>
      <c r="M2544">
        <v>7.11</v>
      </c>
      <c r="N2544">
        <v>4579.33</v>
      </c>
    </row>
    <row r="2545" spans="1:14" x14ac:dyDescent="0.2">
      <c r="A2545" s="1">
        <v>45685</v>
      </c>
      <c r="B2545" s="2" t="s">
        <v>34</v>
      </c>
      <c r="C2545" s="2" t="s">
        <v>15</v>
      </c>
      <c r="D2545" s="2" t="s">
        <v>22</v>
      </c>
      <c r="E2545">
        <v>7657</v>
      </c>
      <c r="F2545">
        <v>583</v>
      </c>
      <c r="G2545">
        <v>72</v>
      </c>
      <c r="H2545">
        <v>232.99</v>
      </c>
      <c r="I2545">
        <v>10677.89</v>
      </c>
      <c r="J2545">
        <v>7.61</v>
      </c>
      <c r="K2545">
        <v>12.35</v>
      </c>
      <c r="L2545">
        <v>3.24</v>
      </c>
      <c r="M2545">
        <v>45.83</v>
      </c>
      <c r="N2545">
        <v>10444.9</v>
      </c>
    </row>
    <row r="2546" spans="1:14" x14ac:dyDescent="0.2">
      <c r="A2546" s="1">
        <v>45686</v>
      </c>
      <c r="B2546" s="2" t="s">
        <v>14</v>
      </c>
      <c r="C2546" s="2" t="s">
        <v>18</v>
      </c>
      <c r="D2546" s="2" t="s">
        <v>36</v>
      </c>
      <c r="E2546">
        <v>10831</v>
      </c>
      <c r="F2546">
        <v>342</v>
      </c>
      <c r="G2546">
        <v>40</v>
      </c>
      <c r="H2546">
        <v>1539.53</v>
      </c>
      <c r="I2546">
        <v>4634.5600000000004</v>
      </c>
      <c r="J2546">
        <v>3.16</v>
      </c>
      <c r="K2546">
        <v>11.7</v>
      </c>
      <c r="L2546">
        <v>38.49</v>
      </c>
      <c r="M2546">
        <v>3.01</v>
      </c>
      <c r="N2546">
        <v>3095.03</v>
      </c>
    </row>
    <row r="2547" spans="1:14" x14ac:dyDescent="0.2">
      <c r="A2547" s="1">
        <v>45686</v>
      </c>
      <c r="B2547" s="2" t="s">
        <v>17</v>
      </c>
      <c r="C2547" s="2" t="s">
        <v>15</v>
      </c>
      <c r="D2547" s="2" t="s">
        <v>19</v>
      </c>
      <c r="E2547">
        <v>20194</v>
      </c>
      <c r="F2547">
        <v>570</v>
      </c>
      <c r="G2547">
        <v>40</v>
      </c>
      <c r="H2547">
        <v>1252.43</v>
      </c>
      <c r="I2547">
        <v>4405.8500000000004</v>
      </c>
      <c r="J2547">
        <v>2.82</v>
      </c>
      <c r="K2547">
        <v>7.02</v>
      </c>
      <c r="L2547">
        <v>31.31</v>
      </c>
      <c r="M2547">
        <v>3.52</v>
      </c>
      <c r="N2547">
        <v>3153.42</v>
      </c>
    </row>
    <row r="2548" spans="1:14" x14ac:dyDescent="0.2">
      <c r="A2548" s="1">
        <v>45686</v>
      </c>
      <c r="B2548" s="2" t="s">
        <v>20</v>
      </c>
      <c r="C2548" s="2" t="s">
        <v>18</v>
      </c>
      <c r="D2548" s="2" t="s">
        <v>16</v>
      </c>
      <c r="E2548">
        <v>15409</v>
      </c>
      <c r="F2548">
        <v>494</v>
      </c>
      <c r="G2548">
        <v>38</v>
      </c>
      <c r="H2548">
        <v>1107.3699999999999</v>
      </c>
      <c r="I2548">
        <v>3252.07</v>
      </c>
      <c r="J2548">
        <v>3.21</v>
      </c>
      <c r="K2548">
        <v>7.69</v>
      </c>
      <c r="L2548">
        <v>29.14</v>
      </c>
      <c r="M2548">
        <v>2.94</v>
      </c>
      <c r="N2548">
        <v>2144.6999999999998</v>
      </c>
    </row>
    <row r="2549" spans="1:14" x14ac:dyDescent="0.2">
      <c r="A2549" s="1">
        <v>45686</v>
      </c>
      <c r="B2549" s="2" t="s">
        <v>23</v>
      </c>
      <c r="C2549" s="2" t="s">
        <v>18</v>
      </c>
      <c r="D2549" s="2" t="s">
        <v>16</v>
      </c>
      <c r="E2549">
        <v>4068</v>
      </c>
      <c r="F2549">
        <v>92</v>
      </c>
      <c r="G2549">
        <v>12</v>
      </c>
      <c r="H2549">
        <v>1163.55</v>
      </c>
      <c r="I2549">
        <v>3816.45</v>
      </c>
      <c r="J2549">
        <v>2.2599999999999998</v>
      </c>
      <c r="K2549">
        <v>13.04</v>
      </c>
      <c r="L2549">
        <v>96.96</v>
      </c>
      <c r="M2549">
        <v>3.28</v>
      </c>
      <c r="N2549">
        <v>2652.9</v>
      </c>
    </row>
    <row r="2550" spans="1:14" x14ac:dyDescent="0.2">
      <c r="A2550" s="1">
        <v>45686</v>
      </c>
      <c r="B2550" s="2" t="s">
        <v>24</v>
      </c>
      <c r="C2550" s="2" t="s">
        <v>21</v>
      </c>
      <c r="D2550" s="2" t="s">
        <v>19</v>
      </c>
      <c r="E2550">
        <v>26668</v>
      </c>
      <c r="F2550">
        <v>6456</v>
      </c>
      <c r="G2550">
        <v>517</v>
      </c>
      <c r="H2550">
        <v>143.36000000000001</v>
      </c>
      <c r="I2550">
        <v>62061.21</v>
      </c>
      <c r="J2550">
        <v>24.21</v>
      </c>
      <c r="K2550">
        <v>8.01</v>
      </c>
      <c r="L2550">
        <v>0.28000000000000003</v>
      </c>
      <c r="M2550">
        <v>432.9</v>
      </c>
      <c r="N2550">
        <v>61917.85</v>
      </c>
    </row>
    <row r="2551" spans="1:14" x14ac:dyDescent="0.2">
      <c r="A2551" s="1">
        <v>45686</v>
      </c>
      <c r="B2551" s="2" t="s">
        <v>26</v>
      </c>
      <c r="C2551" s="2" t="s">
        <v>32</v>
      </c>
      <c r="D2551" s="2" t="s">
        <v>16</v>
      </c>
      <c r="E2551">
        <v>39240</v>
      </c>
      <c r="F2551">
        <v>2850</v>
      </c>
      <c r="G2551">
        <v>330</v>
      </c>
      <c r="H2551">
        <v>0</v>
      </c>
      <c r="I2551">
        <v>36818.32</v>
      </c>
      <c r="J2551">
        <v>7.26</v>
      </c>
      <c r="K2551">
        <v>11.58</v>
      </c>
      <c r="L2551">
        <v>0</v>
      </c>
      <c r="M2551">
        <v>0</v>
      </c>
      <c r="N2551">
        <v>36818.32</v>
      </c>
    </row>
    <row r="2552" spans="1:14" x14ac:dyDescent="0.2">
      <c r="A2552" s="1">
        <v>45686</v>
      </c>
      <c r="B2552" s="2" t="s">
        <v>27</v>
      </c>
      <c r="C2552" s="2" t="s">
        <v>32</v>
      </c>
      <c r="D2552" s="2" t="s">
        <v>22</v>
      </c>
      <c r="E2552">
        <v>42108</v>
      </c>
      <c r="F2552">
        <v>733</v>
      </c>
      <c r="G2552">
        <v>27</v>
      </c>
      <c r="H2552">
        <v>1014.4</v>
      </c>
      <c r="I2552">
        <v>3387.39</v>
      </c>
      <c r="J2552">
        <v>1.74</v>
      </c>
      <c r="K2552">
        <v>3.68</v>
      </c>
      <c r="L2552">
        <v>37.57</v>
      </c>
      <c r="M2552">
        <v>3.34</v>
      </c>
      <c r="N2552">
        <v>2372.9899999999998</v>
      </c>
    </row>
    <row r="2553" spans="1:14" x14ac:dyDescent="0.2">
      <c r="A2553" s="1">
        <v>45686</v>
      </c>
      <c r="B2553" s="2" t="s">
        <v>29</v>
      </c>
      <c r="C2553" s="2" t="s">
        <v>35</v>
      </c>
      <c r="D2553" s="2" t="s">
        <v>36</v>
      </c>
      <c r="E2553">
        <v>19567</v>
      </c>
      <c r="F2553">
        <v>518</v>
      </c>
      <c r="G2553">
        <v>30</v>
      </c>
      <c r="H2553">
        <v>1480.81</v>
      </c>
      <c r="I2553">
        <v>3992.45</v>
      </c>
      <c r="J2553">
        <v>2.65</v>
      </c>
      <c r="K2553">
        <v>5.79</v>
      </c>
      <c r="L2553">
        <v>49.36</v>
      </c>
      <c r="M2553">
        <v>2.7</v>
      </c>
      <c r="N2553">
        <v>2511.64</v>
      </c>
    </row>
    <row r="2554" spans="1:14" x14ac:dyDescent="0.2">
      <c r="A2554" s="1">
        <v>45686</v>
      </c>
      <c r="B2554" s="2" t="s">
        <v>30</v>
      </c>
      <c r="C2554" s="2" t="s">
        <v>28</v>
      </c>
      <c r="D2554" s="2" t="s">
        <v>36</v>
      </c>
      <c r="E2554">
        <v>15674</v>
      </c>
      <c r="F2554">
        <v>429</v>
      </c>
      <c r="G2554">
        <v>21</v>
      </c>
      <c r="H2554">
        <v>893.79</v>
      </c>
      <c r="I2554">
        <v>2026.22</v>
      </c>
      <c r="J2554">
        <v>2.74</v>
      </c>
      <c r="K2554">
        <v>4.9000000000000004</v>
      </c>
      <c r="L2554">
        <v>42.56</v>
      </c>
      <c r="M2554">
        <v>2.27</v>
      </c>
      <c r="N2554">
        <v>1132.43</v>
      </c>
    </row>
    <row r="2555" spans="1:14" x14ac:dyDescent="0.2">
      <c r="A2555" s="1">
        <v>45686</v>
      </c>
      <c r="B2555" s="2" t="s">
        <v>31</v>
      </c>
      <c r="C2555" s="2" t="s">
        <v>15</v>
      </c>
      <c r="D2555" s="2" t="s">
        <v>36</v>
      </c>
      <c r="E2555">
        <v>24736</v>
      </c>
      <c r="F2555">
        <v>820</v>
      </c>
      <c r="G2555">
        <v>36</v>
      </c>
      <c r="H2555">
        <v>754.4</v>
      </c>
      <c r="I2555">
        <v>2875.65</v>
      </c>
      <c r="J2555">
        <v>3.32</v>
      </c>
      <c r="K2555">
        <v>4.3899999999999997</v>
      </c>
      <c r="L2555">
        <v>20.96</v>
      </c>
      <c r="M2555">
        <v>3.81</v>
      </c>
      <c r="N2555">
        <v>2121.25</v>
      </c>
    </row>
    <row r="2556" spans="1:14" x14ac:dyDescent="0.2">
      <c r="A2556" s="1">
        <v>45686</v>
      </c>
      <c r="B2556" s="2" t="s">
        <v>33</v>
      </c>
      <c r="C2556" s="2" t="s">
        <v>28</v>
      </c>
      <c r="D2556" s="2" t="s">
        <v>19</v>
      </c>
      <c r="E2556">
        <v>9972</v>
      </c>
      <c r="F2556">
        <v>404</v>
      </c>
      <c r="G2556">
        <v>45</v>
      </c>
      <c r="H2556">
        <v>469.4</v>
      </c>
      <c r="I2556">
        <v>5429.79</v>
      </c>
      <c r="J2556">
        <v>4.05</v>
      </c>
      <c r="K2556">
        <v>11.14</v>
      </c>
      <c r="L2556">
        <v>10.43</v>
      </c>
      <c r="M2556">
        <v>11.57</v>
      </c>
      <c r="N2556">
        <v>4960.3900000000003</v>
      </c>
    </row>
    <row r="2557" spans="1:14" x14ac:dyDescent="0.2">
      <c r="A2557" s="1">
        <v>45686</v>
      </c>
      <c r="B2557" s="2" t="s">
        <v>34</v>
      </c>
      <c r="C2557" s="2" t="s">
        <v>18</v>
      </c>
      <c r="D2557" s="2" t="s">
        <v>36</v>
      </c>
      <c r="E2557">
        <v>7106</v>
      </c>
      <c r="F2557">
        <v>462</v>
      </c>
      <c r="G2557">
        <v>60</v>
      </c>
      <c r="H2557">
        <v>97.94</v>
      </c>
      <c r="I2557">
        <v>9952.68</v>
      </c>
      <c r="J2557">
        <v>6.5</v>
      </c>
      <c r="K2557">
        <v>12.99</v>
      </c>
      <c r="L2557">
        <v>1.63</v>
      </c>
      <c r="M2557">
        <v>101.62</v>
      </c>
      <c r="N2557">
        <v>9854.74</v>
      </c>
    </row>
    <row r="2558" spans="1:14" x14ac:dyDescent="0.2">
      <c r="A2558" s="1">
        <v>45687</v>
      </c>
      <c r="B2558" s="2" t="s">
        <v>14</v>
      </c>
      <c r="C2558" s="2" t="s">
        <v>15</v>
      </c>
      <c r="D2558" s="2" t="s">
        <v>16</v>
      </c>
      <c r="E2558">
        <v>11253</v>
      </c>
      <c r="F2558">
        <v>420</v>
      </c>
      <c r="G2558">
        <v>48</v>
      </c>
      <c r="H2558">
        <v>1229.21</v>
      </c>
      <c r="I2558">
        <v>6695.06</v>
      </c>
      <c r="J2558">
        <v>3.73</v>
      </c>
      <c r="K2558">
        <v>11.43</v>
      </c>
      <c r="L2558">
        <v>25.61</v>
      </c>
      <c r="M2558">
        <v>5.45</v>
      </c>
      <c r="N2558">
        <v>5465.85</v>
      </c>
    </row>
    <row r="2559" spans="1:14" x14ac:dyDescent="0.2">
      <c r="A2559" s="1">
        <v>45687</v>
      </c>
      <c r="B2559" s="2" t="s">
        <v>17</v>
      </c>
      <c r="C2559" s="2" t="s">
        <v>32</v>
      </c>
      <c r="D2559" s="2" t="s">
        <v>16</v>
      </c>
      <c r="E2559">
        <v>23108</v>
      </c>
      <c r="F2559">
        <v>676</v>
      </c>
      <c r="G2559">
        <v>55</v>
      </c>
      <c r="H2559">
        <v>1335.18</v>
      </c>
      <c r="I2559">
        <v>5282.06</v>
      </c>
      <c r="J2559">
        <v>2.93</v>
      </c>
      <c r="K2559">
        <v>8.14</v>
      </c>
      <c r="L2559">
        <v>24.28</v>
      </c>
      <c r="M2559">
        <v>3.96</v>
      </c>
      <c r="N2559">
        <v>3946.88</v>
      </c>
    </row>
    <row r="2560" spans="1:14" x14ac:dyDescent="0.2">
      <c r="A2560" s="1">
        <v>45687</v>
      </c>
      <c r="B2560" s="2" t="s">
        <v>20</v>
      </c>
      <c r="C2560" s="2" t="s">
        <v>15</v>
      </c>
      <c r="D2560" s="2" t="s">
        <v>25</v>
      </c>
      <c r="E2560">
        <v>15673</v>
      </c>
      <c r="F2560">
        <v>471</v>
      </c>
      <c r="G2560">
        <v>21</v>
      </c>
      <c r="H2560">
        <v>901.62</v>
      </c>
      <c r="I2560">
        <v>2235.15</v>
      </c>
      <c r="J2560">
        <v>3.01</v>
      </c>
      <c r="K2560">
        <v>4.46</v>
      </c>
      <c r="L2560">
        <v>42.93</v>
      </c>
      <c r="M2560">
        <v>2.48</v>
      </c>
      <c r="N2560">
        <v>1333.53</v>
      </c>
    </row>
    <row r="2561" spans="1:14" x14ac:dyDescent="0.2">
      <c r="A2561" s="1">
        <v>45687</v>
      </c>
      <c r="B2561" s="2" t="s">
        <v>23</v>
      </c>
      <c r="C2561" s="2" t="s">
        <v>18</v>
      </c>
      <c r="D2561" s="2" t="s">
        <v>25</v>
      </c>
      <c r="E2561">
        <v>4572</v>
      </c>
      <c r="F2561">
        <v>136</v>
      </c>
      <c r="G2561">
        <v>19</v>
      </c>
      <c r="H2561">
        <v>1489.06</v>
      </c>
      <c r="I2561">
        <v>5758.62</v>
      </c>
      <c r="J2561">
        <v>2.97</v>
      </c>
      <c r="K2561">
        <v>13.97</v>
      </c>
      <c r="L2561">
        <v>78.37</v>
      </c>
      <c r="M2561">
        <v>3.87</v>
      </c>
      <c r="N2561">
        <v>4269.5600000000004</v>
      </c>
    </row>
    <row r="2562" spans="1:14" x14ac:dyDescent="0.2">
      <c r="A2562" s="1">
        <v>45687</v>
      </c>
      <c r="B2562" s="2" t="s">
        <v>24</v>
      </c>
      <c r="C2562" s="2" t="s">
        <v>18</v>
      </c>
      <c r="D2562" s="2" t="s">
        <v>16</v>
      </c>
      <c r="E2562">
        <v>25359</v>
      </c>
      <c r="F2562">
        <v>4257</v>
      </c>
      <c r="G2562">
        <v>488</v>
      </c>
      <c r="H2562">
        <v>242.65</v>
      </c>
      <c r="I2562">
        <v>67772.91</v>
      </c>
      <c r="J2562">
        <v>16.79</v>
      </c>
      <c r="K2562">
        <v>11.46</v>
      </c>
      <c r="L2562">
        <v>0.5</v>
      </c>
      <c r="M2562">
        <v>279.3</v>
      </c>
      <c r="N2562">
        <v>67530.259999999995</v>
      </c>
    </row>
    <row r="2563" spans="1:14" x14ac:dyDescent="0.2">
      <c r="A2563" s="1">
        <v>45687</v>
      </c>
      <c r="B2563" s="2" t="s">
        <v>26</v>
      </c>
      <c r="C2563" s="2" t="s">
        <v>35</v>
      </c>
      <c r="D2563" s="2" t="s">
        <v>25</v>
      </c>
      <c r="E2563">
        <v>26298</v>
      </c>
      <c r="F2563">
        <v>1833</v>
      </c>
      <c r="G2563">
        <v>231</v>
      </c>
      <c r="H2563">
        <v>0</v>
      </c>
      <c r="I2563">
        <v>22875.68</v>
      </c>
      <c r="J2563">
        <v>6.97</v>
      </c>
      <c r="K2563">
        <v>12.6</v>
      </c>
      <c r="L2563">
        <v>0</v>
      </c>
      <c r="M2563">
        <v>0</v>
      </c>
      <c r="N2563">
        <v>22875.68</v>
      </c>
    </row>
    <row r="2564" spans="1:14" x14ac:dyDescent="0.2">
      <c r="A2564" s="1">
        <v>45687</v>
      </c>
      <c r="B2564" s="2" t="s">
        <v>27</v>
      </c>
      <c r="C2564" s="2" t="s">
        <v>18</v>
      </c>
      <c r="D2564" s="2" t="s">
        <v>19</v>
      </c>
      <c r="E2564">
        <v>43369</v>
      </c>
      <c r="F2564">
        <v>585</v>
      </c>
      <c r="G2564">
        <v>10</v>
      </c>
      <c r="H2564">
        <v>904.38</v>
      </c>
      <c r="I2564">
        <v>793.32</v>
      </c>
      <c r="J2564">
        <v>1.35</v>
      </c>
      <c r="K2564">
        <v>1.71</v>
      </c>
      <c r="L2564">
        <v>90.44</v>
      </c>
      <c r="M2564">
        <v>0.88</v>
      </c>
      <c r="N2564">
        <v>-111.06</v>
      </c>
    </row>
    <row r="2565" spans="1:14" x14ac:dyDescent="0.2">
      <c r="A2565" s="1">
        <v>45687</v>
      </c>
      <c r="B2565" s="2" t="s">
        <v>29</v>
      </c>
      <c r="C2565" s="2" t="s">
        <v>15</v>
      </c>
      <c r="D2565" s="2" t="s">
        <v>19</v>
      </c>
      <c r="E2565">
        <v>29604</v>
      </c>
      <c r="F2565">
        <v>796</v>
      </c>
      <c r="G2565">
        <v>34</v>
      </c>
      <c r="H2565">
        <v>1586.43</v>
      </c>
      <c r="I2565">
        <v>3604.81</v>
      </c>
      <c r="J2565">
        <v>2.69</v>
      </c>
      <c r="K2565">
        <v>4.2699999999999996</v>
      </c>
      <c r="L2565">
        <v>46.66</v>
      </c>
      <c r="M2565">
        <v>2.27</v>
      </c>
      <c r="N2565">
        <v>2018.38</v>
      </c>
    </row>
    <row r="2566" spans="1:14" x14ac:dyDescent="0.2">
      <c r="A2566" s="1">
        <v>45687</v>
      </c>
      <c r="B2566" s="2" t="s">
        <v>30</v>
      </c>
      <c r="C2566" s="2" t="s">
        <v>32</v>
      </c>
      <c r="D2566" s="2" t="s">
        <v>16</v>
      </c>
      <c r="E2566">
        <v>14276</v>
      </c>
      <c r="F2566">
        <v>447</v>
      </c>
      <c r="G2566">
        <v>25</v>
      </c>
      <c r="H2566">
        <v>799.51</v>
      </c>
      <c r="I2566">
        <v>2231.44</v>
      </c>
      <c r="J2566">
        <v>3.13</v>
      </c>
      <c r="K2566">
        <v>5.59</v>
      </c>
      <c r="L2566">
        <v>31.98</v>
      </c>
      <c r="M2566">
        <v>2.79</v>
      </c>
      <c r="N2566">
        <v>1431.93</v>
      </c>
    </row>
    <row r="2567" spans="1:14" x14ac:dyDescent="0.2">
      <c r="A2567" s="1">
        <v>45687</v>
      </c>
      <c r="B2567" s="2" t="s">
        <v>31</v>
      </c>
      <c r="C2567" s="2" t="s">
        <v>35</v>
      </c>
      <c r="D2567" s="2" t="s">
        <v>36</v>
      </c>
      <c r="E2567">
        <v>32186</v>
      </c>
      <c r="F2567">
        <v>1258</v>
      </c>
      <c r="G2567">
        <v>52</v>
      </c>
      <c r="H2567">
        <v>1067.74</v>
      </c>
      <c r="I2567">
        <v>3838.33</v>
      </c>
      <c r="J2567">
        <v>3.91</v>
      </c>
      <c r="K2567">
        <v>4.13</v>
      </c>
      <c r="L2567">
        <v>20.53</v>
      </c>
      <c r="M2567">
        <v>3.59</v>
      </c>
      <c r="N2567">
        <v>2770.59</v>
      </c>
    </row>
    <row r="2568" spans="1:14" x14ac:dyDescent="0.2">
      <c r="A2568" s="1">
        <v>45687</v>
      </c>
      <c r="B2568" s="2" t="s">
        <v>33</v>
      </c>
      <c r="C2568" s="2" t="s">
        <v>28</v>
      </c>
      <c r="D2568" s="2" t="s">
        <v>36</v>
      </c>
      <c r="E2568">
        <v>11305</v>
      </c>
      <c r="F2568">
        <v>732</v>
      </c>
      <c r="G2568">
        <v>72</v>
      </c>
      <c r="H2568">
        <v>370.21</v>
      </c>
      <c r="I2568">
        <v>9962.4500000000007</v>
      </c>
      <c r="J2568">
        <v>6.48</v>
      </c>
      <c r="K2568">
        <v>9.84</v>
      </c>
      <c r="L2568">
        <v>5.14</v>
      </c>
      <c r="M2568">
        <v>26.91</v>
      </c>
      <c r="N2568">
        <v>9592.24</v>
      </c>
    </row>
    <row r="2569" spans="1:14" x14ac:dyDescent="0.2">
      <c r="A2569" s="1">
        <v>45687</v>
      </c>
      <c r="B2569" s="2" t="s">
        <v>34</v>
      </c>
      <c r="C2569" s="2" t="s">
        <v>15</v>
      </c>
      <c r="D2569" s="2" t="s">
        <v>16</v>
      </c>
      <c r="E2569">
        <v>6429</v>
      </c>
      <c r="F2569">
        <v>430</v>
      </c>
      <c r="G2569">
        <v>75</v>
      </c>
      <c r="H2569">
        <v>118.17</v>
      </c>
      <c r="I2569">
        <v>11272.31</v>
      </c>
      <c r="J2569">
        <v>6.69</v>
      </c>
      <c r="K2569">
        <v>17.440000000000001</v>
      </c>
      <c r="L2569">
        <v>1.58</v>
      </c>
      <c r="M2569">
        <v>95.39</v>
      </c>
      <c r="N2569">
        <v>11154.14</v>
      </c>
    </row>
    <row r="2570" spans="1:14" x14ac:dyDescent="0.2">
      <c r="A2570" s="1">
        <v>45688</v>
      </c>
      <c r="B2570" s="2" t="s">
        <v>14</v>
      </c>
      <c r="C2570" s="2" t="s">
        <v>28</v>
      </c>
      <c r="D2570" s="2" t="s">
        <v>22</v>
      </c>
      <c r="E2570">
        <v>15648</v>
      </c>
      <c r="F2570">
        <v>627</v>
      </c>
      <c r="G2570">
        <v>61</v>
      </c>
      <c r="H2570">
        <v>1729.4</v>
      </c>
      <c r="I2570">
        <v>9073.1</v>
      </c>
      <c r="J2570">
        <v>4.01</v>
      </c>
      <c r="K2570">
        <v>9.73</v>
      </c>
      <c r="L2570">
        <v>28.35</v>
      </c>
      <c r="M2570">
        <v>5.25</v>
      </c>
      <c r="N2570">
        <v>7343.7</v>
      </c>
    </row>
    <row r="2571" spans="1:14" x14ac:dyDescent="0.2">
      <c r="A2571" s="1">
        <v>45688</v>
      </c>
      <c r="B2571" s="2" t="s">
        <v>17</v>
      </c>
      <c r="C2571" s="2" t="s">
        <v>32</v>
      </c>
      <c r="D2571" s="2" t="s">
        <v>22</v>
      </c>
      <c r="E2571">
        <v>20389</v>
      </c>
      <c r="F2571">
        <v>726</v>
      </c>
      <c r="G2571">
        <v>55</v>
      </c>
      <c r="H2571">
        <v>1019.5</v>
      </c>
      <c r="I2571">
        <v>5335.54</v>
      </c>
      <c r="J2571">
        <v>3.56</v>
      </c>
      <c r="K2571">
        <v>7.58</v>
      </c>
      <c r="L2571">
        <v>18.54</v>
      </c>
      <c r="M2571">
        <v>5.23</v>
      </c>
      <c r="N2571">
        <v>4316.04</v>
      </c>
    </row>
    <row r="2572" spans="1:14" x14ac:dyDescent="0.2">
      <c r="A2572" s="1">
        <v>45688</v>
      </c>
      <c r="B2572" s="2" t="s">
        <v>20</v>
      </c>
      <c r="C2572" s="2" t="s">
        <v>21</v>
      </c>
      <c r="D2572" s="2" t="s">
        <v>36</v>
      </c>
      <c r="E2572">
        <v>18264</v>
      </c>
      <c r="F2572">
        <v>765</v>
      </c>
      <c r="G2572">
        <v>51</v>
      </c>
      <c r="H2572">
        <v>689.65</v>
      </c>
      <c r="I2572">
        <v>4741.75</v>
      </c>
      <c r="J2572">
        <v>4.1900000000000004</v>
      </c>
      <c r="K2572">
        <v>6.67</v>
      </c>
      <c r="L2572">
        <v>13.52</v>
      </c>
      <c r="M2572">
        <v>6.88</v>
      </c>
      <c r="N2572">
        <v>4052.1</v>
      </c>
    </row>
    <row r="2573" spans="1:14" x14ac:dyDescent="0.2">
      <c r="A2573" s="1">
        <v>45688</v>
      </c>
      <c r="B2573" s="2" t="s">
        <v>23</v>
      </c>
      <c r="C2573" s="2" t="s">
        <v>32</v>
      </c>
      <c r="D2573" s="2" t="s">
        <v>19</v>
      </c>
      <c r="E2573">
        <v>6340</v>
      </c>
      <c r="F2573">
        <v>175</v>
      </c>
      <c r="G2573">
        <v>20</v>
      </c>
      <c r="H2573">
        <v>1414.82</v>
      </c>
      <c r="I2573">
        <v>5528.07</v>
      </c>
      <c r="J2573">
        <v>2.76</v>
      </c>
      <c r="K2573">
        <v>11.43</v>
      </c>
      <c r="L2573">
        <v>70.739999999999995</v>
      </c>
      <c r="M2573">
        <v>3.91</v>
      </c>
      <c r="N2573">
        <v>4113.25</v>
      </c>
    </row>
    <row r="2574" spans="1:14" x14ac:dyDescent="0.2">
      <c r="A2574" s="1">
        <v>45688</v>
      </c>
      <c r="B2574" s="2" t="s">
        <v>24</v>
      </c>
      <c r="C2574" s="2" t="s">
        <v>15</v>
      </c>
      <c r="D2574" s="2" t="s">
        <v>22</v>
      </c>
      <c r="E2574">
        <v>26923</v>
      </c>
      <c r="F2574">
        <v>5380</v>
      </c>
      <c r="G2574">
        <v>619</v>
      </c>
      <c r="H2574">
        <v>140.66</v>
      </c>
      <c r="I2574">
        <v>106038.41</v>
      </c>
      <c r="J2574">
        <v>19.98</v>
      </c>
      <c r="K2574">
        <v>11.51</v>
      </c>
      <c r="L2574">
        <v>0.23</v>
      </c>
      <c r="M2574">
        <v>753.86</v>
      </c>
      <c r="N2574">
        <v>105897.75</v>
      </c>
    </row>
    <row r="2575" spans="1:14" x14ac:dyDescent="0.2">
      <c r="A2575" s="1">
        <v>45688</v>
      </c>
      <c r="B2575" s="2" t="s">
        <v>26</v>
      </c>
      <c r="C2575" s="2" t="s">
        <v>35</v>
      </c>
      <c r="D2575" s="2" t="s">
        <v>19</v>
      </c>
      <c r="E2575">
        <v>40909</v>
      </c>
      <c r="F2575">
        <v>3116</v>
      </c>
      <c r="G2575">
        <v>373</v>
      </c>
      <c r="H2575">
        <v>0</v>
      </c>
      <c r="I2575">
        <v>41166.47</v>
      </c>
      <c r="J2575">
        <v>7.62</v>
      </c>
      <c r="K2575">
        <v>11.97</v>
      </c>
      <c r="L2575">
        <v>0</v>
      </c>
      <c r="M2575">
        <v>0</v>
      </c>
      <c r="N2575">
        <v>41166.47</v>
      </c>
    </row>
    <row r="2576" spans="1:14" x14ac:dyDescent="0.2">
      <c r="A2576" s="1">
        <v>45688</v>
      </c>
      <c r="B2576" s="2" t="s">
        <v>27</v>
      </c>
      <c r="C2576" s="2" t="s">
        <v>18</v>
      </c>
      <c r="D2576" s="2" t="s">
        <v>25</v>
      </c>
      <c r="E2576">
        <v>47878</v>
      </c>
      <c r="F2576">
        <v>646</v>
      </c>
      <c r="G2576">
        <v>18</v>
      </c>
      <c r="H2576">
        <v>867.37</v>
      </c>
      <c r="I2576">
        <v>1888.64</v>
      </c>
      <c r="J2576">
        <v>1.35</v>
      </c>
      <c r="K2576">
        <v>2.79</v>
      </c>
      <c r="L2576">
        <v>48.19</v>
      </c>
      <c r="M2576">
        <v>2.1800000000000002</v>
      </c>
      <c r="N2576">
        <v>1021.27</v>
      </c>
    </row>
    <row r="2577" spans="1:14" x14ac:dyDescent="0.2">
      <c r="A2577" s="1">
        <v>45688</v>
      </c>
      <c r="B2577" s="2" t="s">
        <v>29</v>
      </c>
      <c r="C2577" s="2" t="s">
        <v>32</v>
      </c>
      <c r="D2577" s="2" t="s">
        <v>22</v>
      </c>
      <c r="E2577">
        <v>26814</v>
      </c>
      <c r="F2577">
        <v>472</v>
      </c>
      <c r="G2577">
        <v>21</v>
      </c>
      <c r="H2577">
        <v>1231.52</v>
      </c>
      <c r="I2577">
        <v>2797.76</v>
      </c>
      <c r="J2577">
        <v>1.76</v>
      </c>
      <c r="K2577">
        <v>4.45</v>
      </c>
      <c r="L2577">
        <v>58.64</v>
      </c>
      <c r="M2577">
        <v>2.27</v>
      </c>
      <c r="N2577">
        <v>1566.24</v>
      </c>
    </row>
    <row r="2578" spans="1:14" x14ac:dyDescent="0.2">
      <c r="A2578" s="1">
        <v>45688</v>
      </c>
      <c r="B2578" s="2" t="s">
        <v>30</v>
      </c>
      <c r="C2578" s="2" t="s">
        <v>18</v>
      </c>
      <c r="D2578" s="2" t="s">
        <v>16</v>
      </c>
      <c r="E2578">
        <v>15603</v>
      </c>
      <c r="F2578">
        <v>376</v>
      </c>
      <c r="G2578">
        <v>10</v>
      </c>
      <c r="H2578">
        <v>877.16</v>
      </c>
      <c r="I2578">
        <v>714.34</v>
      </c>
      <c r="J2578">
        <v>2.41</v>
      </c>
      <c r="K2578">
        <v>2.66</v>
      </c>
      <c r="L2578">
        <v>87.72</v>
      </c>
      <c r="M2578">
        <v>0.81</v>
      </c>
      <c r="N2578">
        <v>-162.82</v>
      </c>
    </row>
    <row r="2579" spans="1:14" x14ac:dyDescent="0.2">
      <c r="A2579" s="1">
        <v>45688</v>
      </c>
      <c r="B2579" s="2" t="s">
        <v>31</v>
      </c>
      <c r="C2579" s="2" t="s">
        <v>18</v>
      </c>
      <c r="D2579" s="2" t="s">
        <v>25</v>
      </c>
      <c r="E2579">
        <v>34686</v>
      </c>
      <c r="F2579">
        <v>1084</v>
      </c>
      <c r="G2579">
        <v>50</v>
      </c>
      <c r="H2579">
        <v>1084.58</v>
      </c>
      <c r="I2579">
        <v>5587.4</v>
      </c>
      <c r="J2579">
        <v>3.13</v>
      </c>
      <c r="K2579">
        <v>4.6100000000000003</v>
      </c>
      <c r="L2579">
        <v>21.69</v>
      </c>
      <c r="M2579">
        <v>5.15</v>
      </c>
      <c r="N2579">
        <v>4502.82</v>
      </c>
    </row>
    <row r="2580" spans="1:14" x14ac:dyDescent="0.2">
      <c r="A2580" s="1">
        <v>45688</v>
      </c>
      <c r="B2580" s="2" t="s">
        <v>33</v>
      </c>
      <c r="C2580" s="2" t="s">
        <v>32</v>
      </c>
      <c r="D2580" s="2" t="s">
        <v>36</v>
      </c>
      <c r="E2580">
        <v>10748</v>
      </c>
      <c r="F2580">
        <v>430</v>
      </c>
      <c r="G2580">
        <v>37</v>
      </c>
      <c r="H2580">
        <v>475.64</v>
      </c>
      <c r="I2580">
        <v>4103.59</v>
      </c>
      <c r="J2580">
        <v>4</v>
      </c>
      <c r="K2580">
        <v>8.6</v>
      </c>
      <c r="L2580">
        <v>12.86</v>
      </c>
      <c r="M2580">
        <v>8.6300000000000008</v>
      </c>
      <c r="N2580">
        <v>3627.95</v>
      </c>
    </row>
    <row r="2581" spans="1:14" x14ac:dyDescent="0.2">
      <c r="A2581" s="1">
        <v>45688</v>
      </c>
      <c r="B2581" s="2" t="s">
        <v>34</v>
      </c>
      <c r="C2581" s="2" t="s">
        <v>32</v>
      </c>
      <c r="D2581" s="2" t="s">
        <v>25</v>
      </c>
      <c r="E2581">
        <v>8192</v>
      </c>
      <c r="F2581">
        <v>628</v>
      </c>
      <c r="G2581">
        <v>109</v>
      </c>
      <c r="H2581">
        <v>79.22</v>
      </c>
      <c r="I2581">
        <v>19881.400000000001</v>
      </c>
      <c r="J2581">
        <v>7.67</v>
      </c>
      <c r="K2581">
        <v>17.36</v>
      </c>
      <c r="L2581">
        <v>0.73</v>
      </c>
      <c r="M2581">
        <v>250.96</v>
      </c>
      <c r="N2581">
        <v>19802.18</v>
      </c>
    </row>
    <row r="2582" spans="1:14" x14ac:dyDescent="0.2">
      <c r="A2582" s="1">
        <v>45689</v>
      </c>
      <c r="B2582" s="2" t="s">
        <v>14</v>
      </c>
      <c r="C2582" s="2" t="s">
        <v>18</v>
      </c>
      <c r="D2582" s="2" t="s">
        <v>19</v>
      </c>
      <c r="E2582">
        <v>11577</v>
      </c>
      <c r="F2582">
        <v>493</v>
      </c>
      <c r="G2582">
        <v>50</v>
      </c>
      <c r="H2582">
        <v>1090.3800000000001</v>
      </c>
      <c r="I2582">
        <v>7610.96</v>
      </c>
      <c r="J2582">
        <v>4.26</v>
      </c>
      <c r="K2582">
        <v>10.14</v>
      </c>
      <c r="L2582">
        <v>21.81</v>
      </c>
      <c r="M2582">
        <v>6.98</v>
      </c>
      <c r="N2582">
        <v>6520.58</v>
      </c>
    </row>
    <row r="2583" spans="1:14" x14ac:dyDescent="0.2">
      <c r="A2583" s="1">
        <v>45689</v>
      </c>
      <c r="B2583" s="2" t="s">
        <v>17</v>
      </c>
      <c r="C2583" s="2" t="s">
        <v>21</v>
      </c>
      <c r="D2583" s="2" t="s">
        <v>19</v>
      </c>
      <c r="E2583">
        <v>15728</v>
      </c>
      <c r="F2583">
        <v>383</v>
      </c>
      <c r="G2583">
        <v>31</v>
      </c>
      <c r="H2583">
        <v>941.27</v>
      </c>
      <c r="I2583">
        <v>2997.04</v>
      </c>
      <c r="J2583">
        <v>2.44</v>
      </c>
      <c r="K2583">
        <v>8.09</v>
      </c>
      <c r="L2583">
        <v>30.36</v>
      </c>
      <c r="M2583">
        <v>3.18</v>
      </c>
      <c r="N2583">
        <v>2055.77</v>
      </c>
    </row>
    <row r="2584" spans="1:14" x14ac:dyDescent="0.2">
      <c r="A2584" s="1">
        <v>45689</v>
      </c>
      <c r="B2584" s="2" t="s">
        <v>20</v>
      </c>
      <c r="C2584" s="2" t="s">
        <v>21</v>
      </c>
      <c r="D2584" s="2" t="s">
        <v>36</v>
      </c>
      <c r="E2584">
        <v>14715</v>
      </c>
      <c r="F2584">
        <v>578</v>
      </c>
      <c r="G2584">
        <v>43</v>
      </c>
      <c r="H2584">
        <v>457.47</v>
      </c>
      <c r="I2584">
        <v>4042.53</v>
      </c>
      <c r="J2584">
        <v>3.93</v>
      </c>
      <c r="K2584">
        <v>7.44</v>
      </c>
      <c r="L2584">
        <v>10.64</v>
      </c>
      <c r="M2584">
        <v>8.84</v>
      </c>
      <c r="N2584">
        <v>3585.06</v>
      </c>
    </row>
    <row r="2585" spans="1:14" x14ac:dyDescent="0.2">
      <c r="A2585" s="1">
        <v>45689</v>
      </c>
      <c r="B2585" s="2" t="s">
        <v>23</v>
      </c>
      <c r="C2585" s="2" t="s">
        <v>15</v>
      </c>
      <c r="D2585" s="2" t="s">
        <v>25</v>
      </c>
      <c r="E2585">
        <v>3360</v>
      </c>
      <c r="F2585">
        <v>93</v>
      </c>
      <c r="G2585">
        <v>12</v>
      </c>
      <c r="H2585">
        <v>1415.72</v>
      </c>
      <c r="I2585">
        <v>2581.5</v>
      </c>
      <c r="J2585">
        <v>2.77</v>
      </c>
      <c r="K2585">
        <v>12.9</v>
      </c>
      <c r="L2585">
        <v>117.98</v>
      </c>
      <c r="M2585">
        <v>1.82</v>
      </c>
      <c r="N2585">
        <v>1165.78</v>
      </c>
    </row>
    <row r="2586" spans="1:14" x14ac:dyDescent="0.2">
      <c r="A2586" s="1">
        <v>45689</v>
      </c>
      <c r="B2586" s="2" t="s">
        <v>24</v>
      </c>
      <c r="C2586" s="2" t="s">
        <v>21</v>
      </c>
      <c r="D2586" s="2" t="s">
        <v>22</v>
      </c>
      <c r="E2586">
        <v>16005</v>
      </c>
      <c r="F2586">
        <v>3430</v>
      </c>
      <c r="G2586">
        <v>412</v>
      </c>
      <c r="H2586">
        <v>139.38</v>
      </c>
      <c r="I2586">
        <v>50314.73</v>
      </c>
      <c r="J2586">
        <v>21.43</v>
      </c>
      <c r="K2586">
        <v>12.01</v>
      </c>
      <c r="L2586">
        <v>0.34</v>
      </c>
      <c r="M2586">
        <v>360.99</v>
      </c>
      <c r="N2586">
        <v>50175.35</v>
      </c>
    </row>
    <row r="2587" spans="1:14" x14ac:dyDescent="0.2">
      <c r="A2587" s="1">
        <v>45689</v>
      </c>
      <c r="B2587" s="2" t="s">
        <v>26</v>
      </c>
      <c r="C2587" s="2" t="s">
        <v>21</v>
      </c>
      <c r="D2587" s="2" t="s">
        <v>22</v>
      </c>
      <c r="E2587">
        <v>28155</v>
      </c>
      <c r="F2587">
        <v>1925</v>
      </c>
      <c r="G2587">
        <v>271</v>
      </c>
      <c r="H2587">
        <v>0</v>
      </c>
      <c r="I2587">
        <v>38457.050000000003</v>
      </c>
      <c r="J2587">
        <v>6.84</v>
      </c>
      <c r="K2587">
        <v>14.08</v>
      </c>
      <c r="L2587">
        <v>0</v>
      </c>
      <c r="M2587">
        <v>0</v>
      </c>
      <c r="N2587">
        <v>38457.050000000003</v>
      </c>
    </row>
    <row r="2588" spans="1:14" x14ac:dyDescent="0.2">
      <c r="A2588" s="1">
        <v>45689</v>
      </c>
      <c r="B2588" s="2" t="s">
        <v>27</v>
      </c>
      <c r="C2588" s="2" t="s">
        <v>32</v>
      </c>
      <c r="D2588" s="2" t="s">
        <v>19</v>
      </c>
      <c r="E2588">
        <v>31188</v>
      </c>
      <c r="F2588">
        <v>532</v>
      </c>
      <c r="G2588">
        <v>11</v>
      </c>
      <c r="H2588">
        <v>741.94</v>
      </c>
      <c r="I2588">
        <v>1271.8599999999999</v>
      </c>
      <c r="J2588">
        <v>1.71</v>
      </c>
      <c r="K2588">
        <v>2.0699999999999998</v>
      </c>
      <c r="L2588">
        <v>67.45</v>
      </c>
      <c r="M2588">
        <v>1.71</v>
      </c>
      <c r="N2588">
        <v>529.91999999999996</v>
      </c>
    </row>
    <row r="2589" spans="1:14" x14ac:dyDescent="0.2">
      <c r="A2589" s="1">
        <v>45689</v>
      </c>
      <c r="B2589" s="2" t="s">
        <v>29</v>
      </c>
      <c r="C2589" s="2" t="s">
        <v>21</v>
      </c>
      <c r="D2589" s="2" t="s">
        <v>16</v>
      </c>
      <c r="E2589">
        <v>15004</v>
      </c>
      <c r="F2589">
        <v>298</v>
      </c>
      <c r="G2589">
        <v>19</v>
      </c>
      <c r="H2589">
        <v>1158.54</v>
      </c>
      <c r="I2589">
        <v>2761.56</v>
      </c>
      <c r="J2589">
        <v>1.99</v>
      </c>
      <c r="K2589">
        <v>6.38</v>
      </c>
      <c r="L2589">
        <v>60.98</v>
      </c>
      <c r="M2589">
        <v>2.38</v>
      </c>
      <c r="N2589">
        <v>1603.02</v>
      </c>
    </row>
    <row r="2590" spans="1:14" x14ac:dyDescent="0.2">
      <c r="A2590" s="1">
        <v>45689</v>
      </c>
      <c r="B2590" s="2" t="s">
        <v>30</v>
      </c>
      <c r="C2590" s="2" t="s">
        <v>21</v>
      </c>
      <c r="D2590" s="2" t="s">
        <v>25</v>
      </c>
      <c r="E2590">
        <v>7206</v>
      </c>
      <c r="F2590">
        <v>158</v>
      </c>
      <c r="G2590">
        <v>7</v>
      </c>
      <c r="H2590">
        <v>495.42</v>
      </c>
      <c r="I2590">
        <v>597.67999999999995</v>
      </c>
      <c r="J2590">
        <v>2.19</v>
      </c>
      <c r="K2590">
        <v>4.43</v>
      </c>
      <c r="L2590">
        <v>70.77</v>
      </c>
      <c r="M2590">
        <v>1.21</v>
      </c>
      <c r="N2590">
        <v>102.26</v>
      </c>
    </row>
    <row r="2591" spans="1:14" x14ac:dyDescent="0.2">
      <c r="A2591" s="1">
        <v>45689</v>
      </c>
      <c r="B2591" s="2" t="s">
        <v>31</v>
      </c>
      <c r="C2591" s="2" t="s">
        <v>18</v>
      </c>
      <c r="D2591" s="2" t="s">
        <v>25</v>
      </c>
      <c r="E2591">
        <v>15396</v>
      </c>
      <c r="F2591">
        <v>525</v>
      </c>
      <c r="G2591">
        <v>29</v>
      </c>
      <c r="H2591">
        <v>753.27</v>
      </c>
      <c r="I2591">
        <v>2156.25</v>
      </c>
      <c r="J2591">
        <v>3.41</v>
      </c>
      <c r="K2591">
        <v>5.52</v>
      </c>
      <c r="L2591">
        <v>25.97</v>
      </c>
      <c r="M2591">
        <v>2.86</v>
      </c>
      <c r="N2591">
        <v>1402.98</v>
      </c>
    </row>
    <row r="2592" spans="1:14" x14ac:dyDescent="0.2">
      <c r="A2592" s="1">
        <v>45689</v>
      </c>
      <c r="B2592" s="2" t="s">
        <v>33</v>
      </c>
      <c r="C2592" s="2" t="s">
        <v>28</v>
      </c>
      <c r="D2592" s="2" t="s">
        <v>25</v>
      </c>
      <c r="E2592">
        <v>4538</v>
      </c>
      <c r="F2592">
        <v>257</v>
      </c>
      <c r="G2592">
        <v>31</v>
      </c>
      <c r="H2592">
        <v>583.25</v>
      </c>
      <c r="I2592">
        <v>4375.83</v>
      </c>
      <c r="J2592">
        <v>5.66</v>
      </c>
      <c r="K2592">
        <v>12.06</v>
      </c>
      <c r="L2592">
        <v>18.809999999999999</v>
      </c>
      <c r="M2592">
        <v>7.5</v>
      </c>
      <c r="N2592">
        <v>3792.58</v>
      </c>
    </row>
    <row r="2593" spans="1:14" x14ac:dyDescent="0.2">
      <c r="A2593" s="1">
        <v>45689</v>
      </c>
      <c r="B2593" s="2" t="s">
        <v>34</v>
      </c>
      <c r="C2593" s="2" t="s">
        <v>18</v>
      </c>
      <c r="D2593" s="2" t="s">
        <v>19</v>
      </c>
      <c r="E2593">
        <v>3948</v>
      </c>
      <c r="F2593">
        <v>227</v>
      </c>
      <c r="G2593">
        <v>34</v>
      </c>
      <c r="H2593">
        <v>90.99</v>
      </c>
      <c r="I2593">
        <v>5034.71</v>
      </c>
      <c r="J2593">
        <v>5.75</v>
      </c>
      <c r="K2593">
        <v>14.98</v>
      </c>
      <c r="L2593">
        <v>2.68</v>
      </c>
      <c r="M2593">
        <v>55.33</v>
      </c>
      <c r="N2593">
        <v>4943.72</v>
      </c>
    </row>
    <row r="2594" spans="1:14" x14ac:dyDescent="0.2">
      <c r="A2594" s="1">
        <v>45690</v>
      </c>
      <c r="B2594" s="2" t="s">
        <v>14</v>
      </c>
      <c r="C2594" s="2" t="s">
        <v>15</v>
      </c>
      <c r="D2594" s="2" t="s">
        <v>16</v>
      </c>
      <c r="E2594">
        <v>10005</v>
      </c>
      <c r="F2594">
        <v>414</v>
      </c>
      <c r="G2594">
        <v>42</v>
      </c>
      <c r="H2594">
        <v>1202.47</v>
      </c>
      <c r="I2594">
        <v>5501.42</v>
      </c>
      <c r="J2594">
        <v>4.1399999999999997</v>
      </c>
      <c r="K2594">
        <v>10.14</v>
      </c>
      <c r="L2594">
        <v>28.63</v>
      </c>
      <c r="M2594">
        <v>4.58</v>
      </c>
      <c r="N2594">
        <v>4298.95</v>
      </c>
    </row>
    <row r="2595" spans="1:14" x14ac:dyDescent="0.2">
      <c r="A2595" s="1">
        <v>45690</v>
      </c>
      <c r="B2595" s="2" t="s">
        <v>17</v>
      </c>
      <c r="C2595" s="2" t="s">
        <v>35</v>
      </c>
      <c r="D2595" s="2" t="s">
        <v>16</v>
      </c>
      <c r="E2595">
        <v>14238</v>
      </c>
      <c r="F2595">
        <v>531</v>
      </c>
      <c r="G2595">
        <v>46</v>
      </c>
      <c r="H2595">
        <v>682.29</v>
      </c>
      <c r="I2595">
        <v>5585.68</v>
      </c>
      <c r="J2595">
        <v>3.73</v>
      </c>
      <c r="K2595">
        <v>8.66</v>
      </c>
      <c r="L2595">
        <v>14.83</v>
      </c>
      <c r="M2595">
        <v>8.19</v>
      </c>
      <c r="N2595">
        <v>4903.3900000000003</v>
      </c>
    </row>
    <row r="2596" spans="1:14" x14ac:dyDescent="0.2">
      <c r="A2596" s="1">
        <v>45690</v>
      </c>
      <c r="B2596" s="2" t="s">
        <v>20</v>
      </c>
      <c r="C2596" s="2" t="s">
        <v>21</v>
      </c>
      <c r="D2596" s="2" t="s">
        <v>25</v>
      </c>
      <c r="E2596">
        <v>11906</v>
      </c>
      <c r="F2596">
        <v>368</v>
      </c>
      <c r="G2596">
        <v>19</v>
      </c>
      <c r="H2596">
        <v>781.74</v>
      </c>
      <c r="I2596">
        <v>1659.51</v>
      </c>
      <c r="J2596">
        <v>3.09</v>
      </c>
      <c r="K2596">
        <v>5.16</v>
      </c>
      <c r="L2596">
        <v>41.14</v>
      </c>
      <c r="M2596">
        <v>2.12</v>
      </c>
      <c r="N2596">
        <v>877.77</v>
      </c>
    </row>
    <row r="2597" spans="1:14" x14ac:dyDescent="0.2">
      <c r="A2597" s="1">
        <v>45690</v>
      </c>
      <c r="B2597" s="2" t="s">
        <v>23</v>
      </c>
      <c r="C2597" s="2" t="s">
        <v>28</v>
      </c>
      <c r="D2597" s="2" t="s">
        <v>19</v>
      </c>
      <c r="E2597">
        <v>4249</v>
      </c>
      <c r="F2597">
        <v>98</v>
      </c>
      <c r="G2597">
        <v>14</v>
      </c>
      <c r="H2597">
        <v>892.44</v>
      </c>
      <c r="I2597">
        <v>4869.08</v>
      </c>
      <c r="J2597">
        <v>2.31</v>
      </c>
      <c r="K2597">
        <v>14.29</v>
      </c>
      <c r="L2597">
        <v>63.75</v>
      </c>
      <c r="M2597">
        <v>5.46</v>
      </c>
      <c r="N2597">
        <v>3976.64</v>
      </c>
    </row>
    <row r="2598" spans="1:14" x14ac:dyDescent="0.2">
      <c r="A2598" s="1">
        <v>45690</v>
      </c>
      <c r="B2598" s="2" t="s">
        <v>24</v>
      </c>
      <c r="C2598" s="2" t="s">
        <v>35</v>
      </c>
      <c r="D2598" s="2" t="s">
        <v>22</v>
      </c>
      <c r="E2598">
        <v>16346</v>
      </c>
      <c r="F2598">
        <v>3288</v>
      </c>
      <c r="G2598">
        <v>423</v>
      </c>
      <c r="H2598">
        <v>230.91</v>
      </c>
      <c r="I2598">
        <v>56588.34</v>
      </c>
      <c r="J2598">
        <v>20.12</v>
      </c>
      <c r="K2598">
        <v>12.86</v>
      </c>
      <c r="L2598">
        <v>0.55000000000000004</v>
      </c>
      <c r="M2598">
        <v>245.07</v>
      </c>
      <c r="N2598">
        <v>56357.43</v>
      </c>
    </row>
    <row r="2599" spans="1:14" x14ac:dyDescent="0.2">
      <c r="A2599" s="1">
        <v>45690</v>
      </c>
      <c r="B2599" s="2" t="s">
        <v>26</v>
      </c>
      <c r="C2599" s="2" t="s">
        <v>15</v>
      </c>
      <c r="D2599" s="2" t="s">
        <v>22</v>
      </c>
      <c r="E2599">
        <v>27042</v>
      </c>
      <c r="F2599">
        <v>1291</v>
      </c>
      <c r="G2599">
        <v>147</v>
      </c>
      <c r="H2599">
        <v>0</v>
      </c>
      <c r="I2599">
        <v>14530.74</v>
      </c>
      <c r="J2599">
        <v>4.7699999999999996</v>
      </c>
      <c r="K2599">
        <v>11.39</v>
      </c>
      <c r="L2599">
        <v>0</v>
      </c>
      <c r="M2599">
        <v>0</v>
      </c>
      <c r="N2599">
        <v>14530.74</v>
      </c>
    </row>
    <row r="2600" spans="1:14" x14ac:dyDescent="0.2">
      <c r="A2600" s="1">
        <v>45690</v>
      </c>
      <c r="B2600" s="2" t="s">
        <v>27</v>
      </c>
      <c r="C2600" s="2" t="s">
        <v>18</v>
      </c>
      <c r="D2600" s="2" t="s">
        <v>19</v>
      </c>
      <c r="E2600">
        <v>25813</v>
      </c>
      <c r="F2600">
        <v>378</v>
      </c>
      <c r="G2600">
        <v>11</v>
      </c>
      <c r="H2600">
        <v>875.66</v>
      </c>
      <c r="I2600">
        <v>1151.5999999999999</v>
      </c>
      <c r="J2600">
        <v>1.46</v>
      </c>
      <c r="K2600">
        <v>2.91</v>
      </c>
      <c r="L2600">
        <v>79.61</v>
      </c>
      <c r="M2600">
        <v>1.32</v>
      </c>
      <c r="N2600">
        <v>275.94</v>
      </c>
    </row>
    <row r="2601" spans="1:14" x14ac:dyDescent="0.2">
      <c r="A2601" s="1">
        <v>45690</v>
      </c>
      <c r="B2601" s="2" t="s">
        <v>29</v>
      </c>
      <c r="C2601" s="2" t="s">
        <v>32</v>
      </c>
      <c r="D2601" s="2" t="s">
        <v>16</v>
      </c>
      <c r="E2601">
        <v>17171</v>
      </c>
      <c r="F2601">
        <v>367</v>
      </c>
      <c r="G2601">
        <v>27</v>
      </c>
      <c r="H2601">
        <v>885.93</v>
      </c>
      <c r="I2601">
        <v>2609.56</v>
      </c>
      <c r="J2601">
        <v>2.14</v>
      </c>
      <c r="K2601">
        <v>7.36</v>
      </c>
      <c r="L2601">
        <v>32.81</v>
      </c>
      <c r="M2601">
        <v>2.95</v>
      </c>
      <c r="N2601">
        <v>1723.63</v>
      </c>
    </row>
    <row r="2602" spans="1:14" x14ac:dyDescent="0.2">
      <c r="A2602" s="1">
        <v>45690</v>
      </c>
      <c r="B2602" s="2" t="s">
        <v>30</v>
      </c>
      <c r="C2602" s="2" t="s">
        <v>21</v>
      </c>
      <c r="D2602" s="2" t="s">
        <v>19</v>
      </c>
      <c r="E2602">
        <v>10924</v>
      </c>
      <c r="F2602">
        <v>330</v>
      </c>
      <c r="G2602">
        <v>13</v>
      </c>
      <c r="H2602">
        <v>394.3</v>
      </c>
      <c r="I2602">
        <v>1416.14</v>
      </c>
      <c r="J2602">
        <v>3.02</v>
      </c>
      <c r="K2602">
        <v>3.94</v>
      </c>
      <c r="L2602">
        <v>30.33</v>
      </c>
      <c r="M2602">
        <v>3.59</v>
      </c>
      <c r="N2602">
        <v>1021.84</v>
      </c>
    </row>
    <row r="2603" spans="1:14" x14ac:dyDescent="0.2">
      <c r="A2603" s="1">
        <v>45690</v>
      </c>
      <c r="B2603" s="2" t="s">
        <v>31</v>
      </c>
      <c r="C2603" s="2" t="s">
        <v>28</v>
      </c>
      <c r="D2603" s="2" t="s">
        <v>36</v>
      </c>
      <c r="E2603">
        <v>20118</v>
      </c>
      <c r="F2603">
        <v>511</v>
      </c>
      <c r="G2603">
        <v>21</v>
      </c>
      <c r="H2603">
        <v>523.63</v>
      </c>
      <c r="I2603">
        <v>1858.61</v>
      </c>
      <c r="J2603">
        <v>2.54</v>
      </c>
      <c r="K2603">
        <v>4.1100000000000003</v>
      </c>
      <c r="L2603">
        <v>24.93</v>
      </c>
      <c r="M2603">
        <v>3.55</v>
      </c>
      <c r="N2603">
        <v>1334.98</v>
      </c>
    </row>
    <row r="2604" spans="1:14" x14ac:dyDescent="0.2">
      <c r="A2604" s="1">
        <v>45690</v>
      </c>
      <c r="B2604" s="2" t="s">
        <v>33</v>
      </c>
      <c r="C2604" s="2" t="s">
        <v>35</v>
      </c>
      <c r="D2604" s="2" t="s">
        <v>25</v>
      </c>
      <c r="E2604">
        <v>5717</v>
      </c>
      <c r="F2604">
        <v>359</v>
      </c>
      <c r="G2604">
        <v>31</v>
      </c>
      <c r="H2604">
        <v>485.8</v>
      </c>
      <c r="I2604">
        <v>3760.65</v>
      </c>
      <c r="J2604">
        <v>6.28</v>
      </c>
      <c r="K2604">
        <v>8.64</v>
      </c>
      <c r="L2604">
        <v>15.67</v>
      </c>
      <c r="M2604">
        <v>7.74</v>
      </c>
      <c r="N2604">
        <v>3274.85</v>
      </c>
    </row>
    <row r="2605" spans="1:14" x14ac:dyDescent="0.2">
      <c r="A2605" s="1">
        <v>45690</v>
      </c>
      <c r="B2605" s="2" t="s">
        <v>34</v>
      </c>
      <c r="C2605" s="2" t="s">
        <v>15</v>
      </c>
      <c r="D2605" s="2" t="s">
        <v>19</v>
      </c>
      <c r="E2605">
        <v>5148</v>
      </c>
      <c r="F2605">
        <v>261</v>
      </c>
      <c r="G2605">
        <v>33</v>
      </c>
      <c r="H2605">
        <v>59.08</v>
      </c>
      <c r="I2605">
        <v>5512.98</v>
      </c>
      <c r="J2605">
        <v>5.07</v>
      </c>
      <c r="K2605">
        <v>12.64</v>
      </c>
      <c r="L2605">
        <v>1.79</v>
      </c>
      <c r="M2605">
        <v>93.31</v>
      </c>
      <c r="N2605">
        <v>5453.9</v>
      </c>
    </row>
    <row r="2606" spans="1:14" x14ac:dyDescent="0.2">
      <c r="A2606" s="1">
        <v>45691</v>
      </c>
      <c r="B2606" s="2" t="s">
        <v>14</v>
      </c>
      <c r="C2606" s="2" t="s">
        <v>15</v>
      </c>
      <c r="D2606" s="2" t="s">
        <v>25</v>
      </c>
      <c r="E2606">
        <v>14215</v>
      </c>
      <c r="F2606">
        <v>543</v>
      </c>
      <c r="G2606">
        <v>52</v>
      </c>
      <c r="H2606">
        <v>1195.46</v>
      </c>
      <c r="I2606">
        <v>7704.56</v>
      </c>
      <c r="J2606">
        <v>3.82</v>
      </c>
      <c r="K2606">
        <v>9.58</v>
      </c>
      <c r="L2606">
        <v>22.99</v>
      </c>
      <c r="M2606">
        <v>6.44</v>
      </c>
      <c r="N2606">
        <v>6509.1</v>
      </c>
    </row>
    <row r="2607" spans="1:14" x14ac:dyDescent="0.2">
      <c r="A2607" s="1">
        <v>45691</v>
      </c>
      <c r="B2607" s="2" t="s">
        <v>17</v>
      </c>
      <c r="C2607" s="2" t="s">
        <v>21</v>
      </c>
      <c r="D2607" s="2" t="s">
        <v>25</v>
      </c>
      <c r="E2607">
        <v>17272</v>
      </c>
      <c r="F2607">
        <v>543</v>
      </c>
      <c r="G2607">
        <v>40</v>
      </c>
      <c r="H2607">
        <v>762.25</v>
      </c>
      <c r="I2607">
        <v>5269.65</v>
      </c>
      <c r="J2607">
        <v>3.14</v>
      </c>
      <c r="K2607">
        <v>7.37</v>
      </c>
      <c r="L2607">
        <v>19.059999999999999</v>
      </c>
      <c r="M2607">
        <v>6.91</v>
      </c>
      <c r="N2607">
        <v>4507.3999999999996</v>
      </c>
    </row>
    <row r="2608" spans="1:14" x14ac:dyDescent="0.2">
      <c r="A2608" s="1">
        <v>45691</v>
      </c>
      <c r="B2608" s="2" t="s">
        <v>20</v>
      </c>
      <c r="C2608" s="2" t="s">
        <v>32</v>
      </c>
      <c r="D2608" s="2" t="s">
        <v>19</v>
      </c>
      <c r="E2608">
        <v>18537</v>
      </c>
      <c r="F2608">
        <v>537</v>
      </c>
      <c r="G2608">
        <v>30</v>
      </c>
      <c r="H2608">
        <v>956.11</v>
      </c>
      <c r="I2608">
        <v>3781.02</v>
      </c>
      <c r="J2608">
        <v>2.9</v>
      </c>
      <c r="K2608">
        <v>5.59</v>
      </c>
      <c r="L2608">
        <v>31.87</v>
      </c>
      <c r="M2608">
        <v>3.95</v>
      </c>
      <c r="N2608">
        <v>2824.91</v>
      </c>
    </row>
    <row r="2609" spans="1:14" x14ac:dyDescent="0.2">
      <c r="A2609" s="1">
        <v>45691</v>
      </c>
      <c r="B2609" s="2" t="s">
        <v>23</v>
      </c>
      <c r="C2609" s="2" t="s">
        <v>35</v>
      </c>
      <c r="D2609" s="2" t="s">
        <v>36</v>
      </c>
      <c r="E2609">
        <v>4851</v>
      </c>
      <c r="F2609">
        <v>90</v>
      </c>
      <c r="G2609">
        <v>12</v>
      </c>
      <c r="H2609">
        <v>1167.02</v>
      </c>
      <c r="I2609">
        <v>3044.64</v>
      </c>
      <c r="J2609">
        <v>1.86</v>
      </c>
      <c r="K2609">
        <v>13.33</v>
      </c>
      <c r="L2609">
        <v>97.25</v>
      </c>
      <c r="M2609">
        <v>2.61</v>
      </c>
      <c r="N2609">
        <v>1877.62</v>
      </c>
    </row>
    <row r="2610" spans="1:14" x14ac:dyDescent="0.2">
      <c r="A2610" s="1">
        <v>45691</v>
      </c>
      <c r="B2610" s="2" t="s">
        <v>24</v>
      </c>
      <c r="C2610" s="2" t="s">
        <v>21</v>
      </c>
      <c r="D2610" s="2" t="s">
        <v>16</v>
      </c>
      <c r="E2610">
        <v>25518</v>
      </c>
      <c r="F2610">
        <v>5566</v>
      </c>
      <c r="G2610">
        <v>572</v>
      </c>
      <c r="H2610">
        <v>305.02999999999997</v>
      </c>
      <c r="I2610">
        <v>95286.24</v>
      </c>
      <c r="J2610">
        <v>21.81</v>
      </c>
      <c r="K2610">
        <v>10.28</v>
      </c>
      <c r="L2610">
        <v>0.53</v>
      </c>
      <c r="M2610">
        <v>312.38</v>
      </c>
      <c r="N2610">
        <v>94981.21</v>
      </c>
    </row>
    <row r="2611" spans="1:14" x14ac:dyDescent="0.2">
      <c r="A2611" s="1">
        <v>45691</v>
      </c>
      <c r="B2611" s="2" t="s">
        <v>26</v>
      </c>
      <c r="C2611" s="2" t="s">
        <v>35</v>
      </c>
      <c r="D2611" s="2" t="s">
        <v>22</v>
      </c>
      <c r="E2611">
        <v>41235</v>
      </c>
      <c r="F2611">
        <v>3050</v>
      </c>
      <c r="G2611">
        <v>309</v>
      </c>
      <c r="H2611">
        <v>0</v>
      </c>
      <c r="I2611">
        <v>48583.360000000001</v>
      </c>
      <c r="J2611">
        <v>7.4</v>
      </c>
      <c r="K2611">
        <v>10.130000000000001</v>
      </c>
      <c r="L2611">
        <v>0</v>
      </c>
      <c r="M2611">
        <v>0</v>
      </c>
      <c r="N2611">
        <v>48583.360000000001</v>
      </c>
    </row>
    <row r="2612" spans="1:14" x14ac:dyDescent="0.2">
      <c r="A2612" s="1">
        <v>45691</v>
      </c>
      <c r="B2612" s="2" t="s">
        <v>27</v>
      </c>
      <c r="C2612" s="2" t="s">
        <v>21</v>
      </c>
      <c r="D2612" s="2" t="s">
        <v>36</v>
      </c>
      <c r="E2612">
        <v>33387</v>
      </c>
      <c r="F2612">
        <v>474</v>
      </c>
      <c r="G2612">
        <v>12</v>
      </c>
      <c r="H2612">
        <v>905.2</v>
      </c>
      <c r="I2612">
        <v>1185.6199999999999</v>
      </c>
      <c r="J2612">
        <v>1.42</v>
      </c>
      <c r="K2612">
        <v>2.5299999999999998</v>
      </c>
      <c r="L2612">
        <v>75.430000000000007</v>
      </c>
      <c r="M2612">
        <v>1.31</v>
      </c>
      <c r="N2612">
        <v>280.42</v>
      </c>
    </row>
    <row r="2613" spans="1:14" x14ac:dyDescent="0.2">
      <c r="A2613" s="1">
        <v>45691</v>
      </c>
      <c r="B2613" s="2" t="s">
        <v>29</v>
      </c>
      <c r="C2613" s="2" t="s">
        <v>35</v>
      </c>
      <c r="D2613" s="2" t="s">
        <v>19</v>
      </c>
      <c r="E2613">
        <v>22884</v>
      </c>
      <c r="F2613">
        <v>351</v>
      </c>
      <c r="G2613">
        <v>20</v>
      </c>
      <c r="H2613">
        <v>1240.3399999999999</v>
      </c>
      <c r="I2613">
        <v>2778.21</v>
      </c>
      <c r="J2613">
        <v>1.53</v>
      </c>
      <c r="K2613">
        <v>5.7</v>
      </c>
      <c r="L2613">
        <v>62.02</v>
      </c>
      <c r="M2613">
        <v>2.2400000000000002</v>
      </c>
      <c r="N2613">
        <v>1537.87</v>
      </c>
    </row>
    <row r="2614" spans="1:14" x14ac:dyDescent="0.2">
      <c r="A2614" s="1">
        <v>45691</v>
      </c>
      <c r="B2614" s="2" t="s">
        <v>30</v>
      </c>
      <c r="C2614" s="2" t="s">
        <v>21</v>
      </c>
      <c r="D2614" s="2" t="s">
        <v>19</v>
      </c>
      <c r="E2614">
        <v>16228</v>
      </c>
      <c r="F2614">
        <v>415</v>
      </c>
      <c r="G2614">
        <v>12</v>
      </c>
      <c r="H2614">
        <v>492.87</v>
      </c>
      <c r="I2614">
        <v>1080.6400000000001</v>
      </c>
      <c r="J2614">
        <v>2.56</v>
      </c>
      <c r="K2614">
        <v>2.89</v>
      </c>
      <c r="L2614">
        <v>41.07</v>
      </c>
      <c r="M2614">
        <v>2.19</v>
      </c>
      <c r="N2614">
        <v>587.77</v>
      </c>
    </row>
    <row r="2615" spans="1:14" x14ac:dyDescent="0.2">
      <c r="A2615" s="1">
        <v>45691</v>
      </c>
      <c r="B2615" s="2" t="s">
        <v>31</v>
      </c>
      <c r="C2615" s="2" t="s">
        <v>28</v>
      </c>
      <c r="D2615" s="2" t="s">
        <v>36</v>
      </c>
      <c r="E2615">
        <v>29846</v>
      </c>
      <c r="F2615">
        <v>1068</v>
      </c>
      <c r="G2615">
        <v>34</v>
      </c>
      <c r="H2615">
        <v>1103.8800000000001</v>
      </c>
      <c r="I2615">
        <v>3041.88</v>
      </c>
      <c r="J2615">
        <v>3.58</v>
      </c>
      <c r="K2615">
        <v>3.18</v>
      </c>
      <c r="L2615">
        <v>32.47</v>
      </c>
      <c r="M2615">
        <v>2.76</v>
      </c>
      <c r="N2615">
        <v>1938</v>
      </c>
    </row>
    <row r="2616" spans="1:14" x14ac:dyDescent="0.2">
      <c r="A2616" s="1">
        <v>45691</v>
      </c>
      <c r="B2616" s="2" t="s">
        <v>33</v>
      </c>
      <c r="C2616" s="2" t="s">
        <v>28</v>
      </c>
      <c r="D2616" s="2" t="s">
        <v>19</v>
      </c>
      <c r="E2616">
        <v>9451</v>
      </c>
      <c r="F2616">
        <v>577</v>
      </c>
      <c r="G2616">
        <v>64</v>
      </c>
      <c r="H2616">
        <v>443.5</v>
      </c>
      <c r="I2616">
        <v>7114.75</v>
      </c>
      <c r="J2616">
        <v>6.11</v>
      </c>
      <c r="K2616">
        <v>11.09</v>
      </c>
      <c r="L2616">
        <v>6.93</v>
      </c>
      <c r="M2616">
        <v>16.04</v>
      </c>
      <c r="N2616">
        <v>6671.25</v>
      </c>
    </row>
    <row r="2617" spans="1:14" x14ac:dyDescent="0.2">
      <c r="A2617" s="1">
        <v>45691</v>
      </c>
      <c r="B2617" s="2" t="s">
        <v>34</v>
      </c>
      <c r="C2617" s="2" t="s">
        <v>35</v>
      </c>
      <c r="D2617" s="2" t="s">
        <v>36</v>
      </c>
      <c r="E2617">
        <v>6417</v>
      </c>
      <c r="F2617">
        <v>501</v>
      </c>
      <c r="G2617">
        <v>85</v>
      </c>
      <c r="H2617">
        <v>216.49</v>
      </c>
      <c r="I2617">
        <v>13771.93</v>
      </c>
      <c r="J2617">
        <v>7.81</v>
      </c>
      <c r="K2617">
        <v>16.97</v>
      </c>
      <c r="L2617">
        <v>2.5499999999999998</v>
      </c>
      <c r="M2617">
        <v>63.61</v>
      </c>
      <c r="N2617">
        <v>13555.44</v>
      </c>
    </row>
    <row r="2618" spans="1:14" x14ac:dyDescent="0.2">
      <c r="A2618" s="1">
        <v>45692</v>
      </c>
      <c r="B2618" s="2" t="s">
        <v>14</v>
      </c>
      <c r="C2618" s="2" t="s">
        <v>32</v>
      </c>
      <c r="D2618" s="2" t="s">
        <v>16</v>
      </c>
      <c r="E2618">
        <v>10579</v>
      </c>
      <c r="F2618">
        <v>511</v>
      </c>
      <c r="G2618">
        <v>56</v>
      </c>
      <c r="H2618">
        <v>1336.13</v>
      </c>
      <c r="I2618">
        <v>8287.61</v>
      </c>
      <c r="J2618">
        <v>4.83</v>
      </c>
      <c r="K2618">
        <v>10.96</v>
      </c>
      <c r="L2618">
        <v>23.86</v>
      </c>
      <c r="M2618">
        <v>6.2</v>
      </c>
      <c r="N2618">
        <v>6951.48</v>
      </c>
    </row>
    <row r="2619" spans="1:14" x14ac:dyDescent="0.2">
      <c r="A2619" s="1">
        <v>45692</v>
      </c>
      <c r="B2619" s="2" t="s">
        <v>17</v>
      </c>
      <c r="C2619" s="2" t="s">
        <v>21</v>
      </c>
      <c r="D2619" s="2" t="s">
        <v>25</v>
      </c>
      <c r="E2619">
        <v>20677</v>
      </c>
      <c r="F2619">
        <v>450</v>
      </c>
      <c r="G2619">
        <v>36</v>
      </c>
      <c r="H2619">
        <v>1349.81</v>
      </c>
      <c r="I2619">
        <v>4178.32</v>
      </c>
      <c r="J2619">
        <v>2.1800000000000002</v>
      </c>
      <c r="K2619">
        <v>8</v>
      </c>
      <c r="L2619">
        <v>37.49</v>
      </c>
      <c r="M2619">
        <v>3.1</v>
      </c>
      <c r="N2619">
        <v>2828.51</v>
      </c>
    </row>
    <row r="2620" spans="1:14" x14ac:dyDescent="0.2">
      <c r="A2620" s="1">
        <v>45692</v>
      </c>
      <c r="B2620" s="2" t="s">
        <v>20</v>
      </c>
      <c r="C2620" s="2" t="s">
        <v>18</v>
      </c>
      <c r="D2620" s="2" t="s">
        <v>19</v>
      </c>
      <c r="E2620">
        <v>20353</v>
      </c>
      <c r="F2620">
        <v>880</v>
      </c>
      <c r="G2620">
        <v>67</v>
      </c>
      <c r="H2620">
        <v>803.7</v>
      </c>
      <c r="I2620">
        <v>5869.63</v>
      </c>
      <c r="J2620">
        <v>4.32</v>
      </c>
      <c r="K2620">
        <v>7.61</v>
      </c>
      <c r="L2620">
        <v>12</v>
      </c>
      <c r="M2620">
        <v>7.3</v>
      </c>
      <c r="N2620">
        <v>5065.93</v>
      </c>
    </row>
    <row r="2621" spans="1:14" x14ac:dyDescent="0.2">
      <c r="A2621" s="1">
        <v>45692</v>
      </c>
      <c r="B2621" s="2" t="s">
        <v>23</v>
      </c>
      <c r="C2621" s="2" t="s">
        <v>21</v>
      </c>
      <c r="D2621" s="2" t="s">
        <v>25</v>
      </c>
      <c r="E2621">
        <v>3985</v>
      </c>
      <c r="F2621">
        <v>94</v>
      </c>
      <c r="G2621">
        <v>9</v>
      </c>
      <c r="H2621">
        <v>1579.02</v>
      </c>
      <c r="I2621">
        <v>2480.5700000000002</v>
      </c>
      <c r="J2621">
        <v>2.36</v>
      </c>
      <c r="K2621">
        <v>9.57</v>
      </c>
      <c r="L2621">
        <v>175.45</v>
      </c>
      <c r="M2621">
        <v>1.57</v>
      </c>
      <c r="N2621">
        <v>901.55</v>
      </c>
    </row>
    <row r="2622" spans="1:14" x14ac:dyDescent="0.2">
      <c r="A2622" s="1">
        <v>45692</v>
      </c>
      <c r="B2622" s="2" t="s">
        <v>24</v>
      </c>
      <c r="C2622" s="2" t="s">
        <v>21</v>
      </c>
      <c r="D2622" s="2" t="s">
        <v>19</v>
      </c>
      <c r="E2622">
        <v>20446</v>
      </c>
      <c r="F2622">
        <v>3129</v>
      </c>
      <c r="G2622">
        <v>306</v>
      </c>
      <c r="H2622">
        <v>162.82</v>
      </c>
      <c r="I2622">
        <v>40521.06</v>
      </c>
      <c r="J2622">
        <v>15.3</v>
      </c>
      <c r="K2622">
        <v>9.7799999999999994</v>
      </c>
      <c r="L2622">
        <v>0.53</v>
      </c>
      <c r="M2622">
        <v>248.87</v>
      </c>
      <c r="N2622">
        <v>40358.239999999998</v>
      </c>
    </row>
    <row r="2623" spans="1:14" x14ac:dyDescent="0.2">
      <c r="A2623" s="1">
        <v>45692</v>
      </c>
      <c r="B2623" s="2" t="s">
        <v>26</v>
      </c>
      <c r="C2623" s="2" t="s">
        <v>15</v>
      </c>
      <c r="D2623" s="2" t="s">
        <v>16</v>
      </c>
      <c r="E2623">
        <v>24609</v>
      </c>
      <c r="F2623">
        <v>1831</v>
      </c>
      <c r="G2623">
        <v>279</v>
      </c>
      <c r="H2623">
        <v>0</v>
      </c>
      <c r="I2623">
        <v>40698.339999999997</v>
      </c>
      <c r="J2623">
        <v>7.44</v>
      </c>
      <c r="K2623">
        <v>15.24</v>
      </c>
      <c r="L2623">
        <v>0</v>
      </c>
      <c r="M2623">
        <v>0</v>
      </c>
      <c r="N2623">
        <v>40698.339999999997</v>
      </c>
    </row>
    <row r="2624" spans="1:14" x14ac:dyDescent="0.2">
      <c r="A2624" s="1">
        <v>45692</v>
      </c>
      <c r="B2624" s="2" t="s">
        <v>27</v>
      </c>
      <c r="C2624" s="2" t="s">
        <v>15</v>
      </c>
      <c r="D2624" s="2" t="s">
        <v>16</v>
      </c>
      <c r="E2624">
        <v>45410</v>
      </c>
      <c r="F2624">
        <v>848</v>
      </c>
      <c r="G2624">
        <v>30</v>
      </c>
      <c r="H2624">
        <v>1490.97</v>
      </c>
      <c r="I2624">
        <v>2397.09</v>
      </c>
      <c r="J2624">
        <v>1.87</v>
      </c>
      <c r="K2624">
        <v>3.54</v>
      </c>
      <c r="L2624">
        <v>49.7</v>
      </c>
      <c r="M2624">
        <v>1.61</v>
      </c>
      <c r="N2624">
        <v>906.12</v>
      </c>
    </row>
    <row r="2625" spans="1:14" x14ac:dyDescent="0.2">
      <c r="A2625" s="1">
        <v>45692</v>
      </c>
      <c r="B2625" s="2" t="s">
        <v>29</v>
      </c>
      <c r="C2625" s="2" t="s">
        <v>18</v>
      </c>
      <c r="D2625" s="2" t="s">
        <v>25</v>
      </c>
      <c r="E2625">
        <v>26156</v>
      </c>
      <c r="F2625">
        <v>423</v>
      </c>
      <c r="G2625">
        <v>32</v>
      </c>
      <c r="H2625">
        <v>976.6</v>
      </c>
      <c r="I2625">
        <v>4988.41</v>
      </c>
      <c r="J2625">
        <v>1.62</v>
      </c>
      <c r="K2625">
        <v>7.57</v>
      </c>
      <c r="L2625">
        <v>30.52</v>
      </c>
      <c r="M2625">
        <v>5.1100000000000003</v>
      </c>
      <c r="N2625">
        <v>4011.81</v>
      </c>
    </row>
    <row r="2626" spans="1:14" x14ac:dyDescent="0.2">
      <c r="A2626" s="1">
        <v>45692</v>
      </c>
      <c r="B2626" s="2" t="s">
        <v>30</v>
      </c>
      <c r="C2626" s="2" t="s">
        <v>15</v>
      </c>
      <c r="D2626" s="2" t="s">
        <v>16</v>
      </c>
      <c r="E2626">
        <v>14479</v>
      </c>
      <c r="F2626">
        <v>481</v>
      </c>
      <c r="G2626">
        <v>21</v>
      </c>
      <c r="H2626">
        <v>652.80999999999995</v>
      </c>
      <c r="I2626">
        <v>2255.9899999999998</v>
      </c>
      <c r="J2626">
        <v>3.32</v>
      </c>
      <c r="K2626">
        <v>4.37</v>
      </c>
      <c r="L2626">
        <v>31.09</v>
      </c>
      <c r="M2626">
        <v>3.46</v>
      </c>
      <c r="N2626">
        <v>1603.18</v>
      </c>
    </row>
    <row r="2627" spans="1:14" x14ac:dyDescent="0.2">
      <c r="A2627" s="1">
        <v>45692</v>
      </c>
      <c r="B2627" s="2" t="s">
        <v>31</v>
      </c>
      <c r="C2627" s="2" t="s">
        <v>32</v>
      </c>
      <c r="D2627" s="2" t="s">
        <v>25</v>
      </c>
      <c r="E2627">
        <v>32467</v>
      </c>
      <c r="F2627">
        <v>912</v>
      </c>
      <c r="G2627">
        <v>45</v>
      </c>
      <c r="H2627">
        <v>981.93</v>
      </c>
      <c r="I2627">
        <v>3635.57</v>
      </c>
      <c r="J2627">
        <v>2.81</v>
      </c>
      <c r="K2627">
        <v>4.93</v>
      </c>
      <c r="L2627">
        <v>21.82</v>
      </c>
      <c r="M2627">
        <v>3.7</v>
      </c>
      <c r="N2627">
        <v>2653.64</v>
      </c>
    </row>
    <row r="2628" spans="1:14" x14ac:dyDescent="0.2">
      <c r="A2628" s="1">
        <v>45692</v>
      </c>
      <c r="B2628" s="2" t="s">
        <v>33</v>
      </c>
      <c r="C2628" s="2" t="s">
        <v>28</v>
      </c>
      <c r="D2628" s="2" t="s">
        <v>25</v>
      </c>
      <c r="E2628">
        <v>7858</v>
      </c>
      <c r="F2628">
        <v>381</v>
      </c>
      <c r="G2628">
        <v>40</v>
      </c>
      <c r="H2628">
        <v>449.04</v>
      </c>
      <c r="I2628">
        <v>5507.29</v>
      </c>
      <c r="J2628">
        <v>4.8499999999999996</v>
      </c>
      <c r="K2628">
        <v>10.5</v>
      </c>
      <c r="L2628">
        <v>11.23</v>
      </c>
      <c r="M2628">
        <v>12.26</v>
      </c>
      <c r="N2628">
        <v>5058.25</v>
      </c>
    </row>
    <row r="2629" spans="1:14" x14ac:dyDescent="0.2">
      <c r="A2629" s="1">
        <v>45692</v>
      </c>
      <c r="B2629" s="2" t="s">
        <v>34</v>
      </c>
      <c r="C2629" s="2" t="s">
        <v>21</v>
      </c>
      <c r="D2629" s="2" t="s">
        <v>16</v>
      </c>
      <c r="E2629">
        <v>7918</v>
      </c>
      <c r="F2629">
        <v>454</v>
      </c>
      <c r="G2629">
        <v>63</v>
      </c>
      <c r="H2629">
        <v>226.99</v>
      </c>
      <c r="I2629">
        <v>9400.4599999999991</v>
      </c>
      <c r="J2629">
        <v>5.73</v>
      </c>
      <c r="K2629">
        <v>13.88</v>
      </c>
      <c r="L2629">
        <v>3.6</v>
      </c>
      <c r="M2629">
        <v>41.41</v>
      </c>
      <c r="N2629">
        <v>9173.4699999999993</v>
      </c>
    </row>
    <row r="2630" spans="1:14" x14ac:dyDescent="0.2">
      <c r="A2630" s="1">
        <v>45693</v>
      </c>
      <c r="B2630" s="2" t="s">
        <v>14</v>
      </c>
      <c r="C2630" s="2" t="s">
        <v>32</v>
      </c>
      <c r="D2630" s="2" t="s">
        <v>19</v>
      </c>
      <c r="E2630">
        <v>17208</v>
      </c>
      <c r="F2630">
        <v>769</v>
      </c>
      <c r="G2630">
        <v>62</v>
      </c>
      <c r="H2630">
        <v>1758.86</v>
      </c>
      <c r="I2630">
        <v>9639.2999999999993</v>
      </c>
      <c r="J2630">
        <v>4.47</v>
      </c>
      <c r="K2630">
        <v>8.06</v>
      </c>
      <c r="L2630">
        <v>28.37</v>
      </c>
      <c r="M2630">
        <v>5.48</v>
      </c>
      <c r="N2630">
        <v>7880.44</v>
      </c>
    </row>
    <row r="2631" spans="1:14" x14ac:dyDescent="0.2">
      <c r="A2631" s="1">
        <v>45693</v>
      </c>
      <c r="B2631" s="2" t="s">
        <v>17</v>
      </c>
      <c r="C2631" s="2" t="s">
        <v>32</v>
      </c>
      <c r="D2631" s="2" t="s">
        <v>25</v>
      </c>
      <c r="E2631">
        <v>20380</v>
      </c>
      <c r="F2631">
        <v>781</v>
      </c>
      <c r="G2631">
        <v>52</v>
      </c>
      <c r="H2631">
        <v>1075.6199999999999</v>
      </c>
      <c r="I2631">
        <v>5784.74</v>
      </c>
      <c r="J2631">
        <v>3.83</v>
      </c>
      <c r="K2631">
        <v>6.66</v>
      </c>
      <c r="L2631">
        <v>20.68</v>
      </c>
      <c r="M2631">
        <v>5.38</v>
      </c>
      <c r="N2631">
        <v>4709.12</v>
      </c>
    </row>
    <row r="2632" spans="1:14" x14ac:dyDescent="0.2">
      <c r="A2632" s="1">
        <v>45693</v>
      </c>
      <c r="B2632" s="2" t="s">
        <v>20</v>
      </c>
      <c r="C2632" s="2" t="s">
        <v>28</v>
      </c>
      <c r="D2632" s="2" t="s">
        <v>22</v>
      </c>
      <c r="E2632">
        <v>13491</v>
      </c>
      <c r="F2632">
        <v>553</v>
      </c>
      <c r="G2632">
        <v>32</v>
      </c>
      <c r="H2632">
        <v>1095.6300000000001</v>
      </c>
      <c r="I2632">
        <v>3172.11</v>
      </c>
      <c r="J2632">
        <v>4.0999999999999996</v>
      </c>
      <c r="K2632">
        <v>5.79</v>
      </c>
      <c r="L2632">
        <v>34.24</v>
      </c>
      <c r="M2632">
        <v>2.9</v>
      </c>
      <c r="N2632">
        <v>2076.48</v>
      </c>
    </row>
    <row r="2633" spans="1:14" x14ac:dyDescent="0.2">
      <c r="A2633" s="1">
        <v>45693</v>
      </c>
      <c r="B2633" s="2" t="s">
        <v>23</v>
      </c>
      <c r="C2633" s="2" t="s">
        <v>35</v>
      </c>
      <c r="D2633" s="2" t="s">
        <v>36</v>
      </c>
      <c r="E2633">
        <v>5858</v>
      </c>
      <c r="F2633">
        <v>168</v>
      </c>
      <c r="G2633">
        <v>16</v>
      </c>
      <c r="H2633">
        <v>1278.3599999999999</v>
      </c>
      <c r="I2633">
        <v>3611.18</v>
      </c>
      <c r="J2633">
        <v>2.87</v>
      </c>
      <c r="K2633">
        <v>9.52</v>
      </c>
      <c r="L2633">
        <v>79.900000000000006</v>
      </c>
      <c r="M2633">
        <v>2.82</v>
      </c>
      <c r="N2633">
        <v>2332.8200000000002</v>
      </c>
    </row>
    <row r="2634" spans="1:14" x14ac:dyDescent="0.2">
      <c r="A2634" s="1">
        <v>45693</v>
      </c>
      <c r="B2634" s="2" t="s">
        <v>24</v>
      </c>
      <c r="C2634" s="2" t="s">
        <v>21</v>
      </c>
      <c r="D2634" s="2" t="s">
        <v>25</v>
      </c>
      <c r="E2634">
        <v>25338</v>
      </c>
      <c r="F2634">
        <v>5428</v>
      </c>
      <c r="G2634">
        <v>469</v>
      </c>
      <c r="H2634">
        <v>339.67</v>
      </c>
      <c r="I2634">
        <v>72749.58</v>
      </c>
      <c r="J2634">
        <v>21.42</v>
      </c>
      <c r="K2634">
        <v>8.64</v>
      </c>
      <c r="L2634">
        <v>0.72</v>
      </c>
      <c r="M2634">
        <v>214.18</v>
      </c>
      <c r="N2634">
        <v>72409.91</v>
      </c>
    </row>
    <row r="2635" spans="1:14" x14ac:dyDescent="0.2">
      <c r="A2635" s="1">
        <v>45693</v>
      </c>
      <c r="B2635" s="2" t="s">
        <v>26</v>
      </c>
      <c r="C2635" s="2" t="s">
        <v>15</v>
      </c>
      <c r="D2635" s="2" t="s">
        <v>19</v>
      </c>
      <c r="E2635">
        <v>29514</v>
      </c>
      <c r="F2635">
        <v>1693</v>
      </c>
      <c r="G2635">
        <v>267</v>
      </c>
      <c r="H2635">
        <v>0</v>
      </c>
      <c r="I2635">
        <v>37110.480000000003</v>
      </c>
      <c r="J2635">
        <v>5.74</v>
      </c>
      <c r="K2635">
        <v>15.77</v>
      </c>
      <c r="L2635">
        <v>0</v>
      </c>
      <c r="M2635">
        <v>0</v>
      </c>
      <c r="N2635">
        <v>37110.480000000003</v>
      </c>
    </row>
    <row r="2636" spans="1:14" x14ac:dyDescent="0.2">
      <c r="A2636" s="1">
        <v>45693</v>
      </c>
      <c r="B2636" s="2" t="s">
        <v>27</v>
      </c>
      <c r="C2636" s="2" t="s">
        <v>21</v>
      </c>
      <c r="D2636" s="2" t="s">
        <v>36</v>
      </c>
      <c r="E2636">
        <v>38595</v>
      </c>
      <c r="F2636">
        <v>698</v>
      </c>
      <c r="G2636">
        <v>19</v>
      </c>
      <c r="H2636">
        <v>1140.99</v>
      </c>
      <c r="I2636">
        <v>2213.63</v>
      </c>
      <c r="J2636">
        <v>1.81</v>
      </c>
      <c r="K2636">
        <v>2.72</v>
      </c>
      <c r="L2636">
        <v>60.05</v>
      </c>
      <c r="M2636">
        <v>1.94</v>
      </c>
      <c r="N2636">
        <v>1072.6400000000001</v>
      </c>
    </row>
    <row r="2637" spans="1:14" x14ac:dyDescent="0.2">
      <c r="A2637" s="1">
        <v>45693</v>
      </c>
      <c r="B2637" s="2" t="s">
        <v>29</v>
      </c>
      <c r="C2637" s="2" t="s">
        <v>32</v>
      </c>
      <c r="D2637" s="2" t="s">
        <v>25</v>
      </c>
      <c r="E2637">
        <v>21172</v>
      </c>
      <c r="F2637">
        <v>364</v>
      </c>
      <c r="G2637">
        <v>18</v>
      </c>
      <c r="H2637">
        <v>1635.72</v>
      </c>
      <c r="I2637">
        <v>1710.98</v>
      </c>
      <c r="J2637">
        <v>1.72</v>
      </c>
      <c r="K2637">
        <v>4.95</v>
      </c>
      <c r="L2637">
        <v>90.87</v>
      </c>
      <c r="M2637">
        <v>1.05</v>
      </c>
      <c r="N2637">
        <v>75.260000000000005</v>
      </c>
    </row>
    <row r="2638" spans="1:14" x14ac:dyDescent="0.2">
      <c r="A2638" s="1">
        <v>45693</v>
      </c>
      <c r="B2638" s="2" t="s">
        <v>30</v>
      </c>
      <c r="C2638" s="2" t="s">
        <v>18</v>
      </c>
      <c r="D2638" s="2" t="s">
        <v>36</v>
      </c>
      <c r="E2638">
        <v>15142</v>
      </c>
      <c r="F2638">
        <v>409</v>
      </c>
      <c r="G2638">
        <v>16</v>
      </c>
      <c r="H2638">
        <v>596.65</v>
      </c>
      <c r="I2638">
        <v>1853.01</v>
      </c>
      <c r="J2638">
        <v>2.7</v>
      </c>
      <c r="K2638">
        <v>3.91</v>
      </c>
      <c r="L2638">
        <v>37.29</v>
      </c>
      <c r="M2638">
        <v>3.11</v>
      </c>
      <c r="N2638">
        <v>1256.3599999999999</v>
      </c>
    </row>
    <row r="2639" spans="1:14" x14ac:dyDescent="0.2">
      <c r="A2639" s="1">
        <v>45693</v>
      </c>
      <c r="B2639" s="2" t="s">
        <v>31</v>
      </c>
      <c r="C2639" s="2" t="s">
        <v>35</v>
      </c>
      <c r="D2639" s="2" t="s">
        <v>25</v>
      </c>
      <c r="E2639">
        <v>21746</v>
      </c>
      <c r="F2639">
        <v>799</v>
      </c>
      <c r="G2639">
        <v>36</v>
      </c>
      <c r="H2639">
        <v>1203.43</v>
      </c>
      <c r="I2639">
        <v>3477.52</v>
      </c>
      <c r="J2639">
        <v>3.67</v>
      </c>
      <c r="K2639">
        <v>4.51</v>
      </c>
      <c r="L2639">
        <v>33.43</v>
      </c>
      <c r="M2639">
        <v>2.89</v>
      </c>
      <c r="N2639">
        <v>2274.09</v>
      </c>
    </row>
    <row r="2640" spans="1:14" x14ac:dyDescent="0.2">
      <c r="A2640" s="1">
        <v>45693</v>
      </c>
      <c r="B2640" s="2" t="s">
        <v>33</v>
      </c>
      <c r="C2640" s="2" t="s">
        <v>18</v>
      </c>
      <c r="D2640" s="2" t="s">
        <v>22</v>
      </c>
      <c r="E2640">
        <v>11173</v>
      </c>
      <c r="F2640">
        <v>738</v>
      </c>
      <c r="G2640">
        <v>87</v>
      </c>
      <c r="H2640">
        <v>428.2</v>
      </c>
      <c r="I2640">
        <v>12543.25</v>
      </c>
      <c r="J2640">
        <v>6.61</v>
      </c>
      <c r="K2640">
        <v>11.79</v>
      </c>
      <c r="L2640">
        <v>4.92</v>
      </c>
      <c r="M2640">
        <v>29.29</v>
      </c>
      <c r="N2640">
        <v>12115.05</v>
      </c>
    </row>
    <row r="2641" spans="1:14" x14ac:dyDescent="0.2">
      <c r="A2641" s="1">
        <v>45693</v>
      </c>
      <c r="B2641" s="2" t="s">
        <v>34</v>
      </c>
      <c r="C2641" s="2" t="s">
        <v>32</v>
      </c>
      <c r="D2641" s="2" t="s">
        <v>22</v>
      </c>
      <c r="E2641">
        <v>3936</v>
      </c>
      <c r="F2641">
        <v>357</v>
      </c>
      <c r="G2641">
        <v>52</v>
      </c>
      <c r="H2641">
        <v>202.9</v>
      </c>
      <c r="I2641">
        <v>7251.45</v>
      </c>
      <c r="J2641">
        <v>9.07</v>
      </c>
      <c r="K2641">
        <v>14.57</v>
      </c>
      <c r="L2641">
        <v>3.9</v>
      </c>
      <c r="M2641">
        <v>35.74</v>
      </c>
      <c r="N2641">
        <v>7048.55</v>
      </c>
    </row>
    <row r="2642" spans="1:14" x14ac:dyDescent="0.2">
      <c r="A2642" s="1">
        <v>45694</v>
      </c>
      <c r="B2642" s="2" t="s">
        <v>14</v>
      </c>
      <c r="C2642" s="2" t="s">
        <v>32</v>
      </c>
      <c r="D2642" s="2" t="s">
        <v>22</v>
      </c>
      <c r="E2642">
        <v>11978</v>
      </c>
      <c r="F2642">
        <v>538</v>
      </c>
      <c r="G2642">
        <v>60</v>
      </c>
      <c r="H2642">
        <v>1058.74</v>
      </c>
      <c r="I2642">
        <v>7284.05</v>
      </c>
      <c r="J2642">
        <v>4.49</v>
      </c>
      <c r="K2642">
        <v>11.15</v>
      </c>
      <c r="L2642">
        <v>17.649999999999999</v>
      </c>
      <c r="M2642">
        <v>6.88</v>
      </c>
      <c r="N2642">
        <v>6225.31</v>
      </c>
    </row>
    <row r="2643" spans="1:14" x14ac:dyDescent="0.2">
      <c r="A2643" s="1">
        <v>45694</v>
      </c>
      <c r="B2643" s="2" t="s">
        <v>17</v>
      </c>
      <c r="C2643" s="2" t="s">
        <v>28</v>
      </c>
      <c r="D2643" s="2" t="s">
        <v>22</v>
      </c>
      <c r="E2643">
        <v>16533</v>
      </c>
      <c r="F2643">
        <v>655</v>
      </c>
      <c r="G2643">
        <v>39</v>
      </c>
      <c r="H2643">
        <v>1174.23</v>
      </c>
      <c r="I2643">
        <v>5223.4799999999996</v>
      </c>
      <c r="J2643">
        <v>3.96</v>
      </c>
      <c r="K2643">
        <v>5.95</v>
      </c>
      <c r="L2643">
        <v>30.11</v>
      </c>
      <c r="M2643">
        <v>4.45</v>
      </c>
      <c r="N2643">
        <v>4049.25</v>
      </c>
    </row>
    <row r="2644" spans="1:14" x14ac:dyDescent="0.2">
      <c r="A2644" s="1">
        <v>45694</v>
      </c>
      <c r="B2644" s="2" t="s">
        <v>20</v>
      </c>
      <c r="C2644" s="2" t="s">
        <v>21</v>
      </c>
      <c r="D2644" s="2" t="s">
        <v>25</v>
      </c>
      <c r="E2644">
        <v>18824</v>
      </c>
      <c r="F2644">
        <v>652</v>
      </c>
      <c r="G2644">
        <v>51</v>
      </c>
      <c r="H2644">
        <v>657.31</v>
      </c>
      <c r="I2644">
        <v>4194.33</v>
      </c>
      <c r="J2644">
        <v>3.46</v>
      </c>
      <c r="K2644">
        <v>7.82</v>
      </c>
      <c r="L2644">
        <v>12.89</v>
      </c>
      <c r="M2644">
        <v>6.38</v>
      </c>
      <c r="N2644">
        <v>3537.02</v>
      </c>
    </row>
    <row r="2645" spans="1:14" x14ac:dyDescent="0.2">
      <c r="A2645" s="1">
        <v>45694</v>
      </c>
      <c r="B2645" s="2" t="s">
        <v>23</v>
      </c>
      <c r="C2645" s="2" t="s">
        <v>32</v>
      </c>
      <c r="D2645" s="2" t="s">
        <v>22</v>
      </c>
      <c r="E2645">
        <v>4418</v>
      </c>
      <c r="F2645">
        <v>75</v>
      </c>
      <c r="G2645">
        <v>8</v>
      </c>
      <c r="H2645">
        <v>1759.9</v>
      </c>
      <c r="I2645">
        <v>3005.81</v>
      </c>
      <c r="J2645">
        <v>1.7</v>
      </c>
      <c r="K2645">
        <v>10.67</v>
      </c>
      <c r="L2645">
        <v>219.99</v>
      </c>
      <c r="M2645">
        <v>1.71</v>
      </c>
      <c r="N2645">
        <v>1245.9100000000001</v>
      </c>
    </row>
    <row r="2646" spans="1:14" x14ac:dyDescent="0.2">
      <c r="A2646" s="1">
        <v>45694</v>
      </c>
      <c r="B2646" s="2" t="s">
        <v>24</v>
      </c>
      <c r="C2646" s="2" t="s">
        <v>15</v>
      </c>
      <c r="D2646" s="2" t="s">
        <v>36</v>
      </c>
      <c r="E2646">
        <v>18067</v>
      </c>
      <c r="F2646">
        <v>3884</v>
      </c>
      <c r="G2646">
        <v>375</v>
      </c>
      <c r="H2646">
        <v>346.18</v>
      </c>
      <c r="I2646">
        <v>47070.87</v>
      </c>
      <c r="J2646">
        <v>21.5</v>
      </c>
      <c r="K2646">
        <v>9.65</v>
      </c>
      <c r="L2646">
        <v>0.92</v>
      </c>
      <c r="M2646">
        <v>135.97</v>
      </c>
      <c r="N2646">
        <v>46724.69</v>
      </c>
    </row>
    <row r="2647" spans="1:14" x14ac:dyDescent="0.2">
      <c r="A2647" s="1">
        <v>45694</v>
      </c>
      <c r="B2647" s="2" t="s">
        <v>26</v>
      </c>
      <c r="C2647" s="2" t="s">
        <v>35</v>
      </c>
      <c r="D2647" s="2" t="s">
        <v>16</v>
      </c>
      <c r="E2647">
        <v>27224</v>
      </c>
      <c r="F2647">
        <v>1188</v>
      </c>
      <c r="G2647">
        <v>128</v>
      </c>
      <c r="H2647">
        <v>0</v>
      </c>
      <c r="I2647">
        <v>14073.64</v>
      </c>
      <c r="J2647">
        <v>4.3600000000000003</v>
      </c>
      <c r="K2647">
        <v>10.77</v>
      </c>
      <c r="L2647">
        <v>0</v>
      </c>
      <c r="M2647">
        <v>0</v>
      </c>
      <c r="N2647">
        <v>14073.64</v>
      </c>
    </row>
    <row r="2648" spans="1:14" x14ac:dyDescent="0.2">
      <c r="A2648" s="1">
        <v>45694</v>
      </c>
      <c r="B2648" s="2" t="s">
        <v>27</v>
      </c>
      <c r="C2648" s="2" t="s">
        <v>21</v>
      </c>
      <c r="D2648" s="2" t="s">
        <v>36</v>
      </c>
      <c r="E2648">
        <v>39729</v>
      </c>
      <c r="F2648">
        <v>639</v>
      </c>
      <c r="G2648">
        <v>26</v>
      </c>
      <c r="H2648">
        <v>1012.34</v>
      </c>
      <c r="I2648">
        <v>2964.59</v>
      </c>
      <c r="J2648">
        <v>1.61</v>
      </c>
      <c r="K2648">
        <v>4.07</v>
      </c>
      <c r="L2648">
        <v>38.94</v>
      </c>
      <c r="M2648">
        <v>2.93</v>
      </c>
      <c r="N2648">
        <v>1952.25</v>
      </c>
    </row>
    <row r="2649" spans="1:14" x14ac:dyDescent="0.2">
      <c r="A2649" s="1">
        <v>45694</v>
      </c>
      <c r="B2649" s="2" t="s">
        <v>29</v>
      </c>
      <c r="C2649" s="2" t="s">
        <v>21</v>
      </c>
      <c r="D2649" s="2" t="s">
        <v>16</v>
      </c>
      <c r="E2649">
        <v>27910</v>
      </c>
      <c r="F2649">
        <v>582</v>
      </c>
      <c r="G2649">
        <v>30</v>
      </c>
      <c r="H2649">
        <v>1296.1500000000001</v>
      </c>
      <c r="I2649">
        <v>2983.87</v>
      </c>
      <c r="J2649">
        <v>2.09</v>
      </c>
      <c r="K2649">
        <v>5.15</v>
      </c>
      <c r="L2649">
        <v>43.21</v>
      </c>
      <c r="M2649">
        <v>2.2999999999999998</v>
      </c>
      <c r="N2649">
        <v>1687.72</v>
      </c>
    </row>
    <row r="2650" spans="1:14" x14ac:dyDescent="0.2">
      <c r="A2650" s="1">
        <v>45694</v>
      </c>
      <c r="B2650" s="2" t="s">
        <v>30</v>
      </c>
      <c r="C2650" s="2" t="s">
        <v>35</v>
      </c>
      <c r="D2650" s="2" t="s">
        <v>19</v>
      </c>
      <c r="E2650">
        <v>15885</v>
      </c>
      <c r="F2650">
        <v>472</v>
      </c>
      <c r="G2650">
        <v>18</v>
      </c>
      <c r="H2650">
        <v>873.64</v>
      </c>
      <c r="I2650">
        <v>1660.84</v>
      </c>
      <c r="J2650">
        <v>2.97</v>
      </c>
      <c r="K2650">
        <v>3.81</v>
      </c>
      <c r="L2650">
        <v>48.54</v>
      </c>
      <c r="M2650">
        <v>1.9</v>
      </c>
      <c r="N2650">
        <v>787.2</v>
      </c>
    </row>
    <row r="2651" spans="1:14" x14ac:dyDescent="0.2">
      <c r="A2651" s="1">
        <v>45694</v>
      </c>
      <c r="B2651" s="2" t="s">
        <v>31</v>
      </c>
      <c r="C2651" s="2" t="s">
        <v>21</v>
      </c>
      <c r="D2651" s="2" t="s">
        <v>16</v>
      </c>
      <c r="E2651">
        <v>33712</v>
      </c>
      <c r="F2651">
        <v>1057</v>
      </c>
      <c r="G2651">
        <v>62</v>
      </c>
      <c r="H2651">
        <v>1261.72</v>
      </c>
      <c r="I2651">
        <v>6682.88</v>
      </c>
      <c r="J2651">
        <v>3.14</v>
      </c>
      <c r="K2651">
        <v>5.87</v>
      </c>
      <c r="L2651">
        <v>20.350000000000001</v>
      </c>
      <c r="M2651">
        <v>5.3</v>
      </c>
      <c r="N2651">
        <v>5421.16</v>
      </c>
    </row>
    <row r="2652" spans="1:14" x14ac:dyDescent="0.2">
      <c r="A2652" s="1">
        <v>45694</v>
      </c>
      <c r="B2652" s="2" t="s">
        <v>33</v>
      </c>
      <c r="C2652" s="2" t="s">
        <v>15</v>
      </c>
      <c r="D2652" s="2" t="s">
        <v>22</v>
      </c>
      <c r="E2652">
        <v>11212</v>
      </c>
      <c r="F2652">
        <v>547</v>
      </c>
      <c r="G2652">
        <v>70</v>
      </c>
      <c r="H2652">
        <v>614.74</v>
      </c>
      <c r="I2652">
        <v>7005.64</v>
      </c>
      <c r="J2652">
        <v>4.88</v>
      </c>
      <c r="K2652">
        <v>12.8</v>
      </c>
      <c r="L2652">
        <v>8.7799999999999994</v>
      </c>
      <c r="M2652">
        <v>11.4</v>
      </c>
      <c r="N2652">
        <v>6390.9</v>
      </c>
    </row>
    <row r="2653" spans="1:14" x14ac:dyDescent="0.2">
      <c r="A2653" s="1">
        <v>45694</v>
      </c>
      <c r="B2653" s="2" t="s">
        <v>34</v>
      </c>
      <c r="C2653" s="2" t="s">
        <v>32</v>
      </c>
      <c r="D2653" s="2" t="s">
        <v>19</v>
      </c>
      <c r="E2653">
        <v>4202</v>
      </c>
      <c r="F2653">
        <v>300</v>
      </c>
      <c r="G2653">
        <v>38</v>
      </c>
      <c r="H2653">
        <v>220.25</v>
      </c>
      <c r="I2653">
        <v>5912.47</v>
      </c>
      <c r="J2653">
        <v>7.14</v>
      </c>
      <c r="K2653">
        <v>12.67</v>
      </c>
      <c r="L2653">
        <v>5.8</v>
      </c>
      <c r="M2653">
        <v>26.84</v>
      </c>
      <c r="N2653">
        <v>5692.22</v>
      </c>
    </row>
    <row r="2654" spans="1:14" x14ac:dyDescent="0.2">
      <c r="A2654" s="1">
        <v>45695</v>
      </c>
      <c r="B2654" s="2" t="s">
        <v>14</v>
      </c>
      <c r="C2654" s="2" t="s">
        <v>28</v>
      </c>
      <c r="D2654" s="2" t="s">
        <v>36</v>
      </c>
      <c r="E2654">
        <v>13533</v>
      </c>
      <c r="F2654">
        <v>607</v>
      </c>
      <c r="G2654">
        <v>61</v>
      </c>
      <c r="H2654">
        <v>1735.14</v>
      </c>
      <c r="I2654">
        <v>10985.46</v>
      </c>
      <c r="J2654">
        <v>4.49</v>
      </c>
      <c r="K2654">
        <v>10.050000000000001</v>
      </c>
      <c r="L2654">
        <v>28.44</v>
      </c>
      <c r="M2654">
        <v>6.33</v>
      </c>
      <c r="N2654">
        <v>9250.32</v>
      </c>
    </row>
    <row r="2655" spans="1:14" x14ac:dyDescent="0.2">
      <c r="A2655" s="1">
        <v>45695</v>
      </c>
      <c r="B2655" s="2" t="s">
        <v>17</v>
      </c>
      <c r="C2655" s="2" t="s">
        <v>28</v>
      </c>
      <c r="D2655" s="2" t="s">
        <v>16</v>
      </c>
      <c r="E2655">
        <v>18393</v>
      </c>
      <c r="F2655">
        <v>523</v>
      </c>
      <c r="G2655">
        <v>40</v>
      </c>
      <c r="H2655">
        <v>1097.94</v>
      </c>
      <c r="I2655">
        <v>4849.63</v>
      </c>
      <c r="J2655">
        <v>2.84</v>
      </c>
      <c r="K2655">
        <v>7.65</v>
      </c>
      <c r="L2655">
        <v>27.45</v>
      </c>
      <c r="M2655">
        <v>4.42</v>
      </c>
      <c r="N2655">
        <v>3751.69</v>
      </c>
    </row>
    <row r="2656" spans="1:14" x14ac:dyDescent="0.2">
      <c r="A2656" s="1">
        <v>45695</v>
      </c>
      <c r="B2656" s="2" t="s">
        <v>20</v>
      </c>
      <c r="C2656" s="2" t="s">
        <v>18</v>
      </c>
      <c r="D2656" s="2" t="s">
        <v>19</v>
      </c>
      <c r="E2656">
        <v>13884</v>
      </c>
      <c r="F2656">
        <v>570</v>
      </c>
      <c r="G2656">
        <v>24</v>
      </c>
      <c r="H2656">
        <v>972.54</v>
      </c>
      <c r="I2656">
        <v>2911</v>
      </c>
      <c r="J2656">
        <v>4.1100000000000003</v>
      </c>
      <c r="K2656">
        <v>4.21</v>
      </c>
      <c r="L2656">
        <v>40.520000000000003</v>
      </c>
      <c r="M2656">
        <v>2.99</v>
      </c>
      <c r="N2656">
        <v>1938.46</v>
      </c>
    </row>
    <row r="2657" spans="1:14" x14ac:dyDescent="0.2">
      <c r="A2657" s="1">
        <v>45695</v>
      </c>
      <c r="B2657" s="2" t="s">
        <v>23</v>
      </c>
      <c r="C2657" s="2" t="s">
        <v>18</v>
      </c>
      <c r="D2657" s="2" t="s">
        <v>25</v>
      </c>
      <c r="E2657">
        <v>3662</v>
      </c>
      <c r="F2657">
        <v>61</v>
      </c>
      <c r="G2657">
        <v>8</v>
      </c>
      <c r="H2657">
        <v>1874.84</v>
      </c>
      <c r="I2657">
        <v>2429.7399999999998</v>
      </c>
      <c r="J2657">
        <v>1.67</v>
      </c>
      <c r="K2657">
        <v>13.11</v>
      </c>
      <c r="L2657">
        <v>234.36</v>
      </c>
      <c r="M2657">
        <v>1.3</v>
      </c>
      <c r="N2657">
        <v>554.9</v>
      </c>
    </row>
    <row r="2658" spans="1:14" x14ac:dyDescent="0.2">
      <c r="A2658" s="1">
        <v>45695</v>
      </c>
      <c r="B2658" s="2" t="s">
        <v>24</v>
      </c>
      <c r="C2658" s="2" t="s">
        <v>15</v>
      </c>
      <c r="D2658" s="2" t="s">
        <v>19</v>
      </c>
      <c r="E2658">
        <v>29210</v>
      </c>
      <c r="F2658">
        <v>6565</v>
      </c>
      <c r="G2658">
        <v>722</v>
      </c>
      <c r="H2658">
        <v>232.27</v>
      </c>
      <c r="I2658">
        <v>95719.39</v>
      </c>
      <c r="J2658">
        <v>22.48</v>
      </c>
      <c r="K2658">
        <v>11</v>
      </c>
      <c r="L2658">
        <v>0.32</v>
      </c>
      <c r="M2658">
        <v>412.1</v>
      </c>
      <c r="N2658">
        <v>95487.12</v>
      </c>
    </row>
    <row r="2659" spans="1:14" x14ac:dyDescent="0.2">
      <c r="A2659" s="1">
        <v>45695</v>
      </c>
      <c r="B2659" s="2" t="s">
        <v>26</v>
      </c>
      <c r="C2659" s="2" t="s">
        <v>15</v>
      </c>
      <c r="D2659" s="2" t="s">
        <v>19</v>
      </c>
      <c r="E2659">
        <v>24994</v>
      </c>
      <c r="F2659">
        <v>1509</v>
      </c>
      <c r="G2659">
        <v>157</v>
      </c>
      <c r="H2659">
        <v>0</v>
      </c>
      <c r="I2659">
        <v>19501.64</v>
      </c>
      <c r="J2659">
        <v>6.04</v>
      </c>
      <c r="K2659">
        <v>10.4</v>
      </c>
      <c r="L2659">
        <v>0</v>
      </c>
      <c r="M2659">
        <v>0</v>
      </c>
      <c r="N2659">
        <v>19501.64</v>
      </c>
    </row>
    <row r="2660" spans="1:14" x14ac:dyDescent="0.2">
      <c r="A2660" s="1">
        <v>45695</v>
      </c>
      <c r="B2660" s="2" t="s">
        <v>27</v>
      </c>
      <c r="C2660" s="2" t="s">
        <v>32</v>
      </c>
      <c r="D2660" s="2" t="s">
        <v>25</v>
      </c>
      <c r="E2660">
        <v>31041</v>
      </c>
      <c r="F2660">
        <v>454</v>
      </c>
      <c r="G2660">
        <v>19</v>
      </c>
      <c r="H2660">
        <v>1092.1500000000001</v>
      </c>
      <c r="I2660">
        <v>2370.7199999999998</v>
      </c>
      <c r="J2660">
        <v>1.46</v>
      </c>
      <c r="K2660">
        <v>4.1900000000000004</v>
      </c>
      <c r="L2660">
        <v>57.48</v>
      </c>
      <c r="M2660">
        <v>2.17</v>
      </c>
      <c r="N2660">
        <v>1278.57</v>
      </c>
    </row>
    <row r="2661" spans="1:14" x14ac:dyDescent="0.2">
      <c r="A2661" s="1">
        <v>45695</v>
      </c>
      <c r="B2661" s="2" t="s">
        <v>29</v>
      </c>
      <c r="C2661" s="2" t="s">
        <v>32</v>
      </c>
      <c r="D2661" s="2" t="s">
        <v>22</v>
      </c>
      <c r="E2661">
        <v>26368</v>
      </c>
      <c r="F2661">
        <v>398</v>
      </c>
      <c r="G2661">
        <v>30</v>
      </c>
      <c r="H2661">
        <v>1290.8599999999999</v>
      </c>
      <c r="I2661">
        <v>4524.34</v>
      </c>
      <c r="J2661">
        <v>1.51</v>
      </c>
      <c r="K2661">
        <v>7.54</v>
      </c>
      <c r="L2661">
        <v>43.03</v>
      </c>
      <c r="M2661">
        <v>3.5</v>
      </c>
      <c r="N2661">
        <v>3233.48</v>
      </c>
    </row>
    <row r="2662" spans="1:14" x14ac:dyDescent="0.2">
      <c r="A2662" s="1">
        <v>45695</v>
      </c>
      <c r="B2662" s="2" t="s">
        <v>30</v>
      </c>
      <c r="C2662" s="2" t="s">
        <v>28</v>
      </c>
      <c r="D2662" s="2" t="s">
        <v>36</v>
      </c>
      <c r="E2662">
        <v>11276</v>
      </c>
      <c r="F2662">
        <v>326</v>
      </c>
      <c r="G2662">
        <v>12</v>
      </c>
      <c r="H2662">
        <v>685.76</v>
      </c>
      <c r="I2662">
        <v>892.58</v>
      </c>
      <c r="J2662">
        <v>2.89</v>
      </c>
      <c r="K2662">
        <v>3.68</v>
      </c>
      <c r="L2662">
        <v>57.15</v>
      </c>
      <c r="M2662">
        <v>1.3</v>
      </c>
      <c r="N2662">
        <v>206.82</v>
      </c>
    </row>
    <row r="2663" spans="1:14" x14ac:dyDescent="0.2">
      <c r="A2663" s="1">
        <v>45695</v>
      </c>
      <c r="B2663" s="2" t="s">
        <v>31</v>
      </c>
      <c r="C2663" s="2" t="s">
        <v>35</v>
      </c>
      <c r="D2663" s="2" t="s">
        <v>25</v>
      </c>
      <c r="E2663">
        <v>34178</v>
      </c>
      <c r="F2663">
        <v>861</v>
      </c>
      <c r="G2663">
        <v>33</v>
      </c>
      <c r="H2663">
        <v>978.43</v>
      </c>
      <c r="I2663">
        <v>2807.4</v>
      </c>
      <c r="J2663">
        <v>2.52</v>
      </c>
      <c r="K2663">
        <v>3.83</v>
      </c>
      <c r="L2663">
        <v>29.65</v>
      </c>
      <c r="M2663">
        <v>2.87</v>
      </c>
      <c r="N2663">
        <v>1828.97</v>
      </c>
    </row>
    <row r="2664" spans="1:14" x14ac:dyDescent="0.2">
      <c r="A2664" s="1">
        <v>45695</v>
      </c>
      <c r="B2664" s="2" t="s">
        <v>33</v>
      </c>
      <c r="C2664" s="2" t="s">
        <v>15</v>
      </c>
      <c r="D2664" s="2" t="s">
        <v>16</v>
      </c>
      <c r="E2664">
        <v>9724</v>
      </c>
      <c r="F2664">
        <v>585</v>
      </c>
      <c r="G2664">
        <v>69</v>
      </c>
      <c r="H2664">
        <v>627.5</v>
      </c>
      <c r="I2664">
        <v>10773.03</v>
      </c>
      <c r="J2664">
        <v>6.02</v>
      </c>
      <c r="K2664">
        <v>11.79</v>
      </c>
      <c r="L2664">
        <v>9.09</v>
      </c>
      <c r="M2664">
        <v>17.170000000000002</v>
      </c>
      <c r="N2664">
        <v>10145.530000000001</v>
      </c>
    </row>
    <row r="2665" spans="1:14" x14ac:dyDescent="0.2">
      <c r="A2665" s="1">
        <v>45695</v>
      </c>
      <c r="B2665" s="2" t="s">
        <v>34</v>
      </c>
      <c r="C2665" s="2" t="s">
        <v>32</v>
      </c>
      <c r="D2665" s="2" t="s">
        <v>19</v>
      </c>
      <c r="E2665">
        <v>7328</v>
      </c>
      <c r="F2665">
        <v>624</v>
      </c>
      <c r="G2665">
        <v>86</v>
      </c>
      <c r="H2665">
        <v>159.03</v>
      </c>
      <c r="I2665">
        <v>11746.96</v>
      </c>
      <c r="J2665">
        <v>8.52</v>
      </c>
      <c r="K2665">
        <v>13.78</v>
      </c>
      <c r="L2665">
        <v>1.85</v>
      </c>
      <c r="M2665">
        <v>73.87</v>
      </c>
      <c r="N2665">
        <v>11587.93</v>
      </c>
    </row>
    <row r="2666" spans="1:14" x14ac:dyDescent="0.2">
      <c r="A2666" s="1">
        <v>45696</v>
      </c>
      <c r="B2666" s="2" t="s">
        <v>14</v>
      </c>
      <c r="C2666" s="2" t="s">
        <v>28</v>
      </c>
      <c r="D2666" s="2" t="s">
        <v>22</v>
      </c>
      <c r="E2666">
        <v>9362</v>
      </c>
      <c r="F2666">
        <v>295</v>
      </c>
      <c r="G2666">
        <v>25</v>
      </c>
      <c r="H2666">
        <v>1249.3900000000001</v>
      </c>
      <c r="I2666">
        <v>4076.54</v>
      </c>
      <c r="J2666">
        <v>3.15</v>
      </c>
      <c r="K2666">
        <v>8.4700000000000006</v>
      </c>
      <c r="L2666">
        <v>49.98</v>
      </c>
      <c r="M2666">
        <v>3.26</v>
      </c>
      <c r="N2666">
        <v>2827.15</v>
      </c>
    </row>
    <row r="2667" spans="1:14" x14ac:dyDescent="0.2">
      <c r="A2667" s="1">
        <v>45696</v>
      </c>
      <c r="B2667" s="2" t="s">
        <v>17</v>
      </c>
      <c r="C2667" s="2" t="s">
        <v>32</v>
      </c>
      <c r="D2667" s="2" t="s">
        <v>36</v>
      </c>
      <c r="E2667">
        <v>12547</v>
      </c>
      <c r="F2667">
        <v>372</v>
      </c>
      <c r="G2667">
        <v>27</v>
      </c>
      <c r="H2667">
        <v>510.09</v>
      </c>
      <c r="I2667">
        <v>3438.96</v>
      </c>
      <c r="J2667">
        <v>2.96</v>
      </c>
      <c r="K2667">
        <v>7.26</v>
      </c>
      <c r="L2667">
        <v>18.89</v>
      </c>
      <c r="M2667">
        <v>6.74</v>
      </c>
      <c r="N2667">
        <v>2928.87</v>
      </c>
    </row>
    <row r="2668" spans="1:14" x14ac:dyDescent="0.2">
      <c r="A2668" s="1">
        <v>45696</v>
      </c>
      <c r="B2668" s="2" t="s">
        <v>20</v>
      </c>
      <c r="C2668" s="2" t="s">
        <v>35</v>
      </c>
      <c r="D2668" s="2" t="s">
        <v>19</v>
      </c>
      <c r="E2668">
        <v>14491</v>
      </c>
      <c r="F2668">
        <v>514</v>
      </c>
      <c r="G2668">
        <v>22</v>
      </c>
      <c r="H2668">
        <v>564.17999999999995</v>
      </c>
      <c r="I2668">
        <v>1650.62</v>
      </c>
      <c r="J2668">
        <v>3.55</v>
      </c>
      <c r="K2668">
        <v>4.28</v>
      </c>
      <c r="L2668">
        <v>25.64</v>
      </c>
      <c r="M2668">
        <v>2.93</v>
      </c>
      <c r="N2668">
        <v>1086.44</v>
      </c>
    </row>
    <row r="2669" spans="1:14" x14ac:dyDescent="0.2">
      <c r="A2669" s="1">
        <v>45696</v>
      </c>
      <c r="B2669" s="2" t="s">
        <v>23</v>
      </c>
      <c r="C2669" s="2" t="s">
        <v>28</v>
      </c>
      <c r="D2669" s="2" t="s">
        <v>36</v>
      </c>
      <c r="E2669">
        <v>2992</v>
      </c>
      <c r="F2669">
        <v>57</v>
      </c>
      <c r="G2669">
        <v>6</v>
      </c>
      <c r="H2669">
        <v>990.09</v>
      </c>
      <c r="I2669">
        <v>1901.04</v>
      </c>
      <c r="J2669">
        <v>1.91</v>
      </c>
      <c r="K2669">
        <v>10.53</v>
      </c>
      <c r="L2669">
        <v>165.02</v>
      </c>
      <c r="M2669">
        <v>1.92</v>
      </c>
      <c r="N2669">
        <v>910.95</v>
      </c>
    </row>
    <row r="2670" spans="1:14" x14ac:dyDescent="0.2">
      <c r="A2670" s="1">
        <v>45696</v>
      </c>
      <c r="B2670" s="2" t="s">
        <v>24</v>
      </c>
      <c r="C2670" s="2" t="s">
        <v>32</v>
      </c>
      <c r="D2670" s="2" t="s">
        <v>16</v>
      </c>
      <c r="E2670">
        <v>15598</v>
      </c>
      <c r="F2670">
        <v>3722</v>
      </c>
      <c r="G2670">
        <v>327</v>
      </c>
      <c r="H2670">
        <v>153.53</v>
      </c>
      <c r="I2670">
        <v>39665.68</v>
      </c>
      <c r="J2670">
        <v>23.86</v>
      </c>
      <c r="K2670">
        <v>8.7899999999999991</v>
      </c>
      <c r="L2670">
        <v>0.47</v>
      </c>
      <c r="M2670">
        <v>258.36</v>
      </c>
      <c r="N2670">
        <v>39512.15</v>
      </c>
    </row>
    <row r="2671" spans="1:14" x14ac:dyDescent="0.2">
      <c r="A2671" s="1">
        <v>45696</v>
      </c>
      <c r="B2671" s="2" t="s">
        <v>26</v>
      </c>
      <c r="C2671" s="2" t="s">
        <v>32</v>
      </c>
      <c r="D2671" s="2" t="s">
        <v>22</v>
      </c>
      <c r="E2671">
        <v>22877</v>
      </c>
      <c r="F2671">
        <v>1207</v>
      </c>
      <c r="G2671">
        <v>178</v>
      </c>
      <c r="H2671">
        <v>0</v>
      </c>
      <c r="I2671">
        <v>18228.79</v>
      </c>
      <c r="J2671">
        <v>5.28</v>
      </c>
      <c r="K2671">
        <v>14.75</v>
      </c>
      <c r="L2671">
        <v>0</v>
      </c>
      <c r="M2671">
        <v>0</v>
      </c>
      <c r="N2671">
        <v>18228.79</v>
      </c>
    </row>
    <row r="2672" spans="1:14" x14ac:dyDescent="0.2">
      <c r="A2672" s="1">
        <v>45696</v>
      </c>
      <c r="B2672" s="2" t="s">
        <v>27</v>
      </c>
      <c r="C2672" s="2" t="s">
        <v>28</v>
      </c>
      <c r="D2672" s="2" t="s">
        <v>22</v>
      </c>
      <c r="E2672">
        <v>23971</v>
      </c>
      <c r="F2672">
        <v>326</v>
      </c>
      <c r="G2672">
        <v>6</v>
      </c>
      <c r="H2672">
        <v>824.83</v>
      </c>
      <c r="I2672">
        <v>648.23</v>
      </c>
      <c r="J2672">
        <v>1.36</v>
      </c>
      <c r="K2672">
        <v>1.84</v>
      </c>
      <c r="L2672">
        <v>137.47</v>
      </c>
      <c r="M2672">
        <v>0.79</v>
      </c>
      <c r="N2672">
        <v>-176.6</v>
      </c>
    </row>
    <row r="2673" spans="1:14" x14ac:dyDescent="0.2">
      <c r="A2673" s="1">
        <v>45696</v>
      </c>
      <c r="B2673" s="2" t="s">
        <v>29</v>
      </c>
      <c r="C2673" s="2" t="s">
        <v>21</v>
      </c>
      <c r="D2673" s="2" t="s">
        <v>16</v>
      </c>
      <c r="E2673">
        <v>17249</v>
      </c>
      <c r="F2673">
        <v>435</v>
      </c>
      <c r="G2673">
        <v>26</v>
      </c>
      <c r="H2673">
        <v>862.02</v>
      </c>
      <c r="I2673">
        <v>3564.57</v>
      </c>
      <c r="J2673">
        <v>2.52</v>
      </c>
      <c r="K2673">
        <v>5.98</v>
      </c>
      <c r="L2673">
        <v>33.15</v>
      </c>
      <c r="M2673">
        <v>4.1399999999999997</v>
      </c>
      <c r="N2673">
        <v>2702.55</v>
      </c>
    </row>
    <row r="2674" spans="1:14" x14ac:dyDescent="0.2">
      <c r="A2674" s="1">
        <v>45696</v>
      </c>
      <c r="B2674" s="2" t="s">
        <v>30</v>
      </c>
      <c r="C2674" s="2" t="s">
        <v>32</v>
      </c>
      <c r="D2674" s="2" t="s">
        <v>19</v>
      </c>
      <c r="E2674">
        <v>9608</v>
      </c>
      <c r="F2674">
        <v>279</v>
      </c>
      <c r="G2674">
        <v>14</v>
      </c>
      <c r="H2674">
        <v>544.54999999999995</v>
      </c>
      <c r="I2674">
        <v>1457.31</v>
      </c>
      <c r="J2674">
        <v>2.9</v>
      </c>
      <c r="K2674">
        <v>5.0199999999999996</v>
      </c>
      <c r="L2674">
        <v>38.9</v>
      </c>
      <c r="M2674">
        <v>2.68</v>
      </c>
      <c r="N2674">
        <v>912.76</v>
      </c>
    </row>
    <row r="2675" spans="1:14" x14ac:dyDescent="0.2">
      <c r="A2675" s="1">
        <v>45696</v>
      </c>
      <c r="B2675" s="2" t="s">
        <v>31</v>
      </c>
      <c r="C2675" s="2" t="s">
        <v>21</v>
      </c>
      <c r="D2675" s="2" t="s">
        <v>22</v>
      </c>
      <c r="E2675">
        <v>24874</v>
      </c>
      <c r="F2675">
        <v>799</v>
      </c>
      <c r="G2675">
        <v>40</v>
      </c>
      <c r="H2675">
        <v>736.71</v>
      </c>
      <c r="I2675">
        <v>3951.45</v>
      </c>
      <c r="J2675">
        <v>3.21</v>
      </c>
      <c r="K2675">
        <v>5.01</v>
      </c>
      <c r="L2675">
        <v>18.420000000000002</v>
      </c>
      <c r="M2675">
        <v>5.36</v>
      </c>
      <c r="N2675">
        <v>3214.74</v>
      </c>
    </row>
    <row r="2676" spans="1:14" x14ac:dyDescent="0.2">
      <c r="A2676" s="1">
        <v>45696</v>
      </c>
      <c r="B2676" s="2" t="s">
        <v>33</v>
      </c>
      <c r="C2676" s="2" t="s">
        <v>21</v>
      </c>
      <c r="D2676" s="2" t="s">
        <v>22</v>
      </c>
      <c r="E2676">
        <v>8078</v>
      </c>
      <c r="F2676">
        <v>395</v>
      </c>
      <c r="G2676">
        <v>45</v>
      </c>
      <c r="H2676">
        <v>296.11</v>
      </c>
      <c r="I2676">
        <v>6660.06</v>
      </c>
      <c r="J2676">
        <v>4.8899999999999997</v>
      </c>
      <c r="K2676">
        <v>11.39</v>
      </c>
      <c r="L2676">
        <v>6.58</v>
      </c>
      <c r="M2676">
        <v>22.49</v>
      </c>
      <c r="N2676">
        <v>6363.95</v>
      </c>
    </row>
    <row r="2677" spans="1:14" x14ac:dyDescent="0.2">
      <c r="A2677" s="1">
        <v>45696</v>
      </c>
      <c r="B2677" s="2" t="s">
        <v>34</v>
      </c>
      <c r="C2677" s="2" t="s">
        <v>35</v>
      </c>
      <c r="D2677" s="2" t="s">
        <v>25</v>
      </c>
      <c r="E2677">
        <v>3402</v>
      </c>
      <c r="F2677">
        <v>257</v>
      </c>
      <c r="G2677">
        <v>36</v>
      </c>
      <c r="H2677">
        <v>123.71</v>
      </c>
      <c r="I2677">
        <v>5826.67</v>
      </c>
      <c r="J2677">
        <v>7.55</v>
      </c>
      <c r="K2677">
        <v>14.01</v>
      </c>
      <c r="L2677">
        <v>3.44</v>
      </c>
      <c r="M2677">
        <v>47.1</v>
      </c>
      <c r="N2677">
        <v>5702.96</v>
      </c>
    </row>
    <row r="2678" spans="1:14" x14ac:dyDescent="0.2">
      <c r="A2678" s="1">
        <v>45697</v>
      </c>
      <c r="B2678" s="2" t="s">
        <v>14</v>
      </c>
      <c r="C2678" s="2" t="s">
        <v>15</v>
      </c>
      <c r="D2678" s="2" t="s">
        <v>16</v>
      </c>
      <c r="E2678">
        <v>11791</v>
      </c>
      <c r="F2678">
        <v>445</v>
      </c>
      <c r="G2678">
        <v>38</v>
      </c>
      <c r="H2678">
        <v>1070.5999999999999</v>
      </c>
      <c r="I2678">
        <v>5514.62</v>
      </c>
      <c r="J2678">
        <v>3.77</v>
      </c>
      <c r="K2678">
        <v>8.5399999999999991</v>
      </c>
      <c r="L2678">
        <v>28.17</v>
      </c>
      <c r="M2678">
        <v>5.15</v>
      </c>
      <c r="N2678">
        <v>4444.0200000000004</v>
      </c>
    </row>
    <row r="2679" spans="1:14" x14ac:dyDescent="0.2">
      <c r="A2679" s="1">
        <v>45697</v>
      </c>
      <c r="B2679" s="2" t="s">
        <v>17</v>
      </c>
      <c r="C2679" s="2" t="s">
        <v>15</v>
      </c>
      <c r="D2679" s="2" t="s">
        <v>22</v>
      </c>
      <c r="E2679">
        <v>11638</v>
      </c>
      <c r="F2679">
        <v>246</v>
      </c>
      <c r="G2679">
        <v>15</v>
      </c>
      <c r="H2679">
        <v>924.04</v>
      </c>
      <c r="I2679">
        <v>1894.11</v>
      </c>
      <c r="J2679">
        <v>2.11</v>
      </c>
      <c r="K2679">
        <v>6.1</v>
      </c>
      <c r="L2679">
        <v>61.6</v>
      </c>
      <c r="M2679">
        <v>2.0499999999999998</v>
      </c>
      <c r="N2679">
        <v>970.07</v>
      </c>
    </row>
    <row r="2680" spans="1:14" x14ac:dyDescent="0.2">
      <c r="A2680" s="1">
        <v>45697</v>
      </c>
      <c r="B2680" s="2" t="s">
        <v>20</v>
      </c>
      <c r="C2680" s="2" t="s">
        <v>28</v>
      </c>
      <c r="D2680" s="2" t="s">
        <v>19</v>
      </c>
      <c r="E2680">
        <v>12255</v>
      </c>
      <c r="F2680">
        <v>438</v>
      </c>
      <c r="G2680">
        <v>24</v>
      </c>
      <c r="H2680">
        <v>814.12</v>
      </c>
      <c r="I2680">
        <v>1975.05</v>
      </c>
      <c r="J2680">
        <v>3.57</v>
      </c>
      <c r="K2680">
        <v>5.48</v>
      </c>
      <c r="L2680">
        <v>33.92</v>
      </c>
      <c r="M2680">
        <v>2.4300000000000002</v>
      </c>
      <c r="N2680">
        <v>1160.93</v>
      </c>
    </row>
    <row r="2681" spans="1:14" x14ac:dyDescent="0.2">
      <c r="A2681" s="1">
        <v>45697</v>
      </c>
      <c r="B2681" s="2" t="s">
        <v>23</v>
      </c>
      <c r="C2681" s="2" t="s">
        <v>15</v>
      </c>
      <c r="D2681" s="2" t="s">
        <v>16</v>
      </c>
      <c r="E2681">
        <v>3946</v>
      </c>
      <c r="F2681">
        <v>101</v>
      </c>
      <c r="G2681">
        <v>14</v>
      </c>
      <c r="H2681">
        <v>1114.51</v>
      </c>
      <c r="I2681">
        <v>3443.22</v>
      </c>
      <c r="J2681">
        <v>2.56</v>
      </c>
      <c r="K2681">
        <v>13.86</v>
      </c>
      <c r="L2681">
        <v>79.61</v>
      </c>
      <c r="M2681">
        <v>3.09</v>
      </c>
      <c r="N2681">
        <v>2328.71</v>
      </c>
    </row>
    <row r="2682" spans="1:14" x14ac:dyDescent="0.2">
      <c r="A2682" s="1">
        <v>45697</v>
      </c>
      <c r="B2682" s="2" t="s">
        <v>24</v>
      </c>
      <c r="C2682" s="2" t="s">
        <v>28</v>
      </c>
      <c r="D2682" s="2" t="s">
        <v>36</v>
      </c>
      <c r="E2682">
        <v>20616</v>
      </c>
      <c r="F2682">
        <v>3258</v>
      </c>
      <c r="G2682">
        <v>420</v>
      </c>
      <c r="H2682">
        <v>233</v>
      </c>
      <c r="I2682">
        <v>68221.11</v>
      </c>
      <c r="J2682">
        <v>15.8</v>
      </c>
      <c r="K2682">
        <v>12.89</v>
      </c>
      <c r="L2682">
        <v>0.55000000000000004</v>
      </c>
      <c r="M2682">
        <v>292.79000000000002</v>
      </c>
      <c r="N2682">
        <v>67988.11</v>
      </c>
    </row>
    <row r="2683" spans="1:14" x14ac:dyDescent="0.2">
      <c r="A2683" s="1">
        <v>45697</v>
      </c>
      <c r="B2683" s="2" t="s">
        <v>26</v>
      </c>
      <c r="C2683" s="2" t="s">
        <v>28</v>
      </c>
      <c r="D2683" s="2" t="s">
        <v>22</v>
      </c>
      <c r="E2683">
        <v>26967</v>
      </c>
      <c r="F2683">
        <v>1871</v>
      </c>
      <c r="G2683">
        <v>230</v>
      </c>
      <c r="H2683">
        <v>0</v>
      </c>
      <c r="I2683">
        <v>26316.44</v>
      </c>
      <c r="J2683">
        <v>6.94</v>
      </c>
      <c r="K2683">
        <v>12.29</v>
      </c>
      <c r="L2683">
        <v>0</v>
      </c>
      <c r="M2683">
        <v>0</v>
      </c>
      <c r="N2683">
        <v>26316.44</v>
      </c>
    </row>
    <row r="2684" spans="1:14" x14ac:dyDescent="0.2">
      <c r="A2684" s="1">
        <v>45697</v>
      </c>
      <c r="B2684" s="2" t="s">
        <v>27</v>
      </c>
      <c r="C2684" s="2" t="s">
        <v>32</v>
      </c>
      <c r="D2684" s="2" t="s">
        <v>22</v>
      </c>
      <c r="E2684">
        <v>26312</v>
      </c>
      <c r="F2684">
        <v>346</v>
      </c>
      <c r="G2684">
        <v>8</v>
      </c>
      <c r="H2684">
        <v>658.82</v>
      </c>
      <c r="I2684">
        <v>1065.0899999999999</v>
      </c>
      <c r="J2684">
        <v>1.31</v>
      </c>
      <c r="K2684">
        <v>2.31</v>
      </c>
      <c r="L2684">
        <v>82.35</v>
      </c>
      <c r="M2684">
        <v>1.62</v>
      </c>
      <c r="N2684">
        <v>406.27</v>
      </c>
    </row>
    <row r="2685" spans="1:14" x14ac:dyDescent="0.2">
      <c r="A2685" s="1">
        <v>45697</v>
      </c>
      <c r="B2685" s="2" t="s">
        <v>29</v>
      </c>
      <c r="C2685" s="2" t="s">
        <v>15</v>
      </c>
      <c r="D2685" s="2" t="s">
        <v>36</v>
      </c>
      <c r="E2685">
        <v>19803</v>
      </c>
      <c r="F2685">
        <v>442</v>
      </c>
      <c r="G2685">
        <v>21</v>
      </c>
      <c r="H2685">
        <v>824.36</v>
      </c>
      <c r="I2685">
        <v>2697.97</v>
      </c>
      <c r="J2685">
        <v>2.23</v>
      </c>
      <c r="K2685">
        <v>4.75</v>
      </c>
      <c r="L2685">
        <v>39.26</v>
      </c>
      <c r="M2685">
        <v>3.27</v>
      </c>
      <c r="N2685">
        <v>1873.61</v>
      </c>
    </row>
    <row r="2686" spans="1:14" x14ac:dyDescent="0.2">
      <c r="A2686" s="1">
        <v>45697</v>
      </c>
      <c r="B2686" s="2" t="s">
        <v>30</v>
      </c>
      <c r="C2686" s="2" t="s">
        <v>18</v>
      </c>
      <c r="D2686" s="2" t="s">
        <v>22</v>
      </c>
      <c r="E2686">
        <v>11141</v>
      </c>
      <c r="F2686">
        <v>301</v>
      </c>
      <c r="G2686">
        <v>15</v>
      </c>
      <c r="H2686">
        <v>384.05</v>
      </c>
      <c r="I2686">
        <v>1283.53</v>
      </c>
      <c r="J2686">
        <v>2.7</v>
      </c>
      <c r="K2686">
        <v>4.9800000000000004</v>
      </c>
      <c r="L2686">
        <v>25.6</v>
      </c>
      <c r="M2686">
        <v>3.34</v>
      </c>
      <c r="N2686">
        <v>899.48</v>
      </c>
    </row>
    <row r="2687" spans="1:14" x14ac:dyDescent="0.2">
      <c r="A2687" s="1">
        <v>45697</v>
      </c>
      <c r="B2687" s="2" t="s">
        <v>31</v>
      </c>
      <c r="C2687" s="2" t="s">
        <v>18</v>
      </c>
      <c r="D2687" s="2" t="s">
        <v>22</v>
      </c>
      <c r="E2687">
        <v>21433</v>
      </c>
      <c r="F2687">
        <v>788</v>
      </c>
      <c r="G2687">
        <v>26</v>
      </c>
      <c r="H2687">
        <v>775.41</v>
      </c>
      <c r="I2687">
        <v>2115.4299999999998</v>
      </c>
      <c r="J2687">
        <v>3.68</v>
      </c>
      <c r="K2687">
        <v>3.3</v>
      </c>
      <c r="L2687">
        <v>29.82</v>
      </c>
      <c r="M2687">
        <v>2.73</v>
      </c>
      <c r="N2687">
        <v>1340.02</v>
      </c>
    </row>
    <row r="2688" spans="1:14" x14ac:dyDescent="0.2">
      <c r="A2688" s="1">
        <v>45697</v>
      </c>
      <c r="B2688" s="2" t="s">
        <v>33</v>
      </c>
      <c r="C2688" s="2" t="s">
        <v>32</v>
      </c>
      <c r="D2688" s="2" t="s">
        <v>25</v>
      </c>
      <c r="E2688">
        <v>7445</v>
      </c>
      <c r="F2688">
        <v>318</v>
      </c>
      <c r="G2688">
        <v>28</v>
      </c>
      <c r="H2688">
        <v>294.88</v>
      </c>
      <c r="I2688">
        <v>3467.78</v>
      </c>
      <c r="J2688">
        <v>4.2699999999999996</v>
      </c>
      <c r="K2688">
        <v>8.81</v>
      </c>
      <c r="L2688">
        <v>10.53</v>
      </c>
      <c r="M2688">
        <v>11.76</v>
      </c>
      <c r="N2688">
        <v>3172.9</v>
      </c>
    </row>
    <row r="2689" spans="1:14" x14ac:dyDescent="0.2">
      <c r="A2689" s="1">
        <v>45697</v>
      </c>
      <c r="B2689" s="2" t="s">
        <v>34</v>
      </c>
      <c r="C2689" s="2" t="s">
        <v>21</v>
      </c>
      <c r="D2689" s="2" t="s">
        <v>22</v>
      </c>
      <c r="E2689">
        <v>2756</v>
      </c>
      <c r="F2689">
        <v>243</v>
      </c>
      <c r="G2689">
        <v>34</v>
      </c>
      <c r="H2689">
        <v>73.680000000000007</v>
      </c>
      <c r="I2689">
        <v>4573.13</v>
      </c>
      <c r="J2689">
        <v>8.82</v>
      </c>
      <c r="K2689">
        <v>13.99</v>
      </c>
      <c r="L2689">
        <v>2.17</v>
      </c>
      <c r="M2689">
        <v>62.07</v>
      </c>
      <c r="N2689">
        <v>4499.45</v>
      </c>
    </row>
    <row r="2690" spans="1:14" x14ac:dyDescent="0.2">
      <c r="A2690" s="1">
        <v>45698</v>
      </c>
      <c r="B2690" s="2" t="s">
        <v>14</v>
      </c>
      <c r="C2690" s="2" t="s">
        <v>15</v>
      </c>
      <c r="D2690" s="2" t="s">
        <v>25</v>
      </c>
      <c r="E2690">
        <v>9824</v>
      </c>
      <c r="F2690">
        <v>387</v>
      </c>
      <c r="G2690">
        <v>40</v>
      </c>
      <c r="H2690">
        <v>1095.46</v>
      </c>
      <c r="I2690">
        <v>5014.3599999999997</v>
      </c>
      <c r="J2690">
        <v>3.94</v>
      </c>
      <c r="K2690">
        <v>10.34</v>
      </c>
      <c r="L2690">
        <v>27.39</v>
      </c>
      <c r="M2690">
        <v>4.58</v>
      </c>
      <c r="N2690">
        <v>3918.9</v>
      </c>
    </row>
    <row r="2691" spans="1:14" x14ac:dyDescent="0.2">
      <c r="A2691" s="1">
        <v>45698</v>
      </c>
      <c r="B2691" s="2" t="s">
        <v>17</v>
      </c>
      <c r="C2691" s="2" t="s">
        <v>18</v>
      </c>
      <c r="D2691" s="2" t="s">
        <v>25</v>
      </c>
      <c r="E2691">
        <v>17962</v>
      </c>
      <c r="F2691">
        <v>626</v>
      </c>
      <c r="G2691">
        <v>46</v>
      </c>
      <c r="H2691">
        <v>1266.6099999999999</v>
      </c>
      <c r="I2691">
        <v>5836.73</v>
      </c>
      <c r="J2691">
        <v>3.49</v>
      </c>
      <c r="K2691">
        <v>7.35</v>
      </c>
      <c r="L2691">
        <v>27.53</v>
      </c>
      <c r="M2691">
        <v>4.6100000000000003</v>
      </c>
      <c r="N2691">
        <v>4570.12</v>
      </c>
    </row>
    <row r="2692" spans="1:14" x14ac:dyDescent="0.2">
      <c r="A2692" s="1">
        <v>45698</v>
      </c>
      <c r="B2692" s="2" t="s">
        <v>20</v>
      </c>
      <c r="C2692" s="2" t="s">
        <v>21</v>
      </c>
      <c r="D2692" s="2" t="s">
        <v>16</v>
      </c>
      <c r="E2692">
        <v>19981</v>
      </c>
      <c r="F2692">
        <v>514</v>
      </c>
      <c r="G2692">
        <v>37</v>
      </c>
      <c r="H2692">
        <v>910.4</v>
      </c>
      <c r="I2692">
        <v>3287.14</v>
      </c>
      <c r="J2692">
        <v>2.57</v>
      </c>
      <c r="K2692">
        <v>7.2</v>
      </c>
      <c r="L2692">
        <v>24.61</v>
      </c>
      <c r="M2692">
        <v>3.61</v>
      </c>
      <c r="N2692">
        <v>2376.7399999999998</v>
      </c>
    </row>
    <row r="2693" spans="1:14" x14ac:dyDescent="0.2">
      <c r="A2693" s="1">
        <v>45698</v>
      </c>
      <c r="B2693" s="2" t="s">
        <v>23</v>
      </c>
      <c r="C2693" s="2" t="s">
        <v>21</v>
      </c>
      <c r="D2693" s="2" t="s">
        <v>19</v>
      </c>
      <c r="E2693">
        <v>6226</v>
      </c>
      <c r="F2693">
        <v>114</v>
      </c>
      <c r="G2693">
        <v>12</v>
      </c>
      <c r="H2693">
        <v>1781.05</v>
      </c>
      <c r="I2693">
        <v>3341.95</v>
      </c>
      <c r="J2693">
        <v>1.83</v>
      </c>
      <c r="K2693">
        <v>10.53</v>
      </c>
      <c r="L2693">
        <v>148.41999999999999</v>
      </c>
      <c r="M2693">
        <v>1.88</v>
      </c>
      <c r="N2693">
        <v>1560.9</v>
      </c>
    </row>
    <row r="2694" spans="1:14" x14ac:dyDescent="0.2">
      <c r="A2694" s="1">
        <v>45698</v>
      </c>
      <c r="B2694" s="2" t="s">
        <v>24</v>
      </c>
      <c r="C2694" s="2" t="s">
        <v>21</v>
      </c>
      <c r="D2694" s="2" t="s">
        <v>25</v>
      </c>
      <c r="E2694">
        <v>22318</v>
      </c>
      <c r="F2694">
        <v>3708</v>
      </c>
      <c r="G2694">
        <v>304</v>
      </c>
      <c r="H2694">
        <v>204.79</v>
      </c>
      <c r="I2694">
        <v>34307.089999999997</v>
      </c>
      <c r="J2694">
        <v>16.61</v>
      </c>
      <c r="K2694">
        <v>8.1999999999999993</v>
      </c>
      <c r="L2694">
        <v>0.67</v>
      </c>
      <c r="M2694">
        <v>167.52</v>
      </c>
      <c r="N2694">
        <v>34102.300000000003</v>
      </c>
    </row>
    <row r="2695" spans="1:14" x14ac:dyDescent="0.2">
      <c r="A2695" s="1">
        <v>45698</v>
      </c>
      <c r="B2695" s="2" t="s">
        <v>26</v>
      </c>
      <c r="C2695" s="2" t="s">
        <v>28</v>
      </c>
      <c r="D2695" s="2" t="s">
        <v>25</v>
      </c>
      <c r="E2695">
        <v>37453</v>
      </c>
      <c r="F2695">
        <v>2184</v>
      </c>
      <c r="G2695">
        <v>304</v>
      </c>
      <c r="H2695">
        <v>0</v>
      </c>
      <c r="I2695">
        <v>34405.26</v>
      </c>
      <c r="J2695">
        <v>5.83</v>
      </c>
      <c r="K2695">
        <v>13.92</v>
      </c>
      <c r="L2695">
        <v>0</v>
      </c>
      <c r="M2695">
        <v>0</v>
      </c>
      <c r="N2695">
        <v>34405.26</v>
      </c>
    </row>
    <row r="2696" spans="1:14" x14ac:dyDescent="0.2">
      <c r="A2696" s="1">
        <v>45698</v>
      </c>
      <c r="B2696" s="2" t="s">
        <v>27</v>
      </c>
      <c r="C2696" s="2" t="s">
        <v>32</v>
      </c>
      <c r="D2696" s="2" t="s">
        <v>16</v>
      </c>
      <c r="E2696">
        <v>42840</v>
      </c>
      <c r="F2696">
        <v>673</v>
      </c>
      <c r="G2696">
        <v>15</v>
      </c>
      <c r="H2696">
        <v>1090.9100000000001</v>
      </c>
      <c r="I2696">
        <v>1792.56</v>
      </c>
      <c r="J2696">
        <v>1.57</v>
      </c>
      <c r="K2696">
        <v>2.23</v>
      </c>
      <c r="L2696">
        <v>72.73</v>
      </c>
      <c r="M2696">
        <v>1.64</v>
      </c>
      <c r="N2696">
        <v>701.65</v>
      </c>
    </row>
    <row r="2697" spans="1:14" x14ac:dyDescent="0.2">
      <c r="A2697" s="1">
        <v>45698</v>
      </c>
      <c r="B2697" s="2" t="s">
        <v>29</v>
      </c>
      <c r="C2697" s="2" t="s">
        <v>15</v>
      </c>
      <c r="D2697" s="2" t="s">
        <v>19</v>
      </c>
      <c r="E2697">
        <v>26815</v>
      </c>
      <c r="F2697">
        <v>800</v>
      </c>
      <c r="G2697">
        <v>33</v>
      </c>
      <c r="H2697">
        <v>1309.81</v>
      </c>
      <c r="I2697">
        <v>3633.92</v>
      </c>
      <c r="J2697">
        <v>2.98</v>
      </c>
      <c r="K2697">
        <v>4.12</v>
      </c>
      <c r="L2697">
        <v>39.69</v>
      </c>
      <c r="M2697">
        <v>2.77</v>
      </c>
      <c r="N2697">
        <v>2324.11</v>
      </c>
    </row>
    <row r="2698" spans="1:14" x14ac:dyDescent="0.2">
      <c r="A2698" s="1">
        <v>45698</v>
      </c>
      <c r="B2698" s="2" t="s">
        <v>30</v>
      </c>
      <c r="C2698" s="2" t="s">
        <v>18</v>
      </c>
      <c r="D2698" s="2" t="s">
        <v>22</v>
      </c>
      <c r="E2698">
        <v>11152</v>
      </c>
      <c r="F2698">
        <v>295</v>
      </c>
      <c r="G2698">
        <v>16</v>
      </c>
      <c r="H2698">
        <v>482.1</v>
      </c>
      <c r="I2698">
        <v>1770.34</v>
      </c>
      <c r="J2698">
        <v>2.65</v>
      </c>
      <c r="K2698">
        <v>5.42</v>
      </c>
      <c r="L2698">
        <v>30.13</v>
      </c>
      <c r="M2698">
        <v>3.67</v>
      </c>
      <c r="N2698">
        <v>1288.24</v>
      </c>
    </row>
    <row r="2699" spans="1:14" x14ac:dyDescent="0.2">
      <c r="A2699" s="1">
        <v>45698</v>
      </c>
      <c r="B2699" s="2" t="s">
        <v>31</v>
      </c>
      <c r="C2699" s="2" t="s">
        <v>28</v>
      </c>
      <c r="D2699" s="2" t="s">
        <v>25</v>
      </c>
      <c r="E2699">
        <v>32529</v>
      </c>
      <c r="F2699">
        <v>1388</v>
      </c>
      <c r="G2699">
        <v>88</v>
      </c>
      <c r="H2699">
        <v>977.45</v>
      </c>
      <c r="I2699">
        <v>8062.72</v>
      </c>
      <c r="J2699">
        <v>4.2699999999999996</v>
      </c>
      <c r="K2699">
        <v>6.34</v>
      </c>
      <c r="L2699">
        <v>11.11</v>
      </c>
      <c r="M2699">
        <v>8.25</v>
      </c>
      <c r="N2699">
        <v>7085.27</v>
      </c>
    </row>
    <row r="2700" spans="1:14" x14ac:dyDescent="0.2">
      <c r="A2700" s="1">
        <v>45698</v>
      </c>
      <c r="B2700" s="2" t="s">
        <v>33</v>
      </c>
      <c r="C2700" s="2" t="s">
        <v>28</v>
      </c>
      <c r="D2700" s="2" t="s">
        <v>36</v>
      </c>
      <c r="E2700">
        <v>11428</v>
      </c>
      <c r="F2700">
        <v>598</v>
      </c>
      <c r="G2700">
        <v>75</v>
      </c>
      <c r="H2700">
        <v>387.19</v>
      </c>
      <c r="I2700">
        <v>11500.5</v>
      </c>
      <c r="J2700">
        <v>5.23</v>
      </c>
      <c r="K2700">
        <v>12.54</v>
      </c>
      <c r="L2700">
        <v>5.16</v>
      </c>
      <c r="M2700">
        <v>29.7</v>
      </c>
      <c r="N2700">
        <v>11113.31</v>
      </c>
    </row>
    <row r="2701" spans="1:14" x14ac:dyDescent="0.2">
      <c r="A2701" s="1">
        <v>45698</v>
      </c>
      <c r="B2701" s="2" t="s">
        <v>34</v>
      </c>
      <c r="C2701" s="2" t="s">
        <v>21</v>
      </c>
      <c r="D2701" s="2" t="s">
        <v>22</v>
      </c>
      <c r="E2701">
        <v>4581</v>
      </c>
      <c r="F2701">
        <v>303</v>
      </c>
      <c r="G2701">
        <v>50</v>
      </c>
      <c r="H2701">
        <v>178.98</v>
      </c>
      <c r="I2701">
        <v>7508.37</v>
      </c>
      <c r="J2701">
        <v>6.61</v>
      </c>
      <c r="K2701">
        <v>16.5</v>
      </c>
      <c r="L2701">
        <v>3.58</v>
      </c>
      <c r="M2701">
        <v>41.95</v>
      </c>
      <c r="N2701">
        <v>7329.39</v>
      </c>
    </row>
    <row r="2702" spans="1:14" x14ac:dyDescent="0.2">
      <c r="A2702" s="1">
        <v>45699</v>
      </c>
      <c r="B2702" s="2" t="s">
        <v>14</v>
      </c>
      <c r="C2702" s="2" t="s">
        <v>28</v>
      </c>
      <c r="D2702" s="2" t="s">
        <v>25</v>
      </c>
      <c r="E2702">
        <v>13489</v>
      </c>
      <c r="F2702">
        <v>492</v>
      </c>
      <c r="G2702">
        <v>57</v>
      </c>
      <c r="H2702">
        <v>1784.76</v>
      </c>
      <c r="I2702">
        <v>7489.15</v>
      </c>
      <c r="J2702">
        <v>3.65</v>
      </c>
      <c r="K2702">
        <v>11.59</v>
      </c>
      <c r="L2702">
        <v>31.31</v>
      </c>
      <c r="M2702">
        <v>4.2</v>
      </c>
      <c r="N2702">
        <v>5704.39</v>
      </c>
    </row>
    <row r="2703" spans="1:14" x14ac:dyDescent="0.2">
      <c r="A2703" s="1">
        <v>45699</v>
      </c>
      <c r="B2703" s="2" t="s">
        <v>17</v>
      </c>
      <c r="C2703" s="2" t="s">
        <v>21</v>
      </c>
      <c r="D2703" s="2" t="s">
        <v>25</v>
      </c>
      <c r="E2703">
        <v>16460</v>
      </c>
      <c r="F2703">
        <v>582</v>
      </c>
      <c r="G2703">
        <v>49</v>
      </c>
      <c r="H2703">
        <v>1147.71</v>
      </c>
      <c r="I2703">
        <v>6978.88</v>
      </c>
      <c r="J2703">
        <v>3.54</v>
      </c>
      <c r="K2703">
        <v>8.42</v>
      </c>
      <c r="L2703">
        <v>23.42</v>
      </c>
      <c r="M2703">
        <v>6.08</v>
      </c>
      <c r="N2703">
        <v>5831.17</v>
      </c>
    </row>
    <row r="2704" spans="1:14" x14ac:dyDescent="0.2">
      <c r="A2704" s="1">
        <v>45699</v>
      </c>
      <c r="B2704" s="2" t="s">
        <v>20</v>
      </c>
      <c r="C2704" s="2" t="s">
        <v>21</v>
      </c>
      <c r="D2704" s="2" t="s">
        <v>25</v>
      </c>
      <c r="E2704">
        <v>12871</v>
      </c>
      <c r="F2704">
        <v>452</v>
      </c>
      <c r="G2704">
        <v>33</v>
      </c>
      <c r="H2704">
        <v>1080.48</v>
      </c>
      <c r="I2704">
        <v>3362.29</v>
      </c>
      <c r="J2704">
        <v>3.51</v>
      </c>
      <c r="K2704">
        <v>7.3</v>
      </c>
      <c r="L2704">
        <v>32.74</v>
      </c>
      <c r="M2704">
        <v>3.11</v>
      </c>
      <c r="N2704">
        <v>2281.81</v>
      </c>
    </row>
    <row r="2705" spans="1:14" x14ac:dyDescent="0.2">
      <c r="A2705" s="1">
        <v>45699</v>
      </c>
      <c r="B2705" s="2" t="s">
        <v>23</v>
      </c>
      <c r="C2705" s="2" t="s">
        <v>15</v>
      </c>
      <c r="D2705" s="2" t="s">
        <v>25</v>
      </c>
      <c r="E2705">
        <v>4413</v>
      </c>
      <c r="F2705">
        <v>81</v>
      </c>
      <c r="G2705">
        <v>7</v>
      </c>
      <c r="H2705">
        <v>1767.99</v>
      </c>
      <c r="I2705">
        <v>1357.13</v>
      </c>
      <c r="J2705">
        <v>1.84</v>
      </c>
      <c r="K2705">
        <v>8.64</v>
      </c>
      <c r="L2705">
        <v>252.57</v>
      </c>
      <c r="M2705">
        <v>0.77</v>
      </c>
      <c r="N2705">
        <v>-410.86</v>
      </c>
    </row>
    <row r="2706" spans="1:14" x14ac:dyDescent="0.2">
      <c r="A2706" s="1">
        <v>45699</v>
      </c>
      <c r="B2706" s="2" t="s">
        <v>24</v>
      </c>
      <c r="C2706" s="2" t="s">
        <v>35</v>
      </c>
      <c r="D2706" s="2" t="s">
        <v>22</v>
      </c>
      <c r="E2706">
        <v>24602</v>
      </c>
      <c r="F2706">
        <v>4128</v>
      </c>
      <c r="G2706">
        <v>571</v>
      </c>
      <c r="H2706">
        <v>135.28</v>
      </c>
      <c r="I2706">
        <v>84182.95</v>
      </c>
      <c r="J2706">
        <v>16.78</v>
      </c>
      <c r="K2706">
        <v>13.83</v>
      </c>
      <c r="L2706">
        <v>0.24</v>
      </c>
      <c r="M2706">
        <v>622.29</v>
      </c>
      <c r="N2706">
        <v>84047.67</v>
      </c>
    </row>
    <row r="2707" spans="1:14" x14ac:dyDescent="0.2">
      <c r="A2707" s="1">
        <v>45699</v>
      </c>
      <c r="B2707" s="2" t="s">
        <v>26</v>
      </c>
      <c r="C2707" s="2" t="s">
        <v>15</v>
      </c>
      <c r="D2707" s="2" t="s">
        <v>19</v>
      </c>
      <c r="E2707">
        <v>35847</v>
      </c>
      <c r="F2707">
        <v>2617</v>
      </c>
      <c r="G2707">
        <v>270</v>
      </c>
      <c r="H2707">
        <v>0</v>
      </c>
      <c r="I2707">
        <v>33843.89</v>
      </c>
      <c r="J2707">
        <v>7.3</v>
      </c>
      <c r="K2707">
        <v>10.32</v>
      </c>
      <c r="L2707">
        <v>0</v>
      </c>
      <c r="M2707">
        <v>0</v>
      </c>
      <c r="N2707">
        <v>33843.89</v>
      </c>
    </row>
    <row r="2708" spans="1:14" x14ac:dyDescent="0.2">
      <c r="A2708" s="1">
        <v>45699</v>
      </c>
      <c r="B2708" s="2" t="s">
        <v>27</v>
      </c>
      <c r="C2708" s="2" t="s">
        <v>28</v>
      </c>
      <c r="D2708" s="2" t="s">
        <v>25</v>
      </c>
      <c r="E2708">
        <v>33069</v>
      </c>
      <c r="F2708">
        <v>550</v>
      </c>
      <c r="G2708">
        <v>16</v>
      </c>
      <c r="H2708">
        <v>1150.49</v>
      </c>
      <c r="I2708">
        <v>1634.84</v>
      </c>
      <c r="J2708">
        <v>1.66</v>
      </c>
      <c r="K2708">
        <v>2.91</v>
      </c>
      <c r="L2708">
        <v>71.91</v>
      </c>
      <c r="M2708">
        <v>1.42</v>
      </c>
      <c r="N2708">
        <v>484.35</v>
      </c>
    </row>
    <row r="2709" spans="1:14" x14ac:dyDescent="0.2">
      <c r="A2709" s="1">
        <v>45699</v>
      </c>
      <c r="B2709" s="2" t="s">
        <v>29</v>
      </c>
      <c r="C2709" s="2" t="s">
        <v>32</v>
      </c>
      <c r="D2709" s="2" t="s">
        <v>16</v>
      </c>
      <c r="E2709">
        <v>25909</v>
      </c>
      <c r="F2709">
        <v>766</v>
      </c>
      <c r="G2709">
        <v>31</v>
      </c>
      <c r="H2709">
        <v>1350.17</v>
      </c>
      <c r="I2709">
        <v>3399.34</v>
      </c>
      <c r="J2709">
        <v>2.96</v>
      </c>
      <c r="K2709">
        <v>4.05</v>
      </c>
      <c r="L2709">
        <v>43.55</v>
      </c>
      <c r="M2709">
        <v>2.52</v>
      </c>
      <c r="N2709">
        <v>2049.17</v>
      </c>
    </row>
    <row r="2710" spans="1:14" x14ac:dyDescent="0.2">
      <c r="A2710" s="1">
        <v>45699</v>
      </c>
      <c r="B2710" s="2" t="s">
        <v>30</v>
      </c>
      <c r="C2710" s="2" t="s">
        <v>21</v>
      </c>
      <c r="D2710" s="2" t="s">
        <v>36</v>
      </c>
      <c r="E2710">
        <v>13162</v>
      </c>
      <c r="F2710">
        <v>410</v>
      </c>
      <c r="G2710">
        <v>14</v>
      </c>
      <c r="H2710">
        <v>795.99</v>
      </c>
      <c r="I2710">
        <v>1297.8699999999999</v>
      </c>
      <c r="J2710">
        <v>3.12</v>
      </c>
      <c r="K2710">
        <v>3.41</v>
      </c>
      <c r="L2710">
        <v>56.86</v>
      </c>
      <c r="M2710">
        <v>1.63</v>
      </c>
      <c r="N2710">
        <v>501.88</v>
      </c>
    </row>
    <row r="2711" spans="1:14" x14ac:dyDescent="0.2">
      <c r="A2711" s="1">
        <v>45699</v>
      </c>
      <c r="B2711" s="2" t="s">
        <v>31</v>
      </c>
      <c r="C2711" s="2" t="s">
        <v>28</v>
      </c>
      <c r="D2711" s="2" t="s">
        <v>22</v>
      </c>
      <c r="E2711">
        <v>23648</v>
      </c>
      <c r="F2711">
        <v>928</v>
      </c>
      <c r="G2711">
        <v>61</v>
      </c>
      <c r="H2711">
        <v>1025.52</v>
      </c>
      <c r="I2711">
        <v>5066.3100000000004</v>
      </c>
      <c r="J2711">
        <v>3.92</v>
      </c>
      <c r="K2711">
        <v>6.57</v>
      </c>
      <c r="L2711">
        <v>16.809999999999999</v>
      </c>
      <c r="M2711">
        <v>4.9400000000000004</v>
      </c>
      <c r="N2711">
        <v>4040.79</v>
      </c>
    </row>
    <row r="2712" spans="1:14" x14ac:dyDescent="0.2">
      <c r="A2712" s="1">
        <v>45699</v>
      </c>
      <c r="B2712" s="2" t="s">
        <v>33</v>
      </c>
      <c r="C2712" s="2" t="s">
        <v>18</v>
      </c>
      <c r="D2712" s="2" t="s">
        <v>16</v>
      </c>
      <c r="E2712">
        <v>6297</v>
      </c>
      <c r="F2712">
        <v>384</v>
      </c>
      <c r="G2712">
        <v>34</v>
      </c>
      <c r="H2712">
        <v>676.12</v>
      </c>
      <c r="I2712">
        <v>3985.88</v>
      </c>
      <c r="J2712">
        <v>6.1</v>
      </c>
      <c r="K2712">
        <v>8.85</v>
      </c>
      <c r="L2712">
        <v>19.89</v>
      </c>
      <c r="M2712">
        <v>5.9</v>
      </c>
      <c r="N2712">
        <v>3309.76</v>
      </c>
    </row>
    <row r="2713" spans="1:14" x14ac:dyDescent="0.2">
      <c r="A2713" s="1">
        <v>45699</v>
      </c>
      <c r="B2713" s="2" t="s">
        <v>34</v>
      </c>
      <c r="C2713" s="2" t="s">
        <v>21</v>
      </c>
      <c r="D2713" s="2" t="s">
        <v>25</v>
      </c>
      <c r="E2713">
        <v>7430</v>
      </c>
      <c r="F2713">
        <v>691</v>
      </c>
      <c r="G2713">
        <v>114</v>
      </c>
      <c r="H2713">
        <v>180.4</v>
      </c>
      <c r="I2713">
        <v>16798.12</v>
      </c>
      <c r="J2713">
        <v>9.3000000000000007</v>
      </c>
      <c r="K2713">
        <v>16.5</v>
      </c>
      <c r="L2713">
        <v>1.58</v>
      </c>
      <c r="M2713">
        <v>93.12</v>
      </c>
      <c r="N2713">
        <v>16617.72</v>
      </c>
    </row>
    <row r="2714" spans="1:14" x14ac:dyDescent="0.2">
      <c r="A2714" s="1">
        <v>45700</v>
      </c>
      <c r="B2714" s="2" t="s">
        <v>14</v>
      </c>
      <c r="C2714" s="2" t="s">
        <v>32</v>
      </c>
      <c r="D2714" s="2" t="s">
        <v>36</v>
      </c>
      <c r="E2714">
        <v>14028</v>
      </c>
      <c r="F2714">
        <v>699</v>
      </c>
      <c r="G2714">
        <v>75</v>
      </c>
      <c r="H2714">
        <v>1062.94</v>
      </c>
      <c r="I2714">
        <v>10602.46</v>
      </c>
      <c r="J2714">
        <v>4.9800000000000004</v>
      </c>
      <c r="K2714">
        <v>10.73</v>
      </c>
      <c r="L2714">
        <v>14.17</v>
      </c>
      <c r="M2714">
        <v>9.9700000000000006</v>
      </c>
      <c r="N2714">
        <v>9539.52</v>
      </c>
    </row>
    <row r="2715" spans="1:14" x14ac:dyDescent="0.2">
      <c r="A2715" s="1">
        <v>45700</v>
      </c>
      <c r="B2715" s="2" t="s">
        <v>17</v>
      </c>
      <c r="C2715" s="2" t="s">
        <v>21</v>
      </c>
      <c r="D2715" s="2" t="s">
        <v>25</v>
      </c>
      <c r="E2715">
        <v>16821</v>
      </c>
      <c r="F2715">
        <v>495</v>
      </c>
      <c r="G2715">
        <v>24</v>
      </c>
      <c r="H2715">
        <v>1198.69</v>
      </c>
      <c r="I2715">
        <v>2593.4299999999998</v>
      </c>
      <c r="J2715">
        <v>2.94</v>
      </c>
      <c r="K2715">
        <v>4.8499999999999996</v>
      </c>
      <c r="L2715">
        <v>49.95</v>
      </c>
      <c r="M2715">
        <v>2.16</v>
      </c>
      <c r="N2715">
        <v>1394.74</v>
      </c>
    </row>
    <row r="2716" spans="1:14" x14ac:dyDescent="0.2">
      <c r="A2716" s="1">
        <v>45700</v>
      </c>
      <c r="B2716" s="2" t="s">
        <v>20</v>
      </c>
      <c r="C2716" s="2" t="s">
        <v>18</v>
      </c>
      <c r="D2716" s="2" t="s">
        <v>22</v>
      </c>
      <c r="E2716">
        <v>19732</v>
      </c>
      <c r="F2716">
        <v>768</v>
      </c>
      <c r="G2716">
        <v>52</v>
      </c>
      <c r="H2716">
        <v>697.95</v>
      </c>
      <c r="I2716">
        <v>5086.3</v>
      </c>
      <c r="J2716">
        <v>3.89</v>
      </c>
      <c r="K2716">
        <v>6.77</v>
      </c>
      <c r="L2716">
        <v>13.42</v>
      </c>
      <c r="M2716">
        <v>7.29</v>
      </c>
      <c r="N2716">
        <v>4388.3500000000004</v>
      </c>
    </row>
    <row r="2717" spans="1:14" x14ac:dyDescent="0.2">
      <c r="A2717" s="1">
        <v>45700</v>
      </c>
      <c r="B2717" s="2" t="s">
        <v>23</v>
      </c>
      <c r="C2717" s="2" t="s">
        <v>28</v>
      </c>
      <c r="D2717" s="2" t="s">
        <v>25</v>
      </c>
      <c r="E2717">
        <v>6781</v>
      </c>
      <c r="F2717">
        <v>110</v>
      </c>
      <c r="G2717">
        <v>15</v>
      </c>
      <c r="H2717">
        <v>2048.92</v>
      </c>
      <c r="I2717">
        <v>4349.72</v>
      </c>
      <c r="J2717">
        <v>1.62</v>
      </c>
      <c r="K2717">
        <v>13.64</v>
      </c>
      <c r="L2717">
        <v>136.59</v>
      </c>
      <c r="M2717">
        <v>2.12</v>
      </c>
      <c r="N2717">
        <v>2300.8000000000002</v>
      </c>
    </row>
    <row r="2718" spans="1:14" x14ac:dyDescent="0.2">
      <c r="A2718" s="1">
        <v>45700</v>
      </c>
      <c r="B2718" s="2" t="s">
        <v>24</v>
      </c>
      <c r="C2718" s="2" t="s">
        <v>32</v>
      </c>
      <c r="D2718" s="2" t="s">
        <v>16</v>
      </c>
      <c r="E2718">
        <v>25180</v>
      </c>
      <c r="F2718">
        <v>5516</v>
      </c>
      <c r="G2718">
        <v>568</v>
      </c>
      <c r="H2718">
        <v>324.17</v>
      </c>
      <c r="I2718">
        <v>81278.28</v>
      </c>
      <c r="J2718">
        <v>21.91</v>
      </c>
      <c r="K2718">
        <v>10.3</v>
      </c>
      <c r="L2718">
        <v>0.56999999999999995</v>
      </c>
      <c r="M2718">
        <v>250.73</v>
      </c>
      <c r="N2718">
        <v>80954.11</v>
      </c>
    </row>
    <row r="2719" spans="1:14" x14ac:dyDescent="0.2">
      <c r="A2719" s="1">
        <v>45700</v>
      </c>
      <c r="B2719" s="2" t="s">
        <v>26</v>
      </c>
      <c r="C2719" s="2" t="s">
        <v>32</v>
      </c>
      <c r="D2719" s="2" t="s">
        <v>25</v>
      </c>
      <c r="E2719">
        <v>40750</v>
      </c>
      <c r="F2719">
        <v>2070</v>
      </c>
      <c r="G2719">
        <v>290</v>
      </c>
      <c r="H2719">
        <v>0</v>
      </c>
      <c r="I2719">
        <v>40978.69</v>
      </c>
      <c r="J2719">
        <v>5.08</v>
      </c>
      <c r="K2719">
        <v>14.01</v>
      </c>
      <c r="L2719">
        <v>0</v>
      </c>
      <c r="M2719">
        <v>0</v>
      </c>
      <c r="N2719">
        <v>40978.69</v>
      </c>
    </row>
    <row r="2720" spans="1:14" x14ac:dyDescent="0.2">
      <c r="A2720" s="1">
        <v>45700</v>
      </c>
      <c r="B2720" s="2" t="s">
        <v>27</v>
      </c>
      <c r="C2720" s="2" t="s">
        <v>18</v>
      </c>
      <c r="D2720" s="2" t="s">
        <v>16</v>
      </c>
      <c r="E2720">
        <v>31123</v>
      </c>
      <c r="F2720">
        <v>482</v>
      </c>
      <c r="G2720">
        <v>15</v>
      </c>
      <c r="H2720">
        <v>1005.28</v>
      </c>
      <c r="I2720">
        <v>1751.15</v>
      </c>
      <c r="J2720">
        <v>1.55</v>
      </c>
      <c r="K2720">
        <v>3.11</v>
      </c>
      <c r="L2720">
        <v>67.02</v>
      </c>
      <c r="M2720">
        <v>1.74</v>
      </c>
      <c r="N2720">
        <v>745.87</v>
      </c>
    </row>
    <row r="2721" spans="1:14" x14ac:dyDescent="0.2">
      <c r="A2721" s="1">
        <v>45700</v>
      </c>
      <c r="B2721" s="2" t="s">
        <v>29</v>
      </c>
      <c r="C2721" s="2" t="s">
        <v>28</v>
      </c>
      <c r="D2721" s="2" t="s">
        <v>22</v>
      </c>
      <c r="E2721">
        <v>19063</v>
      </c>
      <c r="F2721">
        <v>465</v>
      </c>
      <c r="G2721">
        <v>24</v>
      </c>
      <c r="H2721">
        <v>1602.68</v>
      </c>
      <c r="I2721">
        <v>2795.22</v>
      </c>
      <c r="J2721">
        <v>2.44</v>
      </c>
      <c r="K2721">
        <v>5.16</v>
      </c>
      <c r="L2721">
        <v>66.78</v>
      </c>
      <c r="M2721">
        <v>1.74</v>
      </c>
      <c r="N2721">
        <v>1192.54</v>
      </c>
    </row>
    <row r="2722" spans="1:14" x14ac:dyDescent="0.2">
      <c r="A2722" s="1">
        <v>45700</v>
      </c>
      <c r="B2722" s="2" t="s">
        <v>30</v>
      </c>
      <c r="C2722" s="2" t="s">
        <v>32</v>
      </c>
      <c r="D2722" s="2" t="s">
        <v>25</v>
      </c>
      <c r="E2722">
        <v>14216</v>
      </c>
      <c r="F2722">
        <v>334</v>
      </c>
      <c r="G2722">
        <v>16</v>
      </c>
      <c r="H2722">
        <v>596.25</v>
      </c>
      <c r="I2722">
        <v>1789.43</v>
      </c>
      <c r="J2722">
        <v>2.35</v>
      </c>
      <c r="K2722">
        <v>4.79</v>
      </c>
      <c r="L2722">
        <v>37.270000000000003</v>
      </c>
      <c r="M2722">
        <v>3</v>
      </c>
      <c r="N2722">
        <v>1193.18</v>
      </c>
    </row>
    <row r="2723" spans="1:14" x14ac:dyDescent="0.2">
      <c r="A2723" s="1">
        <v>45700</v>
      </c>
      <c r="B2723" s="2" t="s">
        <v>31</v>
      </c>
      <c r="C2723" s="2" t="s">
        <v>18</v>
      </c>
      <c r="D2723" s="2" t="s">
        <v>36</v>
      </c>
      <c r="E2723">
        <v>35474</v>
      </c>
      <c r="F2723">
        <v>1216</v>
      </c>
      <c r="G2723">
        <v>74</v>
      </c>
      <c r="H2723">
        <v>1110.8800000000001</v>
      </c>
      <c r="I2723">
        <v>7144.38</v>
      </c>
      <c r="J2723">
        <v>3.43</v>
      </c>
      <c r="K2723">
        <v>6.09</v>
      </c>
      <c r="L2723">
        <v>15.01</v>
      </c>
      <c r="M2723">
        <v>6.43</v>
      </c>
      <c r="N2723">
        <v>6033.5</v>
      </c>
    </row>
    <row r="2724" spans="1:14" x14ac:dyDescent="0.2">
      <c r="A2724" s="1">
        <v>45700</v>
      </c>
      <c r="B2724" s="2" t="s">
        <v>33</v>
      </c>
      <c r="C2724" s="2" t="s">
        <v>32</v>
      </c>
      <c r="D2724" s="2" t="s">
        <v>36</v>
      </c>
      <c r="E2724">
        <v>9177</v>
      </c>
      <c r="F2724">
        <v>555</v>
      </c>
      <c r="G2724">
        <v>44</v>
      </c>
      <c r="H2724">
        <v>644.57000000000005</v>
      </c>
      <c r="I2724">
        <v>5470.53</v>
      </c>
      <c r="J2724">
        <v>6.05</v>
      </c>
      <c r="K2724">
        <v>7.93</v>
      </c>
      <c r="L2724">
        <v>14.65</v>
      </c>
      <c r="M2724">
        <v>8.49</v>
      </c>
      <c r="N2724">
        <v>4825.96</v>
      </c>
    </row>
    <row r="2725" spans="1:14" x14ac:dyDescent="0.2">
      <c r="A2725" s="1">
        <v>45700</v>
      </c>
      <c r="B2725" s="2" t="s">
        <v>34</v>
      </c>
      <c r="C2725" s="2" t="s">
        <v>35</v>
      </c>
      <c r="D2725" s="2" t="s">
        <v>16</v>
      </c>
      <c r="E2725">
        <v>4394</v>
      </c>
      <c r="F2725">
        <v>421</v>
      </c>
      <c r="G2725">
        <v>70</v>
      </c>
      <c r="H2725">
        <v>216.61</v>
      </c>
      <c r="I2725">
        <v>9893.69</v>
      </c>
      <c r="J2725">
        <v>9.58</v>
      </c>
      <c r="K2725">
        <v>16.63</v>
      </c>
      <c r="L2725">
        <v>3.09</v>
      </c>
      <c r="M2725">
        <v>45.68</v>
      </c>
      <c r="N2725">
        <v>9677.08</v>
      </c>
    </row>
    <row r="2726" spans="1:14" x14ac:dyDescent="0.2">
      <c r="A2726" s="1">
        <v>45701</v>
      </c>
      <c r="B2726" s="2" t="s">
        <v>14</v>
      </c>
      <c r="C2726" s="2" t="s">
        <v>15</v>
      </c>
      <c r="D2726" s="2" t="s">
        <v>25</v>
      </c>
      <c r="E2726">
        <v>12140</v>
      </c>
      <c r="F2726">
        <v>386</v>
      </c>
      <c r="G2726">
        <v>37</v>
      </c>
      <c r="H2726">
        <v>1096.4000000000001</v>
      </c>
      <c r="I2726">
        <v>5637.13</v>
      </c>
      <c r="J2726">
        <v>3.18</v>
      </c>
      <c r="K2726">
        <v>9.59</v>
      </c>
      <c r="L2726">
        <v>29.63</v>
      </c>
      <c r="M2726">
        <v>5.14</v>
      </c>
      <c r="N2726">
        <v>4540.7299999999996</v>
      </c>
    </row>
    <row r="2727" spans="1:14" x14ac:dyDescent="0.2">
      <c r="A2727" s="1">
        <v>45701</v>
      </c>
      <c r="B2727" s="2" t="s">
        <v>17</v>
      </c>
      <c r="C2727" s="2" t="s">
        <v>28</v>
      </c>
      <c r="D2727" s="2" t="s">
        <v>22</v>
      </c>
      <c r="E2727">
        <v>20966</v>
      </c>
      <c r="F2727">
        <v>582</v>
      </c>
      <c r="G2727">
        <v>42</v>
      </c>
      <c r="H2727">
        <v>835.22</v>
      </c>
      <c r="I2727">
        <v>4956.1899999999996</v>
      </c>
      <c r="J2727">
        <v>2.78</v>
      </c>
      <c r="K2727">
        <v>7.22</v>
      </c>
      <c r="L2727">
        <v>19.89</v>
      </c>
      <c r="M2727">
        <v>5.93</v>
      </c>
      <c r="N2727">
        <v>4120.97</v>
      </c>
    </row>
    <row r="2728" spans="1:14" x14ac:dyDescent="0.2">
      <c r="A2728" s="1">
        <v>45701</v>
      </c>
      <c r="B2728" s="2" t="s">
        <v>20</v>
      </c>
      <c r="C2728" s="2" t="s">
        <v>28</v>
      </c>
      <c r="D2728" s="2" t="s">
        <v>36</v>
      </c>
      <c r="E2728">
        <v>20926</v>
      </c>
      <c r="F2728">
        <v>708</v>
      </c>
      <c r="G2728">
        <v>40</v>
      </c>
      <c r="H2728">
        <v>607.30999999999995</v>
      </c>
      <c r="I2728">
        <v>4256.3</v>
      </c>
      <c r="J2728">
        <v>3.38</v>
      </c>
      <c r="K2728">
        <v>5.65</v>
      </c>
      <c r="L2728">
        <v>15.18</v>
      </c>
      <c r="M2728">
        <v>7.01</v>
      </c>
      <c r="N2728">
        <v>3648.99</v>
      </c>
    </row>
    <row r="2729" spans="1:14" x14ac:dyDescent="0.2">
      <c r="A2729" s="1">
        <v>45701</v>
      </c>
      <c r="B2729" s="2" t="s">
        <v>23</v>
      </c>
      <c r="C2729" s="2" t="s">
        <v>35</v>
      </c>
      <c r="D2729" s="2" t="s">
        <v>25</v>
      </c>
      <c r="E2729">
        <v>4640</v>
      </c>
      <c r="F2729">
        <v>110</v>
      </c>
      <c r="G2729">
        <v>15</v>
      </c>
      <c r="H2729">
        <v>1596.31</v>
      </c>
      <c r="I2729">
        <v>3354.16</v>
      </c>
      <c r="J2729">
        <v>2.37</v>
      </c>
      <c r="K2729">
        <v>13.64</v>
      </c>
      <c r="L2729">
        <v>106.42</v>
      </c>
      <c r="M2729">
        <v>2.1</v>
      </c>
      <c r="N2729">
        <v>1757.85</v>
      </c>
    </row>
    <row r="2730" spans="1:14" x14ac:dyDescent="0.2">
      <c r="A2730" s="1">
        <v>45701</v>
      </c>
      <c r="B2730" s="2" t="s">
        <v>24</v>
      </c>
      <c r="C2730" s="2" t="s">
        <v>15</v>
      </c>
      <c r="D2730" s="2" t="s">
        <v>25</v>
      </c>
      <c r="E2730">
        <v>19723</v>
      </c>
      <c r="F2730">
        <v>4764</v>
      </c>
      <c r="G2730">
        <v>662</v>
      </c>
      <c r="H2730">
        <v>159.74</v>
      </c>
      <c r="I2730">
        <v>106478.93</v>
      </c>
      <c r="J2730">
        <v>24.15</v>
      </c>
      <c r="K2730">
        <v>13.9</v>
      </c>
      <c r="L2730">
        <v>0.24</v>
      </c>
      <c r="M2730">
        <v>666.58</v>
      </c>
      <c r="N2730">
        <v>106319.19</v>
      </c>
    </row>
    <row r="2731" spans="1:14" x14ac:dyDescent="0.2">
      <c r="A2731" s="1">
        <v>45701</v>
      </c>
      <c r="B2731" s="2" t="s">
        <v>26</v>
      </c>
      <c r="C2731" s="2" t="s">
        <v>18</v>
      </c>
      <c r="D2731" s="2" t="s">
        <v>36</v>
      </c>
      <c r="E2731">
        <v>27373</v>
      </c>
      <c r="F2731">
        <v>1641</v>
      </c>
      <c r="G2731">
        <v>172</v>
      </c>
      <c r="H2731">
        <v>0</v>
      </c>
      <c r="I2731">
        <v>21953.32</v>
      </c>
      <c r="J2731">
        <v>5.99</v>
      </c>
      <c r="K2731">
        <v>10.48</v>
      </c>
      <c r="L2731">
        <v>0</v>
      </c>
      <c r="M2731">
        <v>0</v>
      </c>
      <c r="N2731">
        <v>21953.32</v>
      </c>
    </row>
    <row r="2732" spans="1:14" x14ac:dyDescent="0.2">
      <c r="A2732" s="1">
        <v>45701</v>
      </c>
      <c r="B2732" s="2" t="s">
        <v>27</v>
      </c>
      <c r="C2732" s="2" t="s">
        <v>21</v>
      </c>
      <c r="D2732" s="2" t="s">
        <v>19</v>
      </c>
      <c r="E2732">
        <v>37146</v>
      </c>
      <c r="F2732">
        <v>720</v>
      </c>
      <c r="G2732">
        <v>34</v>
      </c>
      <c r="H2732">
        <v>1004.58</v>
      </c>
      <c r="I2732">
        <v>3362.18</v>
      </c>
      <c r="J2732">
        <v>1.94</v>
      </c>
      <c r="K2732">
        <v>4.72</v>
      </c>
      <c r="L2732">
        <v>29.55</v>
      </c>
      <c r="M2732">
        <v>3.35</v>
      </c>
      <c r="N2732">
        <v>2357.6</v>
      </c>
    </row>
    <row r="2733" spans="1:14" x14ac:dyDescent="0.2">
      <c r="A2733" s="1">
        <v>45701</v>
      </c>
      <c r="B2733" s="2" t="s">
        <v>29</v>
      </c>
      <c r="C2733" s="2" t="s">
        <v>28</v>
      </c>
      <c r="D2733" s="2" t="s">
        <v>22</v>
      </c>
      <c r="E2733">
        <v>27684</v>
      </c>
      <c r="F2733">
        <v>560</v>
      </c>
      <c r="G2733">
        <v>40</v>
      </c>
      <c r="H2733">
        <v>1339.24</v>
      </c>
      <c r="I2733">
        <v>4369.12</v>
      </c>
      <c r="J2733">
        <v>2.02</v>
      </c>
      <c r="K2733">
        <v>7.14</v>
      </c>
      <c r="L2733">
        <v>33.479999999999997</v>
      </c>
      <c r="M2733">
        <v>3.26</v>
      </c>
      <c r="N2733">
        <v>3029.88</v>
      </c>
    </row>
    <row r="2734" spans="1:14" x14ac:dyDescent="0.2">
      <c r="A2734" s="1">
        <v>45701</v>
      </c>
      <c r="B2734" s="2" t="s">
        <v>30</v>
      </c>
      <c r="C2734" s="2" t="s">
        <v>18</v>
      </c>
      <c r="D2734" s="2" t="s">
        <v>19</v>
      </c>
      <c r="E2734">
        <v>14539</v>
      </c>
      <c r="F2734">
        <v>334</v>
      </c>
      <c r="G2734">
        <v>14</v>
      </c>
      <c r="H2734">
        <v>872.8</v>
      </c>
      <c r="I2734">
        <v>1367.67</v>
      </c>
      <c r="J2734">
        <v>2.2999999999999998</v>
      </c>
      <c r="K2734">
        <v>4.1900000000000004</v>
      </c>
      <c r="L2734">
        <v>62.34</v>
      </c>
      <c r="M2734">
        <v>1.57</v>
      </c>
      <c r="N2734">
        <v>494.87</v>
      </c>
    </row>
    <row r="2735" spans="1:14" x14ac:dyDescent="0.2">
      <c r="A2735" s="1">
        <v>45701</v>
      </c>
      <c r="B2735" s="2" t="s">
        <v>31</v>
      </c>
      <c r="C2735" s="2" t="s">
        <v>32</v>
      </c>
      <c r="D2735" s="2" t="s">
        <v>25</v>
      </c>
      <c r="E2735">
        <v>29257</v>
      </c>
      <c r="F2735">
        <v>829</v>
      </c>
      <c r="G2735">
        <v>42</v>
      </c>
      <c r="H2735">
        <v>739.17</v>
      </c>
      <c r="I2735">
        <v>4405.8</v>
      </c>
      <c r="J2735">
        <v>2.83</v>
      </c>
      <c r="K2735">
        <v>5.07</v>
      </c>
      <c r="L2735">
        <v>17.600000000000001</v>
      </c>
      <c r="M2735">
        <v>5.96</v>
      </c>
      <c r="N2735">
        <v>3666.63</v>
      </c>
    </row>
    <row r="2736" spans="1:14" x14ac:dyDescent="0.2">
      <c r="A2736" s="1">
        <v>45701</v>
      </c>
      <c r="B2736" s="2" t="s">
        <v>33</v>
      </c>
      <c r="C2736" s="2" t="s">
        <v>28</v>
      </c>
      <c r="D2736" s="2" t="s">
        <v>19</v>
      </c>
      <c r="E2736">
        <v>8491</v>
      </c>
      <c r="F2736">
        <v>388</v>
      </c>
      <c r="G2736">
        <v>38</v>
      </c>
      <c r="H2736">
        <v>493.83</v>
      </c>
      <c r="I2736">
        <v>4200.62</v>
      </c>
      <c r="J2736">
        <v>4.57</v>
      </c>
      <c r="K2736">
        <v>9.7899999999999991</v>
      </c>
      <c r="L2736">
        <v>13</v>
      </c>
      <c r="M2736">
        <v>8.51</v>
      </c>
      <c r="N2736">
        <v>3706.79</v>
      </c>
    </row>
    <row r="2737" spans="1:14" x14ac:dyDescent="0.2">
      <c r="A2737" s="1">
        <v>45701</v>
      </c>
      <c r="B2737" s="2" t="s">
        <v>34</v>
      </c>
      <c r="C2737" s="2" t="s">
        <v>21</v>
      </c>
      <c r="D2737" s="2" t="s">
        <v>16</v>
      </c>
      <c r="E2737">
        <v>6067</v>
      </c>
      <c r="F2737">
        <v>586</v>
      </c>
      <c r="G2737">
        <v>88</v>
      </c>
      <c r="H2737">
        <v>86.5</v>
      </c>
      <c r="I2737">
        <v>14243.56</v>
      </c>
      <c r="J2737">
        <v>9.66</v>
      </c>
      <c r="K2737">
        <v>15.02</v>
      </c>
      <c r="L2737">
        <v>0.98</v>
      </c>
      <c r="M2737">
        <v>164.67</v>
      </c>
      <c r="N2737">
        <v>14157.06</v>
      </c>
    </row>
    <row r="2738" spans="1:14" x14ac:dyDescent="0.2">
      <c r="A2738" s="1">
        <v>45702</v>
      </c>
      <c r="B2738" s="2" t="s">
        <v>14</v>
      </c>
      <c r="C2738" s="2" t="s">
        <v>15</v>
      </c>
      <c r="D2738" s="2" t="s">
        <v>16</v>
      </c>
      <c r="E2738">
        <v>17944</v>
      </c>
      <c r="F2738">
        <v>615</v>
      </c>
      <c r="G2738">
        <v>58</v>
      </c>
      <c r="H2738">
        <v>1159.3</v>
      </c>
      <c r="I2738">
        <v>9395.34</v>
      </c>
      <c r="J2738">
        <v>3.43</v>
      </c>
      <c r="K2738">
        <v>9.43</v>
      </c>
      <c r="L2738">
        <v>19.989999999999998</v>
      </c>
      <c r="M2738">
        <v>8.1</v>
      </c>
      <c r="N2738">
        <v>8236.0400000000009</v>
      </c>
    </row>
    <row r="2739" spans="1:14" x14ac:dyDescent="0.2">
      <c r="A2739" s="1">
        <v>45702</v>
      </c>
      <c r="B2739" s="2" t="s">
        <v>17</v>
      </c>
      <c r="C2739" s="2" t="s">
        <v>32</v>
      </c>
      <c r="D2739" s="2" t="s">
        <v>25</v>
      </c>
      <c r="E2739">
        <v>14704</v>
      </c>
      <c r="F2739">
        <v>298</v>
      </c>
      <c r="G2739">
        <v>26</v>
      </c>
      <c r="H2739">
        <v>788.68</v>
      </c>
      <c r="I2739">
        <v>2998.47</v>
      </c>
      <c r="J2739">
        <v>2.0299999999999998</v>
      </c>
      <c r="K2739">
        <v>8.7200000000000006</v>
      </c>
      <c r="L2739">
        <v>30.33</v>
      </c>
      <c r="M2739">
        <v>3.8</v>
      </c>
      <c r="N2739">
        <v>2209.79</v>
      </c>
    </row>
    <row r="2740" spans="1:14" x14ac:dyDescent="0.2">
      <c r="A2740" s="1">
        <v>45702</v>
      </c>
      <c r="B2740" s="2" t="s">
        <v>20</v>
      </c>
      <c r="C2740" s="2" t="s">
        <v>18</v>
      </c>
      <c r="D2740" s="2" t="s">
        <v>25</v>
      </c>
      <c r="E2740">
        <v>15165</v>
      </c>
      <c r="F2740">
        <v>484</v>
      </c>
      <c r="G2740">
        <v>37</v>
      </c>
      <c r="H2740">
        <v>727.42</v>
      </c>
      <c r="I2740">
        <v>4491.29</v>
      </c>
      <c r="J2740">
        <v>3.19</v>
      </c>
      <c r="K2740">
        <v>7.64</v>
      </c>
      <c r="L2740">
        <v>19.66</v>
      </c>
      <c r="M2740">
        <v>6.17</v>
      </c>
      <c r="N2740">
        <v>3763.87</v>
      </c>
    </row>
    <row r="2741" spans="1:14" x14ac:dyDescent="0.2">
      <c r="A2741" s="1">
        <v>45702</v>
      </c>
      <c r="B2741" s="2" t="s">
        <v>23</v>
      </c>
      <c r="C2741" s="2" t="s">
        <v>18</v>
      </c>
      <c r="D2741" s="2" t="s">
        <v>36</v>
      </c>
      <c r="E2741">
        <v>6688</v>
      </c>
      <c r="F2741">
        <v>175</v>
      </c>
      <c r="G2741">
        <v>24</v>
      </c>
      <c r="H2741">
        <v>1545.73</v>
      </c>
      <c r="I2741">
        <v>6969.75</v>
      </c>
      <c r="J2741">
        <v>2.62</v>
      </c>
      <c r="K2741">
        <v>13.71</v>
      </c>
      <c r="L2741">
        <v>64.41</v>
      </c>
      <c r="M2741">
        <v>4.51</v>
      </c>
      <c r="N2741">
        <v>5424.02</v>
      </c>
    </row>
    <row r="2742" spans="1:14" x14ac:dyDescent="0.2">
      <c r="A2742" s="1">
        <v>45702</v>
      </c>
      <c r="B2742" s="2" t="s">
        <v>24</v>
      </c>
      <c r="C2742" s="2" t="s">
        <v>15</v>
      </c>
      <c r="D2742" s="2" t="s">
        <v>22</v>
      </c>
      <c r="E2742">
        <v>22279</v>
      </c>
      <c r="F2742">
        <v>4562</v>
      </c>
      <c r="G2742">
        <v>573</v>
      </c>
      <c r="H2742">
        <v>209.87</v>
      </c>
      <c r="I2742">
        <v>74026.48</v>
      </c>
      <c r="J2742">
        <v>20.48</v>
      </c>
      <c r="K2742">
        <v>12.56</v>
      </c>
      <c r="L2742">
        <v>0.37</v>
      </c>
      <c r="M2742">
        <v>352.73</v>
      </c>
      <c r="N2742">
        <v>73816.61</v>
      </c>
    </row>
    <row r="2743" spans="1:14" x14ac:dyDescent="0.2">
      <c r="A2743" s="1">
        <v>45702</v>
      </c>
      <c r="B2743" s="2" t="s">
        <v>26</v>
      </c>
      <c r="C2743" s="2" t="s">
        <v>15</v>
      </c>
      <c r="D2743" s="2" t="s">
        <v>19</v>
      </c>
      <c r="E2743">
        <v>39524</v>
      </c>
      <c r="F2743">
        <v>2145</v>
      </c>
      <c r="G2743">
        <v>325</v>
      </c>
      <c r="H2743">
        <v>0</v>
      </c>
      <c r="I2743">
        <v>35638.46</v>
      </c>
      <c r="J2743">
        <v>5.43</v>
      </c>
      <c r="K2743">
        <v>15.15</v>
      </c>
      <c r="L2743">
        <v>0</v>
      </c>
      <c r="M2743">
        <v>0</v>
      </c>
      <c r="N2743">
        <v>35638.46</v>
      </c>
    </row>
    <row r="2744" spans="1:14" x14ac:dyDescent="0.2">
      <c r="A2744" s="1">
        <v>45702</v>
      </c>
      <c r="B2744" s="2" t="s">
        <v>27</v>
      </c>
      <c r="C2744" s="2" t="s">
        <v>28</v>
      </c>
      <c r="D2744" s="2" t="s">
        <v>19</v>
      </c>
      <c r="E2744">
        <v>39145</v>
      </c>
      <c r="F2744">
        <v>758</v>
      </c>
      <c r="G2744">
        <v>20</v>
      </c>
      <c r="H2744">
        <v>1397.88</v>
      </c>
      <c r="I2744">
        <v>1863.62</v>
      </c>
      <c r="J2744">
        <v>1.94</v>
      </c>
      <c r="K2744">
        <v>2.64</v>
      </c>
      <c r="L2744">
        <v>69.89</v>
      </c>
      <c r="M2744">
        <v>1.33</v>
      </c>
      <c r="N2744">
        <v>465.74</v>
      </c>
    </row>
    <row r="2745" spans="1:14" x14ac:dyDescent="0.2">
      <c r="A2745" s="1">
        <v>45702</v>
      </c>
      <c r="B2745" s="2" t="s">
        <v>29</v>
      </c>
      <c r="C2745" s="2" t="s">
        <v>18</v>
      </c>
      <c r="D2745" s="2" t="s">
        <v>22</v>
      </c>
      <c r="E2745">
        <v>25890</v>
      </c>
      <c r="F2745">
        <v>693</v>
      </c>
      <c r="G2745">
        <v>42</v>
      </c>
      <c r="H2745">
        <v>995.99</v>
      </c>
      <c r="I2745">
        <v>4484.03</v>
      </c>
      <c r="J2745">
        <v>2.68</v>
      </c>
      <c r="K2745">
        <v>6.06</v>
      </c>
      <c r="L2745">
        <v>23.71</v>
      </c>
      <c r="M2745">
        <v>4.5</v>
      </c>
      <c r="N2745">
        <v>3488.04</v>
      </c>
    </row>
    <row r="2746" spans="1:14" x14ac:dyDescent="0.2">
      <c r="A2746" s="1">
        <v>45702</v>
      </c>
      <c r="B2746" s="2" t="s">
        <v>30</v>
      </c>
      <c r="C2746" s="2" t="s">
        <v>28</v>
      </c>
      <c r="D2746" s="2" t="s">
        <v>25</v>
      </c>
      <c r="E2746">
        <v>14238</v>
      </c>
      <c r="F2746">
        <v>488</v>
      </c>
      <c r="G2746">
        <v>15</v>
      </c>
      <c r="H2746">
        <v>716.51</v>
      </c>
      <c r="I2746">
        <v>1458.15</v>
      </c>
      <c r="J2746">
        <v>3.43</v>
      </c>
      <c r="K2746">
        <v>3.07</v>
      </c>
      <c r="L2746">
        <v>47.77</v>
      </c>
      <c r="M2746">
        <v>2.04</v>
      </c>
      <c r="N2746">
        <v>741.64</v>
      </c>
    </row>
    <row r="2747" spans="1:14" x14ac:dyDescent="0.2">
      <c r="A2747" s="1">
        <v>45702</v>
      </c>
      <c r="B2747" s="2" t="s">
        <v>31</v>
      </c>
      <c r="C2747" s="2" t="s">
        <v>35</v>
      </c>
      <c r="D2747" s="2" t="s">
        <v>19</v>
      </c>
      <c r="E2747">
        <v>31617</v>
      </c>
      <c r="F2747">
        <v>1288</v>
      </c>
      <c r="G2747">
        <v>48</v>
      </c>
      <c r="H2747">
        <v>738.75</v>
      </c>
      <c r="I2747">
        <v>5164.82</v>
      </c>
      <c r="J2747">
        <v>4.07</v>
      </c>
      <c r="K2747">
        <v>3.73</v>
      </c>
      <c r="L2747">
        <v>15.39</v>
      </c>
      <c r="M2747">
        <v>6.99</v>
      </c>
      <c r="N2747">
        <v>4426.07</v>
      </c>
    </row>
    <row r="2748" spans="1:14" x14ac:dyDescent="0.2">
      <c r="A2748" s="1">
        <v>45702</v>
      </c>
      <c r="B2748" s="2" t="s">
        <v>33</v>
      </c>
      <c r="C2748" s="2" t="s">
        <v>32</v>
      </c>
      <c r="D2748" s="2" t="s">
        <v>36</v>
      </c>
      <c r="E2748">
        <v>10366</v>
      </c>
      <c r="F2748">
        <v>489</v>
      </c>
      <c r="G2748">
        <v>52</v>
      </c>
      <c r="H2748">
        <v>400.33</v>
      </c>
      <c r="I2748">
        <v>6426.42</v>
      </c>
      <c r="J2748">
        <v>4.72</v>
      </c>
      <c r="K2748">
        <v>10.63</v>
      </c>
      <c r="L2748">
        <v>7.7</v>
      </c>
      <c r="M2748">
        <v>16.05</v>
      </c>
      <c r="N2748">
        <v>6026.09</v>
      </c>
    </row>
    <row r="2749" spans="1:14" x14ac:dyDescent="0.2">
      <c r="A2749" s="1">
        <v>45702</v>
      </c>
      <c r="B2749" s="2" t="s">
        <v>34</v>
      </c>
      <c r="C2749" s="2" t="s">
        <v>32</v>
      </c>
      <c r="D2749" s="2" t="s">
        <v>19</v>
      </c>
      <c r="E2749">
        <v>4612</v>
      </c>
      <c r="F2749">
        <v>297</v>
      </c>
      <c r="G2749">
        <v>43</v>
      </c>
      <c r="H2749">
        <v>63.06</v>
      </c>
      <c r="I2749">
        <v>5899.24</v>
      </c>
      <c r="J2749">
        <v>6.44</v>
      </c>
      <c r="K2749">
        <v>14.48</v>
      </c>
      <c r="L2749">
        <v>1.47</v>
      </c>
      <c r="M2749">
        <v>93.55</v>
      </c>
      <c r="N2749">
        <v>5836.18</v>
      </c>
    </row>
    <row r="2750" spans="1:14" x14ac:dyDescent="0.2">
      <c r="A2750" s="1">
        <v>45703</v>
      </c>
      <c r="B2750" s="2" t="s">
        <v>14</v>
      </c>
      <c r="C2750" s="2" t="s">
        <v>32</v>
      </c>
      <c r="D2750" s="2" t="s">
        <v>19</v>
      </c>
      <c r="E2750">
        <v>8322</v>
      </c>
      <c r="F2750">
        <v>400</v>
      </c>
      <c r="G2750">
        <v>45</v>
      </c>
      <c r="H2750">
        <v>990.74</v>
      </c>
      <c r="I2750">
        <v>7494.93</v>
      </c>
      <c r="J2750">
        <v>4.8099999999999996</v>
      </c>
      <c r="K2750">
        <v>11.25</v>
      </c>
      <c r="L2750">
        <v>22.02</v>
      </c>
      <c r="M2750">
        <v>7.56</v>
      </c>
      <c r="N2750">
        <v>6504.19</v>
      </c>
    </row>
    <row r="2751" spans="1:14" x14ac:dyDescent="0.2">
      <c r="A2751" s="1">
        <v>45703</v>
      </c>
      <c r="B2751" s="2" t="s">
        <v>17</v>
      </c>
      <c r="C2751" s="2" t="s">
        <v>15</v>
      </c>
      <c r="D2751" s="2" t="s">
        <v>36</v>
      </c>
      <c r="E2751">
        <v>10296</v>
      </c>
      <c r="F2751">
        <v>329</v>
      </c>
      <c r="G2751">
        <v>29</v>
      </c>
      <c r="H2751">
        <v>967.76</v>
      </c>
      <c r="I2751">
        <v>3375.37</v>
      </c>
      <c r="J2751">
        <v>3.2</v>
      </c>
      <c r="K2751">
        <v>8.81</v>
      </c>
      <c r="L2751">
        <v>33.369999999999997</v>
      </c>
      <c r="M2751">
        <v>3.49</v>
      </c>
      <c r="N2751">
        <v>2407.61</v>
      </c>
    </row>
    <row r="2752" spans="1:14" x14ac:dyDescent="0.2">
      <c r="A2752" s="1">
        <v>45703</v>
      </c>
      <c r="B2752" s="2" t="s">
        <v>20</v>
      </c>
      <c r="C2752" s="2" t="s">
        <v>21</v>
      </c>
      <c r="D2752" s="2" t="s">
        <v>36</v>
      </c>
      <c r="E2752">
        <v>15030</v>
      </c>
      <c r="F2752">
        <v>406</v>
      </c>
      <c r="G2752">
        <v>28</v>
      </c>
      <c r="H2752">
        <v>524.59</v>
      </c>
      <c r="I2752">
        <v>3358.31</v>
      </c>
      <c r="J2752">
        <v>2.7</v>
      </c>
      <c r="K2752">
        <v>6.9</v>
      </c>
      <c r="L2752">
        <v>18.739999999999998</v>
      </c>
      <c r="M2752">
        <v>6.4</v>
      </c>
      <c r="N2752">
        <v>2833.72</v>
      </c>
    </row>
    <row r="2753" spans="1:14" x14ac:dyDescent="0.2">
      <c r="A2753" s="1">
        <v>45703</v>
      </c>
      <c r="B2753" s="2" t="s">
        <v>23</v>
      </c>
      <c r="C2753" s="2" t="s">
        <v>32</v>
      </c>
      <c r="D2753" s="2" t="s">
        <v>25</v>
      </c>
      <c r="E2753">
        <v>4080</v>
      </c>
      <c r="F2753">
        <v>63</v>
      </c>
      <c r="G2753">
        <v>9</v>
      </c>
      <c r="H2753">
        <v>858.4</v>
      </c>
      <c r="I2753">
        <v>2010.62</v>
      </c>
      <c r="J2753">
        <v>1.54</v>
      </c>
      <c r="K2753">
        <v>14.29</v>
      </c>
      <c r="L2753">
        <v>95.38</v>
      </c>
      <c r="M2753">
        <v>2.34</v>
      </c>
      <c r="N2753">
        <v>1152.22</v>
      </c>
    </row>
    <row r="2754" spans="1:14" x14ac:dyDescent="0.2">
      <c r="A2754" s="1">
        <v>45703</v>
      </c>
      <c r="B2754" s="2" t="s">
        <v>24</v>
      </c>
      <c r="C2754" s="2" t="s">
        <v>28</v>
      </c>
      <c r="D2754" s="2" t="s">
        <v>22</v>
      </c>
      <c r="E2754">
        <v>17082</v>
      </c>
      <c r="F2754">
        <v>4215</v>
      </c>
      <c r="G2754">
        <v>521</v>
      </c>
      <c r="H2754">
        <v>148.57</v>
      </c>
      <c r="I2754">
        <v>61400.73</v>
      </c>
      <c r="J2754">
        <v>24.68</v>
      </c>
      <c r="K2754">
        <v>12.36</v>
      </c>
      <c r="L2754">
        <v>0.28999999999999998</v>
      </c>
      <c r="M2754">
        <v>413.28</v>
      </c>
      <c r="N2754">
        <v>61252.160000000003</v>
      </c>
    </row>
    <row r="2755" spans="1:14" x14ac:dyDescent="0.2">
      <c r="A2755" s="1">
        <v>45703</v>
      </c>
      <c r="B2755" s="2" t="s">
        <v>26</v>
      </c>
      <c r="C2755" s="2" t="s">
        <v>35</v>
      </c>
      <c r="D2755" s="2" t="s">
        <v>25</v>
      </c>
      <c r="E2755">
        <v>29108</v>
      </c>
      <c r="F2755">
        <v>1784</v>
      </c>
      <c r="G2755">
        <v>211</v>
      </c>
      <c r="H2755">
        <v>0</v>
      </c>
      <c r="I2755">
        <v>26956.16</v>
      </c>
      <c r="J2755">
        <v>6.13</v>
      </c>
      <c r="K2755">
        <v>11.83</v>
      </c>
      <c r="L2755">
        <v>0</v>
      </c>
      <c r="M2755">
        <v>0</v>
      </c>
      <c r="N2755">
        <v>26956.16</v>
      </c>
    </row>
    <row r="2756" spans="1:14" x14ac:dyDescent="0.2">
      <c r="A2756" s="1">
        <v>45703</v>
      </c>
      <c r="B2756" s="2" t="s">
        <v>27</v>
      </c>
      <c r="C2756" s="2" t="s">
        <v>32</v>
      </c>
      <c r="D2756" s="2" t="s">
        <v>36</v>
      </c>
      <c r="E2756">
        <v>21069</v>
      </c>
      <c r="F2756">
        <v>361</v>
      </c>
      <c r="G2756">
        <v>17</v>
      </c>
      <c r="H2756">
        <v>848.5</v>
      </c>
      <c r="I2756">
        <v>1886.5</v>
      </c>
      <c r="J2756">
        <v>1.71</v>
      </c>
      <c r="K2756">
        <v>4.71</v>
      </c>
      <c r="L2756">
        <v>49.91</v>
      </c>
      <c r="M2756">
        <v>2.2200000000000002</v>
      </c>
      <c r="N2756">
        <v>1038</v>
      </c>
    </row>
    <row r="2757" spans="1:14" x14ac:dyDescent="0.2">
      <c r="A2757" s="1">
        <v>45703</v>
      </c>
      <c r="B2757" s="2" t="s">
        <v>29</v>
      </c>
      <c r="C2757" s="2" t="s">
        <v>35</v>
      </c>
      <c r="D2757" s="2" t="s">
        <v>19</v>
      </c>
      <c r="E2757">
        <v>18512</v>
      </c>
      <c r="F2757">
        <v>365</v>
      </c>
      <c r="G2757">
        <v>18</v>
      </c>
      <c r="H2757">
        <v>1077.7</v>
      </c>
      <c r="I2757">
        <v>1936.49</v>
      </c>
      <c r="J2757">
        <v>1.97</v>
      </c>
      <c r="K2757">
        <v>4.93</v>
      </c>
      <c r="L2757">
        <v>59.87</v>
      </c>
      <c r="M2757">
        <v>1.8</v>
      </c>
      <c r="N2757">
        <v>858.79</v>
      </c>
    </row>
    <row r="2758" spans="1:14" x14ac:dyDescent="0.2">
      <c r="A2758" s="1">
        <v>45703</v>
      </c>
      <c r="B2758" s="2" t="s">
        <v>30</v>
      </c>
      <c r="C2758" s="2" t="s">
        <v>32</v>
      </c>
      <c r="D2758" s="2" t="s">
        <v>19</v>
      </c>
      <c r="E2758">
        <v>11399</v>
      </c>
      <c r="F2758">
        <v>372</v>
      </c>
      <c r="G2758">
        <v>14</v>
      </c>
      <c r="H2758">
        <v>404.87</v>
      </c>
      <c r="I2758">
        <v>1421.39</v>
      </c>
      <c r="J2758">
        <v>3.26</v>
      </c>
      <c r="K2758">
        <v>3.76</v>
      </c>
      <c r="L2758">
        <v>28.92</v>
      </c>
      <c r="M2758">
        <v>3.51</v>
      </c>
      <c r="N2758">
        <v>1016.52</v>
      </c>
    </row>
    <row r="2759" spans="1:14" x14ac:dyDescent="0.2">
      <c r="A2759" s="1">
        <v>45703</v>
      </c>
      <c r="B2759" s="2" t="s">
        <v>31</v>
      </c>
      <c r="C2759" s="2" t="s">
        <v>15</v>
      </c>
      <c r="D2759" s="2" t="s">
        <v>36</v>
      </c>
      <c r="E2759">
        <v>15538</v>
      </c>
      <c r="F2759">
        <v>588</v>
      </c>
      <c r="G2759">
        <v>27</v>
      </c>
      <c r="H2759">
        <v>671.38</v>
      </c>
      <c r="I2759">
        <v>2095.41</v>
      </c>
      <c r="J2759">
        <v>3.78</v>
      </c>
      <c r="K2759">
        <v>4.59</v>
      </c>
      <c r="L2759">
        <v>24.87</v>
      </c>
      <c r="M2759">
        <v>3.12</v>
      </c>
      <c r="N2759">
        <v>1424.03</v>
      </c>
    </row>
    <row r="2760" spans="1:14" x14ac:dyDescent="0.2">
      <c r="A2760" s="1">
        <v>45703</v>
      </c>
      <c r="B2760" s="2" t="s">
        <v>33</v>
      </c>
      <c r="C2760" s="2" t="s">
        <v>15</v>
      </c>
      <c r="D2760" s="2" t="s">
        <v>22</v>
      </c>
      <c r="E2760">
        <v>7629</v>
      </c>
      <c r="F2760">
        <v>358</v>
      </c>
      <c r="G2760">
        <v>32</v>
      </c>
      <c r="H2760">
        <v>295.45</v>
      </c>
      <c r="I2760">
        <v>4522.25</v>
      </c>
      <c r="J2760">
        <v>4.6900000000000004</v>
      </c>
      <c r="K2760">
        <v>8.94</v>
      </c>
      <c r="L2760">
        <v>9.23</v>
      </c>
      <c r="M2760">
        <v>15.31</v>
      </c>
      <c r="N2760">
        <v>4226.8</v>
      </c>
    </row>
    <row r="2761" spans="1:14" x14ac:dyDescent="0.2">
      <c r="A2761" s="1">
        <v>45703</v>
      </c>
      <c r="B2761" s="2" t="s">
        <v>34</v>
      </c>
      <c r="C2761" s="2" t="s">
        <v>15</v>
      </c>
      <c r="D2761" s="2" t="s">
        <v>16</v>
      </c>
      <c r="E2761">
        <v>4341</v>
      </c>
      <c r="F2761">
        <v>273</v>
      </c>
      <c r="G2761">
        <v>38</v>
      </c>
      <c r="H2761">
        <v>100.04</v>
      </c>
      <c r="I2761">
        <v>5225.93</v>
      </c>
      <c r="J2761">
        <v>6.29</v>
      </c>
      <c r="K2761">
        <v>13.92</v>
      </c>
      <c r="L2761">
        <v>2.63</v>
      </c>
      <c r="M2761">
        <v>52.24</v>
      </c>
      <c r="N2761">
        <v>5125.8900000000003</v>
      </c>
    </row>
    <row r="2762" spans="1:14" x14ac:dyDescent="0.2">
      <c r="A2762" s="1">
        <v>45704</v>
      </c>
      <c r="B2762" s="2" t="s">
        <v>14</v>
      </c>
      <c r="C2762" s="2" t="s">
        <v>15</v>
      </c>
      <c r="D2762" s="2" t="s">
        <v>22</v>
      </c>
      <c r="E2762">
        <v>9124</v>
      </c>
      <c r="F2762">
        <v>330</v>
      </c>
      <c r="G2762">
        <v>26</v>
      </c>
      <c r="H2762">
        <v>810.77</v>
      </c>
      <c r="I2762">
        <v>3626.98</v>
      </c>
      <c r="J2762">
        <v>3.62</v>
      </c>
      <c r="K2762">
        <v>7.88</v>
      </c>
      <c r="L2762">
        <v>31.18</v>
      </c>
      <c r="M2762">
        <v>4.47</v>
      </c>
      <c r="N2762">
        <v>2816.21</v>
      </c>
    </row>
    <row r="2763" spans="1:14" x14ac:dyDescent="0.2">
      <c r="A2763" s="1">
        <v>45704</v>
      </c>
      <c r="B2763" s="2" t="s">
        <v>17</v>
      </c>
      <c r="C2763" s="2" t="s">
        <v>28</v>
      </c>
      <c r="D2763" s="2" t="s">
        <v>22</v>
      </c>
      <c r="E2763">
        <v>10444</v>
      </c>
      <c r="F2763">
        <v>332</v>
      </c>
      <c r="G2763">
        <v>17</v>
      </c>
      <c r="H2763">
        <v>710.01</v>
      </c>
      <c r="I2763">
        <v>1786.6</v>
      </c>
      <c r="J2763">
        <v>3.18</v>
      </c>
      <c r="K2763">
        <v>5.12</v>
      </c>
      <c r="L2763">
        <v>41.77</v>
      </c>
      <c r="M2763">
        <v>2.52</v>
      </c>
      <c r="N2763">
        <v>1076.5899999999999</v>
      </c>
    </row>
    <row r="2764" spans="1:14" x14ac:dyDescent="0.2">
      <c r="A2764" s="1">
        <v>45704</v>
      </c>
      <c r="B2764" s="2" t="s">
        <v>20</v>
      </c>
      <c r="C2764" s="2" t="s">
        <v>18</v>
      </c>
      <c r="D2764" s="2" t="s">
        <v>22</v>
      </c>
      <c r="E2764">
        <v>10200</v>
      </c>
      <c r="F2764">
        <v>409</v>
      </c>
      <c r="G2764">
        <v>26</v>
      </c>
      <c r="H2764">
        <v>467.09</v>
      </c>
      <c r="I2764">
        <v>2919.41</v>
      </c>
      <c r="J2764">
        <v>4.01</v>
      </c>
      <c r="K2764">
        <v>6.36</v>
      </c>
      <c r="L2764">
        <v>17.96</v>
      </c>
      <c r="M2764">
        <v>6.25</v>
      </c>
      <c r="N2764">
        <v>2452.3200000000002</v>
      </c>
    </row>
    <row r="2765" spans="1:14" x14ac:dyDescent="0.2">
      <c r="A2765" s="1">
        <v>45704</v>
      </c>
      <c r="B2765" s="2" t="s">
        <v>23</v>
      </c>
      <c r="C2765" s="2" t="s">
        <v>32</v>
      </c>
      <c r="D2765" s="2" t="s">
        <v>36</v>
      </c>
      <c r="E2765">
        <v>2939</v>
      </c>
      <c r="F2765">
        <v>63</v>
      </c>
      <c r="G2765">
        <v>6</v>
      </c>
      <c r="H2765">
        <v>768.41</v>
      </c>
      <c r="I2765">
        <v>1401.15</v>
      </c>
      <c r="J2765">
        <v>2.14</v>
      </c>
      <c r="K2765">
        <v>9.52</v>
      </c>
      <c r="L2765">
        <v>128.07</v>
      </c>
      <c r="M2765">
        <v>1.82</v>
      </c>
      <c r="N2765">
        <v>632.74</v>
      </c>
    </row>
    <row r="2766" spans="1:14" x14ac:dyDescent="0.2">
      <c r="A2766" s="1">
        <v>45704</v>
      </c>
      <c r="B2766" s="2" t="s">
        <v>24</v>
      </c>
      <c r="C2766" s="2" t="s">
        <v>35</v>
      </c>
      <c r="D2766" s="2" t="s">
        <v>25</v>
      </c>
      <c r="E2766">
        <v>20296</v>
      </c>
      <c r="F2766">
        <v>4078</v>
      </c>
      <c r="G2766">
        <v>557</v>
      </c>
      <c r="H2766">
        <v>247.96</v>
      </c>
      <c r="I2766">
        <v>71711.92</v>
      </c>
      <c r="J2766">
        <v>20.09</v>
      </c>
      <c r="K2766">
        <v>13.66</v>
      </c>
      <c r="L2766">
        <v>0.45</v>
      </c>
      <c r="M2766">
        <v>289.20999999999998</v>
      </c>
      <c r="N2766">
        <v>71463.960000000006</v>
      </c>
    </row>
    <row r="2767" spans="1:14" x14ac:dyDescent="0.2">
      <c r="A2767" s="1">
        <v>45704</v>
      </c>
      <c r="B2767" s="2" t="s">
        <v>26</v>
      </c>
      <c r="C2767" s="2" t="s">
        <v>32</v>
      </c>
      <c r="D2767" s="2" t="s">
        <v>16</v>
      </c>
      <c r="E2767">
        <v>28358</v>
      </c>
      <c r="F2767">
        <v>1638</v>
      </c>
      <c r="G2767">
        <v>190</v>
      </c>
      <c r="H2767">
        <v>0</v>
      </c>
      <c r="I2767">
        <v>30059.81</v>
      </c>
      <c r="J2767">
        <v>5.78</v>
      </c>
      <c r="K2767">
        <v>11.6</v>
      </c>
      <c r="L2767">
        <v>0</v>
      </c>
      <c r="M2767">
        <v>0</v>
      </c>
      <c r="N2767">
        <v>30059.81</v>
      </c>
    </row>
    <row r="2768" spans="1:14" x14ac:dyDescent="0.2">
      <c r="A2768" s="1">
        <v>45704</v>
      </c>
      <c r="B2768" s="2" t="s">
        <v>27</v>
      </c>
      <c r="C2768" s="2" t="s">
        <v>21</v>
      </c>
      <c r="D2768" s="2" t="s">
        <v>36</v>
      </c>
      <c r="E2768">
        <v>24545</v>
      </c>
      <c r="F2768">
        <v>268</v>
      </c>
      <c r="G2768">
        <v>10</v>
      </c>
      <c r="H2768">
        <v>588</v>
      </c>
      <c r="I2768">
        <v>1067.71</v>
      </c>
      <c r="J2768">
        <v>1.0900000000000001</v>
      </c>
      <c r="K2768">
        <v>3.73</v>
      </c>
      <c r="L2768">
        <v>58.8</v>
      </c>
      <c r="M2768">
        <v>1.82</v>
      </c>
      <c r="N2768">
        <v>479.71</v>
      </c>
    </row>
    <row r="2769" spans="1:14" x14ac:dyDescent="0.2">
      <c r="A2769" s="1">
        <v>45704</v>
      </c>
      <c r="B2769" s="2" t="s">
        <v>29</v>
      </c>
      <c r="C2769" s="2" t="s">
        <v>15</v>
      </c>
      <c r="D2769" s="2" t="s">
        <v>16</v>
      </c>
      <c r="E2769">
        <v>15900</v>
      </c>
      <c r="F2769">
        <v>287</v>
      </c>
      <c r="G2769">
        <v>15</v>
      </c>
      <c r="H2769">
        <v>813.68</v>
      </c>
      <c r="I2769">
        <v>1991.45</v>
      </c>
      <c r="J2769">
        <v>1.81</v>
      </c>
      <c r="K2769">
        <v>5.23</v>
      </c>
      <c r="L2769">
        <v>54.25</v>
      </c>
      <c r="M2769">
        <v>2.4500000000000002</v>
      </c>
      <c r="N2769">
        <v>1177.77</v>
      </c>
    </row>
    <row r="2770" spans="1:14" x14ac:dyDescent="0.2">
      <c r="A2770" s="1">
        <v>45704</v>
      </c>
      <c r="B2770" s="2" t="s">
        <v>30</v>
      </c>
      <c r="C2770" s="2" t="s">
        <v>18</v>
      </c>
      <c r="D2770" s="2" t="s">
        <v>22</v>
      </c>
      <c r="E2770">
        <v>7418</v>
      </c>
      <c r="F2770">
        <v>152</v>
      </c>
      <c r="G2770">
        <v>5</v>
      </c>
      <c r="H2770">
        <v>620.91</v>
      </c>
      <c r="I2770">
        <v>480.4</v>
      </c>
      <c r="J2770">
        <v>2.0499999999999998</v>
      </c>
      <c r="K2770">
        <v>3.29</v>
      </c>
      <c r="L2770">
        <v>124.18</v>
      </c>
      <c r="M2770">
        <v>0.77</v>
      </c>
      <c r="N2770">
        <v>-140.51</v>
      </c>
    </row>
    <row r="2771" spans="1:14" x14ac:dyDescent="0.2">
      <c r="A2771" s="1">
        <v>45704</v>
      </c>
      <c r="B2771" s="2" t="s">
        <v>31</v>
      </c>
      <c r="C2771" s="2" t="s">
        <v>28</v>
      </c>
      <c r="D2771" s="2" t="s">
        <v>25</v>
      </c>
      <c r="E2771">
        <v>18080</v>
      </c>
      <c r="F2771">
        <v>627</v>
      </c>
      <c r="G2771">
        <v>39</v>
      </c>
      <c r="H2771">
        <v>540.45000000000005</v>
      </c>
      <c r="I2771">
        <v>3844.18</v>
      </c>
      <c r="J2771">
        <v>3.47</v>
      </c>
      <c r="K2771">
        <v>6.22</v>
      </c>
      <c r="L2771">
        <v>13.86</v>
      </c>
      <c r="M2771">
        <v>7.11</v>
      </c>
      <c r="N2771">
        <v>3303.73</v>
      </c>
    </row>
    <row r="2772" spans="1:14" x14ac:dyDescent="0.2">
      <c r="A2772" s="1">
        <v>45704</v>
      </c>
      <c r="B2772" s="2" t="s">
        <v>33</v>
      </c>
      <c r="C2772" s="2" t="s">
        <v>28</v>
      </c>
      <c r="D2772" s="2" t="s">
        <v>16</v>
      </c>
      <c r="E2772">
        <v>5885</v>
      </c>
      <c r="F2772">
        <v>265</v>
      </c>
      <c r="G2772">
        <v>31</v>
      </c>
      <c r="H2772">
        <v>276.11</v>
      </c>
      <c r="I2772">
        <v>4466.7700000000004</v>
      </c>
      <c r="J2772">
        <v>4.5</v>
      </c>
      <c r="K2772">
        <v>11.7</v>
      </c>
      <c r="L2772">
        <v>8.91</v>
      </c>
      <c r="M2772">
        <v>16.18</v>
      </c>
      <c r="N2772">
        <v>4190.66</v>
      </c>
    </row>
    <row r="2773" spans="1:14" x14ac:dyDescent="0.2">
      <c r="A2773" s="1">
        <v>45704</v>
      </c>
      <c r="B2773" s="2" t="s">
        <v>34</v>
      </c>
      <c r="C2773" s="2" t="s">
        <v>18</v>
      </c>
      <c r="D2773" s="2" t="s">
        <v>19</v>
      </c>
      <c r="E2773">
        <v>5378</v>
      </c>
      <c r="F2773">
        <v>430</v>
      </c>
      <c r="G2773">
        <v>76</v>
      </c>
      <c r="H2773">
        <v>95.86</v>
      </c>
      <c r="I2773">
        <v>9922.31</v>
      </c>
      <c r="J2773">
        <v>8</v>
      </c>
      <c r="K2773">
        <v>17.670000000000002</v>
      </c>
      <c r="L2773">
        <v>1.26</v>
      </c>
      <c r="M2773">
        <v>103.51</v>
      </c>
      <c r="N2773">
        <v>9826.4500000000007</v>
      </c>
    </row>
    <row r="2774" spans="1:14" x14ac:dyDescent="0.2">
      <c r="A2774" s="1">
        <v>45705</v>
      </c>
      <c r="B2774" s="2" t="s">
        <v>14</v>
      </c>
      <c r="C2774" s="2" t="s">
        <v>21</v>
      </c>
      <c r="D2774" s="2" t="s">
        <v>19</v>
      </c>
      <c r="E2774">
        <v>16981</v>
      </c>
      <c r="F2774">
        <v>808</v>
      </c>
      <c r="G2774">
        <v>72</v>
      </c>
      <c r="H2774">
        <v>1766.24</v>
      </c>
      <c r="I2774">
        <v>11317.34</v>
      </c>
      <c r="J2774">
        <v>4.76</v>
      </c>
      <c r="K2774">
        <v>8.91</v>
      </c>
      <c r="L2774">
        <v>24.53</v>
      </c>
      <c r="M2774">
        <v>6.41</v>
      </c>
      <c r="N2774">
        <v>9551.1</v>
      </c>
    </row>
    <row r="2775" spans="1:14" x14ac:dyDescent="0.2">
      <c r="A2775" s="1">
        <v>45705</v>
      </c>
      <c r="B2775" s="2" t="s">
        <v>17</v>
      </c>
      <c r="C2775" s="2" t="s">
        <v>18</v>
      </c>
      <c r="D2775" s="2" t="s">
        <v>25</v>
      </c>
      <c r="E2775">
        <v>20970</v>
      </c>
      <c r="F2775">
        <v>477</v>
      </c>
      <c r="G2775">
        <v>39</v>
      </c>
      <c r="H2775">
        <v>799.49</v>
      </c>
      <c r="I2775">
        <v>3660.03</v>
      </c>
      <c r="J2775">
        <v>2.27</v>
      </c>
      <c r="K2775">
        <v>8.18</v>
      </c>
      <c r="L2775">
        <v>20.5</v>
      </c>
      <c r="M2775">
        <v>4.58</v>
      </c>
      <c r="N2775">
        <v>2860.54</v>
      </c>
    </row>
    <row r="2776" spans="1:14" x14ac:dyDescent="0.2">
      <c r="A2776" s="1">
        <v>45705</v>
      </c>
      <c r="B2776" s="2" t="s">
        <v>20</v>
      </c>
      <c r="C2776" s="2" t="s">
        <v>18</v>
      </c>
      <c r="D2776" s="2" t="s">
        <v>36</v>
      </c>
      <c r="E2776">
        <v>16161</v>
      </c>
      <c r="F2776">
        <v>667</v>
      </c>
      <c r="G2776">
        <v>27</v>
      </c>
      <c r="H2776">
        <v>658.63</v>
      </c>
      <c r="I2776">
        <v>2436.5</v>
      </c>
      <c r="J2776">
        <v>4.13</v>
      </c>
      <c r="K2776">
        <v>4.05</v>
      </c>
      <c r="L2776">
        <v>24.39</v>
      </c>
      <c r="M2776">
        <v>3.7</v>
      </c>
      <c r="N2776">
        <v>1777.87</v>
      </c>
    </row>
    <row r="2777" spans="1:14" x14ac:dyDescent="0.2">
      <c r="A2777" s="1">
        <v>45705</v>
      </c>
      <c r="B2777" s="2" t="s">
        <v>23</v>
      </c>
      <c r="C2777" s="2" t="s">
        <v>28</v>
      </c>
      <c r="D2777" s="2" t="s">
        <v>25</v>
      </c>
      <c r="E2777">
        <v>7135</v>
      </c>
      <c r="F2777">
        <v>157</v>
      </c>
      <c r="G2777">
        <v>16</v>
      </c>
      <c r="H2777">
        <v>1567.93</v>
      </c>
      <c r="I2777">
        <v>4583.3900000000003</v>
      </c>
      <c r="J2777">
        <v>2.2000000000000002</v>
      </c>
      <c r="K2777">
        <v>10.19</v>
      </c>
      <c r="L2777">
        <v>98</v>
      </c>
      <c r="M2777">
        <v>2.92</v>
      </c>
      <c r="N2777">
        <v>3015.46</v>
      </c>
    </row>
    <row r="2778" spans="1:14" x14ac:dyDescent="0.2">
      <c r="A2778" s="1">
        <v>45705</v>
      </c>
      <c r="B2778" s="2" t="s">
        <v>24</v>
      </c>
      <c r="C2778" s="2" t="s">
        <v>15</v>
      </c>
      <c r="D2778" s="2" t="s">
        <v>25</v>
      </c>
      <c r="E2778">
        <v>22252</v>
      </c>
      <c r="F2778">
        <v>3686</v>
      </c>
      <c r="G2778">
        <v>417</v>
      </c>
      <c r="H2778">
        <v>229.48</v>
      </c>
      <c r="I2778">
        <v>66701.25</v>
      </c>
      <c r="J2778">
        <v>16.559999999999999</v>
      </c>
      <c r="K2778">
        <v>11.31</v>
      </c>
      <c r="L2778">
        <v>0.55000000000000004</v>
      </c>
      <c r="M2778">
        <v>290.66000000000003</v>
      </c>
      <c r="N2778">
        <v>66471.77</v>
      </c>
    </row>
    <row r="2779" spans="1:14" x14ac:dyDescent="0.2">
      <c r="A2779" s="1">
        <v>45705</v>
      </c>
      <c r="B2779" s="2" t="s">
        <v>26</v>
      </c>
      <c r="C2779" s="2" t="s">
        <v>35</v>
      </c>
      <c r="D2779" s="2" t="s">
        <v>25</v>
      </c>
      <c r="E2779">
        <v>24976</v>
      </c>
      <c r="F2779">
        <v>1929</v>
      </c>
      <c r="G2779">
        <v>255</v>
      </c>
      <c r="H2779">
        <v>0</v>
      </c>
      <c r="I2779">
        <v>27173.88</v>
      </c>
      <c r="J2779">
        <v>7.72</v>
      </c>
      <c r="K2779">
        <v>13.22</v>
      </c>
      <c r="L2779">
        <v>0</v>
      </c>
      <c r="M2779">
        <v>0</v>
      </c>
      <c r="N2779">
        <v>27173.88</v>
      </c>
    </row>
    <row r="2780" spans="1:14" x14ac:dyDescent="0.2">
      <c r="A2780" s="1">
        <v>45705</v>
      </c>
      <c r="B2780" s="2" t="s">
        <v>27</v>
      </c>
      <c r="C2780" s="2" t="s">
        <v>18</v>
      </c>
      <c r="D2780" s="2" t="s">
        <v>22</v>
      </c>
      <c r="E2780">
        <v>44695</v>
      </c>
      <c r="F2780">
        <v>819</v>
      </c>
      <c r="G2780">
        <v>28</v>
      </c>
      <c r="H2780">
        <v>1038.69</v>
      </c>
      <c r="I2780">
        <v>2654.19</v>
      </c>
      <c r="J2780">
        <v>1.83</v>
      </c>
      <c r="K2780">
        <v>3.42</v>
      </c>
      <c r="L2780">
        <v>37.1</v>
      </c>
      <c r="M2780">
        <v>2.56</v>
      </c>
      <c r="N2780">
        <v>1615.5</v>
      </c>
    </row>
    <row r="2781" spans="1:14" x14ac:dyDescent="0.2">
      <c r="A2781" s="1">
        <v>45705</v>
      </c>
      <c r="B2781" s="2" t="s">
        <v>29</v>
      </c>
      <c r="C2781" s="2" t="s">
        <v>15</v>
      </c>
      <c r="D2781" s="2" t="s">
        <v>36</v>
      </c>
      <c r="E2781">
        <v>29382</v>
      </c>
      <c r="F2781">
        <v>775</v>
      </c>
      <c r="G2781">
        <v>52</v>
      </c>
      <c r="H2781">
        <v>1020.99</v>
      </c>
      <c r="I2781">
        <v>5721.53</v>
      </c>
      <c r="J2781">
        <v>2.64</v>
      </c>
      <c r="K2781">
        <v>6.71</v>
      </c>
      <c r="L2781">
        <v>19.63</v>
      </c>
      <c r="M2781">
        <v>5.6</v>
      </c>
      <c r="N2781">
        <v>4700.54</v>
      </c>
    </row>
    <row r="2782" spans="1:14" x14ac:dyDescent="0.2">
      <c r="A2782" s="1">
        <v>45705</v>
      </c>
      <c r="B2782" s="2" t="s">
        <v>30</v>
      </c>
      <c r="C2782" s="2" t="s">
        <v>28</v>
      </c>
      <c r="D2782" s="2" t="s">
        <v>16</v>
      </c>
      <c r="E2782">
        <v>12415</v>
      </c>
      <c r="F2782">
        <v>261</v>
      </c>
      <c r="G2782">
        <v>9</v>
      </c>
      <c r="H2782">
        <v>758.05</v>
      </c>
      <c r="I2782">
        <v>971.71</v>
      </c>
      <c r="J2782">
        <v>2.1</v>
      </c>
      <c r="K2782">
        <v>3.45</v>
      </c>
      <c r="L2782">
        <v>84.23</v>
      </c>
      <c r="M2782">
        <v>1.28</v>
      </c>
      <c r="N2782">
        <v>213.66</v>
      </c>
    </row>
    <row r="2783" spans="1:14" x14ac:dyDescent="0.2">
      <c r="A2783" s="1">
        <v>45705</v>
      </c>
      <c r="B2783" s="2" t="s">
        <v>31</v>
      </c>
      <c r="C2783" s="2" t="s">
        <v>21</v>
      </c>
      <c r="D2783" s="2" t="s">
        <v>25</v>
      </c>
      <c r="E2783">
        <v>21662</v>
      </c>
      <c r="F2783">
        <v>672</v>
      </c>
      <c r="G2783">
        <v>20</v>
      </c>
      <c r="H2783">
        <v>917.47</v>
      </c>
      <c r="I2783">
        <v>2088.59</v>
      </c>
      <c r="J2783">
        <v>3.1</v>
      </c>
      <c r="K2783">
        <v>2.98</v>
      </c>
      <c r="L2783">
        <v>45.87</v>
      </c>
      <c r="M2783">
        <v>2.2799999999999998</v>
      </c>
      <c r="N2783">
        <v>1171.1199999999999</v>
      </c>
    </row>
    <row r="2784" spans="1:14" x14ac:dyDescent="0.2">
      <c r="A2784" s="1">
        <v>45705</v>
      </c>
      <c r="B2784" s="2" t="s">
        <v>33</v>
      </c>
      <c r="C2784" s="2" t="s">
        <v>35</v>
      </c>
      <c r="D2784" s="2" t="s">
        <v>22</v>
      </c>
      <c r="E2784">
        <v>6661</v>
      </c>
      <c r="F2784">
        <v>406</v>
      </c>
      <c r="G2784">
        <v>40</v>
      </c>
      <c r="H2784">
        <v>777.05</v>
      </c>
      <c r="I2784">
        <v>5546.35</v>
      </c>
      <c r="J2784">
        <v>6.1</v>
      </c>
      <c r="K2784">
        <v>9.85</v>
      </c>
      <c r="L2784">
        <v>19.43</v>
      </c>
      <c r="M2784">
        <v>7.14</v>
      </c>
      <c r="N2784">
        <v>4769.3</v>
      </c>
    </row>
    <row r="2785" spans="1:14" x14ac:dyDescent="0.2">
      <c r="A2785" s="1">
        <v>45705</v>
      </c>
      <c r="B2785" s="2" t="s">
        <v>34</v>
      </c>
      <c r="C2785" s="2" t="s">
        <v>18</v>
      </c>
      <c r="D2785" s="2" t="s">
        <v>25</v>
      </c>
      <c r="E2785">
        <v>6909</v>
      </c>
      <c r="F2785">
        <v>512</v>
      </c>
      <c r="G2785">
        <v>75</v>
      </c>
      <c r="H2785">
        <v>102.23</v>
      </c>
      <c r="I2785">
        <v>12193.03</v>
      </c>
      <c r="J2785">
        <v>7.41</v>
      </c>
      <c r="K2785">
        <v>14.65</v>
      </c>
      <c r="L2785">
        <v>1.36</v>
      </c>
      <c r="M2785">
        <v>119.27</v>
      </c>
      <c r="N2785">
        <v>12090.8</v>
      </c>
    </row>
    <row r="2786" spans="1:14" x14ac:dyDescent="0.2">
      <c r="A2786" s="1">
        <v>45706</v>
      </c>
      <c r="B2786" s="2" t="s">
        <v>14</v>
      </c>
      <c r="C2786" s="2" t="s">
        <v>32</v>
      </c>
      <c r="D2786" s="2" t="s">
        <v>25</v>
      </c>
      <c r="E2786">
        <v>13243</v>
      </c>
      <c r="F2786">
        <v>480</v>
      </c>
      <c r="G2786">
        <v>46</v>
      </c>
      <c r="H2786">
        <v>1649.26</v>
      </c>
      <c r="I2786">
        <v>8616.43</v>
      </c>
      <c r="J2786">
        <v>3.62</v>
      </c>
      <c r="K2786">
        <v>9.58</v>
      </c>
      <c r="L2786">
        <v>35.85</v>
      </c>
      <c r="M2786">
        <v>5.22</v>
      </c>
      <c r="N2786">
        <v>6967.17</v>
      </c>
    </row>
    <row r="2787" spans="1:14" x14ac:dyDescent="0.2">
      <c r="A2787" s="1">
        <v>45706</v>
      </c>
      <c r="B2787" s="2" t="s">
        <v>17</v>
      </c>
      <c r="C2787" s="2" t="s">
        <v>15</v>
      </c>
      <c r="D2787" s="2" t="s">
        <v>22</v>
      </c>
      <c r="E2787">
        <v>20109</v>
      </c>
      <c r="F2787">
        <v>626</v>
      </c>
      <c r="G2787">
        <v>54</v>
      </c>
      <c r="H2787">
        <v>770.17</v>
      </c>
      <c r="I2787">
        <v>5441.45</v>
      </c>
      <c r="J2787">
        <v>3.11</v>
      </c>
      <c r="K2787">
        <v>8.6300000000000008</v>
      </c>
      <c r="L2787">
        <v>14.26</v>
      </c>
      <c r="M2787">
        <v>7.07</v>
      </c>
      <c r="N2787">
        <v>4671.28</v>
      </c>
    </row>
    <row r="2788" spans="1:14" x14ac:dyDescent="0.2">
      <c r="A2788" s="1">
        <v>45706</v>
      </c>
      <c r="B2788" s="2" t="s">
        <v>20</v>
      </c>
      <c r="C2788" s="2" t="s">
        <v>32</v>
      </c>
      <c r="D2788" s="2" t="s">
        <v>22</v>
      </c>
      <c r="E2788">
        <v>13639</v>
      </c>
      <c r="F2788">
        <v>516</v>
      </c>
      <c r="G2788">
        <v>27</v>
      </c>
      <c r="H2788">
        <v>792.45</v>
      </c>
      <c r="I2788">
        <v>3498.32</v>
      </c>
      <c r="J2788">
        <v>3.78</v>
      </c>
      <c r="K2788">
        <v>5.23</v>
      </c>
      <c r="L2788">
        <v>29.35</v>
      </c>
      <c r="M2788">
        <v>4.41</v>
      </c>
      <c r="N2788">
        <v>2705.87</v>
      </c>
    </row>
    <row r="2789" spans="1:14" x14ac:dyDescent="0.2">
      <c r="A2789" s="1">
        <v>45706</v>
      </c>
      <c r="B2789" s="2" t="s">
        <v>23</v>
      </c>
      <c r="C2789" s="2" t="s">
        <v>15</v>
      </c>
      <c r="D2789" s="2" t="s">
        <v>16</v>
      </c>
      <c r="E2789">
        <v>7070</v>
      </c>
      <c r="F2789">
        <v>181</v>
      </c>
      <c r="G2789">
        <v>20</v>
      </c>
      <c r="H2789">
        <v>1849.81</v>
      </c>
      <c r="I2789">
        <v>6354.55</v>
      </c>
      <c r="J2789">
        <v>2.56</v>
      </c>
      <c r="K2789">
        <v>11.05</v>
      </c>
      <c r="L2789">
        <v>92.49</v>
      </c>
      <c r="M2789">
        <v>3.44</v>
      </c>
      <c r="N2789">
        <v>4504.74</v>
      </c>
    </row>
    <row r="2790" spans="1:14" x14ac:dyDescent="0.2">
      <c r="A2790" s="1">
        <v>45706</v>
      </c>
      <c r="B2790" s="2" t="s">
        <v>24</v>
      </c>
      <c r="C2790" s="2" t="s">
        <v>35</v>
      </c>
      <c r="D2790" s="2" t="s">
        <v>22</v>
      </c>
      <c r="E2790">
        <v>29230</v>
      </c>
      <c r="F2790">
        <v>7221</v>
      </c>
      <c r="G2790">
        <v>795</v>
      </c>
      <c r="H2790">
        <v>341.27</v>
      </c>
      <c r="I2790">
        <v>83462.11</v>
      </c>
      <c r="J2790">
        <v>24.7</v>
      </c>
      <c r="K2790">
        <v>11.01</v>
      </c>
      <c r="L2790">
        <v>0.43</v>
      </c>
      <c r="M2790">
        <v>244.56</v>
      </c>
      <c r="N2790">
        <v>83120.84</v>
      </c>
    </row>
    <row r="2791" spans="1:14" x14ac:dyDescent="0.2">
      <c r="A2791" s="1">
        <v>45706</v>
      </c>
      <c r="B2791" s="2" t="s">
        <v>26</v>
      </c>
      <c r="C2791" s="2" t="s">
        <v>15</v>
      </c>
      <c r="D2791" s="2" t="s">
        <v>16</v>
      </c>
      <c r="E2791">
        <v>41115</v>
      </c>
      <c r="F2791">
        <v>1689</v>
      </c>
      <c r="G2791">
        <v>229</v>
      </c>
      <c r="H2791">
        <v>0</v>
      </c>
      <c r="I2791">
        <v>30523.09</v>
      </c>
      <c r="J2791">
        <v>4.1100000000000003</v>
      </c>
      <c r="K2791">
        <v>13.56</v>
      </c>
      <c r="L2791">
        <v>0</v>
      </c>
      <c r="M2791">
        <v>0</v>
      </c>
      <c r="N2791">
        <v>30523.09</v>
      </c>
    </row>
    <row r="2792" spans="1:14" x14ac:dyDescent="0.2">
      <c r="A2792" s="1">
        <v>45706</v>
      </c>
      <c r="B2792" s="2" t="s">
        <v>27</v>
      </c>
      <c r="C2792" s="2" t="s">
        <v>21</v>
      </c>
      <c r="D2792" s="2" t="s">
        <v>16</v>
      </c>
      <c r="E2792">
        <v>36403</v>
      </c>
      <c r="F2792">
        <v>720</v>
      </c>
      <c r="G2792">
        <v>20</v>
      </c>
      <c r="H2792">
        <v>1094.47</v>
      </c>
      <c r="I2792">
        <v>1905.25</v>
      </c>
      <c r="J2792">
        <v>1.98</v>
      </c>
      <c r="K2792">
        <v>2.78</v>
      </c>
      <c r="L2792">
        <v>54.72</v>
      </c>
      <c r="M2792">
        <v>1.74</v>
      </c>
      <c r="N2792">
        <v>810.78</v>
      </c>
    </row>
    <row r="2793" spans="1:14" x14ac:dyDescent="0.2">
      <c r="A2793" s="1">
        <v>45706</v>
      </c>
      <c r="B2793" s="2" t="s">
        <v>29</v>
      </c>
      <c r="C2793" s="2" t="s">
        <v>35</v>
      </c>
      <c r="D2793" s="2" t="s">
        <v>36</v>
      </c>
      <c r="E2793">
        <v>21898</v>
      </c>
      <c r="F2793">
        <v>398</v>
      </c>
      <c r="G2793">
        <v>31</v>
      </c>
      <c r="H2793">
        <v>1010.02</v>
      </c>
      <c r="I2793">
        <v>3217.31</v>
      </c>
      <c r="J2793">
        <v>1.82</v>
      </c>
      <c r="K2793">
        <v>7.79</v>
      </c>
      <c r="L2793">
        <v>32.58</v>
      </c>
      <c r="M2793">
        <v>3.19</v>
      </c>
      <c r="N2793">
        <v>2207.29</v>
      </c>
    </row>
    <row r="2794" spans="1:14" x14ac:dyDescent="0.2">
      <c r="A2794" s="1">
        <v>45706</v>
      </c>
      <c r="B2794" s="2" t="s">
        <v>30</v>
      </c>
      <c r="C2794" s="2" t="s">
        <v>35</v>
      </c>
      <c r="D2794" s="2" t="s">
        <v>36</v>
      </c>
      <c r="E2794">
        <v>11157</v>
      </c>
      <c r="F2794">
        <v>385</v>
      </c>
      <c r="G2794">
        <v>19</v>
      </c>
      <c r="H2794">
        <v>528.04</v>
      </c>
      <c r="I2794">
        <v>1575.98</v>
      </c>
      <c r="J2794">
        <v>3.45</v>
      </c>
      <c r="K2794">
        <v>4.9400000000000004</v>
      </c>
      <c r="L2794">
        <v>27.79</v>
      </c>
      <c r="M2794">
        <v>2.98</v>
      </c>
      <c r="N2794">
        <v>1047.94</v>
      </c>
    </row>
    <row r="2795" spans="1:14" x14ac:dyDescent="0.2">
      <c r="A2795" s="1">
        <v>45706</v>
      </c>
      <c r="B2795" s="2" t="s">
        <v>31</v>
      </c>
      <c r="C2795" s="2" t="s">
        <v>28</v>
      </c>
      <c r="D2795" s="2" t="s">
        <v>25</v>
      </c>
      <c r="E2795">
        <v>34302</v>
      </c>
      <c r="F2795">
        <v>1411</v>
      </c>
      <c r="G2795">
        <v>44</v>
      </c>
      <c r="H2795">
        <v>1031.9000000000001</v>
      </c>
      <c r="I2795">
        <v>3803.62</v>
      </c>
      <c r="J2795">
        <v>4.1100000000000003</v>
      </c>
      <c r="K2795">
        <v>3.12</v>
      </c>
      <c r="L2795">
        <v>23.45</v>
      </c>
      <c r="M2795">
        <v>3.69</v>
      </c>
      <c r="N2795">
        <v>2771.72</v>
      </c>
    </row>
    <row r="2796" spans="1:14" x14ac:dyDescent="0.2">
      <c r="A2796" s="1">
        <v>45706</v>
      </c>
      <c r="B2796" s="2" t="s">
        <v>33</v>
      </c>
      <c r="C2796" s="2" t="s">
        <v>21</v>
      </c>
      <c r="D2796" s="2" t="s">
        <v>25</v>
      </c>
      <c r="E2796">
        <v>6616</v>
      </c>
      <c r="F2796">
        <v>344</v>
      </c>
      <c r="G2796">
        <v>43</v>
      </c>
      <c r="H2796">
        <v>678.45</v>
      </c>
      <c r="I2796">
        <v>5303.04</v>
      </c>
      <c r="J2796">
        <v>5.2</v>
      </c>
      <c r="K2796">
        <v>12.5</v>
      </c>
      <c r="L2796">
        <v>15.78</v>
      </c>
      <c r="M2796">
        <v>7.82</v>
      </c>
      <c r="N2796">
        <v>4624.59</v>
      </c>
    </row>
    <row r="2797" spans="1:14" x14ac:dyDescent="0.2">
      <c r="A2797" s="1">
        <v>45706</v>
      </c>
      <c r="B2797" s="2" t="s">
        <v>34</v>
      </c>
      <c r="C2797" s="2" t="s">
        <v>18</v>
      </c>
      <c r="D2797" s="2" t="s">
        <v>16</v>
      </c>
      <c r="E2797">
        <v>6522</v>
      </c>
      <c r="F2797">
        <v>562</v>
      </c>
      <c r="G2797">
        <v>87</v>
      </c>
      <c r="H2797">
        <v>132.97</v>
      </c>
      <c r="I2797">
        <v>12134.24</v>
      </c>
      <c r="J2797">
        <v>8.6199999999999992</v>
      </c>
      <c r="K2797">
        <v>15.48</v>
      </c>
      <c r="L2797">
        <v>1.53</v>
      </c>
      <c r="M2797">
        <v>91.26</v>
      </c>
      <c r="N2797">
        <v>12001.27</v>
      </c>
    </row>
    <row r="2798" spans="1:14" x14ac:dyDescent="0.2">
      <c r="A2798" s="1">
        <v>45707</v>
      </c>
      <c r="B2798" s="2" t="s">
        <v>14</v>
      </c>
      <c r="C2798" s="2" t="s">
        <v>18</v>
      </c>
      <c r="D2798" s="2" t="s">
        <v>25</v>
      </c>
      <c r="E2798">
        <v>13206</v>
      </c>
      <c r="F2798">
        <v>646</v>
      </c>
      <c r="G2798">
        <v>60</v>
      </c>
      <c r="H2798">
        <v>1495.11</v>
      </c>
      <c r="I2798">
        <v>10105.49</v>
      </c>
      <c r="J2798">
        <v>4.8899999999999997</v>
      </c>
      <c r="K2798">
        <v>9.2899999999999991</v>
      </c>
      <c r="L2798">
        <v>24.92</v>
      </c>
      <c r="M2798">
        <v>6.76</v>
      </c>
      <c r="N2798">
        <v>8610.3799999999992</v>
      </c>
    </row>
    <row r="2799" spans="1:14" x14ac:dyDescent="0.2">
      <c r="A2799" s="1">
        <v>45707</v>
      </c>
      <c r="B2799" s="2" t="s">
        <v>17</v>
      </c>
      <c r="C2799" s="2" t="s">
        <v>35</v>
      </c>
      <c r="D2799" s="2" t="s">
        <v>25</v>
      </c>
      <c r="E2799">
        <v>21615</v>
      </c>
      <c r="F2799">
        <v>718</v>
      </c>
      <c r="G2799">
        <v>57</v>
      </c>
      <c r="H2799">
        <v>1014.37</v>
      </c>
      <c r="I2799">
        <v>5722.51</v>
      </c>
      <c r="J2799">
        <v>3.32</v>
      </c>
      <c r="K2799">
        <v>7.94</v>
      </c>
      <c r="L2799">
        <v>17.8</v>
      </c>
      <c r="M2799">
        <v>5.64</v>
      </c>
      <c r="N2799">
        <v>4708.1400000000003</v>
      </c>
    </row>
    <row r="2800" spans="1:14" x14ac:dyDescent="0.2">
      <c r="A2800" s="1">
        <v>45707</v>
      </c>
      <c r="B2800" s="2" t="s">
        <v>20</v>
      </c>
      <c r="C2800" s="2" t="s">
        <v>32</v>
      </c>
      <c r="D2800" s="2" t="s">
        <v>19</v>
      </c>
      <c r="E2800">
        <v>19196</v>
      </c>
      <c r="F2800">
        <v>524</v>
      </c>
      <c r="G2800">
        <v>21</v>
      </c>
      <c r="H2800">
        <v>632.41</v>
      </c>
      <c r="I2800">
        <v>1862.32</v>
      </c>
      <c r="J2800">
        <v>2.73</v>
      </c>
      <c r="K2800">
        <v>4.01</v>
      </c>
      <c r="L2800">
        <v>30.11</v>
      </c>
      <c r="M2800">
        <v>2.94</v>
      </c>
      <c r="N2800">
        <v>1229.9100000000001</v>
      </c>
    </row>
    <row r="2801" spans="1:14" x14ac:dyDescent="0.2">
      <c r="A2801" s="1">
        <v>45707</v>
      </c>
      <c r="B2801" s="2" t="s">
        <v>23</v>
      </c>
      <c r="C2801" s="2" t="s">
        <v>35</v>
      </c>
      <c r="D2801" s="2" t="s">
        <v>19</v>
      </c>
      <c r="E2801">
        <v>5248</v>
      </c>
      <c r="F2801">
        <v>86</v>
      </c>
      <c r="G2801">
        <v>9</v>
      </c>
      <c r="H2801">
        <v>1830.22</v>
      </c>
      <c r="I2801">
        <v>2581.58</v>
      </c>
      <c r="J2801">
        <v>1.64</v>
      </c>
      <c r="K2801">
        <v>10.47</v>
      </c>
      <c r="L2801">
        <v>203.36</v>
      </c>
      <c r="M2801">
        <v>1.41</v>
      </c>
      <c r="N2801">
        <v>751.36</v>
      </c>
    </row>
    <row r="2802" spans="1:14" x14ac:dyDescent="0.2">
      <c r="A2802" s="1">
        <v>45707</v>
      </c>
      <c r="B2802" s="2" t="s">
        <v>24</v>
      </c>
      <c r="C2802" s="2" t="s">
        <v>21</v>
      </c>
      <c r="D2802" s="2" t="s">
        <v>25</v>
      </c>
      <c r="E2802">
        <v>19399</v>
      </c>
      <c r="F2802">
        <v>4364</v>
      </c>
      <c r="G2802">
        <v>486</v>
      </c>
      <c r="H2802">
        <v>167.79</v>
      </c>
      <c r="I2802">
        <v>60815.06</v>
      </c>
      <c r="J2802">
        <v>22.5</v>
      </c>
      <c r="K2802">
        <v>11.14</v>
      </c>
      <c r="L2802">
        <v>0.35</v>
      </c>
      <c r="M2802">
        <v>362.45</v>
      </c>
      <c r="N2802">
        <v>60647.27</v>
      </c>
    </row>
    <row r="2803" spans="1:14" x14ac:dyDescent="0.2">
      <c r="A2803" s="1">
        <v>45707</v>
      </c>
      <c r="B2803" s="2" t="s">
        <v>26</v>
      </c>
      <c r="C2803" s="2" t="s">
        <v>21</v>
      </c>
      <c r="D2803" s="2" t="s">
        <v>36</v>
      </c>
      <c r="E2803">
        <v>31651</v>
      </c>
      <c r="F2803">
        <v>2128</v>
      </c>
      <c r="G2803">
        <v>228</v>
      </c>
      <c r="H2803">
        <v>0</v>
      </c>
      <c r="I2803">
        <v>29927.3</v>
      </c>
      <c r="J2803">
        <v>6.72</v>
      </c>
      <c r="K2803">
        <v>10.71</v>
      </c>
      <c r="L2803">
        <v>0</v>
      </c>
      <c r="M2803">
        <v>0</v>
      </c>
      <c r="N2803">
        <v>29927.3</v>
      </c>
    </row>
    <row r="2804" spans="1:14" x14ac:dyDescent="0.2">
      <c r="A2804" s="1">
        <v>45707</v>
      </c>
      <c r="B2804" s="2" t="s">
        <v>27</v>
      </c>
      <c r="C2804" s="2" t="s">
        <v>28</v>
      </c>
      <c r="D2804" s="2" t="s">
        <v>25</v>
      </c>
      <c r="E2804">
        <v>46228</v>
      </c>
      <c r="F2804">
        <v>870</v>
      </c>
      <c r="G2804">
        <v>24</v>
      </c>
      <c r="H2804">
        <v>1199.4000000000001</v>
      </c>
      <c r="I2804">
        <v>3008.58</v>
      </c>
      <c r="J2804">
        <v>1.88</v>
      </c>
      <c r="K2804">
        <v>2.76</v>
      </c>
      <c r="L2804">
        <v>49.98</v>
      </c>
      <c r="M2804">
        <v>2.5099999999999998</v>
      </c>
      <c r="N2804">
        <v>1809.18</v>
      </c>
    </row>
    <row r="2805" spans="1:14" x14ac:dyDescent="0.2">
      <c r="A2805" s="1">
        <v>45707</v>
      </c>
      <c r="B2805" s="2" t="s">
        <v>29</v>
      </c>
      <c r="C2805" s="2" t="s">
        <v>18</v>
      </c>
      <c r="D2805" s="2" t="s">
        <v>19</v>
      </c>
      <c r="E2805">
        <v>25102</v>
      </c>
      <c r="F2805">
        <v>682</v>
      </c>
      <c r="G2805">
        <v>51</v>
      </c>
      <c r="H2805">
        <v>1481.84</v>
      </c>
      <c r="I2805">
        <v>7029.44</v>
      </c>
      <c r="J2805">
        <v>2.72</v>
      </c>
      <c r="K2805">
        <v>7.48</v>
      </c>
      <c r="L2805">
        <v>29.06</v>
      </c>
      <c r="M2805">
        <v>4.74</v>
      </c>
      <c r="N2805">
        <v>5547.6</v>
      </c>
    </row>
    <row r="2806" spans="1:14" x14ac:dyDescent="0.2">
      <c r="A2806" s="1">
        <v>45707</v>
      </c>
      <c r="B2806" s="2" t="s">
        <v>30</v>
      </c>
      <c r="C2806" s="2" t="s">
        <v>21</v>
      </c>
      <c r="D2806" s="2" t="s">
        <v>36</v>
      </c>
      <c r="E2806">
        <v>11032</v>
      </c>
      <c r="F2806">
        <v>225</v>
      </c>
      <c r="G2806">
        <v>9</v>
      </c>
      <c r="H2806">
        <v>603.86</v>
      </c>
      <c r="I2806">
        <v>815.45</v>
      </c>
      <c r="J2806">
        <v>2.04</v>
      </c>
      <c r="K2806">
        <v>4</v>
      </c>
      <c r="L2806">
        <v>67.099999999999994</v>
      </c>
      <c r="M2806">
        <v>1.35</v>
      </c>
      <c r="N2806">
        <v>211.59</v>
      </c>
    </row>
    <row r="2807" spans="1:14" x14ac:dyDescent="0.2">
      <c r="A2807" s="1">
        <v>45707</v>
      </c>
      <c r="B2807" s="2" t="s">
        <v>31</v>
      </c>
      <c r="C2807" s="2" t="s">
        <v>32</v>
      </c>
      <c r="D2807" s="2" t="s">
        <v>16</v>
      </c>
      <c r="E2807">
        <v>22166</v>
      </c>
      <c r="F2807">
        <v>900</v>
      </c>
      <c r="G2807">
        <v>38</v>
      </c>
      <c r="H2807">
        <v>1112.96</v>
      </c>
      <c r="I2807">
        <v>3746.45</v>
      </c>
      <c r="J2807">
        <v>4.0599999999999996</v>
      </c>
      <c r="K2807">
        <v>4.22</v>
      </c>
      <c r="L2807">
        <v>29.29</v>
      </c>
      <c r="M2807">
        <v>3.37</v>
      </c>
      <c r="N2807">
        <v>2633.49</v>
      </c>
    </row>
    <row r="2808" spans="1:14" x14ac:dyDescent="0.2">
      <c r="A2808" s="1">
        <v>45707</v>
      </c>
      <c r="B2808" s="2" t="s">
        <v>33</v>
      </c>
      <c r="C2808" s="2" t="s">
        <v>32</v>
      </c>
      <c r="D2808" s="2" t="s">
        <v>16</v>
      </c>
      <c r="E2808">
        <v>8017</v>
      </c>
      <c r="F2808">
        <v>554</v>
      </c>
      <c r="G2808">
        <v>69</v>
      </c>
      <c r="H2808">
        <v>505.27</v>
      </c>
      <c r="I2808">
        <v>9993.5499999999993</v>
      </c>
      <c r="J2808">
        <v>6.91</v>
      </c>
      <c r="K2808">
        <v>12.45</v>
      </c>
      <c r="L2808">
        <v>7.32</v>
      </c>
      <c r="M2808">
        <v>19.78</v>
      </c>
      <c r="N2808">
        <v>9488.2800000000007</v>
      </c>
    </row>
    <row r="2809" spans="1:14" x14ac:dyDescent="0.2">
      <c r="A2809" s="1">
        <v>45707</v>
      </c>
      <c r="B2809" s="2" t="s">
        <v>34</v>
      </c>
      <c r="C2809" s="2" t="s">
        <v>32</v>
      </c>
      <c r="D2809" s="2" t="s">
        <v>19</v>
      </c>
      <c r="E2809">
        <v>4693</v>
      </c>
      <c r="F2809">
        <v>240</v>
      </c>
      <c r="G2809">
        <v>37</v>
      </c>
      <c r="H2809">
        <v>139.02000000000001</v>
      </c>
      <c r="I2809">
        <v>4645.8599999999997</v>
      </c>
      <c r="J2809">
        <v>5.1100000000000003</v>
      </c>
      <c r="K2809">
        <v>15.42</v>
      </c>
      <c r="L2809">
        <v>3.76</v>
      </c>
      <c r="M2809">
        <v>33.42</v>
      </c>
      <c r="N2809">
        <v>4506.84</v>
      </c>
    </row>
    <row r="2810" spans="1:14" x14ac:dyDescent="0.2">
      <c r="A2810" s="1">
        <v>45708</v>
      </c>
      <c r="B2810" s="2" t="s">
        <v>14</v>
      </c>
      <c r="C2810" s="2" t="s">
        <v>35</v>
      </c>
      <c r="D2810" s="2" t="s">
        <v>16</v>
      </c>
      <c r="E2810">
        <v>16428</v>
      </c>
      <c r="F2810">
        <v>734</v>
      </c>
      <c r="G2810">
        <v>72</v>
      </c>
      <c r="H2810">
        <v>1361.57</v>
      </c>
      <c r="I2810">
        <v>9831.25</v>
      </c>
      <c r="J2810">
        <v>4.47</v>
      </c>
      <c r="K2810">
        <v>9.81</v>
      </c>
      <c r="L2810">
        <v>18.91</v>
      </c>
      <c r="M2810">
        <v>7.22</v>
      </c>
      <c r="N2810">
        <v>8469.68</v>
      </c>
    </row>
    <row r="2811" spans="1:14" x14ac:dyDescent="0.2">
      <c r="A2811" s="1">
        <v>45708</v>
      </c>
      <c r="B2811" s="2" t="s">
        <v>17</v>
      </c>
      <c r="C2811" s="2" t="s">
        <v>32</v>
      </c>
      <c r="D2811" s="2" t="s">
        <v>19</v>
      </c>
      <c r="E2811">
        <v>23514</v>
      </c>
      <c r="F2811">
        <v>926</v>
      </c>
      <c r="G2811">
        <v>69</v>
      </c>
      <c r="H2811">
        <v>1169.24</v>
      </c>
      <c r="I2811">
        <v>8236.14</v>
      </c>
      <c r="J2811">
        <v>3.94</v>
      </c>
      <c r="K2811">
        <v>7.45</v>
      </c>
      <c r="L2811">
        <v>16.95</v>
      </c>
      <c r="M2811">
        <v>7.04</v>
      </c>
      <c r="N2811">
        <v>7066.9</v>
      </c>
    </row>
    <row r="2812" spans="1:14" x14ac:dyDescent="0.2">
      <c r="A2812" s="1">
        <v>45708</v>
      </c>
      <c r="B2812" s="2" t="s">
        <v>20</v>
      </c>
      <c r="C2812" s="2" t="s">
        <v>32</v>
      </c>
      <c r="D2812" s="2" t="s">
        <v>25</v>
      </c>
      <c r="E2812">
        <v>17294</v>
      </c>
      <c r="F2812">
        <v>686</v>
      </c>
      <c r="G2812">
        <v>32</v>
      </c>
      <c r="H2812">
        <v>611.38</v>
      </c>
      <c r="I2812">
        <v>3820.7</v>
      </c>
      <c r="J2812">
        <v>3.97</v>
      </c>
      <c r="K2812">
        <v>4.66</v>
      </c>
      <c r="L2812">
        <v>19.11</v>
      </c>
      <c r="M2812">
        <v>6.25</v>
      </c>
      <c r="N2812">
        <v>3209.32</v>
      </c>
    </row>
    <row r="2813" spans="1:14" x14ac:dyDescent="0.2">
      <c r="A2813" s="1">
        <v>45708</v>
      </c>
      <c r="B2813" s="2" t="s">
        <v>23</v>
      </c>
      <c r="C2813" s="2" t="s">
        <v>35</v>
      </c>
      <c r="D2813" s="2" t="s">
        <v>36</v>
      </c>
      <c r="E2813">
        <v>4678</v>
      </c>
      <c r="F2813">
        <v>117</v>
      </c>
      <c r="G2813">
        <v>15</v>
      </c>
      <c r="H2813">
        <v>2052.83</v>
      </c>
      <c r="I2813">
        <v>4994.88</v>
      </c>
      <c r="J2813">
        <v>2.5</v>
      </c>
      <c r="K2813">
        <v>12.82</v>
      </c>
      <c r="L2813">
        <v>136.86000000000001</v>
      </c>
      <c r="M2813">
        <v>2.4300000000000002</v>
      </c>
      <c r="N2813">
        <v>2942.05</v>
      </c>
    </row>
    <row r="2814" spans="1:14" x14ac:dyDescent="0.2">
      <c r="A2814" s="1">
        <v>45708</v>
      </c>
      <c r="B2814" s="2" t="s">
        <v>24</v>
      </c>
      <c r="C2814" s="2" t="s">
        <v>28</v>
      </c>
      <c r="D2814" s="2" t="s">
        <v>25</v>
      </c>
      <c r="E2814">
        <v>23457</v>
      </c>
      <c r="F2814">
        <v>5125</v>
      </c>
      <c r="G2814">
        <v>506</v>
      </c>
      <c r="H2814">
        <v>293.86</v>
      </c>
      <c r="I2814">
        <v>64582.49</v>
      </c>
      <c r="J2814">
        <v>21.85</v>
      </c>
      <c r="K2814">
        <v>9.8699999999999992</v>
      </c>
      <c r="L2814">
        <v>0.57999999999999996</v>
      </c>
      <c r="M2814">
        <v>219.77</v>
      </c>
      <c r="N2814">
        <v>64288.63</v>
      </c>
    </row>
    <row r="2815" spans="1:14" x14ac:dyDescent="0.2">
      <c r="A2815" s="1">
        <v>45708</v>
      </c>
      <c r="B2815" s="2" t="s">
        <v>26</v>
      </c>
      <c r="C2815" s="2" t="s">
        <v>28</v>
      </c>
      <c r="D2815" s="2" t="s">
        <v>22</v>
      </c>
      <c r="E2815">
        <v>26992</v>
      </c>
      <c r="F2815">
        <v>1340</v>
      </c>
      <c r="G2815">
        <v>207</v>
      </c>
      <c r="H2815">
        <v>0</v>
      </c>
      <c r="I2815">
        <v>30913.33</v>
      </c>
      <c r="J2815">
        <v>4.96</v>
      </c>
      <c r="K2815">
        <v>15.45</v>
      </c>
      <c r="L2815">
        <v>0</v>
      </c>
      <c r="M2815">
        <v>0</v>
      </c>
      <c r="N2815">
        <v>30913.33</v>
      </c>
    </row>
    <row r="2816" spans="1:14" x14ac:dyDescent="0.2">
      <c r="A2816" s="1">
        <v>45708</v>
      </c>
      <c r="B2816" s="2" t="s">
        <v>27</v>
      </c>
      <c r="C2816" s="2" t="s">
        <v>35</v>
      </c>
      <c r="D2816" s="2" t="s">
        <v>36</v>
      </c>
      <c r="E2816">
        <v>30324</v>
      </c>
      <c r="F2816">
        <v>494</v>
      </c>
      <c r="G2816">
        <v>10</v>
      </c>
      <c r="H2816">
        <v>1037.4100000000001</v>
      </c>
      <c r="I2816">
        <v>1049.3800000000001</v>
      </c>
      <c r="J2816">
        <v>1.63</v>
      </c>
      <c r="K2816">
        <v>2.02</v>
      </c>
      <c r="L2816">
        <v>103.74</v>
      </c>
      <c r="M2816">
        <v>1.01</v>
      </c>
      <c r="N2816">
        <v>11.97</v>
      </c>
    </row>
    <row r="2817" spans="1:14" x14ac:dyDescent="0.2">
      <c r="A2817" s="1">
        <v>45708</v>
      </c>
      <c r="B2817" s="2" t="s">
        <v>29</v>
      </c>
      <c r="C2817" s="2" t="s">
        <v>15</v>
      </c>
      <c r="D2817" s="2" t="s">
        <v>36</v>
      </c>
      <c r="E2817">
        <v>29962</v>
      </c>
      <c r="F2817">
        <v>805</v>
      </c>
      <c r="G2817">
        <v>33</v>
      </c>
      <c r="H2817">
        <v>1387.92</v>
      </c>
      <c r="I2817">
        <v>3489.55</v>
      </c>
      <c r="J2817">
        <v>2.69</v>
      </c>
      <c r="K2817">
        <v>4.0999999999999996</v>
      </c>
      <c r="L2817">
        <v>42.06</v>
      </c>
      <c r="M2817">
        <v>2.5099999999999998</v>
      </c>
      <c r="N2817">
        <v>2101.63</v>
      </c>
    </row>
    <row r="2818" spans="1:14" x14ac:dyDescent="0.2">
      <c r="A2818" s="1">
        <v>45708</v>
      </c>
      <c r="B2818" s="2" t="s">
        <v>30</v>
      </c>
      <c r="C2818" s="2" t="s">
        <v>32</v>
      </c>
      <c r="D2818" s="2" t="s">
        <v>16</v>
      </c>
      <c r="E2818">
        <v>14444</v>
      </c>
      <c r="F2818">
        <v>379</v>
      </c>
      <c r="G2818">
        <v>10</v>
      </c>
      <c r="H2818">
        <v>584.13</v>
      </c>
      <c r="I2818">
        <v>685.76</v>
      </c>
      <c r="J2818">
        <v>2.62</v>
      </c>
      <c r="K2818">
        <v>2.64</v>
      </c>
      <c r="L2818">
        <v>58.41</v>
      </c>
      <c r="M2818">
        <v>1.17</v>
      </c>
      <c r="N2818">
        <v>101.63</v>
      </c>
    </row>
    <row r="2819" spans="1:14" x14ac:dyDescent="0.2">
      <c r="A2819" s="1">
        <v>45708</v>
      </c>
      <c r="B2819" s="2" t="s">
        <v>31</v>
      </c>
      <c r="C2819" s="2" t="s">
        <v>28</v>
      </c>
      <c r="D2819" s="2" t="s">
        <v>16</v>
      </c>
      <c r="E2819">
        <v>35926</v>
      </c>
      <c r="F2819">
        <v>1124</v>
      </c>
      <c r="G2819">
        <v>64</v>
      </c>
      <c r="H2819">
        <v>898.49</v>
      </c>
      <c r="I2819">
        <v>6544.99</v>
      </c>
      <c r="J2819">
        <v>3.13</v>
      </c>
      <c r="K2819">
        <v>5.69</v>
      </c>
      <c r="L2819">
        <v>14.04</v>
      </c>
      <c r="M2819">
        <v>7.28</v>
      </c>
      <c r="N2819">
        <v>5646.5</v>
      </c>
    </row>
    <row r="2820" spans="1:14" x14ac:dyDescent="0.2">
      <c r="A2820" s="1">
        <v>45708</v>
      </c>
      <c r="B2820" s="2" t="s">
        <v>33</v>
      </c>
      <c r="C2820" s="2" t="s">
        <v>35</v>
      </c>
      <c r="D2820" s="2" t="s">
        <v>16</v>
      </c>
      <c r="E2820">
        <v>8506</v>
      </c>
      <c r="F2820">
        <v>478</v>
      </c>
      <c r="G2820">
        <v>57</v>
      </c>
      <c r="H2820">
        <v>521.72</v>
      </c>
      <c r="I2820">
        <v>6046.01</v>
      </c>
      <c r="J2820">
        <v>5.62</v>
      </c>
      <c r="K2820">
        <v>11.92</v>
      </c>
      <c r="L2820">
        <v>9.15</v>
      </c>
      <c r="M2820">
        <v>11.59</v>
      </c>
      <c r="N2820">
        <v>5524.29</v>
      </c>
    </row>
    <row r="2821" spans="1:14" x14ac:dyDescent="0.2">
      <c r="A2821" s="1">
        <v>45708</v>
      </c>
      <c r="B2821" s="2" t="s">
        <v>34</v>
      </c>
      <c r="C2821" s="2" t="s">
        <v>28</v>
      </c>
      <c r="D2821" s="2" t="s">
        <v>22</v>
      </c>
      <c r="E2821">
        <v>3806</v>
      </c>
      <c r="F2821">
        <v>247</v>
      </c>
      <c r="G2821">
        <v>40</v>
      </c>
      <c r="H2821">
        <v>157.44999999999999</v>
      </c>
      <c r="I2821">
        <v>6071.03</v>
      </c>
      <c r="J2821">
        <v>6.49</v>
      </c>
      <c r="K2821">
        <v>16.190000000000001</v>
      </c>
      <c r="L2821">
        <v>3.94</v>
      </c>
      <c r="M2821">
        <v>38.56</v>
      </c>
      <c r="N2821">
        <v>5913.58</v>
      </c>
    </row>
    <row r="2822" spans="1:14" x14ac:dyDescent="0.2">
      <c r="A2822" s="1">
        <v>45709</v>
      </c>
      <c r="B2822" s="2" t="s">
        <v>14</v>
      </c>
      <c r="C2822" s="2" t="s">
        <v>15</v>
      </c>
      <c r="D2822" s="2" t="s">
        <v>22</v>
      </c>
      <c r="E2822">
        <v>16095</v>
      </c>
      <c r="F2822">
        <v>687</v>
      </c>
      <c r="G2822">
        <v>66</v>
      </c>
      <c r="H2822">
        <v>1574.04</v>
      </c>
      <c r="I2822">
        <v>7808.96</v>
      </c>
      <c r="J2822">
        <v>4.2699999999999996</v>
      </c>
      <c r="K2822">
        <v>9.61</v>
      </c>
      <c r="L2822">
        <v>23.85</v>
      </c>
      <c r="M2822">
        <v>4.96</v>
      </c>
      <c r="N2822">
        <v>6234.92</v>
      </c>
    </row>
    <row r="2823" spans="1:14" x14ac:dyDescent="0.2">
      <c r="A2823" s="1">
        <v>45709</v>
      </c>
      <c r="B2823" s="2" t="s">
        <v>17</v>
      </c>
      <c r="C2823" s="2" t="s">
        <v>35</v>
      </c>
      <c r="D2823" s="2" t="s">
        <v>36</v>
      </c>
      <c r="E2823">
        <v>15429</v>
      </c>
      <c r="F2823">
        <v>400</v>
      </c>
      <c r="G2823">
        <v>20</v>
      </c>
      <c r="H2823">
        <v>792.77</v>
      </c>
      <c r="I2823">
        <v>2470.88</v>
      </c>
      <c r="J2823">
        <v>2.59</v>
      </c>
      <c r="K2823">
        <v>5</v>
      </c>
      <c r="L2823">
        <v>39.64</v>
      </c>
      <c r="M2823">
        <v>3.12</v>
      </c>
      <c r="N2823">
        <v>1678.11</v>
      </c>
    </row>
    <row r="2824" spans="1:14" x14ac:dyDescent="0.2">
      <c r="A2824" s="1">
        <v>45709</v>
      </c>
      <c r="B2824" s="2" t="s">
        <v>20</v>
      </c>
      <c r="C2824" s="2" t="s">
        <v>35</v>
      </c>
      <c r="D2824" s="2" t="s">
        <v>25</v>
      </c>
      <c r="E2824">
        <v>18313</v>
      </c>
      <c r="F2824">
        <v>675</v>
      </c>
      <c r="G2824">
        <v>36</v>
      </c>
      <c r="H2824">
        <v>994.47</v>
      </c>
      <c r="I2824">
        <v>4105.83</v>
      </c>
      <c r="J2824">
        <v>3.69</v>
      </c>
      <c r="K2824">
        <v>5.33</v>
      </c>
      <c r="L2824">
        <v>27.62</v>
      </c>
      <c r="M2824">
        <v>4.13</v>
      </c>
      <c r="N2824">
        <v>3111.36</v>
      </c>
    </row>
    <row r="2825" spans="1:14" x14ac:dyDescent="0.2">
      <c r="A2825" s="1">
        <v>45709</v>
      </c>
      <c r="B2825" s="2" t="s">
        <v>23</v>
      </c>
      <c r="C2825" s="2" t="s">
        <v>32</v>
      </c>
      <c r="D2825" s="2" t="s">
        <v>16</v>
      </c>
      <c r="E2825">
        <v>5596</v>
      </c>
      <c r="F2825">
        <v>92</v>
      </c>
      <c r="G2825">
        <v>12</v>
      </c>
      <c r="H2825">
        <v>1897.93</v>
      </c>
      <c r="I2825">
        <v>2821.74</v>
      </c>
      <c r="J2825">
        <v>1.64</v>
      </c>
      <c r="K2825">
        <v>13.04</v>
      </c>
      <c r="L2825">
        <v>158.16</v>
      </c>
      <c r="M2825">
        <v>1.49</v>
      </c>
      <c r="N2825">
        <v>923.81</v>
      </c>
    </row>
    <row r="2826" spans="1:14" x14ac:dyDescent="0.2">
      <c r="A2826" s="1">
        <v>45709</v>
      </c>
      <c r="B2826" s="2" t="s">
        <v>24</v>
      </c>
      <c r="C2826" s="2" t="s">
        <v>15</v>
      </c>
      <c r="D2826" s="2" t="s">
        <v>19</v>
      </c>
      <c r="E2826">
        <v>22107</v>
      </c>
      <c r="F2826">
        <v>4870</v>
      </c>
      <c r="G2826">
        <v>502</v>
      </c>
      <c r="H2826">
        <v>285.66000000000003</v>
      </c>
      <c r="I2826">
        <v>64494.37</v>
      </c>
      <c r="J2826">
        <v>22.03</v>
      </c>
      <c r="K2826">
        <v>10.31</v>
      </c>
      <c r="L2826">
        <v>0.56999999999999995</v>
      </c>
      <c r="M2826">
        <v>225.77</v>
      </c>
      <c r="N2826">
        <v>64208.71</v>
      </c>
    </row>
    <row r="2827" spans="1:14" x14ac:dyDescent="0.2">
      <c r="A2827" s="1">
        <v>45709</v>
      </c>
      <c r="B2827" s="2" t="s">
        <v>26</v>
      </c>
      <c r="C2827" s="2" t="s">
        <v>21</v>
      </c>
      <c r="D2827" s="2" t="s">
        <v>19</v>
      </c>
      <c r="E2827">
        <v>34219</v>
      </c>
      <c r="F2827">
        <v>2445</v>
      </c>
      <c r="G2827">
        <v>268</v>
      </c>
      <c r="H2827">
        <v>0</v>
      </c>
      <c r="I2827">
        <v>35037.199999999997</v>
      </c>
      <c r="J2827">
        <v>7.15</v>
      </c>
      <c r="K2827">
        <v>10.96</v>
      </c>
      <c r="L2827">
        <v>0</v>
      </c>
      <c r="M2827">
        <v>0</v>
      </c>
      <c r="N2827">
        <v>35037.199999999997</v>
      </c>
    </row>
    <row r="2828" spans="1:14" x14ac:dyDescent="0.2">
      <c r="A2828" s="1">
        <v>45709</v>
      </c>
      <c r="B2828" s="2" t="s">
        <v>27</v>
      </c>
      <c r="C2828" s="2" t="s">
        <v>18</v>
      </c>
      <c r="D2828" s="2" t="s">
        <v>36</v>
      </c>
      <c r="E2828">
        <v>46236</v>
      </c>
      <c r="F2828">
        <v>464</v>
      </c>
      <c r="G2828">
        <v>16</v>
      </c>
      <c r="H2828">
        <v>955.29</v>
      </c>
      <c r="I2828">
        <v>1942.33</v>
      </c>
      <c r="J2828">
        <v>1</v>
      </c>
      <c r="K2828">
        <v>3.45</v>
      </c>
      <c r="L2828">
        <v>59.71</v>
      </c>
      <c r="M2828">
        <v>2.0299999999999998</v>
      </c>
      <c r="N2828">
        <v>987.04</v>
      </c>
    </row>
    <row r="2829" spans="1:14" x14ac:dyDescent="0.2">
      <c r="A2829" s="1">
        <v>45709</v>
      </c>
      <c r="B2829" s="2" t="s">
        <v>29</v>
      </c>
      <c r="C2829" s="2" t="s">
        <v>15</v>
      </c>
      <c r="D2829" s="2" t="s">
        <v>19</v>
      </c>
      <c r="E2829">
        <v>18339</v>
      </c>
      <c r="F2829">
        <v>362</v>
      </c>
      <c r="G2829">
        <v>16</v>
      </c>
      <c r="H2829">
        <v>1505.6</v>
      </c>
      <c r="I2829">
        <v>2335.9</v>
      </c>
      <c r="J2829">
        <v>1.97</v>
      </c>
      <c r="K2829">
        <v>4.42</v>
      </c>
      <c r="L2829">
        <v>94.1</v>
      </c>
      <c r="M2829">
        <v>1.55</v>
      </c>
      <c r="N2829">
        <v>830.3</v>
      </c>
    </row>
    <row r="2830" spans="1:14" x14ac:dyDescent="0.2">
      <c r="A2830" s="1">
        <v>45709</v>
      </c>
      <c r="B2830" s="2" t="s">
        <v>30</v>
      </c>
      <c r="C2830" s="2" t="s">
        <v>18</v>
      </c>
      <c r="D2830" s="2" t="s">
        <v>25</v>
      </c>
      <c r="E2830">
        <v>12814</v>
      </c>
      <c r="F2830">
        <v>410</v>
      </c>
      <c r="G2830">
        <v>12</v>
      </c>
      <c r="H2830">
        <v>731.58</v>
      </c>
      <c r="I2830">
        <v>1007.29</v>
      </c>
      <c r="J2830">
        <v>3.2</v>
      </c>
      <c r="K2830">
        <v>2.93</v>
      </c>
      <c r="L2830">
        <v>60.96</v>
      </c>
      <c r="M2830">
        <v>1.38</v>
      </c>
      <c r="N2830">
        <v>275.70999999999998</v>
      </c>
    </row>
    <row r="2831" spans="1:14" x14ac:dyDescent="0.2">
      <c r="A2831" s="1">
        <v>45709</v>
      </c>
      <c r="B2831" s="2" t="s">
        <v>31</v>
      </c>
      <c r="C2831" s="2" t="s">
        <v>21</v>
      </c>
      <c r="D2831" s="2" t="s">
        <v>36</v>
      </c>
      <c r="E2831">
        <v>31066</v>
      </c>
      <c r="F2831">
        <v>1054</v>
      </c>
      <c r="G2831">
        <v>69</v>
      </c>
      <c r="H2831">
        <v>807.04</v>
      </c>
      <c r="I2831">
        <v>5653.87</v>
      </c>
      <c r="J2831">
        <v>3.39</v>
      </c>
      <c r="K2831">
        <v>6.55</v>
      </c>
      <c r="L2831">
        <v>11.7</v>
      </c>
      <c r="M2831">
        <v>7.01</v>
      </c>
      <c r="N2831">
        <v>4846.83</v>
      </c>
    </row>
    <row r="2832" spans="1:14" x14ac:dyDescent="0.2">
      <c r="A2832" s="1">
        <v>45709</v>
      </c>
      <c r="B2832" s="2" t="s">
        <v>33</v>
      </c>
      <c r="C2832" s="2" t="s">
        <v>35</v>
      </c>
      <c r="D2832" s="2" t="s">
        <v>19</v>
      </c>
      <c r="E2832">
        <v>6228</v>
      </c>
      <c r="F2832">
        <v>283</v>
      </c>
      <c r="G2832">
        <v>22</v>
      </c>
      <c r="H2832">
        <v>711.78</v>
      </c>
      <c r="I2832">
        <v>2739.62</v>
      </c>
      <c r="J2832">
        <v>4.54</v>
      </c>
      <c r="K2832">
        <v>7.77</v>
      </c>
      <c r="L2832">
        <v>32.35</v>
      </c>
      <c r="M2832">
        <v>3.85</v>
      </c>
      <c r="N2832">
        <v>2027.84</v>
      </c>
    </row>
    <row r="2833" spans="1:14" x14ac:dyDescent="0.2">
      <c r="A2833" s="1">
        <v>45709</v>
      </c>
      <c r="B2833" s="2" t="s">
        <v>34</v>
      </c>
      <c r="C2833" s="2" t="s">
        <v>21</v>
      </c>
      <c r="D2833" s="2" t="s">
        <v>25</v>
      </c>
      <c r="E2833">
        <v>5998</v>
      </c>
      <c r="F2833">
        <v>415</v>
      </c>
      <c r="G2833">
        <v>52</v>
      </c>
      <c r="H2833">
        <v>120.08</v>
      </c>
      <c r="I2833">
        <v>6974.77</v>
      </c>
      <c r="J2833">
        <v>6.92</v>
      </c>
      <c r="K2833">
        <v>12.53</v>
      </c>
      <c r="L2833">
        <v>2.31</v>
      </c>
      <c r="M2833">
        <v>58.08</v>
      </c>
      <c r="N2833">
        <v>6854.69</v>
      </c>
    </row>
    <row r="2834" spans="1:14" x14ac:dyDescent="0.2">
      <c r="A2834" s="1">
        <v>45710</v>
      </c>
      <c r="B2834" s="2" t="s">
        <v>14</v>
      </c>
      <c r="C2834" s="2" t="s">
        <v>35</v>
      </c>
      <c r="D2834" s="2" t="s">
        <v>22</v>
      </c>
      <c r="E2834">
        <v>9697</v>
      </c>
      <c r="F2834">
        <v>327</v>
      </c>
      <c r="G2834">
        <v>26</v>
      </c>
      <c r="H2834">
        <v>1189.82</v>
      </c>
      <c r="I2834">
        <v>3632.69</v>
      </c>
      <c r="J2834">
        <v>3.37</v>
      </c>
      <c r="K2834">
        <v>7.95</v>
      </c>
      <c r="L2834">
        <v>45.76</v>
      </c>
      <c r="M2834">
        <v>3.05</v>
      </c>
      <c r="N2834">
        <v>2442.87</v>
      </c>
    </row>
    <row r="2835" spans="1:14" x14ac:dyDescent="0.2">
      <c r="A2835" s="1">
        <v>45710</v>
      </c>
      <c r="B2835" s="2" t="s">
        <v>17</v>
      </c>
      <c r="C2835" s="2" t="s">
        <v>15</v>
      </c>
      <c r="D2835" s="2" t="s">
        <v>22</v>
      </c>
      <c r="E2835">
        <v>12486</v>
      </c>
      <c r="F2835">
        <v>430</v>
      </c>
      <c r="G2835">
        <v>34</v>
      </c>
      <c r="H2835">
        <v>767.44</v>
      </c>
      <c r="I2835">
        <v>3971.81</v>
      </c>
      <c r="J2835">
        <v>3.44</v>
      </c>
      <c r="K2835">
        <v>7.91</v>
      </c>
      <c r="L2835">
        <v>22.57</v>
      </c>
      <c r="M2835">
        <v>5.18</v>
      </c>
      <c r="N2835">
        <v>3204.37</v>
      </c>
    </row>
    <row r="2836" spans="1:14" x14ac:dyDescent="0.2">
      <c r="A2836" s="1">
        <v>45710</v>
      </c>
      <c r="B2836" s="2" t="s">
        <v>20</v>
      </c>
      <c r="C2836" s="2" t="s">
        <v>28</v>
      </c>
      <c r="D2836" s="2" t="s">
        <v>22</v>
      </c>
      <c r="E2836">
        <v>13554</v>
      </c>
      <c r="F2836">
        <v>599</v>
      </c>
      <c r="G2836">
        <v>32</v>
      </c>
      <c r="H2836">
        <v>733.82</v>
      </c>
      <c r="I2836">
        <v>3265.5</v>
      </c>
      <c r="J2836">
        <v>4.42</v>
      </c>
      <c r="K2836">
        <v>5.34</v>
      </c>
      <c r="L2836">
        <v>22.93</v>
      </c>
      <c r="M2836">
        <v>4.45</v>
      </c>
      <c r="N2836">
        <v>2531.6799999999998</v>
      </c>
    </row>
    <row r="2837" spans="1:14" x14ac:dyDescent="0.2">
      <c r="A2837" s="1">
        <v>45710</v>
      </c>
      <c r="B2837" s="2" t="s">
        <v>23</v>
      </c>
      <c r="C2837" s="2" t="s">
        <v>21</v>
      </c>
      <c r="D2837" s="2" t="s">
        <v>22</v>
      </c>
      <c r="E2837">
        <v>3772</v>
      </c>
      <c r="F2837">
        <v>83</v>
      </c>
      <c r="G2837">
        <v>8</v>
      </c>
      <c r="H2837">
        <v>1276.72</v>
      </c>
      <c r="I2837">
        <v>2568.81</v>
      </c>
      <c r="J2837">
        <v>2.2000000000000002</v>
      </c>
      <c r="K2837">
        <v>9.64</v>
      </c>
      <c r="L2837">
        <v>159.59</v>
      </c>
      <c r="M2837">
        <v>2.0099999999999998</v>
      </c>
      <c r="N2837">
        <v>1292.0899999999999</v>
      </c>
    </row>
    <row r="2838" spans="1:14" x14ac:dyDescent="0.2">
      <c r="A2838" s="1">
        <v>45710</v>
      </c>
      <c r="B2838" s="2" t="s">
        <v>24</v>
      </c>
      <c r="C2838" s="2" t="s">
        <v>35</v>
      </c>
      <c r="D2838" s="2" t="s">
        <v>22</v>
      </c>
      <c r="E2838">
        <v>16833</v>
      </c>
      <c r="F2838">
        <v>3020</v>
      </c>
      <c r="G2838">
        <v>419</v>
      </c>
      <c r="H2838">
        <v>187.16</v>
      </c>
      <c r="I2838">
        <v>59341.5</v>
      </c>
      <c r="J2838">
        <v>17.940000000000001</v>
      </c>
      <c r="K2838">
        <v>13.87</v>
      </c>
      <c r="L2838">
        <v>0.45</v>
      </c>
      <c r="M2838">
        <v>317.06</v>
      </c>
      <c r="N2838">
        <v>59154.34</v>
      </c>
    </row>
    <row r="2839" spans="1:14" x14ac:dyDescent="0.2">
      <c r="A2839" s="1">
        <v>45710</v>
      </c>
      <c r="B2839" s="2" t="s">
        <v>26</v>
      </c>
      <c r="C2839" s="2" t="s">
        <v>21</v>
      </c>
      <c r="D2839" s="2" t="s">
        <v>22</v>
      </c>
      <c r="E2839">
        <v>17328</v>
      </c>
      <c r="F2839">
        <v>965</v>
      </c>
      <c r="G2839">
        <v>108</v>
      </c>
      <c r="H2839">
        <v>0</v>
      </c>
      <c r="I2839">
        <v>13878.86</v>
      </c>
      <c r="J2839">
        <v>5.57</v>
      </c>
      <c r="K2839">
        <v>11.19</v>
      </c>
      <c r="L2839">
        <v>0</v>
      </c>
      <c r="M2839">
        <v>0</v>
      </c>
      <c r="N2839">
        <v>13878.86</v>
      </c>
    </row>
    <row r="2840" spans="1:14" x14ac:dyDescent="0.2">
      <c r="A2840" s="1">
        <v>45710</v>
      </c>
      <c r="B2840" s="2" t="s">
        <v>27</v>
      </c>
      <c r="C2840" s="2" t="s">
        <v>21</v>
      </c>
      <c r="D2840" s="2" t="s">
        <v>25</v>
      </c>
      <c r="E2840">
        <v>32078</v>
      </c>
      <c r="F2840">
        <v>359</v>
      </c>
      <c r="G2840">
        <v>16</v>
      </c>
      <c r="H2840">
        <v>947.54</v>
      </c>
      <c r="I2840">
        <v>2147.34</v>
      </c>
      <c r="J2840">
        <v>1.1200000000000001</v>
      </c>
      <c r="K2840">
        <v>4.46</v>
      </c>
      <c r="L2840">
        <v>59.22</v>
      </c>
      <c r="M2840">
        <v>2.27</v>
      </c>
      <c r="N2840">
        <v>1199.8</v>
      </c>
    </row>
    <row r="2841" spans="1:14" x14ac:dyDescent="0.2">
      <c r="A2841" s="1">
        <v>45710</v>
      </c>
      <c r="B2841" s="2" t="s">
        <v>29</v>
      </c>
      <c r="C2841" s="2" t="s">
        <v>35</v>
      </c>
      <c r="D2841" s="2" t="s">
        <v>22</v>
      </c>
      <c r="E2841">
        <v>19026</v>
      </c>
      <c r="F2841">
        <v>322</v>
      </c>
      <c r="G2841">
        <v>23</v>
      </c>
      <c r="H2841">
        <v>849.2</v>
      </c>
      <c r="I2841">
        <v>2478.96</v>
      </c>
      <c r="J2841">
        <v>1.69</v>
      </c>
      <c r="K2841">
        <v>7.14</v>
      </c>
      <c r="L2841">
        <v>36.92</v>
      </c>
      <c r="M2841">
        <v>2.92</v>
      </c>
      <c r="N2841">
        <v>1629.76</v>
      </c>
    </row>
    <row r="2842" spans="1:14" x14ac:dyDescent="0.2">
      <c r="A2842" s="1">
        <v>45710</v>
      </c>
      <c r="B2842" s="2" t="s">
        <v>30</v>
      </c>
      <c r="C2842" s="2" t="s">
        <v>18</v>
      </c>
      <c r="D2842" s="2" t="s">
        <v>16</v>
      </c>
      <c r="E2842">
        <v>11061</v>
      </c>
      <c r="F2842">
        <v>344</v>
      </c>
      <c r="G2842">
        <v>18</v>
      </c>
      <c r="H2842">
        <v>513.30999999999995</v>
      </c>
      <c r="I2842">
        <v>1536.52</v>
      </c>
      <c r="J2842">
        <v>3.11</v>
      </c>
      <c r="K2842">
        <v>5.23</v>
      </c>
      <c r="L2842">
        <v>28.52</v>
      </c>
      <c r="M2842">
        <v>2.99</v>
      </c>
      <c r="N2842">
        <v>1023.21</v>
      </c>
    </row>
    <row r="2843" spans="1:14" x14ac:dyDescent="0.2">
      <c r="A2843" s="1">
        <v>45710</v>
      </c>
      <c r="B2843" s="2" t="s">
        <v>31</v>
      </c>
      <c r="C2843" s="2" t="s">
        <v>18</v>
      </c>
      <c r="D2843" s="2" t="s">
        <v>36</v>
      </c>
      <c r="E2843">
        <v>23427</v>
      </c>
      <c r="F2843">
        <v>928</v>
      </c>
      <c r="G2843">
        <v>38</v>
      </c>
      <c r="H2843">
        <v>652.01</v>
      </c>
      <c r="I2843">
        <v>4004.82</v>
      </c>
      <c r="J2843">
        <v>3.96</v>
      </c>
      <c r="K2843">
        <v>4.09</v>
      </c>
      <c r="L2843">
        <v>17.16</v>
      </c>
      <c r="M2843">
        <v>6.14</v>
      </c>
      <c r="N2843">
        <v>3352.81</v>
      </c>
    </row>
    <row r="2844" spans="1:14" x14ac:dyDescent="0.2">
      <c r="A2844" s="1">
        <v>45710</v>
      </c>
      <c r="B2844" s="2" t="s">
        <v>33</v>
      </c>
      <c r="C2844" s="2" t="s">
        <v>32</v>
      </c>
      <c r="D2844" s="2" t="s">
        <v>16</v>
      </c>
      <c r="E2844">
        <v>7803</v>
      </c>
      <c r="F2844">
        <v>403</v>
      </c>
      <c r="G2844">
        <v>44</v>
      </c>
      <c r="H2844">
        <v>287.99</v>
      </c>
      <c r="I2844">
        <v>5812.86</v>
      </c>
      <c r="J2844">
        <v>5.16</v>
      </c>
      <c r="K2844">
        <v>10.92</v>
      </c>
      <c r="L2844">
        <v>6.55</v>
      </c>
      <c r="M2844">
        <v>20.18</v>
      </c>
      <c r="N2844">
        <v>5524.87</v>
      </c>
    </row>
    <row r="2845" spans="1:14" x14ac:dyDescent="0.2">
      <c r="A2845" s="1">
        <v>45710</v>
      </c>
      <c r="B2845" s="2" t="s">
        <v>34</v>
      </c>
      <c r="C2845" s="2" t="s">
        <v>32</v>
      </c>
      <c r="D2845" s="2" t="s">
        <v>16</v>
      </c>
      <c r="E2845">
        <v>5539</v>
      </c>
      <c r="F2845">
        <v>482</v>
      </c>
      <c r="G2845">
        <v>86</v>
      </c>
      <c r="H2845">
        <v>63.12</v>
      </c>
      <c r="I2845">
        <v>14649.84</v>
      </c>
      <c r="J2845">
        <v>8.6999999999999993</v>
      </c>
      <c r="K2845">
        <v>17.84</v>
      </c>
      <c r="L2845">
        <v>0.73</v>
      </c>
      <c r="M2845">
        <v>232.1</v>
      </c>
      <c r="N2845">
        <v>14586.72</v>
      </c>
    </row>
    <row r="2846" spans="1:14" x14ac:dyDescent="0.2">
      <c r="A2846" s="1">
        <v>45711</v>
      </c>
      <c r="B2846" s="2" t="s">
        <v>14</v>
      </c>
      <c r="C2846" s="2" t="s">
        <v>28</v>
      </c>
      <c r="D2846" s="2" t="s">
        <v>19</v>
      </c>
      <c r="E2846">
        <v>9863</v>
      </c>
      <c r="F2846">
        <v>439</v>
      </c>
      <c r="G2846">
        <v>40</v>
      </c>
      <c r="H2846">
        <v>760.1</v>
      </c>
      <c r="I2846">
        <v>7048.74</v>
      </c>
      <c r="J2846">
        <v>4.45</v>
      </c>
      <c r="K2846">
        <v>9.11</v>
      </c>
      <c r="L2846">
        <v>19</v>
      </c>
      <c r="M2846">
        <v>9.27</v>
      </c>
      <c r="N2846">
        <v>6288.64</v>
      </c>
    </row>
    <row r="2847" spans="1:14" x14ac:dyDescent="0.2">
      <c r="A2847" s="1">
        <v>45711</v>
      </c>
      <c r="B2847" s="2" t="s">
        <v>17</v>
      </c>
      <c r="C2847" s="2" t="s">
        <v>32</v>
      </c>
      <c r="D2847" s="2" t="s">
        <v>19</v>
      </c>
      <c r="E2847">
        <v>16102</v>
      </c>
      <c r="F2847">
        <v>519</v>
      </c>
      <c r="G2847">
        <v>33</v>
      </c>
      <c r="H2847">
        <v>752.09</v>
      </c>
      <c r="I2847">
        <v>4218.46</v>
      </c>
      <c r="J2847">
        <v>3.22</v>
      </c>
      <c r="K2847">
        <v>6.36</v>
      </c>
      <c r="L2847">
        <v>22.79</v>
      </c>
      <c r="M2847">
        <v>5.61</v>
      </c>
      <c r="N2847">
        <v>3466.37</v>
      </c>
    </row>
    <row r="2848" spans="1:14" x14ac:dyDescent="0.2">
      <c r="A2848" s="1">
        <v>45711</v>
      </c>
      <c r="B2848" s="2" t="s">
        <v>20</v>
      </c>
      <c r="C2848" s="2" t="s">
        <v>28</v>
      </c>
      <c r="D2848" s="2" t="s">
        <v>25</v>
      </c>
      <c r="E2848">
        <v>12439</v>
      </c>
      <c r="F2848">
        <v>542</v>
      </c>
      <c r="G2848">
        <v>29</v>
      </c>
      <c r="H2848">
        <v>606.53</v>
      </c>
      <c r="I2848">
        <v>2269.59</v>
      </c>
      <c r="J2848">
        <v>4.3600000000000003</v>
      </c>
      <c r="K2848">
        <v>5.35</v>
      </c>
      <c r="L2848">
        <v>20.91</v>
      </c>
      <c r="M2848">
        <v>3.74</v>
      </c>
      <c r="N2848">
        <v>1663.06</v>
      </c>
    </row>
    <row r="2849" spans="1:14" x14ac:dyDescent="0.2">
      <c r="A2849" s="1">
        <v>45711</v>
      </c>
      <c r="B2849" s="2" t="s">
        <v>23</v>
      </c>
      <c r="C2849" s="2" t="s">
        <v>35</v>
      </c>
      <c r="D2849" s="2" t="s">
        <v>36</v>
      </c>
      <c r="E2849">
        <v>4254</v>
      </c>
      <c r="F2849">
        <v>70</v>
      </c>
      <c r="G2849">
        <v>7</v>
      </c>
      <c r="H2849">
        <v>950.7</v>
      </c>
      <c r="I2849">
        <v>2262.36</v>
      </c>
      <c r="J2849">
        <v>1.65</v>
      </c>
      <c r="K2849">
        <v>10</v>
      </c>
      <c r="L2849">
        <v>135.81</v>
      </c>
      <c r="M2849">
        <v>2.38</v>
      </c>
      <c r="N2849">
        <v>1311.66</v>
      </c>
    </row>
    <row r="2850" spans="1:14" x14ac:dyDescent="0.2">
      <c r="A2850" s="1">
        <v>45711</v>
      </c>
      <c r="B2850" s="2" t="s">
        <v>24</v>
      </c>
      <c r="C2850" s="2" t="s">
        <v>21</v>
      </c>
      <c r="D2850" s="2" t="s">
        <v>25</v>
      </c>
      <c r="E2850">
        <v>19261</v>
      </c>
      <c r="F2850">
        <v>4452</v>
      </c>
      <c r="G2850">
        <v>540</v>
      </c>
      <c r="H2850">
        <v>97.9</v>
      </c>
      <c r="I2850">
        <v>57842.559999999998</v>
      </c>
      <c r="J2850">
        <v>23.11</v>
      </c>
      <c r="K2850">
        <v>12.13</v>
      </c>
      <c r="L2850">
        <v>0.18</v>
      </c>
      <c r="M2850">
        <v>590.83000000000004</v>
      </c>
      <c r="N2850">
        <v>57744.66</v>
      </c>
    </row>
    <row r="2851" spans="1:14" x14ac:dyDescent="0.2">
      <c r="A2851" s="1">
        <v>45711</v>
      </c>
      <c r="B2851" s="2" t="s">
        <v>26</v>
      </c>
      <c r="C2851" s="2" t="s">
        <v>35</v>
      </c>
      <c r="D2851" s="2" t="s">
        <v>36</v>
      </c>
      <c r="E2851">
        <v>22218</v>
      </c>
      <c r="F2851">
        <v>1060</v>
      </c>
      <c r="G2851">
        <v>164</v>
      </c>
      <c r="H2851">
        <v>0</v>
      </c>
      <c r="I2851">
        <v>24938.65</v>
      </c>
      <c r="J2851">
        <v>4.7699999999999996</v>
      </c>
      <c r="K2851">
        <v>15.47</v>
      </c>
      <c r="L2851">
        <v>0</v>
      </c>
      <c r="M2851">
        <v>0</v>
      </c>
      <c r="N2851">
        <v>24938.65</v>
      </c>
    </row>
    <row r="2852" spans="1:14" x14ac:dyDescent="0.2">
      <c r="A2852" s="1">
        <v>45711</v>
      </c>
      <c r="B2852" s="2" t="s">
        <v>27</v>
      </c>
      <c r="C2852" s="2" t="s">
        <v>21</v>
      </c>
      <c r="D2852" s="2" t="s">
        <v>25</v>
      </c>
      <c r="E2852">
        <v>32574</v>
      </c>
      <c r="F2852">
        <v>456</v>
      </c>
      <c r="G2852">
        <v>9</v>
      </c>
      <c r="H2852">
        <v>944.12</v>
      </c>
      <c r="I2852">
        <v>921.92</v>
      </c>
      <c r="J2852">
        <v>1.4</v>
      </c>
      <c r="K2852">
        <v>1.97</v>
      </c>
      <c r="L2852">
        <v>104.9</v>
      </c>
      <c r="M2852">
        <v>0.98</v>
      </c>
      <c r="N2852">
        <v>-22.2</v>
      </c>
    </row>
    <row r="2853" spans="1:14" x14ac:dyDescent="0.2">
      <c r="A2853" s="1">
        <v>45711</v>
      </c>
      <c r="B2853" s="2" t="s">
        <v>29</v>
      </c>
      <c r="C2853" s="2" t="s">
        <v>21</v>
      </c>
      <c r="D2853" s="2" t="s">
        <v>16</v>
      </c>
      <c r="E2853">
        <v>18579</v>
      </c>
      <c r="F2853">
        <v>413</v>
      </c>
      <c r="G2853">
        <v>21</v>
      </c>
      <c r="H2853">
        <v>1133.99</v>
      </c>
      <c r="I2853">
        <v>2209.63</v>
      </c>
      <c r="J2853">
        <v>2.2200000000000002</v>
      </c>
      <c r="K2853">
        <v>5.08</v>
      </c>
      <c r="L2853">
        <v>54</v>
      </c>
      <c r="M2853">
        <v>1.95</v>
      </c>
      <c r="N2853">
        <v>1075.6400000000001</v>
      </c>
    </row>
    <row r="2854" spans="1:14" x14ac:dyDescent="0.2">
      <c r="A2854" s="1">
        <v>45711</v>
      </c>
      <c r="B2854" s="2" t="s">
        <v>30</v>
      </c>
      <c r="C2854" s="2" t="s">
        <v>32</v>
      </c>
      <c r="D2854" s="2" t="s">
        <v>36</v>
      </c>
      <c r="E2854">
        <v>11051</v>
      </c>
      <c r="F2854">
        <v>356</v>
      </c>
      <c r="G2854">
        <v>17</v>
      </c>
      <c r="H2854">
        <v>501.92</v>
      </c>
      <c r="I2854">
        <v>1525.59</v>
      </c>
      <c r="J2854">
        <v>3.22</v>
      </c>
      <c r="K2854">
        <v>4.78</v>
      </c>
      <c r="L2854">
        <v>29.52</v>
      </c>
      <c r="M2854">
        <v>3.04</v>
      </c>
      <c r="N2854">
        <v>1023.67</v>
      </c>
    </row>
    <row r="2855" spans="1:14" x14ac:dyDescent="0.2">
      <c r="A2855" s="1">
        <v>45711</v>
      </c>
      <c r="B2855" s="2" t="s">
        <v>31</v>
      </c>
      <c r="C2855" s="2" t="s">
        <v>28</v>
      </c>
      <c r="D2855" s="2" t="s">
        <v>25</v>
      </c>
      <c r="E2855">
        <v>19987</v>
      </c>
      <c r="F2855">
        <v>820</v>
      </c>
      <c r="G2855">
        <v>37</v>
      </c>
      <c r="H2855">
        <v>740.95</v>
      </c>
      <c r="I2855">
        <v>3171.58</v>
      </c>
      <c r="J2855">
        <v>4.0999999999999996</v>
      </c>
      <c r="K2855">
        <v>4.51</v>
      </c>
      <c r="L2855">
        <v>20.03</v>
      </c>
      <c r="M2855">
        <v>4.28</v>
      </c>
      <c r="N2855">
        <v>2430.63</v>
      </c>
    </row>
    <row r="2856" spans="1:14" x14ac:dyDescent="0.2">
      <c r="A2856" s="1">
        <v>45711</v>
      </c>
      <c r="B2856" s="2" t="s">
        <v>33</v>
      </c>
      <c r="C2856" s="2" t="s">
        <v>18</v>
      </c>
      <c r="D2856" s="2" t="s">
        <v>25</v>
      </c>
      <c r="E2856">
        <v>4740</v>
      </c>
      <c r="F2856">
        <v>304</v>
      </c>
      <c r="G2856">
        <v>28</v>
      </c>
      <c r="H2856">
        <v>543.39</v>
      </c>
      <c r="I2856">
        <v>4409.3</v>
      </c>
      <c r="J2856">
        <v>6.41</v>
      </c>
      <c r="K2856">
        <v>9.2100000000000009</v>
      </c>
      <c r="L2856">
        <v>19.41</v>
      </c>
      <c r="M2856">
        <v>8.11</v>
      </c>
      <c r="N2856">
        <v>3865.91</v>
      </c>
    </row>
    <row r="2857" spans="1:14" x14ac:dyDescent="0.2">
      <c r="A2857" s="1">
        <v>45711</v>
      </c>
      <c r="B2857" s="2" t="s">
        <v>34</v>
      </c>
      <c r="C2857" s="2" t="s">
        <v>35</v>
      </c>
      <c r="D2857" s="2" t="s">
        <v>36</v>
      </c>
      <c r="E2857">
        <v>5070</v>
      </c>
      <c r="F2857">
        <v>461</v>
      </c>
      <c r="G2857">
        <v>71</v>
      </c>
      <c r="H2857">
        <v>49.01</v>
      </c>
      <c r="I2857">
        <v>9506.3799999999992</v>
      </c>
      <c r="J2857">
        <v>9.09</v>
      </c>
      <c r="K2857">
        <v>15.4</v>
      </c>
      <c r="L2857">
        <v>0.69</v>
      </c>
      <c r="M2857">
        <v>193.97</v>
      </c>
      <c r="N2857">
        <v>9457.3700000000008</v>
      </c>
    </row>
    <row r="2858" spans="1:14" x14ac:dyDescent="0.2">
      <c r="A2858" s="1">
        <v>45712</v>
      </c>
      <c r="B2858" s="2" t="s">
        <v>14</v>
      </c>
      <c r="C2858" s="2" t="s">
        <v>15</v>
      </c>
      <c r="D2858" s="2" t="s">
        <v>22</v>
      </c>
      <c r="E2858">
        <v>9696</v>
      </c>
      <c r="F2858">
        <v>390</v>
      </c>
      <c r="G2858">
        <v>33</v>
      </c>
      <c r="H2858">
        <v>1615.58</v>
      </c>
      <c r="I2858">
        <v>4979.33</v>
      </c>
      <c r="J2858">
        <v>4.0199999999999996</v>
      </c>
      <c r="K2858">
        <v>8.4600000000000009</v>
      </c>
      <c r="L2858">
        <v>48.96</v>
      </c>
      <c r="M2858">
        <v>3.08</v>
      </c>
      <c r="N2858">
        <v>3363.75</v>
      </c>
    </row>
    <row r="2859" spans="1:14" x14ac:dyDescent="0.2">
      <c r="A2859" s="1">
        <v>45712</v>
      </c>
      <c r="B2859" s="2" t="s">
        <v>17</v>
      </c>
      <c r="C2859" s="2" t="s">
        <v>28</v>
      </c>
      <c r="D2859" s="2" t="s">
        <v>16</v>
      </c>
      <c r="E2859">
        <v>18128</v>
      </c>
      <c r="F2859">
        <v>433</v>
      </c>
      <c r="G2859">
        <v>22</v>
      </c>
      <c r="H2859">
        <v>733.73</v>
      </c>
      <c r="I2859">
        <v>2958.78</v>
      </c>
      <c r="J2859">
        <v>2.39</v>
      </c>
      <c r="K2859">
        <v>5.08</v>
      </c>
      <c r="L2859">
        <v>33.35</v>
      </c>
      <c r="M2859">
        <v>4.03</v>
      </c>
      <c r="N2859">
        <v>2225.0500000000002</v>
      </c>
    </row>
    <row r="2860" spans="1:14" x14ac:dyDescent="0.2">
      <c r="A2860" s="1">
        <v>45712</v>
      </c>
      <c r="B2860" s="2" t="s">
        <v>20</v>
      </c>
      <c r="C2860" s="2" t="s">
        <v>15</v>
      </c>
      <c r="D2860" s="2" t="s">
        <v>25</v>
      </c>
      <c r="E2860">
        <v>18718</v>
      </c>
      <c r="F2860">
        <v>818</v>
      </c>
      <c r="G2860">
        <v>50</v>
      </c>
      <c r="H2860">
        <v>1052.8900000000001</v>
      </c>
      <c r="I2860">
        <v>4178.6099999999997</v>
      </c>
      <c r="J2860">
        <v>4.37</v>
      </c>
      <c r="K2860">
        <v>6.11</v>
      </c>
      <c r="L2860">
        <v>21.06</v>
      </c>
      <c r="M2860">
        <v>3.97</v>
      </c>
      <c r="N2860">
        <v>3125.72</v>
      </c>
    </row>
    <row r="2861" spans="1:14" x14ac:dyDescent="0.2">
      <c r="A2861" s="1">
        <v>45712</v>
      </c>
      <c r="B2861" s="2" t="s">
        <v>23</v>
      </c>
      <c r="C2861" s="2" t="s">
        <v>28</v>
      </c>
      <c r="D2861" s="2" t="s">
        <v>19</v>
      </c>
      <c r="E2861">
        <v>7027</v>
      </c>
      <c r="F2861">
        <v>194</v>
      </c>
      <c r="G2861">
        <v>25</v>
      </c>
      <c r="H2861">
        <v>1762.63</v>
      </c>
      <c r="I2861">
        <v>7593.81</v>
      </c>
      <c r="J2861">
        <v>2.76</v>
      </c>
      <c r="K2861">
        <v>12.89</v>
      </c>
      <c r="L2861">
        <v>70.510000000000005</v>
      </c>
      <c r="M2861">
        <v>4.3099999999999996</v>
      </c>
      <c r="N2861">
        <v>5831.18</v>
      </c>
    </row>
    <row r="2862" spans="1:14" x14ac:dyDescent="0.2">
      <c r="A2862" s="1">
        <v>45712</v>
      </c>
      <c r="B2862" s="2" t="s">
        <v>24</v>
      </c>
      <c r="C2862" s="2" t="s">
        <v>15</v>
      </c>
      <c r="D2862" s="2" t="s">
        <v>16</v>
      </c>
      <c r="E2862">
        <v>18291</v>
      </c>
      <c r="F2862">
        <v>4154</v>
      </c>
      <c r="G2862">
        <v>466</v>
      </c>
      <c r="H2862">
        <v>356.68</v>
      </c>
      <c r="I2862">
        <v>55285.25</v>
      </c>
      <c r="J2862">
        <v>22.71</v>
      </c>
      <c r="K2862">
        <v>11.22</v>
      </c>
      <c r="L2862">
        <v>0.77</v>
      </c>
      <c r="M2862">
        <v>155</v>
      </c>
      <c r="N2862">
        <v>54928.57</v>
      </c>
    </row>
    <row r="2863" spans="1:14" x14ac:dyDescent="0.2">
      <c r="A2863" s="1">
        <v>45712</v>
      </c>
      <c r="B2863" s="2" t="s">
        <v>26</v>
      </c>
      <c r="C2863" s="2" t="s">
        <v>18</v>
      </c>
      <c r="D2863" s="2" t="s">
        <v>22</v>
      </c>
      <c r="E2863">
        <v>41020</v>
      </c>
      <c r="F2863">
        <v>2349</v>
      </c>
      <c r="G2863">
        <v>367</v>
      </c>
      <c r="H2863">
        <v>0</v>
      </c>
      <c r="I2863">
        <v>44747.06</v>
      </c>
      <c r="J2863">
        <v>5.73</v>
      </c>
      <c r="K2863">
        <v>15.62</v>
      </c>
      <c r="L2863">
        <v>0</v>
      </c>
      <c r="M2863">
        <v>0</v>
      </c>
      <c r="N2863">
        <v>44747.06</v>
      </c>
    </row>
    <row r="2864" spans="1:14" x14ac:dyDescent="0.2">
      <c r="A2864" s="1">
        <v>45712</v>
      </c>
      <c r="B2864" s="2" t="s">
        <v>27</v>
      </c>
      <c r="C2864" s="2" t="s">
        <v>28</v>
      </c>
      <c r="D2864" s="2" t="s">
        <v>25</v>
      </c>
      <c r="E2864">
        <v>47334</v>
      </c>
      <c r="F2864">
        <v>804</v>
      </c>
      <c r="G2864">
        <v>34</v>
      </c>
      <c r="H2864">
        <v>1534.7</v>
      </c>
      <c r="I2864">
        <v>3210.34</v>
      </c>
      <c r="J2864">
        <v>1.7</v>
      </c>
      <c r="K2864">
        <v>4.2300000000000004</v>
      </c>
      <c r="L2864">
        <v>45.14</v>
      </c>
      <c r="M2864">
        <v>2.09</v>
      </c>
      <c r="N2864">
        <v>1675.64</v>
      </c>
    </row>
    <row r="2865" spans="1:14" x14ac:dyDescent="0.2">
      <c r="A2865" s="1">
        <v>45712</v>
      </c>
      <c r="B2865" s="2" t="s">
        <v>29</v>
      </c>
      <c r="C2865" s="2" t="s">
        <v>18</v>
      </c>
      <c r="D2865" s="2" t="s">
        <v>19</v>
      </c>
      <c r="E2865">
        <v>24354</v>
      </c>
      <c r="F2865">
        <v>692</v>
      </c>
      <c r="G2865">
        <v>33</v>
      </c>
      <c r="H2865">
        <v>991.65</v>
      </c>
      <c r="I2865">
        <v>4687.45</v>
      </c>
      <c r="J2865">
        <v>2.84</v>
      </c>
      <c r="K2865">
        <v>4.7699999999999996</v>
      </c>
      <c r="L2865">
        <v>30.05</v>
      </c>
      <c r="M2865">
        <v>4.7300000000000004</v>
      </c>
      <c r="N2865">
        <v>3695.8</v>
      </c>
    </row>
    <row r="2866" spans="1:14" x14ac:dyDescent="0.2">
      <c r="A2866" s="1">
        <v>45712</v>
      </c>
      <c r="B2866" s="2" t="s">
        <v>30</v>
      </c>
      <c r="C2866" s="2" t="s">
        <v>35</v>
      </c>
      <c r="D2866" s="2" t="s">
        <v>25</v>
      </c>
      <c r="E2866">
        <v>13867</v>
      </c>
      <c r="F2866">
        <v>284</v>
      </c>
      <c r="G2866">
        <v>10</v>
      </c>
      <c r="H2866">
        <v>490.03</v>
      </c>
      <c r="I2866">
        <v>889.27</v>
      </c>
      <c r="J2866">
        <v>2.0499999999999998</v>
      </c>
      <c r="K2866">
        <v>3.52</v>
      </c>
      <c r="L2866">
        <v>49</v>
      </c>
      <c r="M2866">
        <v>1.81</v>
      </c>
      <c r="N2866">
        <v>399.24</v>
      </c>
    </row>
    <row r="2867" spans="1:14" x14ac:dyDescent="0.2">
      <c r="A2867" s="1">
        <v>45712</v>
      </c>
      <c r="B2867" s="2" t="s">
        <v>31</v>
      </c>
      <c r="C2867" s="2" t="s">
        <v>35</v>
      </c>
      <c r="D2867" s="2" t="s">
        <v>22</v>
      </c>
      <c r="E2867">
        <v>35430</v>
      </c>
      <c r="F2867">
        <v>1537</v>
      </c>
      <c r="G2867">
        <v>49</v>
      </c>
      <c r="H2867">
        <v>1172.8399999999999</v>
      </c>
      <c r="I2867">
        <v>4743.84</v>
      </c>
      <c r="J2867">
        <v>4.34</v>
      </c>
      <c r="K2867">
        <v>3.19</v>
      </c>
      <c r="L2867">
        <v>23.94</v>
      </c>
      <c r="M2867">
        <v>4.04</v>
      </c>
      <c r="N2867">
        <v>3571</v>
      </c>
    </row>
    <row r="2868" spans="1:14" x14ac:dyDescent="0.2">
      <c r="A2868" s="1">
        <v>45712</v>
      </c>
      <c r="B2868" s="2" t="s">
        <v>33</v>
      </c>
      <c r="C2868" s="2" t="s">
        <v>32</v>
      </c>
      <c r="D2868" s="2" t="s">
        <v>19</v>
      </c>
      <c r="E2868">
        <v>11082</v>
      </c>
      <c r="F2868">
        <v>511</v>
      </c>
      <c r="G2868">
        <v>63</v>
      </c>
      <c r="H2868">
        <v>489.32</v>
      </c>
      <c r="I2868">
        <v>8379.9</v>
      </c>
      <c r="J2868">
        <v>4.6100000000000003</v>
      </c>
      <c r="K2868">
        <v>12.33</v>
      </c>
      <c r="L2868">
        <v>7.77</v>
      </c>
      <c r="M2868">
        <v>17.13</v>
      </c>
      <c r="N2868">
        <v>7890.58</v>
      </c>
    </row>
    <row r="2869" spans="1:14" x14ac:dyDescent="0.2">
      <c r="A2869" s="1">
        <v>45712</v>
      </c>
      <c r="B2869" s="2" t="s">
        <v>34</v>
      </c>
      <c r="C2869" s="2" t="s">
        <v>21</v>
      </c>
      <c r="D2869" s="2" t="s">
        <v>19</v>
      </c>
      <c r="E2869">
        <v>4993</v>
      </c>
      <c r="F2869">
        <v>271</v>
      </c>
      <c r="G2869">
        <v>37</v>
      </c>
      <c r="H2869">
        <v>209.62</v>
      </c>
      <c r="I2869">
        <v>6686.57</v>
      </c>
      <c r="J2869">
        <v>5.43</v>
      </c>
      <c r="K2869">
        <v>13.65</v>
      </c>
      <c r="L2869">
        <v>5.67</v>
      </c>
      <c r="M2869">
        <v>31.9</v>
      </c>
      <c r="N2869">
        <v>6476.95</v>
      </c>
    </row>
    <row r="2870" spans="1:14" x14ac:dyDescent="0.2">
      <c r="A2870" s="1">
        <v>45713</v>
      </c>
      <c r="B2870" s="2" t="s">
        <v>14</v>
      </c>
      <c r="C2870" s="2" t="s">
        <v>28</v>
      </c>
      <c r="D2870" s="2" t="s">
        <v>25</v>
      </c>
      <c r="E2870">
        <v>14719</v>
      </c>
      <c r="F2870">
        <v>500</v>
      </c>
      <c r="G2870">
        <v>55</v>
      </c>
      <c r="H2870">
        <v>1360.2</v>
      </c>
      <c r="I2870">
        <v>7023.28</v>
      </c>
      <c r="J2870">
        <v>3.4</v>
      </c>
      <c r="K2870">
        <v>11</v>
      </c>
      <c r="L2870">
        <v>24.73</v>
      </c>
      <c r="M2870">
        <v>5.16</v>
      </c>
      <c r="N2870">
        <v>5663.08</v>
      </c>
    </row>
    <row r="2871" spans="1:14" x14ac:dyDescent="0.2">
      <c r="A2871" s="1">
        <v>45713</v>
      </c>
      <c r="B2871" s="2" t="s">
        <v>17</v>
      </c>
      <c r="C2871" s="2" t="s">
        <v>35</v>
      </c>
      <c r="D2871" s="2" t="s">
        <v>19</v>
      </c>
      <c r="E2871">
        <v>15378</v>
      </c>
      <c r="F2871">
        <v>330</v>
      </c>
      <c r="G2871">
        <v>19</v>
      </c>
      <c r="H2871">
        <v>1091.95</v>
      </c>
      <c r="I2871">
        <v>2143.34</v>
      </c>
      <c r="J2871">
        <v>2.15</v>
      </c>
      <c r="K2871">
        <v>5.76</v>
      </c>
      <c r="L2871">
        <v>57.47</v>
      </c>
      <c r="M2871">
        <v>1.96</v>
      </c>
      <c r="N2871">
        <v>1051.3900000000001</v>
      </c>
    </row>
    <row r="2872" spans="1:14" x14ac:dyDescent="0.2">
      <c r="A2872" s="1">
        <v>45713</v>
      </c>
      <c r="B2872" s="2" t="s">
        <v>20</v>
      </c>
      <c r="C2872" s="2" t="s">
        <v>21</v>
      </c>
      <c r="D2872" s="2" t="s">
        <v>36</v>
      </c>
      <c r="E2872">
        <v>12606</v>
      </c>
      <c r="F2872">
        <v>478</v>
      </c>
      <c r="G2872">
        <v>31</v>
      </c>
      <c r="H2872">
        <v>1073.8800000000001</v>
      </c>
      <c r="I2872">
        <v>3026.75</v>
      </c>
      <c r="J2872">
        <v>3.79</v>
      </c>
      <c r="K2872">
        <v>6.49</v>
      </c>
      <c r="L2872">
        <v>34.64</v>
      </c>
      <c r="M2872">
        <v>2.82</v>
      </c>
      <c r="N2872">
        <v>1952.87</v>
      </c>
    </row>
    <row r="2873" spans="1:14" x14ac:dyDescent="0.2">
      <c r="A2873" s="1">
        <v>45713</v>
      </c>
      <c r="B2873" s="2" t="s">
        <v>23</v>
      </c>
      <c r="C2873" s="2" t="s">
        <v>28</v>
      </c>
      <c r="D2873" s="2" t="s">
        <v>22</v>
      </c>
      <c r="E2873">
        <v>6080</v>
      </c>
      <c r="F2873">
        <v>102</v>
      </c>
      <c r="G2873">
        <v>10</v>
      </c>
      <c r="H2873">
        <v>1623.09</v>
      </c>
      <c r="I2873">
        <v>3239.44</v>
      </c>
      <c r="J2873">
        <v>1.68</v>
      </c>
      <c r="K2873">
        <v>9.8000000000000007</v>
      </c>
      <c r="L2873">
        <v>162.31</v>
      </c>
      <c r="M2873">
        <v>2</v>
      </c>
      <c r="N2873">
        <v>1616.35</v>
      </c>
    </row>
    <row r="2874" spans="1:14" x14ac:dyDescent="0.2">
      <c r="A2874" s="1">
        <v>45713</v>
      </c>
      <c r="B2874" s="2" t="s">
        <v>24</v>
      </c>
      <c r="C2874" s="2" t="s">
        <v>28</v>
      </c>
      <c r="D2874" s="2" t="s">
        <v>19</v>
      </c>
      <c r="E2874">
        <v>25141</v>
      </c>
      <c r="F2874">
        <v>4183</v>
      </c>
      <c r="G2874">
        <v>442</v>
      </c>
      <c r="H2874">
        <v>183.31</v>
      </c>
      <c r="I2874">
        <v>47896.78</v>
      </c>
      <c r="J2874">
        <v>16.64</v>
      </c>
      <c r="K2874">
        <v>10.57</v>
      </c>
      <c r="L2874">
        <v>0.41</v>
      </c>
      <c r="M2874">
        <v>261.29000000000002</v>
      </c>
      <c r="N2874">
        <v>47713.47</v>
      </c>
    </row>
    <row r="2875" spans="1:14" x14ac:dyDescent="0.2">
      <c r="A2875" s="1">
        <v>45713</v>
      </c>
      <c r="B2875" s="2" t="s">
        <v>26</v>
      </c>
      <c r="C2875" s="2" t="s">
        <v>35</v>
      </c>
      <c r="D2875" s="2" t="s">
        <v>36</v>
      </c>
      <c r="E2875">
        <v>41587</v>
      </c>
      <c r="F2875">
        <v>1980</v>
      </c>
      <c r="G2875">
        <v>205</v>
      </c>
      <c r="H2875">
        <v>0</v>
      </c>
      <c r="I2875">
        <v>27671.05</v>
      </c>
      <c r="J2875">
        <v>4.76</v>
      </c>
      <c r="K2875">
        <v>10.35</v>
      </c>
      <c r="L2875">
        <v>0</v>
      </c>
      <c r="M2875">
        <v>0</v>
      </c>
      <c r="N2875">
        <v>27671.05</v>
      </c>
    </row>
    <row r="2876" spans="1:14" x14ac:dyDescent="0.2">
      <c r="A2876" s="1">
        <v>45713</v>
      </c>
      <c r="B2876" s="2" t="s">
        <v>27</v>
      </c>
      <c r="C2876" s="2" t="s">
        <v>35</v>
      </c>
      <c r="D2876" s="2" t="s">
        <v>36</v>
      </c>
      <c r="E2876">
        <v>36091</v>
      </c>
      <c r="F2876">
        <v>488</v>
      </c>
      <c r="G2876">
        <v>9</v>
      </c>
      <c r="H2876">
        <v>1198.06</v>
      </c>
      <c r="I2876">
        <v>1142.47</v>
      </c>
      <c r="J2876">
        <v>1.35</v>
      </c>
      <c r="K2876">
        <v>1.84</v>
      </c>
      <c r="L2876">
        <v>133.12</v>
      </c>
      <c r="M2876">
        <v>0.95</v>
      </c>
      <c r="N2876">
        <v>-55.59</v>
      </c>
    </row>
    <row r="2877" spans="1:14" x14ac:dyDescent="0.2">
      <c r="A2877" s="1">
        <v>45713</v>
      </c>
      <c r="B2877" s="2" t="s">
        <v>29</v>
      </c>
      <c r="C2877" s="2" t="s">
        <v>21</v>
      </c>
      <c r="D2877" s="2" t="s">
        <v>25</v>
      </c>
      <c r="E2877">
        <v>26719</v>
      </c>
      <c r="F2877">
        <v>640</v>
      </c>
      <c r="G2877">
        <v>27</v>
      </c>
      <c r="H2877">
        <v>1653.85</v>
      </c>
      <c r="I2877">
        <v>3644.66</v>
      </c>
      <c r="J2877">
        <v>2.4</v>
      </c>
      <c r="K2877">
        <v>4.22</v>
      </c>
      <c r="L2877">
        <v>61.25</v>
      </c>
      <c r="M2877">
        <v>2.2000000000000002</v>
      </c>
      <c r="N2877">
        <v>1990.81</v>
      </c>
    </row>
    <row r="2878" spans="1:14" x14ac:dyDescent="0.2">
      <c r="A2878" s="1">
        <v>45713</v>
      </c>
      <c r="B2878" s="2" t="s">
        <v>30</v>
      </c>
      <c r="C2878" s="2" t="s">
        <v>21</v>
      </c>
      <c r="D2878" s="2" t="s">
        <v>25</v>
      </c>
      <c r="E2878">
        <v>16785</v>
      </c>
      <c r="F2878">
        <v>410</v>
      </c>
      <c r="G2878">
        <v>13</v>
      </c>
      <c r="H2878">
        <v>845.05</v>
      </c>
      <c r="I2878">
        <v>1514.79</v>
      </c>
      <c r="J2878">
        <v>2.44</v>
      </c>
      <c r="K2878">
        <v>3.17</v>
      </c>
      <c r="L2878">
        <v>65</v>
      </c>
      <c r="M2878">
        <v>1.79</v>
      </c>
      <c r="N2878">
        <v>669.74</v>
      </c>
    </row>
    <row r="2879" spans="1:14" x14ac:dyDescent="0.2">
      <c r="A2879" s="1">
        <v>45713</v>
      </c>
      <c r="B2879" s="2" t="s">
        <v>31</v>
      </c>
      <c r="C2879" s="2" t="s">
        <v>15</v>
      </c>
      <c r="D2879" s="2" t="s">
        <v>22</v>
      </c>
      <c r="E2879">
        <v>23875</v>
      </c>
      <c r="F2879">
        <v>938</v>
      </c>
      <c r="G2879">
        <v>46</v>
      </c>
      <c r="H2879">
        <v>1082.21</v>
      </c>
      <c r="I2879">
        <v>3708.68</v>
      </c>
      <c r="J2879">
        <v>3.93</v>
      </c>
      <c r="K2879">
        <v>4.9000000000000004</v>
      </c>
      <c r="L2879">
        <v>23.53</v>
      </c>
      <c r="M2879">
        <v>3.43</v>
      </c>
      <c r="N2879">
        <v>2626.47</v>
      </c>
    </row>
    <row r="2880" spans="1:14" x14ac:dyDescent="0.2">
      <c r="A2880" s="1">
        <v>45713</v>
      </c>
      <c r="B2880" s="2" t="s">
        <v>33</v>
      </c>
      <c r="C2880" s="2" t="s">
        <v>18</v>
      </c>
      <c r="D2880" s="2" t="s">
        <v>19</v>
      </c>
      <c r="E2880">
        <v>6345</v>
      </c>
      <c r="F2880">
        <v>284</v>
      </c>
      <c r="G2880">
        <v>34</v>
      </c>
      <c r="H2880">
        <v>432.86</v>
      </c>
      <c r="I2880">
        <v>4475.3900000000003</v>
      </c>
      <c r="J2880">
        <v>4.4800000000000004</v>
      </c>
      <c r="K2880">
        <v>11.97</v>
      </c>
      <c r="L2880">
        <v>12.73</v>
      </c>
      <c r="M2880">
        <v>10.34</v>
      </c>
      <c r="N2880">
        <v>4042.53</v>
      </c>
    </row>
    <row r="2881" spans="1:14" x14ac:dyDescent="0.2">
      <c r="A2881" s="1">
        <v>45713</v>
      </c>
      <c r="B2881" s="2" t="s">
        <v>34</v>
      </c>
      <c r="C2881" s="2" t="s">
        <v>21</v>
      </c>
      <c r="D2881" s="2" t="s">
        <v>25</v>
      </c>
      <c r="E2881">
        <v>7873</v>
      </c>
      <c r="F2881">
        <v>675</v>
      </c>
      <c r="G2881">
        <v>112</v>
      </c>
      <c r="H2881">
        <v>80.66</v>
      </c>
      <c r="I2881">
        <v>15522</v>
      </c>
      <c r="J2881">
        <v>8.57</v>
      </c>
      <c r="K2881">
        <v>16.59</v>
      </c>
      <c r="L2881">
        <v>0.72</v>
      </c>
      <c r="M2881">
        <v>192.44</v>
      </c>
      <c r="N2881">
        <v>15441.34</v>
      </c>
    </row>
    <row r="2882" spans="1:14" x14ac:dyDescent="0.2">
      <c r="A2882" s="1">
        <v>45714</v>
      </c>
      <c r="B2882" s="2" t="s">
        <v>14</v>
      </c>
      <c r="C2882" s="2" t="s">
        <v>28</v>
      </c>
      <c r="D2882" s="2" t="s">
        <v>36</v>
      </c>
      <c r="E2882">
        <v>11703</v>
      </c>
      <c r="F2882">
        <v>540</v>
      </c>
      <c r="G2882">
        <v>57</v>
      </c>
      <c r="H2882">
        <v>988.65</v>
      </c>
      <c r="I2882">
        <v>8276.4699999999993</v>
      </c>
      <c r="J2882">
        <v>4.6100000000000003</v>
      </c>
      <c r="K2882">
        <v>10.56</v>
      </c>
      <c r="L2882">
        <v>17.34</v>
      </c>
      <c r="M2882">
        <v>8.3699999999999992</v>
      </c>
      <c r="N2882">
        <v>7287.82</v>
      </c>
    </row>
    <row r="2883" spans="1:14" x14ac:dyDescent="0.2">
      <c r="A2883" s="1">
        <v>45714</v>
      </c>
      <c r="B2883" s="2" t="s">
        <v>17</v>
      </c>
      <c r="C2883" s="2" t="s">
        <v>21</v>
      </c>
      <c r="D2883" s="2" t="s">
        <v>22</v>
      </c>
      <c r="E2883">
        <v>16366</v>
      </c>
      <c r="F2883">
        <v>632</v>
      </c>
      <c r="G2883">
        <v>46</v>
      </c>
      <c r="H2883">
        <v>733.45</v>
      </c>
      <c r="I2883">
        <v>5075.62</v>
      </c>
      <c r="J2883">
        <v>3.86</v>
      </c>
      <c r="K2883">
        <v>7.28</v>
      </c>
      <c r="L2883">
        <v>15.94</v>
      </c>
      <c r="M2883">
        <v>6.92</v>
      </c>
      <c r="N2883">
        <v>4342.17</v>
      </c>
    </row>
    <row r="2884" spans="1:14" x14ac:dyDescent="0.2">
      <c r="A2884" s="1">
        <v>45714</v>
      </c>
      <c r="B2884" s="2" t="s">
        <v>20</v>
      </c>
      <c r="C2884" s="2" t="s">
        <v>15</v>
      </c>
      <c r="D2884" s="2" t="s">
        <v>22</v>
      </c>
      <c r="E2884">
        <v>17619</v>
      </c>
      <c r="F2884">
        <v>672</v>
      </c>
      <c r="G2884">
        <v>43</v>
      </c>
      <c r="H2884">
        <v>1176.3</v>
      </c>
      <c r="I2884">
        <v>3940.63</v>
      </c>
      <c r="J2884">
        <v>3.81</v>
      </c>
      <c r="K2884">
        <v>6.4</v>
      </c>
      <c r="L2884">
        <v>27.36</v>
      </c>
      <c r="M2884">
        <v>3.35</v>
      </c>
      <c r="N2884">
        <v>2764.33</v>
      </c>
    </row>
    <row r="2885" spans="1:14" x14ac:dyDescent="0.2">
      <c r="A2885" s="1">
        <v>45714</v>
      </c>
      <c r="B2885" s="2" t="s">
        <v>23</v>
      </c>
      <c r="C2885" s="2" t="s">
        <v>28</v>
      </c>
      <c r="D2885" s="2" t="s">
        <v>16</v>
      </c>
      <c r="E2885">
        <v>5019</v>
      </c>
      <c r="F2885">
        <v>142</v>
      </c>
      <c r="G2885">
        <v>14</v>
      </c>
      <c r="H2885">
        <v>2072.23</v>
      </c>
      <c r="I2885">
        <v>3375.2</v>
      </c>
      <c r="J2885">
        <v>2.83</v>
      </c>
      <c r="K2885">
        <v>9.86</v>
      </c>
      <c r="L2885">
        <v>148.02000000000001</v>
      </c>
      <c r="M2885">
        <v>1.63</v>
      </c>
      <c r="N2885">
        <v>1302.97</v>
      </c>
    </row>
    <row r="2886" spans="1:14" x14ac:dyDescent="0.2">
      <c r="A2886" s="1">
        <v>45714</v>
      </c>
      <c r="B2886" s="2" t="s">
        <v>24</v>
      </c>
      <c r="C2886" s="2" t="s">
        <v>21</v>
      </c>
      <c r="D2886" s="2" t="s">
        <v>36</v>
      </c>
      <c r="E2886">
        <v>25462</v>
      </c>
      <c r="F2886">
        <v>6069</v>
      </c>
      <c r="G2886">
        <v>493</v>
      </c>
      <c r="H2886">
        <v>290.20999999999998</v>
      </c>
      <c r="I2886">
        <v>64764.69</v>
      </c>
      <c r="J2886">
        <v>23.84</v>
      </c>
      <c r="K2886">
        <v>8.1199999999999992</v>
      </c>
      <c r="L2886">
        <v>0.59</v>
      </c>
      <c r="M2886">
        <v>223.16</v>
      </c>
      <c r="N2886">
        <v>64474.48</v>
      </c>
    </row>
    <row r="2887" spans="1:14" x14ac:dyDescent="0.2">
      <c r="A2887" s="1">
        <v>45714</v>
      </c>
      <c r="B2887" s="2" t="s">
        <v>26</v>
      </c>
      <c r="C2887" s="2" t="s">
        <v>28</v>
      </c>
      <c r="D2887" s="2" t="s">
        <v>22</v>
      </c>
      <c r="E2887">
        <v>41137</v>
      </c>
      <c r="F2887">
        <v>2556</v>
      </c>
      <c r="G2887">
        <v>374</v>
      </c>
      <c r="H2887">
        <v>0</v>
      </c>
      <c r="I2887">
        <v>43538.86</v>
      </c>
      <c r="J2887">
        <v>6.21</v>
      </c>
      <c r="K2887">
        <v>14.63</v>
      </c>
      <c r="L2887">
        <v>0</v>
      </c>
      <c r="M2887">
        <v>0</v>
      </c>
      <c r="N2887">
        <v>43538.86</v>
      </c>
    </row>
    <row r="2888" spans="1:14" x14ac:dyDescent="0.2">
      <c r="A2888" s="1">
        <v>45714</v>
      </c>
      <c r="B2888" s="2" t="s">
        <v>27</v>
      </c>
      <c r="C2888" s="2" t="s">
        <v>15</v>
      </c>
      <c r="D2888" s="2" t="s">
        <v>25</v>
      </c>
      <c r="E2888">
        <v>38092</v>
      </c>
      <c r="F2888">
        <v>558</v>
      </c>
      <c r="G2888">
        <v>10</v>
      </c>
      <c r="H2888">
        <v>956.18</v>
      </c>
      <c r="I2888">
        <v>1123.6099999999999</v>
      </c>
      <c r="J2888">
        <v>1.46</v>
      </c>
      <c r="K2888">
        <v>1.79</v>
      </c>
      <c r="L2888">
        <v>95.62</v>
      </c>
      <c r="M2888">
        <v>1.18</v>
      </c>
      <c r="N2888">
        <v>167.43</v>
      </c>
    </row>
    <row r="2889" spans="1:14" x14ac:dyDescent="0.2">
      <c r="A2889" s="1">
        <v>45714</v>
      </c>
      <c r="B2889" s="2" t="s">
        <v>29</v>
      </c>
      <c r="C2889" s="2" t="s">
        <v>32</v>
      </c>
      <c r="D2889" s="2" t="s">
        <v>19</v>
      </c>
      <c r="E2889">
        <v>22795</v>
      </c>
      <c r="F2889">
        <v>391</v>
      </c>
      <c r="G2889">
        <v>22</v>
      </c>
      <c r="H2889">
        <v>1461.49</v>
      </c>
      <c r="I2889">
        <v>2607.09</v>
      </c>
      <c r="J2889">
        <v>1.72</v>
      </c>
      <c r="K2889">
        <v>5.63</v>
      </c>
      <c r="L2889">
        <v>66.430000000000007</v>
      </c>
      <c r="M2889">
        <v>1.78</v>
      </c>
      <c r="N2889">
        <v>1145.5999999999999</v>
      </c>
    </row>
    <row r="2890" spans="1:14" x14ac:dyDescent="0.2">
      <c r="A2890" s="1">
        <v>45714</v>
      </c>
      <c r="B2890" s="2" t="s">
        <v>30</v>
      </c>
      <c r="C2890" s="2" t="s">
        <v>28</v>
      </c>
      <c r="D2890" s="2" t="s">
        <v>19</v>
      </c>
      <c r="E2890">
        <v>13917</v>
      </c>
      <c r="F2890">
        <v>391</v>
      </c>
      <c r="G2890">
        <v>13</v>
      </c>
      <c r="H2890">
        <v>799.8</v>
      </c>
      <c r="I2890">
        <v>1059.17</v>
      </c>
      <c r="J2890">
        <v>2.81</v>
      </c>
      <c r="K2890">
        <v>3.32</v>
      </c>
      <c r="L2890">
        <v>61.52</v>
      </c>
      <c r="M2890">
        <v>1.32</v>
      </c>
      <c r="N2890">
        <v>259.37</v>
      </c>
    </row>
    <row r="2891" spans="1:14" x14ac:dyDescent="0.2">
      <c r="A2891" s="1">
        <v>45714</v>
      </c>
      <c r="B2891" s="2" t="s">
        <v>31</v>
      </c>
      <c r="C2891" s="2" t="s">
        <v>35</v>
      </c>
      <c r="D2891" s="2" t="s">
        <v>25</v>
      </c>
      <c r="E2891">
        <v>25310</v>
      </c>
      <c r="F2891">
        <v>756</v>
      </c>
      <c r="G2891">
        <v>40</v>
      </c>
      <c r="H2891">
        <v>1107.7</v>
      </c>
      <c r="I2891">
        <v>3320.08</v>
      </c>
      <c r="J2891">
        <v>2.99</v>
      </c>
      <c r="K2891">
        <v>5.29</v>
      </c>
      <c r="L2891">
        <v>27.69</v>
      </c>
      <c r="M2891">
        <v>3</v>
      </c>
      <c r="N2891">
        <v>2212.38</v>
      </c>
    </row>
    <row r="2892" spans="1:14" x14ac:dyDescent="0.2">
      <c r="A2892" s="1">
        <v>45714</v>
      </c>
      <c r="B2892" s="2" t="s">
        <v>33</v>
      </c>
      <c r="C2892" s="2" t="s">
        <v>32</v>
      </c>
      <c r="D2892" s="2" t="s">
        <v>16</v>
      </c>
      <c r="E2892">
        <v>6656</v>
      </c>
      <c r="F2892">
        <v>385</v>
      </c>
      <c r="G2892">
        <v>33</v>
      </c>
      <c r="H2892">
        <v>393.1</v>
      </c>
      <c r="I2892">
        <v>4686.28</v>
      </c>
      <c r="J2892">
        <v>5.78</v>
      </c>
      <c r="K2892">
        <v>8.57</v>
      </c>
      <c r="L2892">
        <v>11.91</v>
      </c>
      <c r="M2892">
        <v>11.92</v>
      </c>
      <c r="N2892">
        <v>4293.18</v>
      </c>
    </row>
    <row r="2893" spans="1:14" x14ac:dyDescent="0.2">
      <c r="A2893" s="1">
        <v>45714</v>
      </c>
      <c r="B2893" s="2" t="s">
        <v>34</v>
      </c>
      <c r="C2893" s="2" t="s">
        <v>28</v>
      </c>
      <c r="D2893" s="2" t="s">
        <v>16</v>
      </c>
      <c r="E2893">
        <v>7575</v>
      </c>
      <c r="F2893">
        <v>529</v>
      </c>
      <c r="G2893">
        <v>73</v>
      </c>
      <c r="H2893">
        <v>238.95</v>
      </c>
      <c r="I2893">
        <v>10364.77</v>
      </c>
      <c r="J2893">
        <v>6.98</v>
      </c>
      <c r="K2893">
        <v>13.8</v>
      </c>
      <c r="L2893">
        <v>3.27</v>
      </c>
      <c r="M2893">
        <v>43.38</v>
      </c>
      <c r="N2893">
        <v>10125.82</v>
      </c>
    </row>
    <row r="2894" spans="1:14" x14ac:dyDescent="0.2">
      <c r="A2894" s="1">
        <v>45715</v>
      </c>
      <c r="B2894" s="2" t="s">
        <v>14</v>
      </c>
      <c r="C2894" s="2" t="s">
        <v>15</v>
      </c>
      <c r="D2894" s="2" t="s">
        <v>22</v>
      </c>
      <c r="E2894">
        <v>17971</v>
      </c>
      <c r="F2894">
        <v>740</v>
      </c>
      <c r="G2894">
        <v>63</v>
      </c>
      <c r="H2894">
        <v>1266.76</v>
      </c>
      <c r="I2894">
        <v>8728.91</v>
      </c>
      <c r="J2894">
        <v>4.12</v>
      </c>
      <c r="K2894">
        <v>8.51</v>
      </c>
      <c r="L2894">
        <v>20.11</v>
      </c>
      <c r="M2894">
        <v>6.89</v>
      </c>
      <c r="N2894">
        <v>7462.15</v>
      </c>
    </row>
    <row r="2895" spans="1:14" x14ac:dyDescent="0.2">
      <c r="A2895" s="1">
        <v>45715</v>
      </c>
      <c r="B2895" s="2" t="s">
        <v>17</v>
      </c>
      <c r="C2895" s="2" t="s">
        <v>18</v>
      </c>
      <c r="D2895" s="2" t="s">
        <v>22</v>
      </c>
      <c r="E2895">
        <v>23462</v>
      </c>
      <c r="F2895">
        <v>604</v>
      </c>
      <c r="G2895">
        <v>39</v>
      </c>
      <c r="H2895">
        <v>1327.47</v>
      </c>
      <c r="I2895">
        <v>3939.56</v>
      </c>
      <c r="J2895">
        <v>2.57</v>
      </c>
      <c r="K2895">
        <v>6.46</v>
      </c>
      <c r="L2895">
        <v>34.04</v>
      </c>
      <c r="M2895">
        <v>2.97</v>
      </c>
      <c r="N2895">
        <v>2612.09</v>
      </c>
    </row>
    <row r="2896" spans="1:14" x14ac:dyDescent="0.2">
      <c r="A2896" s="1">
        <v>45715</v>
      </c>
      <c r="B2896" s="2" t="s">
        <v>20</v>
      </c>
      <c r="C2896" s="2" t="s">
        <v>35</v>
      </c>
      <c r="D2896" s="2" t="s">
        <v>36</v>
      </c>
      <c r="E2896">
        <v>15433</v>
      </c>
      <c r="F2896">
        <v>631</v>
      </c>
      <c r="G2896">
        <v>30</v>
      </c>
      <c r="H2896">
        <v>710.74</v>
      </c>
      <c r="I2896">
        <v>3552.26</v>
      </c>
      <c r="J2896">
        <v>4.09</v>
      </c>
      <c r="K2896">
        <v>4.75</v>
      </c>
      <c r="L2896">
        <v>23.69</v>
      </c>
      <c r="M2896">
        <v>5</v>
      </c>
      <c r="N2896">
        <v>2841.52</v>
      </c>
    </row>
    <row r="2897" spans="1:14" x14ac:dyDescent="0.2">
      <c r="A2897" s="1">
        <v>45715</v>
      </c>
      <c r="B2897" s="2" t="s">
        <v>23</v>
      </c>
      <c r="C2897" s="2" t="s">
        <v>15</v>
      </c>
      <c r="D2897" s="2" t="s">
        <v>16</v>
      </c>
      <c r="E2897">
        <v>5973</v>
      </c>
      <c r="F2897">
        <v>114</v>
      </c>
      <c r="G2897">
        <v>15</v>
      </c>
      <c r="H2897">
        <v>2053.11</v>
      </c>
      <c r="I2897">
        <v>4313.63</v>
      </c>
      <c r="J2897">
        <v>1.91</v>
      </c>
      <c r="K2897">
        <v>13.16</v>
      </c>
      <c r="L2897">
        <v>136.87</v>
      </c>
      <c r="M2897">
        <v>2.1</v>
      </c>
      <c r="N2897">
        <v>2260.52</v>
      </c>
    </row>
    <row r="2898" spans="1:14" x14ac:dyDescent="0.2">
      <c r="A2898" s="1">
        <v>45715</v>
      </c>
      <c r="B2898" s="2" t="s">
        <v>24</v>
      </c>
      <c r="C2898" s="2" t="s">
        <v>28</v>
      </c>
      <c r="D2898" s="2" t="s">
        <v>19</v>
      </c>
      <c r="E2898">
        <v>18619</v>
      </c>
      <c r="F2898">
        <v>4450</v>
      </c>
      <c r="G2898">
        <v>554</v>
      </c>
      <c r="H2898">
        <v>230.77</v>
      </c>
      <c r="I2898">
        <v>76088.94</v>
      </c>
      <c r="J2898">
        <v>23.9</v>
      </c>
      <c r="K2898">
        <v>12.45</v>
      </c>
      <c r="L2898">
        <v>0.42</v>
      </c>
      <c r="M2898">
        <v>329.72</v>
      </c>
      <c r="N2898">
        <v>75858.17</v>
      </c>
    </row>
    <row r="2899" spans="1:14" x14ac:dyDescent="0.2">
      <c r="A2899" s="1">
        <v>45715</v>
      </c>
      <c r="B2899" s="2" t="s">
        <v>26</v>
      </c>
      <c r="C2899" s="2" t="s">
        <v>35</v>
      </c>
      <c r="D2899" s="2" t="s">
        <v>19</v>
      </c>
      <c r="E2899">
        <v>40936</v>
      </c>
      <c r="F2899">
        <v>2990</v>
      </c>
      <c r="G2899">
        <v>423</v>
      </c>
      <c r="H2899">
        <v>0</v>
      </c>
      <c r="I2899">
        <v>65101.1</v>
      </c>
      <c r="J2899">
        <v>7.3</v>
      </c>
      <c r="K2899">
        <v>14.15</v>
      </c>
      <c r="L2899">
        <v>0</v>
      </c>
      <c r="M2899">
        <v>0</v>
      </c>
      <c r="N2899">
        <v>65101.1</v>
      </c>
    </row>
    <row r="2900" spans="1:14" x14ac:dyDescent="0.2">
      <c r="A2900" s="1">
        <v>45715</v>
      </c>
      <c r="B2900" s="2" t="s">
        <v>27</v>
      </c>
      <c r="C2900" s="2" t="s">
        <v>35</v>
      </c>
      <c r="D2900" s="2" t="s">
        <v>25</v>
      </c>
      <c r="E2900">
        <v>34621</v>
      </c>
      <c r="F2900">
        <v>362</v>
      </c>
      <c r="G2900">
        <v>16</v>
      </c>
      <c r="H2900">
        <v>1140.33</v>
      </c>
      <c r="I2900">
        <v>1348.83</v>
      </c>
      <c r="J2900">
        <v>1.05</v>
      </c>
      <c r="K2900">
        <v>4.42</v>
      </c>
      <c r="L2900">
        <v>71.27</v>
      </c>
      <c r="M2900">
        <v>1.18</v>
      </c>
      <c r="N2900">
        <v>208.5</v>
      </c>
    </row>
    <row r="2901" spans="1:14" x14ac:dyDescent="0.2">
      <c r="A2901" s="1">
        <v>45715</v>
      </c>
      <c r="B2901" s="2" t="s">
        <v>29</v>
      </c>
      <c r="C2901" s="2" t="s">
        <v>32</v>
      </c>
      <c r="D2901" s="2" t="s">
        <v>19</v>
      </c>
      <c r="E2901">
        <v>26354</v>
      </c>
      <c r="F2901">
        <v>510</v>
      </c>
      <c r="G2901">
        <v>27</v>
      </c>
      <c r="H2901">
        <v>1494.73</v>
      </c>
      <c r="I2901">
        <v>4103.55</v>
      </c>
      <c r="J2901">
        <v>1.94</v>
      </c>
      <c r="K2901">
        <v>5.29</v>
      </c>
      <c r="L2901">
        <v>55.36</v>
      </c>
      <c r="M2901">
        <v>2.75</v>
      </c>
      <c r="N2901">
        <v>2608.8200000000002</v>
      </c>
    </row>
    <row r="2902" spans="1:14" x14ac:dyDescent="0.2">
      <c r="A2902" s="1">
        <v>45715</v>
      </c>
      <c r="B2902" s="2" t="s">
        <v>30</v>
      </c>
      <c r="C2902" s="2" t="s">
        <v>35</v>
      </c>
      <c r="D2902" s="2" t="s">
        <v>16</v>
      </c>
      <c r="E2902">
        <v>14610</v>
      </c>
      <c r="F2902">
        <v>444</v>
      </c>
      <c r="G2902">
        <v>18</v>
      </c>
      <c r="H2902">
        <v>809.31</v>
      </c>
      <c r="I2902">
        <v>1720.38</v>
      </c>
      <c r="J2902">
        <v>3.04</v>
      </c>
      <c r="K2902">
        <v>4.05</v>
      </c>
      <c r="L2902">
        <v>44.96</v>
      </c>
      <c r="M2902">
        <v>2.13</v>
      </c>
      <c r="N2902">
        <v>911.07</v>
      </c>
    </row>
    <row r="2903" spans="1:14" x14ac:dyDescent="0.2">
      <c r="A2903" s="1">
        <v>45715</v>
      </c>
      <c r="B2903" s="2" t="s">
        <v>31</v>
      </c>
      <c r="C2903" s="2" t="s">
        <v>28</v>
      </c>
      <c r="D2903" s="2" t="s">
        <v>16</v>
      </c>
      <c r="E2903">
        <v>35008</v>
      </c>
      <c r="F2903">
        <v>1077</v>
      </c>
      <c r="G2903">
        <v>36</v>
      </c>
      <c r="H2903">
        <v>1209.96</v>
      </c>
      <c r="I2903">
        <v>2471.59</v>
      </c>
      <c r="J2903">
        <v>3.08</v>
      </c>
      <c r="K2903">
        <v>3.34</v>
      </c>
      <c r="L2903">
        <v>33.61</v>
      </c>
      <c r="M2903">
        <v>2.04</v>
      </c>
      <c r="N2903">
        <v>1261.6300000000001</v>
      </c>
    </row>
    <row r="2904" spans="1:14" x14ac:dyDescent="0.2">
      <c r="A2904" s="1">
        <v>45715</v>
      </c>
      <c r="B2904" s="2" t="s">
        <v>33</v>
      </c>
      <c r="C2904" s="2" t="s">
        <v>35</v>
      </c>
      <c r="D2904" s="2" t="s">
        <v>25</v>
      </c>
      <c r="E2904">
        <v>11643</v>
      </c>
      <c r="F2904">
        <v>601</v>
      </c>
      <c r="G2904">
        <v>49</v>
      </c>
      <c r="H2904">
        <v>750.63</v>
      </c>
      <c r="I2904">
        <v>4701.78</v>
      </c>
      <c r="J2904">
        <v>5.16</v>
      </c>
      <c r="K2904">
        <v>8.15</v>
      </c>
      <c r="L2904">
        <v>15.32</v>
      </c>
      <c r="M2904">
        <v>6.26</v>
      </c>
      <c r="N2904">
        <v>3951.15</v>
      </c>
    </row>
    <row r="2905" spans="1:14" x14ac:dyDescent="0.2">
      <c r="A2905" s="1">
        <v>45715</v>
      </c>
      <c r="B2905" s="2" t="s">
        <v>34</v>
      </c>
      <c r="C2905" s="2" t="s">
        <v>21</v>
      </c>
      <c r="D2905" s="2" t="s">
        <v>25</v>
      </c>
      <c r="E2905">
        <v>7173</v>
      </c>
      <c r="F2905">
        <v>711</v>
      </c>
      <c r="G2905">
        <v>97</v>
      </c>
      <c r="H2905">
        <v>218.18</v>
      </c>
      <c r="I2905">
        <v>12918.77</v>
      </c>
      <c r="J2905">
        <v>9.91</v>
      </c>
      <c r="K2905">
        <v>13.64</v>
      </c>
      <c r="L2905">
        <v>2.25</v>
      </c>
      <c r="M2905">
        <v>59.21</v>
      </c>
      <c r="N2905">
        <v>12700.59</v>
      </c>
    </row>
    <row r="2906" spans="1:14" x14ac:dyDescent="0.2">
      <c r="A2906" s="1">
        <v>45716</v>
      </c>
      <c r="B2906" s="2" t="s">
        <v>14</v>
      </c>
      <c r="C2906" s="2" t="s">
        <v>32</v>
      </c>
      <c r="D2906" s="2" t="s">
        <v>25</v>
      </c>
      <c r="E2906">
        <v>14443</v>
      </c>
      <c r="F2906">
        <v>517</v>
      </c>
      <c r="G2906">
        <v>57</v>
      </c>
      <c r="H2906">
        <v>1292.32</v>
      </c>
      <c r="I2906">
        <v>9316.14</v>
      </c>
      <c r="J2906">
        <v>3.58</v>
      </c>
      <c r="K2906">
        <v>11.03</v>
      </c>
      <c r="L2906">
        <v>22.67</v>
      </c>
      <c r="M2906">
        <v>7.21</v>
      </c>
      <c r="N2906">
        <v>8023.82</v>
      </c>
    </row>
    <row r="2907" spans="1:14" x14ac:dyDescent="0.2">
      <c r="A2907" s="1">
        <v>45716</v>
      </c>
      <c r="B2907" s="2" t="s">
        <v>17</v>
      </c>
      <c r="C2907" s="2" t="s">
        <v>21</v>
      </c>
      <c r="D2907" s="2" t="s">
        <v>19</v>
      </c>
      <c r="E2907">
        <v>15483</v>
      </c>
      <c r="F2907">
        <v>561</v>
      </c>
      <c r="G2907">
        <v>46</v>
      </c>
      <c r="H2907">
        <v>795.29</v>
      </c>
      <c r="I2907">
        <v>4798.18</v>
      </c>
      <c r="J2907">
        <v>3.62</v>
      </c>
      <c r="K2907">
        <v>8.1999999999999993</v>
      </c>
      <c r="L2907">
        <v>17.29</v>
      </c>
      <c r="M2907">
        <v>6.03</v>
      </c>
      <c r="N2907">
        <v>4002.89</v>
      </c>
    </row>
    <row r="2908" spans="1:14" x14ac:dyDescent="0.2">
      <c r="A2908" s="1">
        <v>45716</v>
      </c>
      <c r="B2908" s="2" t="s">
        <v>20</v>
      </c>
      <c r="C2908" s="2" t="s">
        <v>35</v>
      </c>
      <c r="D2908" s="2" t="s">
        <v>19</v>
      </c>
      <c r="E2908">
        <v>15362</v>
      </c>
      <c r="F2908">
        <v>564</v>
      </c>
      <c r="G2908">
        <v>32</v>
      </c>
      <c r="H2908">
        <v>985.3</v>
      </c>
      <c r="I2908">
        <v>3423.06</v>
      </c>
      <c r="J2908">
        <v>3.67</v>
      </c>
      <c r="K2908">
        <v>5.67</v>
      </c>
      <c r="L2908">
        <v>30.79</v>
      </c>
      <c r="M2908">
        <v>3.47</v>
      </c>
      <c r="N2908">
        <v>2437.7600000000002</v>
      </c>
    </row>
    <row r="2909" spans="1:14" x14ac:dyDescent="0.2">
      <c r="A2909" s="1">
        <v>45716</v>
      </c>
      <c r="B2909" s="2" t="s">
        <v>23</v>
      </c>
      <c r="C2909" s="2" t="s">
        <v>15</v>
      </c>
      <c r="D2909" s="2" t="s">
        <v>25</v>
      </c>
      <c r="E2909">
        <v>6654</v>
      </c>
      <c r="F2909">
        <v>153</v>
      </c>
      <c r="G2909">
        <v>16</v>
      </c>
      <c r="H2909">
        <v>2120.6</v>
      </c>
      <c r="I2909">
        <v>5294.78</v>
      </c>
      <c r="J2909">
        <v>2.2999999999999998</v>
      </c>
      <c r="K2909">
        <v>10.46</v>
      </c>
      <c r="L2909">
        <v>132.54</v>
      </c>
      <c r="M2909">
        <v>2.5</v>
      </c>
      <c r="N2909">
        <v>3174.18</v>
      </c>
    </row>
    <row r="2910" spans="1:14" x14ac:dyDescent="0.2">
      <c r="A2910" s="1">
        <v>45716</v>
      </c>
      <c r="B2910" s="2" t="s">
        <v>24</v>
      </c>
      <c r="C2910" s="2" t="s">
        <v>28</v>
      </c>
      <c r="D2910" s="2" t="s">
        <v>36</v>
      </c>
      <c r="E2910">
        <v>22269</v>
      </c>
      <c r="F2910">
        <v>3426</v>
      </c>
      <c r="G2910">
        <v>304</v>
      </c>
      <c r="H2910">
        <v>184.67</v>
      </c>
      <c r="I2910">
        <v>42407.18</v>
      </c>
      <c r="J2910">
        <v>15.38</v>
      </c>
      <c r="K2910">
        <v>8.8699999999999992</v>
      </c>
      <c r="L2910">
        <v>0.61</v>
      </c>
      <c r="M2910">
        <v>229.64</v>
      </c>
      <c r="N2910">
        <v>42222.51</v>
      </c>
    </row>
    <row r="2911" spans="1:14" x14ac:dyDescent="0.2">
      <c r="A2911" s="1">
        <v>45716</v>
      </c>
      <c r="B2911" s="2" t="s">
        <v>26</v>
      </c>
      <c r="C2911" s="2" t="s">
        <v>18</v>
      </c>
      <c r="D2911" s="2" t="s">
        <v>36</v>
      </c>
      <c r="E2911">
        <v>30423</v>
      </c>
      <c r="F2911">
        <v>2281</v>
      </c>
      <c r="G2911">
        <v>272</v>
      </c>
      <c r="H2911">
        <v>0</v>
      </c>
      <c r="I2911">
        <v>40140.230000000003</v>
      </c>
      <c r="J2911">
        <v>7.5</v>
      </c>
      <c r="K2911">
        <v>11.92</v>
      </c>
      <c r="L2911">
        <v>0</v>
      </c>
      <c r="M2911">
        <v>0</v>
      </c>
      <c r="N2911">
        <v>40140.230000000003</v>
      </c>
    </row>
    <row r="2912" spans="1:14" x14ac:dyDescent="0.2">
      <c r="A2912" s="1">
        <v>45716</v>
      </c>
      <c r="B2912" s="2" t="s">
        <v>27</v>
      </c>
      <c r="C2912" s="2" t="s">
        <v>32</v>
      </c>
      <c r="D2912" s="2" t="s">
        <v>19</v>
      </c>
      <c r="E2912">
        <v>35346</v>
      </c>
      <c r="F2912">
        <v>666</v>
      </c>
      <c r="G2912">
        <v>25</v>
      </c>
      <c r="H2912">
        <v>1362.18</v>
      </c>
      <c r="I2912">
        <v>3153.44</v>
      </c>
      <c r="J2912">
        <v>1.88</v>
      </c>
      <c r="K2912">
        <v>3.75</v>
      </c>
      <c r="L2912">
        <v>54.49</v>
      </c>
      <c r="M2912">
        <v>2.31</v>
      </c>
      <c r="N2912">
        <v>1791.26</v>
      </c>
    </row>
    <row r="2913" spans="1:14" x14ac:dyDescent="0.2">
      <c r="A2913" s="1">
        <v>45716</v>
      </c>
      <c r="B2913" s="2" t="s">
        <v>29</v>
      </c>
      <c r="C2913" s="2" t="s">
        <v>28</v>
      </c>
      <c r="D2913" s="2" t="s">
        <v>22</v>
      </c>
      <c r="E2913">
        <v>22512</v>
      </c>
      <c r="F2913">
        <v>595</v>
      </c>
      <c r="G2913">
        <v>38</v>
      </c>
      <c r="H2913">
        <v>1280.17</v>
      </c>
      <c r="I2913">
        <v>5318.87</v>
      </c>
      <c r="J2913">
        <v>2.64</v>
      </c>
      <c r="K2913">
        <v>6.39</v>
      </c>
      <c r="L2913">
        <v>33.69</v>
      </c>
      <c r="M2913">
        <v>4.1500000000000004</v>
      </c>
      <c r="N2913">
        <v>4038.7</v>
      </c>
    </row>
    <row r="2914" spans="1:14" x14ac:dyDescent="0.2">
      <c r="A2914" s="1">
        <v>45716</v>
      </c>
      <c r="B2914" s="2" t="s">
        <v>30</v>
      </c>
      <c r="C2914" s="2" t="s">
        <v>21</v>
      </c>
      <c r="D2914" s="2" t="s">
        <v>19</v>
      </c>
      <c r="E2914">
        <v>16070</v>
      </c>
      <c r="F2914">
        <v>393</v>
      </c>
      <c r="G2914">
        <v>15</v>
      </c>
      <c r="H2914">
        <v>699.96</v>
      </c>
      <c r="I2914">
        <v>1627.11</v>
      </c>
      <c r="J2914">
        <v>2.4500000000000002</v>
      </c>
      <c r="K2914">
        <v>3.82</v>
      </c>
      <c r="L2914">
        <v>46.66</v>
      </c>
      <c r="M2914">
        <v>2.3199999999999998</v>
      </c>
      <c r="N2914">
        <v>927.15</v>
      </c>
    </row>
    <row r="2915" spans="1:14" x14ac:dyDescent="0.2">
      <c r="A2915" s="1">
        <v>45716</v>
      </c>
      <c r="B2915" s="2" t="s">
        <v>31</v>
      </c>
      <c r="C2915" s="2" t="s">
        <v>28</v>
      </c>
      <c r="D2915" s="2" t="s">
        <v>25</v>
      </c>
      <c r="E2915">
        <v>21960</v>
      </c>
      <c r="F2915">
        <v>889</v>
      </c>
      <c r="G2915">
        <v>27</v>
      </c>
      <c r="H2915">
        <v>1130.83</v>
      </c>
      <c r="I2915">
        <v>2673.96</v>
      </c>
      <c r="J2915">
        <v>4.05</v>
      </c>
      <c r="K2915">
        <v>3.04</v>
      </c>
      <c r="L2915">
        <v>41.88</v>
      </c>
      <c r="M2915">
        <v>2.36</v>
      </c>
      <c r="N2915">
        <v>1543.13</v>
      </c>
    </row>
    <row r="2916" spans="1:14" x14ac:dyDescent="0.2">
      <c r="A2916" s="1">
        <v>45716</v>
      </c>
      <c r="B2916" s="2" t="s">
        <v>33</v>
      </c>
      <c r="C2916" s="2" t="s">
        <v>32</v>
      </c>
      <c r="D2916" s="2" t="s">
        <v>36</v>
      </c>
      <c r="E2916">
        <v>10318</v>
      </c>
      <c r="F2916">
        <v>591</v>
      </c>
      <c r="G2916">
        <v>70</v>
      </c>
      <c r="H2916">
        <v>590.78</v>
      </c>
      <c r="I2916">
        <v>9683.39</v>
      </c>
      <c r="J2916">
        <v>5.73</v>
      </c>
      <c r="K2916">
        <v>11.84</v>
      </c>
      <c r="L2916">
        <v>8.44</v>
      </c>
      <c r="M2916">
        <v>16.39</v>
      </c>
      <c r="N2916">
        <v>9092.61</v>
      </c>
    </row>
    <row r="2917" spans="1:14" x14ac:dyDescent="0.2">
      <c r="A2917" s="1">
        <v>45716</v>
      </c>
      <c r="B2917" s="2" t="s">
        <v>34</v>
      </c>
      <c r="C2917" s="2" t="s">
        <v>18</v>
      </c>
      <c r="D2917" s="2" t="s">
        <v>16</v>
      </c>
      <c r="E2917">
        <v>5566</v>
      </c>
      <c r="F2917">
        <v>352</v>
      </c>
      <c r="G2917">
        <v>51</v>
      </c>
      <c r="H2917">
        <v>90.51</v>
      </c>
      <c r="I2917">
        <v>5897.6</v>
      </c>
      <c r="J2917">
        <v>6.32</v>
      </c>
      <c r="K2917">
        <v>14.49</v>
      </c>
      <c r="L2917">
        <v>1.77</v>
      </c>
      <c r="M2917">
        <v>65.16</v>
      </c>
      <c r="N2917">
        <v>5807.09</v>
      </c>
    </row>
    <row r="2918" spans="1:14" x14ac:dyDescent="0.2">
      <c r="A2918" s="1">
        <v>45717</v>
      </c>
      <c r="B2918" s="2" t="s">
        <v>14</v>
      </c>
      <c r="C2918" s="2" t="s">
        <v>21</v>
      </c>
      <c r="D2918" s="2" t="s">
        <v>19</v>
      </c>
      <c r="E2918">
        <v>9313</v>
      </c>
      <c r="F2918">
        <v>432</v>
      </c>
      <c r="G2918">
        <v>48</v>
      </c>
      <c r="H2918">
        <v>728.59</v>
      </c>
      <c r="I2918">
        <v>6851.85</v>
      </c>
      <c r="J2918">
        <v>4.6399999999999997</v>
      </c>
      <c r="K2918">
        <v>11.11</v>
      </c>
      <c r="L2918">
        <v>15.18</v>
      </c>
      <c r="M2918">
        <v>9.4</v>
      </c>
      <c r="N2918">
        <v>6123.26</v>
      </c>
    </row>
    <row r="2919" spans="1:14" x14ac:dyDescent="0.2">
      <c r="A2919" s="1">
        <v>45717</v>
      </c>
      <c r="B2919" s="2" t="s">
        <v>17</v>
      </c>
      <c r="C2919" s="2" t="s">
        <v>21</v>
      </c>
      <c r="D2919" s="2" t="s">
        <v>19</v>
      </c>
      <c r="E2919">
        <v>9874</v>
      </c>
      <c r="F2919">
        <v>255</v>
      </c>
      <c r="G2919">
        <v>16</v>
      </c>
      <c r="H2919">
        <v>583.89</v>
      </c>
      <c r="I2919">
        <v>2014.85</v>
      </c>
      <c r="J2919">
        <v>2.58</v>
      </c>
      <c r="K2919">
        <v>6.27</v>
      </c>
      <c r="L2919">
        <v>36.49</v>
      </c>
      <c r="M2919">
        <v>3.45</v>
      </c>
      <c r="N2919">
        <v>1430.96</v>
      </c>
    </row>
    <row r="2920" spans="1:14" x14ac:dyDescent="0.2">
      <c r="A2920" s="1">
        <v>45717</v>
      </c>
      <c r="B2920" s="2" t="s">
        <v>20</v>
      </c>
      <c r="C2920" s="2" t="s">
        <v>35</v>
      </c>
      <c r="D2920" s="2" t="s">
        <v>19</v>
      </c>
      <c r="E2920">
        <v>10164</v>
      </c>
      <c r="F2920">
        <v>307</v>
      </c>
      <c r="G2920">
        <v>22</v>
      </c>
      <c r="H2920">
        <v>575.66</v>
      </c>
      <c r="I2920">
        <v>2012.72</v>
      </c>
      <c r="J2920">
        <v>3.02</v>
      </c>
      <c r="K2920">
        <v>7.17</v>
      </c>
      <c r="L2920">
        <v>26.17</v>
      </c>
      <c r="M2920">
        <v>3.5</v>
      </c>
      <c r="N2920">
        <v>1437.06</v>
      </c>
    </row>
    <row r="2921" spans="1:14" x14ac:dyDescent="0.2">
      <c r="A2921" s="1">
        <v>45717</v>
      </c>
      <c r="B2921" s="2" t="s">
        <v>23</v>
      </c>
      <c r="C2921" s="2" t="s">
        <v>15</v>
      </c>
      <c r="D2921" s="2" t="s">
        <v>19</v>
      </c>
      <c r="E2921">
        <v>2932</v>
      </c>
      <c r="F2921">
        <v>66</v>
      </c>
      <c r="G2921">
        <v>8</v>
      </c>
      <c r="H2921">
        <v>851.05</v>
      </c>
      <c r="I2921">
        <v>2887.94</v>
      </c>
      <c r="J2921">
        <v>2.25</v>
      </c>
      <c r="K2921">
        <v>12.12</v>
      </c>
      <c r="L2921">
        <v>106.38</v>
      </c>
      <c r="M2921">
        <v>3.39</v>
      </c>
      <c r="N2921">
        <v>2036.89</v>
      </c>
    </row>
    <row r="2922" spans="1:14" x14ac:dyDescent="0.2">
      <c r="A2922" s="1">
        <v>45717</v>
      </c>
      <c r="B2922" s="2" t="s">
        <v>24</v>
      </c>
      <c r="C2922" s="2" t="s">
        <v>32</v>
      </c>
      <c r="D2922" s="2" t="s">
        <v>36</v>
      </c>
      <c r="E2922">
        <v>12577</v>
      </c>
      <c r="F2922">
        <v>2478</v>
      </c>
      <c r="G2922">
        <v>223</v>
      </c>
      <c r="H2922">
        <v>108.44</v>
      </c>
      <c r="I2922">
        <v>28725.18</v>
      </c>
      <c r="J2922">
        <v>19.7</v>
      </c>
      <c r="K2922">
        <v>9</v>
      </c>
      <c r="L2922">
        <v>0.49</v>
      </c>
      <c r="M2922">
        <v>264.89</v>
      </c>
      <c r="N2922">
        <v>28616.74</v>
      </c>
    </row>
    <row r="2923" spans="1:14" x14ac:dyDescent="0.2">
      <c r="A2923" s="1">
        <v>45717</v>
      </c>
      <c r="B2923" s="2" t="s">
        <v>26</v>
      </c>
      <c r="C2923" s="2" t="s">
        <v>35</v>
      </c>
      <c r="D2923" s="2" t="s">
        <v>36</v>
      </c>
      <c r="E2923">
        <v>19828</v>
      </c>
      <c r="F2923">
        <v>907</v>
      </c>
      <c r="G2923">
        <v>98</v>
      </c>
      <c r="H2923">
        <v>0</v>
      </c>
      <c r="I2923">
        <v>13388.88</v>
      </c>
      <c r="J2923">
        <v>4.57</v>
      </c>
      <c r="K2923">
        <v>10.8</v>
      </c>
      <c r="L2923">
        <v>0</v>
      </c>
      <c r="M2923">
        <v>0</v>
      </c>
      <c r="N2923">
        <v>13388.88</v>
      </c>
    </row>
    <row r="2924" spans="1:14" x14ac:dyDescent="0.2">
      <c r="A2924" s="1">
        <v>45717</v>
      </c>
      <c r="B2924" s="2" t="s">
        <v>27</v>
      </c>
      <c r="C2924" s="2" t="s">
        <v>35</v>
      </c>
      <c r="D2924" s="2" t="s">
        <v>25</v>
      </c>
      <c r="E2924">
        <v>18503</v>
      </c>
      <c r="F2924">
        <v>244</v>
      </c>
      <c r="G2924">
        <v>4</v>
      </c>
      <c r="H2924">
        <v>542.86</v>
      </c>
      <c r="I2924">
        <v>376.98</v>
      </c>
      <c r="J2924">
        <v>1.32</v>
      </c>
      <c r="K2924">
        <v>1.64</v>
      </c>
      <c r="L2924">
        <v>135.72</v>
      </c>
      <c r="M2924">
        <v>0.69</v>
      </c>
      <c r="N2924">
        <v>-165.88</v>
      </c>
    </row>
    <row r="2925" spans="1:14" x14ac:dyDescent="0.2">
      <c r="A2925" s="1">
        <v>45717</v>
      </c>
      <c r="B2925" s="2" t="s">
        <v>29</v>
      </c>
      <c r="C2925" s="2" t="s">
        <v>32</v>
      </c>
      <c r="D2925" s="2" t="s">
        <v>36</v>
      </c>
      <c r="E2925">
        <v>11916</v>
      </c>
      <c r="F2925">
        <v>355</v>
      </c>
      <c r="G2925">
        <v>17</v>
      </c>
      <c r="H2925">
        <v>831.54</v>
      </c>
      <c r="I2925">
        <v>1974.02</v>
      </c>
      <c r="J2925">
        <v>2.98</v>
      </c>
      <c r="K2925">
        <v>4.79</v>
      </c>
      <c r="L2925">
        <v>48.91</v>
      </c>
      <c r="M2925">
        <v>2.37</v>
      </c>
      <c r="N2925">
        <v>1142.48</v>
      </c>
    </row>
    <row r="2926" spans="1:14" x14ac:dyDescent="0.2">
      <c r="A2926" s="1">
        <v>45717</v>
      </c>
      <c r="B2926" s="2" t="s">
        <v>30</v>
      </c>
      <c r="C2926" s="2" t="s">
        <v>28</v>
      </c>
      <c r="D2926" s="2" t="s">
        <v>22</v>
      </c>
      <c r="E2926">
        <v>7947</v>
      </c>
      <c r="F2926">
        <v>276</v>
      </c>
      <c r="G2926">
        <v>8</v>
      </c>
      <c r="H2926">
        <v>305.66000000000003</v>
      </c>
      <c r="I2926">
        <v>769.05</v>
      </c>
      <c r="J2926">
        <v>3.47</v>
      </c>
      <c r="K2926">
        <v>2.9</v>
      </c>
      <c r="L2926">
        <v>38.21</v>
      </c>
      <c r="M2926">
        <v>2.52</v>
      </c>
      <c r="N2926">
        <v>463.39</v>
      </c>
    </row>
    <row r="2927" spans="1:14" x14ac:dyDescent="0.2">
      <c r="A2927" s="1">
        <v>45717</v>
      </c>
      <c r="B2927" s="2" t="s">
        <v>31</v>
      </c>
      <c r="C2927" s="2" t="s">
        <v>21</v>
      </c>
      <c r="D2927" s="2" t="s">
        <v>16</v>
      </c>
      <c r="E2927">
        <v>13141</v>
      </c>
      <c r="F2927">
        <v>468</v>
      </c>
      <c r="G2927">
        <v>18</v>
      </c>
      <c r="H2927">
        <v>680.26</v>
      </c>
      <c r="I2927">
        <v>1610.57</v>
      </c>
      <c r="J2927">
        <v>3.56</v>
      </c>
      <c r="K2927">
        <v>3.85</v>
      </c>
      <c r="L2927">
        <v>37.79</v>
      </c>
      <c r="M2927">
        <v>2.37</v>
      </c>
      <c r="N2927">
        <v>930.31</v>
      </c>
    </row>
    <row r="2928" spans="1:14" x14ac:dyDescent="0.2">
      <c r="A2928" s="1">
        <v>45717</v>
      </c>
      <c r="B2928" s="2" t="s">
        <v>33</v>
      </c>
      <c r="C2928" s="2" t="s">
        <v>21</v>
      </c>
      <c r="D2928" s="2" t="s">
        <v>22</v>
      </c>
      <c r="E2928">
        <v>4589</v>
      </c>
      <c r="F2928">
        <v>247</v>
      </c>
      <c r="G2928">
        <v>26</v>
      </c>
      <c r="H2928">
        <v>371.98</v>
      </c>
      <c r="I2928">
        <v>2831.01</v>
      </c>
      <c r="J2928">
        <v>5.38</v>
      </c>
      <c r="K2928">
        <v>10.53</v>
      </c>
      <c r="L2928">
        <v>14.31</v>
      </c>
      <c r="M2928">
        <v>7.61</v>
      </c>
      <c r="N2928">
        <v>2459.0300000000002</v>
      </c>
    </row>
    <row r="2929" spans="1:14" x14ac:dyDescent="0.2">
      <c r="A2929" s="1">
        <v>45717</v>
      </c>
      <c r="B2929" s="2" t="s">
        <v>34</v>
      </c>
      <c r="C2929" s="2" t="s">
        <v>15</v>
      </c>
      <c r="D2929" s="2" t="s">
        <v>19</v>
      </c>
      <c r="E2929">
        <v>4314</v>
      </c>
      <c r="F2929">
        <v>406</v>
      </c>
      <c r="G2929">
        <v>51</v>
      </c>
      <c r="H2929">
        <v>39.32</v>
      </c>
      <c r="I2929">
        <v>7933.86</v>
      </c>
      <c r="J2929">
        <v>9.41</v>
      </c>
      <c r="K2929">
        <v>12.56</v>
      </c>
      <c r="L2929">
        <v>0.77</v>
      </c>
      <c r="M2929">
        <v>201.78</v>
      </c>
      <c r="N2929">
        <v>7894.54</v>
      </c>
    </row>
    <row r="2930" spans="1:14" x14ac:dyDescent="0.2">
      <c r="A2930" s="1">
        <v>45718</v>
      </c>
      <c r="B2930" s="2" t="s">
        <v>14</v>
      </c>
      <c r="C2930" s="2" t="s">
        <v>15</v>
      </c>
      <c r="D2930" s="2" t="s">
        <v>16</v>
      </c>
      <c r="E2930">
        <v>7468</v>
      </c>
      <c r="F2930">
        <v>301</v>
      </c>
      <c r="G2930">
        <v>26</v>
      </c>
      <c r="H2930">
        <v>936.03</v>
      </c>
      <c r="I2930">
        <v>4016.61</v>
      </c>
      <c r="J2930">
        <v>4.03</v>
      </c>
      <c r="K2930">
        <v>8.64</v>
      </c>
      <c r="L2930">
        <v>36</v>
      </c>
      <c r="M2930">
        <v>4.29</v>
      </c>
      <c r="N2930">
        <v>3080.58</v>
      </c>
    </row>
    <row r="2931" spans="1:14" x14ac:dyDescent="0.2">
      <c r="A2931" s="1">
        <v>45718</v>
      </c>
      <c r="B2931" s="2" t="s">
        <v>17</v>
      </c>
      <c r="C2931" s="2" t="s">
        <v>21</v>
      </c>
      <c r="D2931" s="2" t="s">
        <v>22</v>
      </c>
      <c r="E2931">
        <v>9670</v>
      </c>
      <c r="F2931">
        <v>230</v>
      </c>
      <c r="G2931">
        <v>18</v>
      </c>
      <c r="H2931">
        <v>780.41</v>
      </c>
      <c r="I2931">
        <v>2434.92</v>
      </c>
      <c r="J2931">
        <v>2.38</v>
      </c>
      <c r="K2931">
        <v>7.83</v>
      </c>
      <c r="L2931">
        <v>43.36</v>
      </c>
      <c r="M2931">
        <v>3.12</v>
      </c>
      <c r="N2931">
        <v>1654.51</v>
      </c>
    </row>
    <row r="2932" spans="1:14" x14ac:dyDescent="0.2">
      <c r="A2932" s="1">
        <v>45718</v>
      </c>
      <c r="B2932" s="2" t="s">
        <v>20</v>
      </c>
      <c r="C2932" s="2" t="s">
        <v>28</v>
      </c>
      <c r="D2932" s="2" t="s">
        <v>16</v>
      </c>
      <c r="E2932">
        <v>10255</v>
      </c>
      <c r="F2932">
        <v>397</v>
      </c>
      <c r="G2932">
        <v>22</v>
      </c>
      <c r="H2932">
        <v>693.4</v>
      </c>
      <c r="I2932">
        <v>2314.27</v>
      </c>
      <c r="J2932">
        <v>3.87</v>
      </c>
      <c r="K2932">
        <v>5.54</v>
      </c>
      <c r="L2932">
        <v>31.52</v>
      </c>
      <c r="M2932">
        <v>3.34</v>
      </c>
      <c r="N2932">
        <v>1620.87</v>
      </c>
    </row>
    <row r="2933" spans="1:14" x14ac:dyDescent="0.2">
      <c r="A2933" s="1">
        <v>45718</v>
      </c>
      <c r="B2933" s="2" t="s">
        <v>23</v>
      </c>
      <c r="C2933" s="2" t="s">
        <v>18</v>
      </c>
      <c r="D2933" s="2" t="s">
        <v>16</v>
      </c>
      <c r="E2933">
        <v>3538</v>
      </c>
      <c r="F2933">
        <v>63</v>
      </c>
      <c r="G2933">
        <v>7</v>
      </c>
      <c r="H2933">
        <v>678.97</v>
      </c>
      <c r="I2933">
        <v>1750.47</v>
      </c>
      <c r="J2933">
        <v>1.78</v>
      </c>
      <c r="K2933">
        <v>11.11</v>
      </c>
      <c r="L2933">
        <v>97</v>
      </c>
      <c r="M2933">
        <v>2.58</v>
      </c>
      <c r="N2933">
        <v>1071.5</v>
      </c>
    </row>
    <row r="2934" spans="1:14" x14ac:dyDescent="0.2">
      <c r="A2934" s="1">
        <v>45718</v>
      </c>
      <c r="B2934" s="2" t="s">
        <v>24</v>
      </c>
      <c r="C2934" s="2" t="s">
        <v>28</v>
      </c>
      <c r="D2934" s="2" t="s">
        <v>25</v>
      </c>
      <c r="E2934">
        <v>14433</v>
      </c>
      <c r="F2934">
        <v>3194</v>
      </c>
      <c r="G2934">
        <v>305</v>
      </c>
      <c r="H2934">
        <v>209.29</v>
      </c>
      <c r="I2934">
        <v>41074.92</v>
      </c>
      <c r="J2934">
        <v>22.13</v>
      </c>
      <c r="K2934">
        <v>9.5500000000000007</v>
      </c>
      <c r="L2934">
        <v>0.69</v>
      </c>
      <c r="M2934">
        <v>196.26</v>
      </c>
      <c r="N2934">
        <v>40865.629999999997</v>
      </c>
    </row>
    <row r="2935" spans="1:14" x14ac:dyDescent="0.2">
      <c r="A2935" s="1">
        <v>45718</v>
      </c>
      <c r="B2935" s="2" t="s">
        <v>26</v>
      </c>
      <c r="C2935" s="2" t="s">
        <v>18</v>
      </c>
      <c r="D2935" s="2" t="s">
        <v>16</v>
      </c>
      <c r="E2935">
        <v>14865</v>
      </c>
      <c r="F2935">
        <v>822</v>
      </c>
      <c r="G2935">
        <v>92</v>
      </c>
      <c r="H2935">
        <v>0</v>
      </c>
      <c r="I2935">
        <v>10043.41</v>
      </c>
      <c r="J2935">
        <v>5.53</v>
      </c>
      <c r="K2935">
        <v>11.19</v>
      </c>
      <c r="L2935">
        <v>0</v>
      </c>
      <c r="M2935">
        <v>0</v>
      </c>
      <c r="N2935">
        <v>10043.41</v>
      </c>
    </row>
    <row r="2936" spans="1:14" x14ac:dyDescent="0.2">
      <c r="A2936" s="1">
        <v>45718</v>
      </c>
      <c r="B2936" s="2" t="s">
        <v>27</v>
      </c>
      <c r="C2936" s="2" t="s">
        <v>28</v>
      </c>
      <c r="D2936" s="2" t="s">
        <v>25</v>
      </c>
      <c r="E2936">
        <v>21280</v>
      </c>
      <c r="F2936">
        <v>322</v>
      </c>
      <c r="G2936">
        <v>9</v>
      </c>
      <c r="H2936">
        <v>749.58</v>
      </c>
      <c r="I2936">
        <v>819.97</v>
      </c>
      <c r="J2936">
        <v>1.51</v>
      </c>
      <c r="K2936">
        <v>2.8</v>
      </c>
      <c r="L2936">
        <v>83.29</v>
      </c>
      <c r="M2936">
        <v>1.0900000000000001</v>
      </c>
      <c r="N2936">
        <v>70.39</v>
      </c>
    </row>
    <row r="2937" spans="1:14" x14ac:dyDescent="0.2">
      <c r="A2937" s="1">
        <v>45718</v>
      </c>
      <c r="B2937" s="2" t="s">
        <v>29</v>
      </c>
      <c r="C2937" s="2" t="s">
        <v>18</v>
      </c>
      <c r="D2937" s="2" t="s">
        <v>16</v>
      </c>
      <c r="E2937">
        <v>11823</v>
      </c>
      <c r="F2937">
        <v>242</v>
      </c>
      <c r="G2937">
        <v>11</v>
      </c>
      <c r="H2937">
        <v>598.86</v>
      </c>
      <c r="I2937">
        <v>1479.69</v>
      </c>
      <c r="J2937">
        <v>2.0499999999999998</v>
      </c>
      <c r="K2937">
        <v>4.55</v>
      </c>
      <c r="L2937">
        <v>54.44</v>
      </c>
      <c r="M2937">
        <v>2.4700000000000002</v>
      </c>
      <c r="N2937">
        <v>880.83</v>
      </c>
    </row>
    <row r="2938" spans="1:14" x14ac:dyDescent="0.2">
      <c r="A2938" s="1">
        <v>45718</v>
      </c>
      <c r="B2938" s="2" t="s">
        <v>30</v>
      </c>
      <c r="C2938" s="2" t="s">
        <v>35</v>
      </c>
      <c r="D2938" s="2" t="s">
        <v>25</v>
      </c>
      <c r="E2938">
        <v>8564</v>
      </c>
      <c r="F2938">
        <v>275</v>
      </c>
      <c r="G2938">
        <v>8</v>
      </c>
      <c r="H2938">
        <v>519.30999999999995</v>
      </c>
      <c r="I2938">
        <v>724.51</v>
      </c>
      <c r="J2938">
        <v>3.21</v>
      </c>
      <c r="K2938">
        <v>2.91</v>
      </c>
      <c r="L2938">
        <v>64.91</v>
      </c>
      <c r="M2938">
        <v>1.4</v>
      </c>
      <c r="N2938">
        <v>205.2</v>
      </c>
    </row>
    <row r="2939" spans="1:14" x14ac:dyDescent="0.2">
      <c r="A2939" s="1">
        <v>45718</v>
      </c>
      <c r="B2939" s="2" t="s">
        <v>31</v>
      </c>
      <c r="C2939" s="2" t="s">
        <v>21</v>
      </c>
      <c r="D2939" s="2" t="s">
        <v>16</v>
      </c>
      <c r="E2939">
        <v>20797</v>
      </c>
      <c r="F2939">
        <v>922</v>
      </c>
      <c r="G2939">
        <v>35</v>
      </c>
      <c r="H2939">
        <v>461.31</v>
      </c>
      <c r="I2939">
        <v>3615.77</v>
      </c>
      <c r="J2939">
        <v>4.43</v>
      </c>
      <c r="K2939">
        <v>3.8</v>
      </c>
      <c r="L2939">
        <v>13.18</v>
      </c>
      <c r="M2939">
        <v>7.84</v>
      </c>
      <c r="N2939">
        <v>3154.46</v>
      </c>
    </row>
    <row r="2940" spans="1:14" x14ac:dyDescent="0.2">
      <c r="A2940" s="1">
        <v>45718</v>
      </c>
      <c r="B2940" s="2" t="s">
        <v>33</v>
      </c>
      <c r="C2940" s="2" t="s">
        <v>15</v>
      </c>
      <c r="D2940" s="2" t="s">
        <v>36</v>
      </c>
      <c r="E2940">
        <v>4125</v>
      </c>
      <c r="F2940">
        <v>273</v>
      </c>
      <c r="G2940">
        <v>31</v>
      </c>
      <c r="H2940">
        <v>306.36</v>
      </c>
      <c r="I2940">
        <v>4896.34</v>
      </c>
      <c r="J2940">
        <v>6.62</v>
      </c>
      <c r="K2940">
        <v>11.36</v>
      </c>
      <c r="L2940">
        <v>9.8800000000000008</v>
      </c>
      <c r="M2940">
        <v>15.98</v>
      </c>
      <c r="N2940">
        <v>4589.9799999999996</v>
      </c>
    </row>
    <row r="2941" spans="1:14" x14ac:dyDescent="0.2">
      <c r="A2941" s="1">
        <v>45718</v>
      </c>
      <c r="B2941" s="2" t="s">
        <v>34</v>
      </c>
      <c r="C2941" s="2" t="s">
        <v>35</v>
      </c>
      <c r="D2941" s="2" t="s">
        <v>22</v>
      </c>
      <c r="E2941">
        <v>4078</v>
      </c>
      <c r="F2941">
        <v>263</v>
      </c>
      <c r="G2941">
        <v>31</v>
      </c>
      <c r="H2941">
        <v>105.53</v>
      </c>
      <c r="I2941">
        <v>5078.79</v>
      </c>
      <c r="J2941">
        <v>6.45</v>
      </c>
      <c r="K2941">
        <v>11.79</v>
      </c>
      <c r="L2941">
        <v>3.4</v>
      </c>
      <c r="M2941">
        <v>48.13</v>
      </c>
      <c r="N2941">
        <v>4973.26</v>
      </c>
    </row>
    <row r="2942" spans="1:14" x14ac:dyDescent="0.2">
      <c r="A2942" s="1">
        <v>45719</v>
      </c>
      <c r="B2942" s="2" t="s">
        <v>14</v>
      </c>
      <c r="C2942" s="2" t="s">
        <v>21</v>
      </c>
      <c r="D2942" s="2" t="s">
        <v>19</v>
      </c>
      <c r="E2942">
        <v>11151</v>
      </c>
      <c r="F2942">
        <v>396</v>
      </c>
      <c r="G2942">
        <v>35</v>
      </c>
      <c r="H2942">
        <v>1387.55</v>
      </c>
      <c r="I2942">
        <v>4602.87</v>
      </c>
      <c r="J2942">
        <v>3.55</v>
      </c>
      <c r="K2942">
        <v>8.84</v>
      </c>
      <c r="L2942">
        <v>39.64</v>
      </c>
      <c r="M2942">
        <v>3.32</v>
      </c>
      <c r="N2942">
        <v>3215.32</v>
      </c>
    </row>
    <row r="2943" spans="1:14" x14ac:dyDescent="0.2">
      <c r="A2943" s="1">
        <v>45719</v>
      </c>
      <c r="B2943" s="2" t="s">
        <v>17</v>
      </c>
      <c r="C2943" s="2" t="s">
        <v>28</v>
      </c>
      <c r="D2943" s="2" t="s">
        <v>22</v>
      </c>
      <c r="E2943">
        <v>19270</v>
      </c>
      <c r="F2943">
        <v>630</v>
      </c>
      <c r="G2943">
        <v>48</v>
      </c>
      <c r="H2943">
        <v>940.04</v>
      </c>
      <c r="I2943">
        <v>4279.51</v>
      </c>
      <c r="J2943">
        <v>3.27</v>
      </c>
      <c r="K2943">
        <v>7.62</v>
      </c>
      <c r="L2943">
        <v>19.579999999999998</v>
      </c>
      <c r="M2943">
        <v>4.55</v>
      </c>
      <c r="N2943">
        <v>3339.47</v>
      </c>
    </row>
    <row r="2944" spans="1:14" x14ac:dyDescent="0.2">
      <c r="A2944" s="1">
        <v>45719</v>
      </c>
      <c r="B2944" s="2" t="s">
        <v>20</v>
      </c>
      <c r="C2944" s="2" t="s">
        <v>21</v>
      </c>
      <c r="D2944" s="2" t="s">
        <v>25</v>
      </c>
      <c r="E2944">
        <v>12416</v>
      </c>
      <c r="F2944">
        <v>312</v>
      </c>
      <c r="G2944">
        <v>15</v>
      </c>
      <c r="H2944">
        <v>732.91</v>
      </c>
      <c r="I2944">
        <v>1856.84</v>
      </c>
      <c r="J2944">
        <v>2.5099999999999998</v>
      </c>
      <c r="K2944">
        <v>4.8099999999999996</v>
      </c>
      <c r="L2944">
        <v>48.86</v>
      </c>
      <c r="M2944">
        <v>2.5299999999999998</v>
      </c>
      <c r="N2944">
        <v>1123.93</v>
      </c>
    </row>
    <row r="2945" spans="1:14" x14ac:dyDescent="0.2">
      <c r="A2945" s="1">
        <v>45719</v>
      </c>
      <c r="B2945" s="2" t="s">
        <v>23</v>
      </c>
      <c r="C2945" s="2" t="s">
        <v>21</v>
      </c>
      <c r="D2945" s="2" t="s">
        <v>16</v>
      </c>
      <c r="E2945">
        <v>4183</v>
      </c>
      <c r="F2945">
        <v>99</v>
      </c>
      <c r="G2945">
        <v>10</v>
      </c>
      <c r="H2945">
        <v>1699.07</v>
      </c>
      <c r="I2945">
        <v>2520.75</v>
      </c>
      <c r="J2945">
        <v>2.37</v>
      </c>
      <c r="K2945">
        <v>10.1</v>
      </c>
      <c r="L2945">
        <v>169.91</v>
      </c>
      <c r="M2945">
        <v>1.48</v>
      </c>
      <c r="N2945">
        <v>821.68</v>
      </c>
    </row>
    <row r="2946" spans="1:14" x14ac:dyDescent="0.2">
      <c r="A2946" s="1">
        <v>45719</v>
      </c>
      <c r="B2946" s="2" t="s">
        <v>24</v>
      </c>
      <c r="C2946" s="2" t="s">
        <v>18</v>
      </c>
      <c r="D2946" s="2" t="s">
        <v>19</v>
      </c>
      <c r="E2946">
        <v>15635</v>
      </c>
      <c r="F2946">
        <v>2398</v>
      </c>
      <c r="G2946">
        <v>225</v>
      </c>
      <c r="H2946">
        <v>253.33</v>
      </c>
      <c r="I2946">
        <v>30598.59</v>
      </c>
      <c r="J2946">
        <v>15.34</v>
      </c>
      <c r="K2946">
        <v>9.3800000000000008</v>
      </c>
      <c r="L2946">
        <v>1.1299999999999999</v>
      </c>
      <c r="M2946">
        <v>120.79</v>
      </c>
      <c r="N2946">
        <v>30345.26</v>
      </c>
    </row>
    <row r="2947" spans="1:14" x14ac:dyDescent="0.2">
      <c r="A2947" s="1">
        <v>45719</v>
      </c>
      <c r="B2947" s="2" t="s">
        <v>26</v>
      </c>
      <c r="C2947" s="2" t="s">
        <v>35</v>
      </c>
      <c r="D2947" s="2" t="s">
        <v>36</v>
      </c>
      <c r="E2947">
        <v>32920</v>
      </c>
      <c r="F2947">
        <v>2410</v>
      </c>
      <c r="G2947">
        <v>348</v>
      </c>
      <c r="H2947">
        <v>0</v>
      </c>
      <c r="I2947">
        <v>34654.410000000003</v>
      </c>
      <c r="J2947">
        <v>7.32</v>
      </c>
      <c r="K2947">
        <v>14.44</v>
      </c>
      <c r="L2947">
        <v>0</v>
      </c>
      <c r="M2947">
        <v>0</v>
      </c>
      <c r="N2947">
        <v>34654.410000000003</v>
      </c>
    </row>
    <row r="2948" spans="1:14" x14ac:dyDescent="0.2">
      <c r="A2948" s="1">
        <v>45719</v>
      </c>
      <c r="B2948" s="2" t="s">
        <v>27</v>
      </c>
      <c r="C2948" s="2" t="s">
        <v>28</v>
      </c>
      <c r="D2948" s="2" t="s">
        <v>25</v>
      </c>
      <c r="E2948">
        <v>25263</v>
      </c>
      <c r="F2948">
        <v>406</v>
      </c>
      <c r="G2948">
        <v>11</v>
      </c>
      <c r="H2948">
        <v>1229.3599999999999</v>
      </c>
      <c r="I2948">
        <v>1261.8399999999999</v>
      </c>
      <c r="J2948">
        <v>1.61</v>
      </c>
      <c r="K2948">
        <v>2.71</v>
      </c>
      <c r="L2948">
        <v>111.76</v>
      </c>
      <c r="M2948">
        <v>1.03</v>
      </c>
      <c r="N2948">
        <v>32.479999999999997</v>
      </c>
    </row>
    <row r="2949" spans="1:14" x14ac:dyDescent="0.2">
      <c r="A2949" s="1">
        <v>45719</v>
      </c>
      <c r="B2949" s="2" t="s">
        <v>29</v>
      </c>
      <c r="C2949" s="2" t="s">
        <v>35</v>
      </c>
      <c r="D2949" s="2" t="s">
        <v>25</v>
      </c>
      <c r="E2949">
        <v>22042</v>
      </c>
      <c r="F2949">
        <v>550</v>
      </c>
      <c r="G2949">
        <v>32</v>
      </c>
      <c r="H2949">
        <v>1384.82</v>
      </c>
      <c r="I2949">
        <v>3335.91</v>
      </c>
      <c r="J2949">
        <v>2.5</v>
      </c>
      <c r="K2949">
        <v>5.82</v>
      </c>
      <c r="L2949">
        <v>43.28</v>
      </c>
      <c r="M2949">
        <v>2.41</v>
      </c>
      <c r="N2949">
        <v>1951.09</v>
      </c>
    </row>
    <row r="2950" spans="1:14" x14ac:dyDescent="0.2">
      <c r="A2950" s="1">
        <v>45719</v>
      </c>
      <c r="B2950" s="2" t="s">
        <v>30</v>
      </c>
      <c r="C2950" s="2" t="s">
        <v>28</v>
      </c>
      <c r="D2950" s="2" t="s">
        <v>22</v>
      </c>
      <c r="E2950">
        <v>10281</v>
      </c>
      <c r="F2950">
        <v>271</v>
      </c>
      <c r="G2950">
        <v>11</v>
      </c>
      <c r="H2950">
        <v>743.56</v>
      </c>
      <c r="I2950">
        <v>979.77</v>
      </c>
      <c r="J2950">
        <v>2.64</v>
      </c>
      <c r="K2950">
        <v>4.0599999999999996</v>
      </c>
      <c r="L2950">
        <v>67.599999999999994</v>
      </c>
      <c r="M2950">
        <v>1.32</v>
      </c>
      <c r="N2950">
        <v>236.21</v>
      </c>
    </row>
    <row r="2951" spans="1:14" x14ac:dyDescent="0.2">
      <c r="A2951" s="1">
        <v>45719</v>
      </c>
      <c r="B2951" s="2" t="s">
        <v>31</v>
      </c>
      <c r="C2951" s="2" t="s">
        <v>15</v>
      </c>
      <c r="D2951" s="2" t="s">
        <v>25</v>
      </c>
      <c r="E2951">
        <v>18970</v>
      </c>
      <c r="F2951">
        <v>757</v>
      </c>
      <c r="G2951">
        <v>24</v>
      </c>
      <c r="H2951">
        <v>788.82</v>
      </c>
      <c r="I2951">
        <v>2713.65</v>
      </c>
      <c r="J2951">
        <v>3.99</v>
      </c>
      <c r="K2951">
        <v>3.17</v>
      </c>
      <c r="L2951">
        <v>32.869999999999997</v>
      </c>
      <c r="M2951">
        <v>3.44</v>
      </c>
      <c r="N2951">
        <v>1924.83</v>
      </c>
    </row>
    <row r="2952" spans="1:14" x14ac:dyDescent="0.2">
      <c r="A2952" s="1">
        <v>45719</v>
      </c>
      <c r="B2952" s="2" t="s">
        <v>33</v>
      </c>
      <c r="C2952" s="2" t="s">
        <v>21</v>
      </c>
      <c r="D2952" s="2" t="s">
        <v>25</v>
      </c>
      <c r="E2952">
        <v>6687</v>
      </c>
      <c r="F2952">
        <v>460</v>
      </c>
      <c r="G2952">
        <v>43</v>
      </c>
      <c r="H2952">
        <v>570.21</v>
      </c>
      <c r="I2952">
        <v>5361.51</v>
      </c>
      <c r="J2952">
        <v>6.88</v>
      </c>
      <c r="K2952">
        <v>9.35</v>
      </c>
      <c r="L2952">
        <v>13.26</v>
      </c>
      <c r="M2952">
        <v>9.4</v>
      </c>
      <c r="N2952">
        <v>4791.3</v>
      </c>
    </row>
    <row r="2953" spans="1:14" x14ac:dyDescent="0.2">
      <c r="A2953" s="1">
        <v>45719</v>
      </c>
      <c r="B2953" s="2" t="s">
        <v>34</v>
      </c>
      <c r="C2953" s="2" t="s">
        <v>32</v>
      </c>
      <c r="D2953" s="2" t="s">
        <v>36</v>
      </c>
      <c r="E2953">
        <v>3744</v>
      </c>
      <c r="F2953">
        <v>189</v>
      </c>
      <c r="G2953">
        <v>29</v>
      </c>
      <c r="H2953">
        <v>60.01</v>
      </c>
      <c r="I2953">
        <v>4209.95</v>
      </c>
      <c r="J2953">
        <v>5.05</v>
      </c>
      <c r="K2953">
        <v>15.34</v>
      </c>
      <c r="L2953">
        <v>2.0699999999999998</v>
      </c>
      <c r="M2953">
        <v>70.150000000000006</v>
      </c>
      <c r="N2953">
        <v>4149.9399999999996</v>
      </c>
    </row>
    <row r="2954" spans="1:14" x14ac:dyDescent="0.2">
      <c r="A2954" s="1">
        <v>45720</v>
      </c>
      <c r="B2954" s="2" t="s">
        <v>14</v>
      </c>
      <c r="C2954" s="2" t="s">
        <v>15</v>
      </c>
      <c r="D2954" s="2" t="s">
        <v>25</v>
      </c>
      <c r="E2954">
        <v>13642</v>
      </c>
      <c r="F2954">
        <v>458</v>
      </c>
      <c r="G2954">
        <v>54</v>
      </c>
      <c r="H2954">
        <v>836.14</v>
      </c>
      <c r="I2954">
        <v>9444.4500000000007</v>
      </c>
      <c r="J2954">
        <v>3.36</v>
      </c>
      <c r="K2954">
        <v>11.79</v>
      </c>
      <c r="L2954">
        <v>15.48</v>
      </c>
      <c r="M2954">
        <v>11.3</v>
      </c>
      <c r="N2954">
        <v>8608.31</v>
      </c>
    </row>
    <row r="2955" spans="1:14" x14ac:dyDescent="0.2">
      <c r="A2955" s="1">
        <v>45720</v>
      </c>
      <c r="B2955" s="2" t="s">
        <v>17</v>
      </c>
      <c r="C2955" s="2" t="s">
        <v>28</v>
      </c>
      <c r="D2955" s="2" t="s">
        <v>25</v>
      </c>
      <c r="E2955">
        <v>15865</v>
      </c>
      <c r="F2955">
        <v>599</v>
      </c>
      <c r="G2955">
        <v>44</v>
      </c>
      <c r="H2955">
        <v>1192.5899999999999</v>
      </c>
      <c r="I2955">
        <v>5759.78</v>
      </c>
      <c r="J2955">
        <v>3.78</v>
      </c>
      <c r="K2955">
        <v>7.35</v>
      </c>
      <c r="L2955">
        <v>27.1</v>
      </c>
      <c r="M2955">
        <v>4.83</v>
      </c>
      <c r="N2955">
        <v>4567.1899999999996</v>
      </c>
    </row>
    <row r="2956" spans="1:14" x14ac:dyDescent="0.2">
      <c r="A2956" s="1">
        <v>45720</v>
      </c>
      <c r="B2956" s="2" t="s">
        <v>20</v>
      </c>
      <c r="C2956" s="2" t="s">
        <v>15</v>
      </c>
      <c r="D2956" s="2" t="s">
        <v>25</v>
      </c>
      <c r="E2956">
        <v>12726</v>
      </c>
      <c r="F2956">
        <v>410</v>
      </c>
      <c r="G2956">
        <v>21</v>
      </c>
      <c r="H2956">
        <v>735.19</v>
      </c>
      <c r="I2956">
        <v>2204.6799999999998</v>
      </c>
      <c r="J2956">
        <v>3.22</v>
      </c>
      <c r="K2956">
        <v>5.12</v>
      </c>
      <c r="L2956">
        <v>35.01</v>
      </c>
      <c r="M2956">
        <v>3</v>
      </c>
      <c r="N2956">
        <v>1469.49</v>
      </c>
    </row>
    <row r="2957" spans="1:14" x14ac:dyDescent="0.2">
      <c r="A2957" s="1">
        <v>45720</v>
      </c>
      <c r="B2957" s="2" t="s">
        <v>23</v>
      </c>
      <c r="C2957" s="2" t="s">
        <v>35</v>
      </c>
      <c r="D2957" s="2" t="s">
        <v>19</v>
      </c>
      <c r="E2957">
        <v>5462</v>
      </c>
      <c r="F2957">
        <v>116</v>
      </c>
      <c r="G2957">
        <v>13</v>
      </c>
      <c r="H2957">
        <v>1216.56</v>
      </c>
      <c r="I2957">
        <v>3398.88</v>
      </c>
      <c r="J2957">
        <v>2.12</v>
      </c>
      <c r="K2957">
        <v>11.21</v>
      </c>
      <c r="L2957">
        <v>93.58</v>
      </c>
      <c r="M2957">
        <v>2.79</v>
      </c>
      <c r="N2957">
        <v>2182.3200000000002</v>
      </c>
    </row>
    <row r="2958" spans="1:14" x14ac:dyDescent="0.2">
      <c r="A2958" s="1">
        <v>45720</v>
      </c>
      <c r="B2958" s="2" t="s">
        <v>24</v>
      </c>
      <c r="C2958" s="2" t="s">
        <v>28</v>
      </c>
      <c r="D2958" s="2" t="s">
        <v>25</v>
      </c>
      <c r="E2958">
        <v>24447</v>
      </c>
      <c r="F2958">
        <v>4695</v>
      </c>
      <c r="G2958">
        <v>533</v>
      </c>
      <c r="H2958">
        <v>196.29</v>
      </c>
      <c r="I2958">
        <v>66983.64</v>
      </c>
      <c r="J2958">
        <v>19.2</v>
      </c>
      <c r="K2958">
        <v>11.35</v>
      </c>
      <c r="L2958">
        <v>0.37</v>
      </c>
      <c r="M2958">
        <v>341.25</v>
      </c>
      <c r="N2958">
        <v>66787.350000000006</v>
      </c>
    </row>
    <row r="2959" spans="1:14" x14ac:dyDescent="0.2">
      <c r="A2959" s="1">
        <v>45720</v>
      </c>
      <c r="B2959" s="2" t="s">
        <v>26</v>
      </c>
      <c r="C2959" s="2" t="s">
        <v>21</v>
      </c>
      <c r="D2959" s="2" t="s">
        <v>16</v>
      </c>
      <c r="E2959">
        <v>20115</v>
      </c>
      <c r="F2959">
        <v>911</v>
      </c>
      <c r="G2959">
        <v>117</v>
      </c>
      <c r="H2959">
        <v>0</v>
      </c>
      <c r="I2959">
        <v>17679.939999999999</v>
      </c>
      <c r="J2959">
        <v>4.53</v>
      </c>
      <c r="K2959">
        <v>12.84</v>
      </c>
      <c r="L2959">
        <v>0</v>
      </c>
      <c r="M2959">
        <v>0</v>
      </c>
      <c r="N2959">
        <v>17679.939999999999</v>
      </c>
    </row>
    <row r="2960" spans="1:14" x14ac:dyDescent="0.2">
      <c r="A2960" s="1">
        <v>45720</v>
      </c>
      <c r="B2960" s="2" t="s">
        <v>27</v>
      </c>
      <c r="C2960" s="2" t="s">
        <v>28</v>
      </c>
      <c r="D2960" s="2" t="s">
        <v>19</v>
      </c>
      <c r="E2960">
        <v>26791</v>
      </c>
      <c r="F2960">
        <v>293</v>
      </c>
      <c r="G2960">
        <v>11</v>
      </c>
      <c r="H2960">
        <v>1165.06</v>
      </c>
      <c r="I2960">
        <v>1085.08</v>
      </c>
      <c r="J2960">
        <v>1.0900000000000001</v>
      </c>
      <c r="K2960">
        <v>3.75</v>
      </c>
      <c r="L2960">
        <v>105.91</v>
      </c>
      <c r="M2960">
        <v>0.93</v>
      </c>
      <c r="N2960">
        <v>-79.98</v>
      </c>
    </row>
    <row r="2961" spans="1:14" x14ac:dyDescent="0.2">
      <c r="A2961" s="1">
        <v>45720</v>
      </c>
      <c r="B2961" s="2" t="s">
        <v>29</v>
      </c>
      <c r="C2961" s="2" t="s">
        <v>35</v>
      </c>
      <c r="D2961" s="2" t="s">
        <v>36</v>
      </c>
      <c r="E2961">
        <v>19962</v>
      </c>
      <c r="F2961">
        <v>448</v>
      </c>
      <c r="G2961">
        <v>28</v>
      </c>
      <c r="H2961">
        <v>1146.5</v>
      </c>
      <c r="I2961">
        <v>3373.75</v>
      </c>
      <c r="J2961">
        <v>2.2400000000000002</v>
      </c>
      <c r="K2961">
        <v>6.25</v>
      </c>
      <c r="L2961">
        <v>40.950000000000003</v>
      </c>
      <c r="M2961">
        <v>2.94</v>
      </c>
      <c r="N2961">
        <v>2227.25</v>
      </c>
    </row>
    <row r="2962" spans="1:14" x14ac:dyDescent="0.2">
      <c r="A2962" s="1">
        <v>45720</v>
      </c>
      <c r="B2962" s="2" t="s">
        <v>30</v>
      </c>
      <c r="C2962" s="2" t="s">
        <v>35</v>
      </c>
      <c r="D2962" s="2" t="s">
        <v>22</v>
      </c>
      <c r="E2962">
        <v>10718</v>
      </c>
      <c r="F2962">
        <v>306</v>
      </c>
      <c r="G2962">
        <v>14</v>
      </c>
      <c r="H2962">
        <v>529.64</v>
      </c>
      <c r="I2962">
        <v>1160.53</v>
      </c>
      <c r="J2962">
        <v>2.86</v>
      </c>
      <c r="K2962">
        <v>4.58</v>
      </c>
      <c r="L2962">
        <v>37.83</v>
      </c>
      <c r="M2962">
        <v>2.19</v>
      </c>
      <c r="N2962">
        <v>630.89</v>
      </c>
    </row>
    <row r="2963" spans="1:14" x14ac:dyDescent="0.2">
      <c r="A2963" s="1">
        <v>45720</v>
      </c>
      <c r="B2963" s="2" t="s">
        <v>31</v>
      </c>
      <c r="C2963" s="2" t="s">
        <v>35</v>
      </c>
      <c r="D2963" s="2" t="s">
        <v>16</v>
      </c>
      <c r="E2963">
        <v>22707</v>
      </c>
      <c r="F2963">
        <v>654</v>
      </c>
      <c r="G2963">
        <v>45</v>
      </c>
      <c r="H2963">
        <v>1036.25</v>
      </c>
      <c r="I2963">
        <v>4034.71</v>
      </c>
      <c r="J2963">
        <v>2.88</v>
      </c>
      <c r="K2963">
        <v>6.88</v>
      </c>
      <c r="L2963">
        <v>23.03</v>
      </c>
      <c r="M2963">
        <v>3.89</v>
      </c>
      <c r="N2963">
        <v>2998.46</v>
      </c>
    </row>
    <row r="2964" spans="1:14" x14ac:dyDescent="0.2">
      <c r="A2964" s="1">
        <v>45720</v>
      </c>
      <c r="B2964" s="2" t="s">
        <v>33</v>
      </c>
      <c r="C2964" s="2" t="s">
        <v>18</v>
      </c>
      <c r="D2964" s="2" t="s">
        <v>25</v>
      </c>
      <c r="E2964">
        <v>6839</v>
      </c>
      <c r="F2964">
        <v>399</v>
      </c>
      <c r="G2964">
        <v>38</v>
      </c>
      <c r="H2964">
        <v>660.47</v>
      </c>
      <c r="I2964">
        <v>5763.2</v>
      </c>
      <c r="J2964">
        <v>5.83</v>
      </c>
      <c r="K2964">
        <v>9.52</v>
      </c>
      <c r="L2964">
        <v>17.38</v>
      </c>
      <c r="M2964">
        <v>8.73</v>
      </c>
      <c r="N2964">
        <v>5102.7299999999996</v>
      </c>
    </row>
    <row r="2965" spans="1:14" x14ac:dyDescent="0.2">
      <c r="A2965" s="1">
        <v>45720</v>
      </c>
      <c r="B2965" s="2" t="s">
        <v>34</v>
      </c>
      <c r="C2965" s="2" t="s">
        <v>21</v>
      </c>
      <c r="D2965" s="2" t="s">
        <v>19</v>
      </c>
      <c r="E2965">
        <v>5843</v>
      </c>
      <c r="F2965">
        <v>400</v>
      </c>
      <c r="G2965">
        <v>69</v>
      </c>
      <c r="H2965">
        <v>78.59</v>
      </c>
      <c r="I2965">
        <v>12462.11</v>
      </c>
      <c r="J2965">
        <v>6.85</v>
      </c>
      <c r="K2965">
        <v>17.25</v>
      </c>
      <c r="L2965">
        <v>1.1399999999999999</v>
      </c>
      <c r="M2965">
        <v>158.57</v>
      </c>
      <c r="N2965">
        <v>12383.52</v>
      </c>
    </row>
    <row r="2966" spans="1:14" x14ac:dyDescent="0.2">
      <c r="A2966" s="1">
        <v>45721</v>
      </c>
      <c r="B2966" s="2" t="s">
        <v>14</v>
      </c>
      <c r="C2966" s="2" t="s">
        <v>35</v>
      </c>
      <c r="D2966" s="2" t="s">
        <v>36</v>
      </c>
      <c r="E2966">
        <v>8823</v>
      </c>
      <c r="F2966">
        <v>341</v>
      </c>
      <c r="G2966">
        <v>40</v>
      </c>
      <c r="H2966">
        <v>1210.9100000000001</v>
      </c>
      <c r="I2966">
        <v>5942.23</v>
      </c>
      <c r="J2966">
        <v>3.86</v>
      </c>
      <c r="K2966">
        <v>11.73</v>
      </c>
      <c r="L2966">
        <v>30.27</v>
      </c>
      <c r="M2966">
        <v>4.91</v>
      </c>
      <c r="N2966">
        <v>4731.32</v>
      </c>
    </row>
    <row r="2967" spans="1:14" x14ac:dyDescent="0.2">
      <c r="A2967" s="1">
        <v>45721</v>
      </c>
      <c r="B2967" s="2" t="s">
        <v>17</v>
      </c>
      <c r="C2967" s="2" t="s">
        <v>32</v>
      </c>
      <c r="D2967" s="2" t="s">
        <v>16</v>
      </c>
      <c r="E2967">
        <v>12796</v>
      </c>
      <c r="F2967">
        <v>291</v>
      </c>
      <c r="G2967">
        <v>24</v>
      </c>
      <c r="H2967">
        <v>743.75</v>
      </c>
      <c r="I2967">
        <v>2567.88</v>
      </c>
      <c r="J2967">
        <v>2.27</v>
      </c>
      <c r="K2967">
        <v>8.25</v>
      </c>
      <c r="L2967">
        <v>30.99</v>
      </c>
      <c r="M2967">
        <v>3.45</v>
      </c>
      <c r="N2967">
        <v>1824.13</v>
      </c>
    </row>
    <row r="2968" spans="1:14" x14ac:dyDescent="0.2">
      <c r="A2968" s="1">
        <v>45721</v>
      </c>
      <c r="B2968" s="2" t="s">
        <v>20</v>
      </c>
      <c r="C2968" s="2" t="s">
        <v>15</v>
      </c>
      <c r="D2968" s="2" t="s">
        <v>36</v>
      </c>
      <c r="E2968">
        <v>14858</v>
      </c>
      <c r="F2968">
        <v>641</v>
      </c>
      <c r="G2968">
        <v>35</v>
      </c>
      <c r="H2968">
        <v>866.73</v>
      </c>
      <c r="I2968">
        <v>3403.44</v>
      </c>
      <c r="J2968">
        <v>4.3099999999999996</v>
      </c>
      <c r="K2968">
        <v>5.46</v>
      </c>
      <c r="L2968">
        <v>24.76</v>
      </c>
      <c r="M2968">
        <v>3.93</v>
      </c>
      <c r="N2968">
        <v>2536.71</v>
      </c>
    </row>
    <row r="2969" spans="1:14" x14ac:dyDescent="0.2">
      <c r="A2969" s="1">
        <v>45721</v>
      </c>
      <c r="B2969" s="2" t="s">
        <v>23</v>
      </c>
      <c r="C2969" s="2" t="s">
        <v>28</v>
      </c>
      <c r="D2969" s="2" t="s">
        <v>19</v>
      </c>
      <c r="E2969">
        <v>3634</v>
      </c>
      <c r="F2969">
        <v>86</v>
      </c>
      <c r="G2969">
        <v>10</v>
      </c>
      <c r="H2969">
        <v>1522.44</v>
      </c>
      <c r="I2969">
        <v>2950.79</v>
      </c>
      <c r="J2969">
        <v>2.37</v>
      </c>
      <c r="K2969">
        <v>11.63</v>
      </c>
      <c r="L2969">
        <v>152.24</v>
      </c>
      <c r="M2969">
        <v>1.94</v>
      </c>
      <c r="N2969">
        <v>1428.35</v>
      </c>
    </row>
    <row r="2970" spans="1:14" x14ac:dyDescent="0.2">
      <c r="A2970" s="1">
        <v>45721</v>
      </c>
      <c r="B2970" s="2" t="s">
        <v>24</v>
      </c>
      <c r="C2970" s="2" t="s">
        <v>18</v>
      </c>
      <c r="D2970" s="2" t="s">
        <v>36</v>
      </c>
      <c r="E2970">
        <v>23175</v>
      </c>
      <c r="F2970">
        <v>4258</v>
      </c>
      <c r="G2970">
        <v>429</v>
      </c>
      <c r="H2970">
        <v>192.02</v>
      </c>
      <c r="I2970">
        <v>53057.5</v>
      </c>
      <c r="J2970">
        <v>18.37</v>
      </c>
      <c r="K2970">
        <v>10.08</v>
      </c>
      <c r="L2970">
        <v>0.45</v>
      </c>
      <c r="M2970">
        <v>276.31</v>
      </c>
      <c r="N2970">
        <v>52865.48</v>
      </c>
    </row>
    <row r="2971" spans="1:14" x14ac:dyDescent="0.2">
      <c r="A2971" s="1">
        <v>45721</v>
      </c>
      <c r="B2971" s="2" t="s">
        <v>26</v>
      </c>
      <c r="C2971" s="2" t="s">
        <v>35</v>
      </c>
      <c r="D2971" s="2" t="s">
        <v>25</v>
      </c>
      <c r="E2971">
        <v>34459</v>
      </c>
      <c r="F2971">
        <v>1507</v>
      </c>
      <c r="G2971">
        <v>156</v>
      </c>
      <c r="H2971">
        <v>0</v>
      </c>
      <c r="I2971">
        <v>18579.05</v>
      </c>
      <c r="J2971">
        <v>4.37</v>
      </c>
      <c r="K2971">
        <v>10.35</v>
      </c>
      <c r="L2971">
        <v>0</v>
      </c>
      <c r="M2971">
        <v>0</v>
      </c>
      <c r="N2971">
        <v>18579.05</v>
      </c>
    </row>
    <row r="2972" spans="1:14" x14ac:dyDescent="0.2">
      <c r="A2972" s="1">
        <v>45721</v>
      </c>
      <c r="B2972" s="2" t="s">
        <v>27</v>
      </c>
      <c r="C2972" s="2" t="s">
        <v>21</v>
      </c>
      <c r="D2972" s="2" t="s">
        <v>16</v>
      </c>
      <c r="E2972">
        <v>35430</v>
      </c>
      <c r="F2972">
        <v>395</v>
      </c>
      <c r="G2972">
        <v>14</v>
      </c>
      <c r="H2972">
        <v>977.01</v>
      </c>
      <c r="I2972">
        <v>1547.57</v>
      </c>
      <c r="J2972">
        <v>1.1100000000000001</v>
      </c>
      <c r="K2972">
        <v>3.54</v>
      </c>
      <c r="L2972">
        <v>69.790000000000006</v>
      </c>
      <c r="M2972">
        <v>1.58</v>
      </c>
      <c r="N2972">
        <v>570.55999999999995</v>
      </c>
    </row>
    <row r="2973" spans="1:14" x14ac:dyDescent="0.2">
      <c r="A2973" s="1">
        <v>45721</v>
      </c>
      <c r="B2973" s="2" t="s">
        <v>29</v>
      </c>
      <c r="C2973" s="2" t="s">
        <v>32</v>
      </c>
      <c r="D2973" s="2" t="s">
        <v>19</v>
      </c>
      <c r="E2973">
        <v>22248</v>
      </c>
      <c r="F2973">
        <v>467</v>
      </c>
      <c r="G2973">
        <v>22</v>
      </c>
      <c r="H2973">
        <v>1309.32</v>
      </c>
      <c r="I2973">
        <v>2926.37</v>
      </c>
      <c r="J2973">
        <v>2.1</v>
      </c>
      <c r="K2973">
        <v>4.71</v>
      </c>
      <c r="L2973">
        <v>59.51</v>
      </c>
      <c r="M2973">
        <v>2.2400000000000002</v>
      </c>
      <c r="N2973">
        <v>1617.05</v>
      </c>
    </row>
    <row r="2974" spans="1:14" x14ac:dyDescent="0.2">
      <c r="A2974" s="1">
        <v>45721</v>
      </c>
      <c r="B2974" s="2" t="s">
        <v>30</v>
      </c>
      <c r="C2974" s="2" t="s">
        <v>21</v>
      </c>
      <c r="D2974" s="2" t="s">
        <v>36</v>
      </c>
      <c r="E2974">
        <v>10142</v>
      </c>
      <c r="F2974">
        <v>284</v>
      </c>
      <c r="G2974">
        <v>12</v>
      </c>
      <c r="H2974">
        <v>454.83</v>
      </c>
      <c r="I2974">
        <v>1376.44</v>
      </c>
      <c r="J2974">
        <v>2.8</v>
      </c>
      <c r="K2974">
        <v>4.2300000000000004</v>
      </c>
      <c r="L2974">
        <v>37.9</v>
      </c>
      <c r="M2974">
        <v>3.03</v>
      </c>
      <c r="N2974">
        <v>921.61</v>
      </c>
    </row>
    <row r="2975" spans="1:14" x14ac:dyDescent="0.2">
      <c r="A2975" s="1">
        <v>45721</v>
      </c>
      <c r="B2975" s="2" t="s">
        <v>31</v>
      </c>
      <c r="C2975" s="2" t="s">
        <v>32</v>
      </c>
      <c r="D2975" s="2" t="s">
        <v>36</v>
      </c>
      <c r="E2975">
        <v>26915</v>
      </c>
      <c r="F2975">
        <v>732</v>
      </c>
      <c r="G2975">
        <v>49</v>
      </c>
      <c r="H2975">
        <v>968.9</v>
      </c>
      <c r="I2975">
        <v>3479.74</v>
      </c>
      <c r="J2975">
        <v>2.72</v>
      </c>
      <c r="K2975">
        <v>6.69</v>
      </c>
      <c r="L2975">
        <v>19.77</v>
      </c>
      <c r="M2975">
        <v>3.59</v>
      </c>
      <c r="N2975">
        <v>2510.84</v>
      </c>
    </row>
    <row r="2976" spans="1:14" x14ac:dyDescent="0.2">
      <c r="A2976" s="1">
        <v>45721</v>
      </c>
      <c r="B2976" s="2" t="s">
        <v>33</v>
      </c>
      <c r="C2976" s="2" t="s">
        <v>28</v>
      </c>
      <c r="D2976" s="2" t="s">
        <v>22</v>
      </c>
      <c r="E2976">
        <v>5774</v>
      </c>
      <c r="F2976">
        <v>396</v>
      </c>
      <c r="G2976">
        <v>50</v>
      </c>
      <c r="H2976">
        <v>453.68</v>
      </c>
      <c r="I2976">
        <v>6175.58</v>
      </c>
      <c r="J2976">
        <v>6.86</v>
      </c>
      <c r="K2976">
        <v>12.63</v>
      </c>
      <c r="L2976">
        <v>9.07</v>
      </c>
      <c r="M2976">
        <v>13.61</v>
      </c>
      <c r="N2976">
        <v>5721.9</v>
      </c>
    </row>
    <row r="2977" spans="1:14" x14ac:dyDescent="0.2">
      <c r="A2977" s="1">
        <v>45721</v>
      </c>
      <c r="B2977" s="2" t="s">
        <v>34</v>
      </c>
      <c r="C2977" s="2" t="s">
        <v>21</v>
      </c>
      <c r="D2977" s="2" t="s">
        <v>36</v>
      </c>
      <c r="E2977">
        <v>5195</v>
      </c>
      <c r="F2977">
        <v>266</v>
      </c>
      <c r="G2977">
        <v>44</v>
      </c>
      <c r="H2977">
        <v>180.09</v>
      </c>
      <c r="I2977">
        <v>6430.78</v>
      </c>
      <c r="J2977">
        <v>5.12</v>
      </c>
      <c r="K2977">
        <v>16.54</v>
      </c>
      <c r="L2977">
        <v>4.09</v>
      </c>
      <c r="M2977">
        <v>35.71</v>
      </c>
      <c r="N2977">
        <v>6250.69</v>
      </c>
    </row>
    <row r="2978" spans="1:14" x14ac:dyDescent="0.2">
      <c r="A2978" s="1">
        <v>45722</v>
      </c>
      <c r="B2978" s="2" t="s">
        <v>14</v>
      </c>
      <c r="C2978" s="2" t="s">
        <v>28</v>
      </c>
      <c r="D2978" s="2" t="s">
        <v>22</v>
      </c>
      <c r="E2978">
        <v>13478</v>
      </c>
      <c r="F2978">
        <v>542</v>
      </c>
      <c r="G2978">
        <v>61</v>
      </c>
      <c r="H2978">
        <v>1069.55</v>
      </c>
      <c r="I2978">
        <v>9676.58</v>
      </c>
      <c r="J2978">
        <v>4.0199999999999996</v>
      </c>
      <c r="K2978">
        <v>11.25</v>
      </c>
      <c r="L2978">
        <v>17.53</v>
      </c>
      <c r="M2978">
        <v>9.0500000000000007</v>
      </c>
      <c r="N2978">
        <v>8607.0300000000007</v>
      </c>
    </row>
    <row r="2979" spans="1:14" x14ac:dyDescent="0.2">
      <c r="A2979" s="1">
        <v>45722</v>
      </c>
      <c r="B2979" s="2" t="s">
        <v>17</v>
      </c>
      <c r="C2979" s="2" t="s">
        <v>35</v>
      </c>
      <c r="D2979" s="2" t="s">
        <v>16</v>
      </c>
      <c r="E2979">
        <v>17995</v>
      </c>
      <c r="F2979">
        <v>561</v>
      </c>
      <c r="G2979">
        <v>46</v>
      </c>
      <c r="H2979">
        <v>641.75</v>
      </c>
      <c r="I2979">
        <v>5339.59</v>
      </c>
      <c r="J2979">
        <v>3.12</v>
      </c>
      <c r="K2979">
        <v>8.1999999999999993</v>
      </c>
      <c r="L2979">
        <v>13.95</v>
      </c>
      <c r="M2979">
        <v>8.32</v>
      </c>
      <c r="N2979">
        <v>4697.84</v>
      </c>
    </row>
    <row r="2980" spans="1:14" x14ac:dyDescent="0.2">
      <c r="A2980" s="1">
        <v>45722</v>
      </c>
      <c r="B2980" s="2" t="s">
        <v>20</v>
      </c>
      <c r="C2980" s="2" t="s">
        <v>28</v>
      </c>
      <c r="D2980" s="2" t="s">
        <v>22</v>
      </c>
      <c r="E2980">
        <v>14547</v>
      </c>
      <c r="F2980">
        <v>569</v>
      </c>
      <c r="G2980">
        <v>38</v>
      </c>
      <c r="H2980">
        <v>590.66999999999996</v>
      </c>
      <c r="I2980">
        <v>4740.43</v>
      </c>
      <c r="J2980">
        <v>3.91</v>
      </c>
      <c r="K2980">
        <v>6.68</v>
      </c>
      <c r="L2980">
        <v>15.54</v>
      </c>
      <c r="M2980">
        <v>8.0299999999999994</v>
      </c>
      <c r="N2980">
        <v>4149.76</v>
      </c>
    </row>
    <row r="2981" spans="1:14" x14ac:dyDescent="0.2">
      <c r="A2981" s="1">
        <v>45722</v>
      </c>
      <c r="B2981" s="2" t="s">
        <v>23</v>
      </c>
      <c r="C2981" s="2" t="s">
        <v>32</v>
      </c>
      <c r="D2981" s="2" t="s">
        <v>25</v>
      </c>
      <c r="E2981">
        <v>3841</v>
      </c>
      <c r="F2981">
        <v>102</v>
      </c>
      <c r="G2981">
        <v>14</v>
      </c>
      <c r="H2981">
        <v>1269.04</v>
      </c>
      <c r="I2981">
        <v>4761.87</v>
      </c>
      <c r="J2981">
        <v>2.66</v>
      </c>
      <c r="K2981">
        <v>13.73</v>
      </c>
      <c r="L2981">
        <v>90.65</v>
      </c>
      <c r="M2981">
        <v>3.75</v>
      </c>
      <c r="N2981">
        <v>3492.83</v>
      </c>
    </row>
    <row r="2982" spans="1:14" x14ac:dyDescent="0.2">
      <c r="A2982" s="1">
        <v>45722</v>
      </c>
      <c r="B2982" s="2" t="s">
        <v>24</v>
      </c>
      <c r="C2982" s="2" t="s">
        <v>15</v>
      </c>
      <c r="D2982" s="2" t="s">
        <v>19</v>
      </c>
      <c r="E2982">
        <v>20101</v>
      </c>
      <c r="F2982">
        <v>4393</v>
      </c>
      <c r="G2982">
        <v>468</v>
      </c>
      <c r="H2982">
        <v>139.06</v>
      </c>
      <c r="I2982">
        <v>77627.33</v>
      </c>
      <c r="J2982">
        <v>21.85</v>
      </c>
      <c r="K2982">
        <v>10.65</v>
      </c>
      <c r="L2982">
        <v>0.3</v>
      </c>
      <c r="M2982">
        <v>558.23</v>
      </c>
      <c r="N2982">
        <v>77488.27</v>
      </c>
    </row>
    <row r="2983" spans="1:14" x14ac:dyDescent="0.2">
      <c r="A2983" s="1">
        <v>45722</v>
      </c>
      <c r="B2983" s="2" t="s">
        <v>26</v>
      </c>
      <c r="C2983" s="2" t="s">
        <v>35</v>
      </c>
      <c r="D2983" s="2" t="s">
        <v>25</v>
      </c>
      <c r="E2983">
        <v>23584</v>
      </c>
      <c r="F2983">
        <v>963</v>
      </c>
      <c r="G2983">
        <v>142</v>
      </c>
      <c r="H2983">
        <v>0</v>
      </c>
      <c r="I2983">
        <v>19491.150000000001</v>
      </c>
      <c r="J2983">
        <v>4.08</v>
      </c>
      <c r="K2983">
        <v>14.75</v>
      </c>
      <c r="L2983">
        <v>0</v>
      </c>
      <c r="M2983">
        <v>0</v>
      </c>
      <c r="N2983">
        <v>19491.150000000001</v>
      </c>
    </row>
    <row r="2984" spans="1:14" x14ac:dyDescent="0.2">
      <c r="A2984" s="1">
        <v>45722</v>
      </c>
      <c r="B2984" s="2" t="s">
        <v>27</v>
      </c>
      <c r="C2984" s="2" t="s">
        <v>35</v>
      </c>
      <c r="D2984" s="2" t="s">
        <v>36</v>
      </c>
      <c r="E2984">
        <v>34549</v>
      </c>
      <c r="F2984">
        <v>599</v>
      </c>
      <c r="G2984">
        <v>28</v>
      </c>
      <c r="H2984">
        <v>1243.72</v>
      </c>
      <c r="I2984">
        <v>2731.2</v>
      </c>
      <c r="J2984">
        <v>1.73</v>
      </c>
      <c r="K2984">
        <v>4.67</v>
      </c>
      <c r="L2984">
        <v>44.42</v>
      </c>
      <c r="M2984">
        <v>2.2000000000000002</v>
      </c>
      <c r="N2984">
        <v>1487.48</v>
      </c>
    </row>
    <row r="2985" spans="1:14" x14ac:dyDescent="0.2">
      <c r="A2985" s="1">
        <v>45722</v>
      </c>
      <c r="B2985" s="2" t="s">
        <v>29</v>
      </c>
      <c r="C2985" s="2" t="s">
        <v>21</v>
      </c>
      <c r="D2985" s="2" t="s">
        <v>16</v>
      </c>
      <c r="E2985">
        <v>23940</v>
      </c>
      <c r="F2985">
        <v>641</v>
      </c>
      <c r="G2985">
        <v>46</v>
      </c>
      <c r="H2985">
        <v>1020.2</v>
      </c>
      <c r="I2985">
        <v>4555.18</v>
      </c>
      <c r="J2985">
        <v>2.68</v>
      </c>
      <c r="K2985">
        <v>7.18</v>
      </c>
      <c r="L2985">
        <v>22.18</v>
      </c>
      <c r="M2985">
        <v>4.46</v>
      </c>
      <c r="N2985">
        <v>3534.98</v>
      </c>
    </row>
    <row r="2986" spans="1:14" x14ac:dyDescent="0.2">
      <c r="A2986" s="1">
        <v>45722</v>
      </c>
      <c r="B2986" s="2" t="s">
        <v>30</v>
      </c>
      <c r="C2986" s="2" t="s">
        <v>21</v>
      </c>
      <c r="D2986" s="2" t="s">
        <v>22</v>
      </c>
      <c r="E2986">
        <v>8196</v>
      </c>
      <c r="F2986">
        <v>226</v>
      </c>
      <c r="G2986">
        <v>8</v>
      </c>
      <c r="H2986">
        <v>625.73</v>
      </c>
      <c r="I2986">
        <v>705.28</v>
      </c>
      <c r="J2986">
        <v>2.76</v>
      </c>
      <c r="K2986">
        <v>3.54</v>
      </c>
      <c r="L2986">
        <v>78.22</v>
      </c>
      <c r="M2986">
        <v>1.1299999999999999</v>
      </c>
      <c r="N2986">
        <v>79.55</v>
      </c>
    </row>
    <row r="2987" spans="1:14" x14ac:dyDescent="0.2">
      <c r="A2987" s="1">
        <v>45722</v>
      </c>
      <c r="B2987" s="2" t="s">
        <v>31</v>
      </c>
      <c r="C2987" s="2" t="s">
        <v>35</v>
      </c>
      <c r="D2987" s="2" t="s">
        <v>16</v>
      </c>
      <c r="E2987">
        <v>24272</v>
      </c>
      <c r="F2987">
        <v>901</v>
      </c>
      <c r="G2987">
        <v>36</v>
      </c>
      <c r="H2987">
        <v>606.38</v>
      </c>
      <c r="I2987">
        <v>2914.5</v>
      </c>
      <c r="J2987">
        <v>3.71</v>
      </c>
      <c r="K2987">
        <v>4</v>
      </c>
      <c r="L2987">
        <v>16.84</v>
      </c>
      <c r="M2987">
        <v>4.8099999999999996</v>
      </c>
      <c r="N2987">
        <v>2308.12</v>
      </c>
    </row>
    <row r="2988" spans="1:14" x14ac:dyDescent="0.2">
      <c r="A2988" s="1">
        <v>45722</v>
      </c>
      <c r="B2988" s="2" t="s">
        <v>33</v>
      </c>
      <c r="C2988" s="2" t="s">
        <v>15</v>
      </c>
      <c r="D2988" s="2" t="s">
        <v>36</v>
      </c>
      <c r="E2988">
        <v>5249</v>
      </c>
      <c r="F2988">
        <v>306</v>
      </c>
      <c r="G2988">
        <v>32</v>
      </c>
      <c r="H2988">
        <v>671.75</v>
      </c>
      <c r="I2988">
        <v>4254.46</v>
      </c>
      <c r="J2988">
        <v>5.83</v>
      </c>
      <c r="K2988">
        <v>10.46</v>
      </c>
      <c r="L2988">
        <v>20.99</v>
      </c>
      <c r="M2988">
        <v>6.33</v>
      </c>
      <c r="N2988">
        <v>3582.71</v>
      </c>
    </row>
    <row r="2989" spans="1:14" x14ac:dyDescent="0.2">
      <c r="A2989" s="1">
        <v>45722</v>
      </c>
      <c r="B2989" s="2" t="s">
        <v>34</v>
      </c>
      <c r="C2989" s="2" t="s">
        <v>32</v>
      </c>
      <c r="D2989" s="2" t="s">
        <v>36</v>
      </c>
      <c r="E2989">
        <v>5080</v>
      </c>
      <c r="F2989">
        <v>350</v>
      </c>
      <c r="G2989">
        <v>54</v>
      </c>
      <c r="H2989">
        <v>84.98</v>
      </c>
      <c r="I2989">
        <v>8054.71</v>
      </c>
      <c r="J2989">
        <v>6.89</v>
      </c>
      <c r="K2989">
        <v>15.43</v>
      </c>
      <c r="L2989">
        <v>1.57</v>
      </c>
      <c r="M2989">
        <v>94.78</v>
      </c>
      <c r="N2989">
        <v>7969.73</v>
      </c>
    </row>
    <row r="2990" spans="1:14" x14ac:dyDescent="0.2">
      <c r="A2990" s="1">
        <v>45723</v>
      </c>
      <c r="B2990" s="2" t="s">
        <v>14</v>
      </c>
      <c r="C2990" s="2" t="s">
        <v>35</v>
      </c>
      <c r="D2990" s="2" t="s">
        <v>25</v>
      </c>
      <c r="E2990">
        <v>9940</v>
      </c>
      <c r="F2990">
        <v>473</v>
      </c>
      <c r="G2990">
        <v>45</v>
      </c>
      <c r="H2990">
        <v>1235.1300000000001</v>
      </c>
      <c r="I2990">
        <v>5700.72</v>
      </c>
      <c r="J2990">
        <v>4.76</v>
      </c>
      <c r="K2990">
        <v>9.51</v>
      </c>
      <c r="L2990">
        <v>27.45</v>
      </c>
      <c r="M2990">
        <v>4.62</v>
      </c>
      <c r="N2990">
        <v>4465.59</v>
      </c>
    </row>
    <row r="2991" spans="1:14" x14ac:dyDescent="0.2">
      <c r="A2991" s="1">
        <v>45723</v>
      </c>
      <c r="B2991" s="2" t="s">
        <v>17</v>
      </c>
      <c r="C2991" s="2" t="s">
        <v>28</v>
      </c>
      <c r="D2991" s="2" t="s">
        <v>22</v>
      </c>
      <c r="E2991">
        <v>17669</v>
      </c>
      <c r="F2991">
        <v>433</v>
      </c>
      <c r="G2991">
        <v>38</v>
      </c>
      <c r="H2991">
        <v>1064.05</v>
      </c>
      <c r="I2991">
        <v>5029.78</v>
      </c>
      <c r="J2991">
        <v>2.4500000000000002</v>
      </c>
      <c r="K2991">
        <v>8.7799999999999994</v>
      </c>
      <c r="L2991">
        <v>28</v>
      </c>
      <c r="M2991">
        <v>4.7300000000000004</v>
      </c>
      <c r="N2991">
        <v>3965.73</v>
      </c>
    </row>
    <row r="2992" spans="1:14" x14ac:dyDescent="0.2">
      <c r="A2992" s="1">
        <v>45723</v>
      </c>
      <c r="B2992" s="2" t="s">
        <v>20</v>
      </c>
      <c r="C2992" s="2" t="s">
        <v>35</v>
      </c>
      <c r="D2992" s="2" t="s">
        <v>16</v>
      </c>
      <c r="E2992">
        <v>17766</v>
      </c>
      <c r="F2992">
        <v>538</v>
      </c>
      <c r="G2992">
        <v>36</v>
      </c>
      <c r="H2992">
        <v>671.56</v>
      </c>
      <c r="I2992">
        <v>3287.54</v>
      </c>
      <c r="J2992">
        <v>3.03</v>
      </c>
      <c r="K2992">
        <v>6.69</v>
      </c>
      <c r="L2992">
        <v>18.649999999999999</v>
      </c>
      <c r="M2992">
        <v>4.9000000000000004</v>
      </c>
      <c r="N2992">
        <v>2615.98</v>
      </c>
    </row>
    <row r="2993" spans="1:14" x14ac:dyDescent="0.2">
      <c r="A2993" s="1">
        <v>45723</v>
      </c>
      <c r="B2993" s="2" t="s">
        <v>23</v>
      </c>
      <c r="C2993" s="2" t="s">
        <v>21</v>
      </c>
      <c r="D2993" s="2" t="s">
        <v>16</v>
      </c>
      <c r="E2993">
        <v>3705</v>
      </c>
      <c r="F2993">
        <v>100</v>
      </c>
      <c r="G2993">
        <v>14</v>
      </c>
      <c r="H2993">
        <v>915.86</v>
      </c>
      <c r="I2993">
        <v>4006.41</v>
      </c>
      <c r="J2993">
        <v>2.7</v>
      </c>
      <c r="K2993">
        <v>14</v>
      </c>
      <c r="L2993">
        <v>65.42</v>
      </c>
      <c r="M2993">
        <v>4.37</v>
      </c>
      <c r="N2993">
        <v>3090.55</v>
      </c>
    </row>
    <row r="2994" spans="1:14" x14ac:dyDescent="0.2">
      <c r="A2994" s="1">
        <v>45723</v>
      </c>
      <c r="B2994" s="2" t="s">
        <v>24</v>
      </c>
      <c r="C2994" s="2" t="s">
        <v>32</v>
      </c>
      <c r="D2994" s="2" t="s">
        <v>16</v>
      </c>
      <c r="E2994">
        <v>15145</v>
      </c>
      <c r="F2994">
        <v>3189</v>
      </c>
      <c r="G2994">
        <v>425</v>
      </c>
      <c r="H2994">
        <v>218.52</v>
      </c>
      <c r="I2994">
        <v>68040.33</v>
      </c>
      <c r="J2994">
        <v>21.06</v>
      </c>
      <c r="K2994">
        <v>13.33</v>
      </c>
      <c r="L2994">
        <v>0.51</v>
      </c>
      <c r="M2994">
        <v>311.37</v>
      </c>
      <c r="N2994">
        <v>67821.81</v>
      </c>
    </row>
    <row r="2995" spans="1:14" x14ac:dyDescent="0.2">
      <c r="A2995" s="1">
        <v>45723</v>
      </c>
      <c r="B2995" s="2" t="s">
        <v>26</v>
      </c>
      <c r="C2995" s="2" t="s">
        <v>21</v>
      </c>
      <c r="D2995" s="2" t="s">
        <v>16</v>
      </c>
      <c r="E2995">
        <v>26810</v>
      </c>
      <c r="F2995">
        <v>1175</v>
      </c>
      <c r="G2995">
        <v>123</v>
      </c>
      <c r="H2995">
        <v>0</v>
      </c>
      <c r="I2995">
        <v>18581.580000000002</v>
      </c>
      <c r="J2995">
        <v>4.38</v>
      </c>
      <c r="K2995">
        <v>10.47</v>
      </c>
      <c r="L2995">
        <v>0</v>
      </c>
      <c r="M2995">
        <v>0</v>
      </c>
      <c r="N2995">
        <v>18581.580000000002</v>
      </c>
    </row>
    <row r="2996" spans="1:14" x14ac:dyDescent="0.2">
      <c r="A2996" s="1">
        <v>45723</v>
      </c>
      <c r="B2996" s="2" t="s">
        <v>27</v>
      </c>
      <c r="C2996" s="2" t="s">
        <v>35</v>
      </c>
      <c r="D2996" s="2" t="s">
        <v>19</v>
      </c>
      <c r="E2996">
        <v>37175</v>
      </c>
      <c r="F2996">
        <v>455</v>
      </c>
      <c r="G2996">
        <v>13</v>
      </c>
      <c r="H2996">
        <v>1125.02</v>
      </c>
      <c r="I2996">
        <v>1726.49</v>
      </c>
      <c r="J2996">
        <v>1.22</v>
      </c>
      <c r="K2996">
        <v>2.86</v>
      </c>
      <c r="L2996">
        <v>86.54</v>
      </c>
      <c r="M2996">
        <v>1.53</v>
      </c>
      <c r="N2996">
        <v>601.47</v>
      </c>
    </row>
    <row r="2997" spans="1:14" x14ac:dyDescent="0.2">
      <c r="A2997" s="1">
        <v>45723</v>
      </c>
      <c r="B2997" s="2" t="s">
        <v>29</v>
      </c>
      <c r="C2997" s="2" t="s">
        <v>21</v>
      </c>
      <c r="D2997" s="2" t="s">
        <v>36</v>
      </c>
      <c r="E2997">
        <v>18052</v>
      </c>
      <c r="F2997">
        <v>421</v>
      </c>
      <c r="G2997">
        <v>28</v>
      </c>
      <c r="H2997">
        <v>1370.43</v>
      </c>
      <c r="I2997">
        <v>2709.7</v>
      </c>
      <c r="J2997">
        <v>2.33</v>
      </c>
      <c r="K2997">
        <v>6.65</v>
      </c>
      <c r="L2997">
        <v>48.94</v>
      </c>
      <c r="M2997">
        <v>1.98</v>
      </c>
      <c r="N2997">
        <v>1339.27</v>
      </c>
    </row>
    <row r="2998" spans="1:14" x14ac:dyDescent="0.2">
      <c r="A2998" s="1">
        <v>45723</v>
      </c>
      <c r="B2998" s="2" t="s">
        <v>30</v>
      </c>
      <c r="C2998" s="2" t="s">
        <v>15</v>
      </c>
      <c r="D2998" s="2" t="s">
        <v>16</v>
      </c>
      <c r="E2998">
        <v>13928</v>
      </c>
      <c r="F2998">
        <v>296</v>
      </c>
      <c r="G2998">
        <v>16</v>
      </c>
      <c r="H2998">
        <v>722.29</v>
      </c>
      <c r="I2998">
        <v>1477.82</v>
      </c>
      <c r="J2998">
        <v>2.13</v>
      </c>
      <c r="K2998">
        <v>5.41</v>
      </c>
      <c r="L2998">
        <v>45.14</v>
      </c>
      <c r="M2998">
        <v>2.0499999999999998</v>
      </c>
      <c r="N2998">
        <v>755.53</v>
      </c>
    </row>
    <row r="2999" spans="1:14" x14ac:dyDescent="0.2">
      <c r="A2999" s="1">
        <v>45723</v>
      </c>
      <c r="B2999" s="2" t="s">
        <v>31</v>
      </c>
      <c r="C2999" s="2" t="s">
        <v>21</v>
      </c>
      <c r="D2999" s="2" t="s">
        <v>16</v>
      </c>
      <c r="E2999">
        <v>18747</v>
      </c>
      <c r="F2999">
        <v>498</v>
      </c>
      <c r="G2999">
        <v>20</v>
      </c>
      <c r="H2999">
        <v>1067.8800000000001</v>
      </c>
      <c r="I2999">
        <v>1754.39</v>
      </c>
      <c r="J2999">
        <v>2.66</v>
      </c>
      <c r="K2999">
        <v>4.0199999999999996</v>
      </c>
      <c r="L2999">
        <v>53.39</v>
      </c>
      <c r="M2999">
        <v>1.64</v>
      </c>
      <c r="N2999">
        <v>686.51</v>
      </c>
    </row>
    <row r="3000" spans="1:14" x14ac:dyDescent="0.2">
      <c r="A3000" s="1">
        <v>45723</v>
      </c>
      <c r="B3000" s="2" t="s">
        <v>33</v>
      </c>
      <c r="C3000" s="2" t="s">
        <v>21</v>
      </c>
      <c r="D3000" s="2" t="s">
        <v>16</v>
      </c>
      <c r="E3000">
        <v>5596</v>
      </c>
      <c r="F3000">
        <v>298</v>
      </c>
      <c r="G3000">
        <v>37</v>
      </c>
      <c r="H3000">
        <v>494.86</v>
      </c>
      <c r="I3000">
        <v>3897.47</v>
      </c>
      <c r="J3000">
        <v>5.33</v>
      </c>
      <c r="K3000">
        <v>12.42</v>
      </c>
      <c r="L3000">
        <v>13.37</v>
      </c>
      <c r="M3000">
        <v>7.88</v>
      </c>
      <c r="N3000">
        <v>3402.61</v>
      </c>
    </row>
    <row r="3001" spans="1:14" x14ac:dyDescent="0.2">
      <c r="A3001" s="1">
        <v>45723</v>
      </c>
      <c r="B3001" s="2" t="s">
        <v>34</v>
      </c>
      <c r="C3001" s="2" t="s">
        <v>28</v>
      </c>
      <c r="D3001" s="2" t="s">
        <v>22</v>
      </c>
      <c r="E3001">
        <v>5409</v>
      </c>
      <c r="F3001">
        <v>401</v>
      </c>
      <c r="G3001">
        <v>56</v>
      </c>
      <c r="H3001">
        <v>85.22</v>
      </c>
      <c r="I3001">
        <v>9161.2199999999993</v>
      </c>
      <c r="J3001">
        <v>7.41</v>
      </c>
      <c r="K3001">
        <v>13.97</v>
      </c>
      <c r="L3001">
        <v>1.52</v>
      </c>
      <c r="M3001">
        <v>107.5</v>
      </c>
      <c r="N3001">
        <v>9076</v>
      </c>
    </row>
    <row r="3002" spans="1:14" x14ac:dyDescent="0.2">
      <c r="A3002" s="1">
        <v>45724</v>
      </c>
      <c r="B3002" s="2" t="s">
        <v>14</v>
      </c>
      <c r="C3002" s="2" t="s">
        <v>35</v>
      </c>
      <c r="D3002" s="2" t="s">
        <v>36</v>
      </c>
      <c r="E3002">
        <v>7289</v>
      </c>
      <c r="F3002">
        <v>321</v>
      </c>
      <c r="G3002">
        <v>34</v>
      </c>
      <c r="H3002">
        <v>669.14</v>
      </c>
      <c r="I3002">
        <v>5192.4799999999996</v>
      </c>
      <c r="J3002">
        <v>4.4000000000000004</v>
      </c>
      <c r="K3002">
        <v>10.59</v>
      </c>
      <c r="L3002">
        <v>19.68</v>
      </c>
      <c r="M3002">
        <v>7.76</v>
      </c>
      <c r="N3002">
        <v>4523.34</v>
      </c>
    </row>
    <row r="3003" spans="1:14" x14ac:dyDescent="0.2">
      <c r="A3003" s="1">
        <v>45724</v>
      </c>
      <c r="B3003" s="2" t="s">
        <v>17</v>
      </c>
      <c r="C3003" s="2" t="s">
        <v>35</v>
      </c>
      <c r="D3003" s="2" t="s">
        <v>36</v>
      </c>
      <c r="E3003">
        <v>13300</v>
      </c>
      <c r="F3003">
        <v>479</v>
      </c>
      <c r="G3003">
        <v>29</v>
      </c>
      <c r="H3003">
        <v>823.81</v>
      </c>
      <c r="I3003">
        <v>3124.97</v>
      </c>
      <c r="J3003">
        <v>3.6</v>
      </c>
      <c r="K3003">
        <v>6.05</v>
      </c>
      <c r="L3003">
        <v>28.41</v>
      </c>
      <c r="M3003">
        <v>3.79</v>
      </c>
      <c r="N3003">
        <v>2301.16</v>
      </c>
    </row>
    <row r="3004" spans="1:14" x14ac:dyDescent="0.2">
      <c r="A3004" s="1">
        <v>45724</v>
      </c>
      <c r="B3004" s="2" t="s">
        <v>20</v>
      </c>
      <c r="C3004" s="2" t="s">
        <v>35</v>
      </c>
      <c r="D3004" s="2" t="s">
        <v>36</v>
      </c>
      <c r="E3004">
        <v>8194</v>
      </c>
      <c r="F3004">
        <v>303</v>
      </c>
      <c r="G3004">
        <v>17</v>
      </c>
      <c r="H3004">
        <v>587.53</v>
      </c>
      <c r="I3004">
        <v>1671.01</v>
      </c>
      <c r="J3004">
        <v>3.7</v>
      </c>
      <c r="K3004">
        <v>5.61</v>
      </c>
      <c r="L3004">
        <v>34.56</v>
      </c>
      <c r="M3004">
        <v>2.84</v>
      </c>
      <c r="N3004">
        <v>1083.48</v>
      </c>
    </row>
    <row r="3005" spans="1:14" x14ac:dyDescent="0.2">
      <c r="A3005" s="1">
        <v>45724</v>
      </c>
      <c r="B3005" s="2" t="s">
        <v>23</v>
      </c>
      <c r="C3005" s="2" t="s">
        <v>15</v>
      </c>
      <c r="D3005" s="2" t="s">
        <v>16</v>
      </c>
      <c r="E3005">
        <v>3617</v>
      </c>
      <c r="F3005">
        <v>79</v>
      </c>
      <c r="G3005">
        <v>11</v>
      </c>
      <c r="H3005">
        <v>646.23</v>
      </c>
      <c r="I3005">
        <v>2504.54</v>
      </c>
      <c r="J3005">
        <v>2.1800000000000002</v>
      </c>
      <c r="K3005">
        <v>13.92</v>
      </c>
      <c r="L3005">
        <v>58.75</v>
      </c>
      <c r="M3005">
        <v>3.88</v>
      </c>
      <c r="N3005">
        <v>1858.31</v>
      </c>
    </row>
    <row r="3006" spans="1:14" x14ac:dyDescent="0.2">
      <c r="A3006" s="1">
        <v>45724</v>
      </c>
      <c r="B3006" s="2" t="s">
        <v>24</v>
      </c>
      <c r="C3006" s="2" t="s">
        <v>35</v>
      </c>
      <c r="D3006" s="2" t="s">
        <v>16</v>
      </c>
      <c r="E3006">
        <v>13150</v>
      </c>
      <c r="F3006">
        <v>2599</v>
      </c>
      <c r="G3006">
        <v>290</v>
      </c>
      <c r="H3006">
        <v>151.53</v>
      </c>
      <c r="I3006">
        <v>46165.78</v>
      </c>
      <c r="J3006">
        <v>19.760000000000002</v>
      </c>
      <c r="K3006">
        <v>11.16</v>
      </c>
      <c r="L3006">
        <v>0.52</v>
      </c>
      <c r="M3006">
        <v>304.66000000000003</v>
      </c>
      <c r="N3006">
        <v>46014.25</v>
      </c>
    </row>
    <row r="3007" spans="1:14" x14ac:dyDescent="0.2">
      <c r="A3007" s="1">
        <v>45724</v>
      </c>
      <c r="B3007" s="2" t="s">
        <v>26</v>
      </c>
      <c r="C3007" s="2" t="s">
        <v>21</v>
      </c>
      <c r="D3007" s="2" t="s">
        <v>16</v>
      </c>
      <c r="E3007">
        <v>17981</v>
      </c>
      <c r="F3007">
        <v>1404</v>
      </c>
      <c r="G3007">
        <v>208</v>
      </c>
      <c r="H3007">
        <v>0</v>
      </c>
      <c r="I3007">
        <v>26084.53</v>
      </c>
      <c r="J3007">
        <v>7.81</v>
      </c>
      <c r="K3007">
        <v>14.81</v>
      </c>
      <c r="L3007">
        <v>0</v>
      </c>
      <c r="M3007">
        <v>0</v>
      </c>
      <c r="N3007">
        <v>26084.53</v>
      </c>
    </row>
    <row r="3008" spans="1:14" x14ac:dyDescent="0.2">
      <c r="A3008" s="1">
        <v>45724</v>
      </c>
      <c r="B3008" s="2" t="s">
        <v>27</v>
      </c>
      <c r="C3008" s="2" t="s">
        <v>35</v>
      </c>
      <c r="D3008" s="2" t="s">
        <v>36</v>
      </c>
      <c r="E3008">
        <v>20241</v>
      </c>
      <c r="F3008">
        <v>302</v>
      </c>
      <c r="G3008">
        <v>14</v>
      </c>
      <c r="H3008">
        <v>585.21</v>
      </c>
      <c r="I3008">
        <v>1566.52</v>
      </c>
      <c r="J3008">
        <v>1.49</v>
      </c>
      <c r="K3008">
        <v>4.6399999999999997</v>
      </c>
      <c r="L3008">
        <v>41.8</v>
      </c>
      <c r="M3008">
        <v>2.68</v>
      </c>
      <c r="N3008">
        <v>981.31</v>
      </c>
    </row>
    <row r="3009" spans="1:14" x14ac:dyDescent="0.2">
      <c r="A3009" s="1">
        <v>45724</v>
      </c>
      <c r="B3009" s="2" t="s">
        <v>29</v>
      </c>
      <c r="C3009" s="2" t="s">
        <v>18</v>
      </c>
      <c r="D3009" s="2" t="s">
        <v>25</v>
      </c>
      <c r="E3009">
        <v>16800</v>
      </c>
      <c r="F3009">
        <v>323</v>
      </c>
      <c r="G3009">
        <v>19</v>
      </c>
      <c r="H3009">
        <v>935.61</v>
      </c>
      <c r="I3009">
        <v>2679.35</v>
      </c>
      <c r="J3009">
        <v>1.92</v>
      </c>
      <c r="K3009">
        <v>5.88</v>
      </c>
      <c r="L3009">
        <v>49.24</v>
      </c>
      <c r="M3009">
        <v>2.86</v>
      </c>
      <c r="N3009">
        <v>1743.74</v>
      </c>
    </row>
    <row r="3010" spans="1:14" x14ac:dyDescent="0.2">
      <c r="A3010" s="1">
        <v>45724</v>
      </c>
      <c r="B3010" s="2" t="s">
        <v>30</v>
      </c>
      <c r="C3010" s="2" t="s">
        <v>28</v>
      </c>
      <c r="D3010" s="2" t="s">
        <v>22</v>
      </c>
      <c r="E3010">
        <v>5973</v>
      </c>
      <c r="F3010">
        <v>189</v>
      </c>
      <c r="G3010">
        <v>9</v>
      </c>
      <c r="H3010">
        <v>474.14</v>
      </c>
      <c r="I3010">
        <v>867.89</v>
      </c>
      <c r="J3010">
        <v>3.16</v>
      </c>
      <c r="K3010">
        <v>4.76</v>
      </c>
      <c r="L3010">
        <v>52.68</v>
      </c>
      <c r="M3010">
        <v>1.83</v>
      </c>
      <c r="N3010">
        <v>393.75</v>
      </c>
    </row>
    <row r="3011" spans="1:14" x14ac:dyDescent="0.2">
      <c r="A3011" s="1">
        <v>45724</v>
      </c>
      <c r="B3011" s="2" t="s">
        <v>31</v>
      </c>
      <c r="C3011" s="2" t="s">
        <v>21</v>
      </c>
      <c r="D3011" s="2" t="s">
        <v>19</v>
      </c>
      <c r="E3011">
        <v>16940</v>
      </c>
      <c r="F3011">
        <v>718</v>
      </c>
      <c r="G3011">
        <v>47</v>
      </c>
      <c r="H3011">
        <v>623.65</v>
      </c>
      <c r="I3011">
        <v>4789.7299999999996</v>
      </c>
      <c r="J3011">
        <v>4.24</v>
      </c>
      <c r="K3011">
        <v>6.55</v>
      </c>
      <c r="L3011">
        <v>13.27</v>
      </c>
      <c r="M3011">
        <v>7.68</v>
      </c>
      <c r="N3011">
        <v>4166.08</v>
      </c>
    </row>
    <row r="3012" spans="1:14" x14ac:dyDescent="0.2">
      <c r="A3012" s="1">
        <v>45724</v>
      </c>
      <c r="B3012" s="2" t="s">
        <v>33</v>
      </c>
      <c r="C3012" s="2" t="s">
        <v>28</v>
      </c>
      <c r="D3012" s="2" t="s">
        <v>16</v>
      </c>
      <c r="E3012">
        <v>3702</v>
      </c>
      <c r="F3012">
        <v>244</v>
      </c>
      <c r="G3012">
        <v>22</v>
      </c>
      <c r="H3012">
        <v>443.96</v>
      </c>
      <c r="I3012">
        <v>2374.75</v>
      </c>
      <c r="J3012">
        <v>6.59</v>
      </c>
      <c r="K3012">
        <v>9.02</v>
      </c>
      <c r="L3012">
        <v>20.18</v>
      </c>
      <c r="M3012">
        <v>5.35</v>
      </c>
      <c r="N3012">
        <v>1930.79</v>
      </c>
    </row>
    <row r="3013" spans="1:14" x14ac:dyDescent="0.2">
      <c r="A3013" s="1">
        <v>45724</v>
      </c>
      <c r="B3013" s="2" t="s">
        <v>34</v>
      </c>
      <c r="C3013" s="2" t="s">
        <v>18</v>
      </c>
      <c r="D3013" s="2" t="s">
        <v>22</v>
      </c>
      <c r="E3013">
        <v>2445</v>
      </c>
      <c r="F3013">
        <v>217</v>
      </c>
      <c r="G3013">
        <v>28</v>
      </c>
      <c r="H3013">
        <v>137.83000000000001</v>
      </c>
      <c r="I3013">
        <v>4065.43</v>
      </c>
      <c r="J3013">
        <v>8.8800000000000008</v>
      </c>
      <c r="K3013">
        <v>12.9</v>
      </c>
      <c r="L3013">
        <v>4.92</v>
      </c>
      <c r="M3013">
        <v>29.5</v>
      </c>
      <c r="N3013">
        <v>3927.6</v>
      </c>
    </row>
    <row r="3014" spans="1:14" x14ac:dyDescent="0.2">
      <c r="A3014" s="1">
        <v>45725</v>
      </c>
      <c r="B3014" s="2" t="s">
        <v>14</v>
      </c>
      <c r="C3014" s="2" t="s">
        <v>28</v>
      </c>
      <c r="D3014" s="2" t="s">
        <v>36</v>
      </c>
      <c r="E3014">
        <v>5603</v>
      </c>
      <c r="F3014">
        <v>221</v>
      </c>
      <c r="G3014">
        <v>25</v>
      </c>
      <c r="H3014">
        <v>875.96</v>
      </c>
      <c r="I3014">
        <v>3748.92</v>
      </c>
      <c r="J3014">
        <v>3.94</v>
      </c>
      <c r="K3014">
        <v>11.31</v>
      </c>
      <c r="L3014">
        <v>35.04</v>
      </c>
      <c r="M3014">
        <v>4.28</v>
      </c>
      <c r="N3014">
        <v>2872.96</v>
      </c>
    </row>
    <row r="3015" spans="1:14" x14ac:dyDescent="0.2">
      <c r="A3015" s="1">
        <v>45725</v>
      </c>
      <c r="B3015" s="2" t="s">
        <v>17</v>
      </c>
      <c r="C3015" s="2" t="s">
        <v>21</v>
      </c>
      <c r="D3015" s="2" t="s">
        <v>16</v>
      </c>
      <c r="E3015">
        <v>9865</v>
      </c>
      <c r="F3015">
        <v>283</v>
      </c>
      <c r="G3015">
        <v>22</v>
      </c>
      <c r="H3015">
        <v>779.78</v>
      </c>
      <c r="I3015">
        <v>2810.17</v>
      </c>
      <c r="J3015">
        <v>2.87</v>
      </c>
      <c r="K3015">
        <v>7.77</v>
      </c>
      <c r="L3015">
        <v>35.44</v>
      </c>
      <c r="M3015">
        <v>3.6</v>
      </c>
      <c r="N3015">
        <v>2030.39</v>
      </c>
    </row>
    <row r="3016" spans="1:14" x14ac:dyDescent="0.2">
      <c r="A3016" s="1">
        <v>45725</v>
      </c>
      <c r="B3016" s="2" t="s">
        <v>20</v>
      </c>
      <c r="C3016" s="2" t="s">
        <v>21</v>
      </c>
      <c r="D3016" s="2" t="s">
        <v>36</v>
      </c>
      <c r="E3016">
        <v>7149</v>
      </c>
      <c r="F3016">
        <v>214</v>
      </c>
      <c r="G3016">
        <v>14</v>
      </c>
      <c r="H3016">
        <v>417.79</v>
      </c>
      <c r="I3016">
        <v>1248.31</v>
      </c>
      <c r="J3016">
        <v>2.99</v>
      </c>
      <c r="K3016">
        <v>6.54</v>
      </c>
      <c r="L3016">
        <v>29.84</v>
      </c>
      <c r="M3016">
        <v>2.99</v>
      </c>
      <c r="N3016">
        <v>830.52</v>
      </c>
    </row>
    <row r="3017" spans="1:14" x14ac:dyDescent="0.2">
      <c r="A3017" s="1">
        <v>45725</v>
      </c>
      <c r="B3017" s="2" t="s">
        <v>23</v>
      </c>
      <c r="C3017" s="2" t="s">
        <v>15</v>
      </c>
      <c r="D3017" s="2" t="s">
        <v>16</v>
      </c>
      <c r="E3017">
        <v>2180</v>
      </c>
      <c r="F3017">
        <v>47</v>
      </c>
      <c r="G3017">
        <v>4</v>
      </c>
      <c r="H3017">
        <v>1139.8800000000001</v>
      </c>
      <c r="I3017">
        <v>1060.0999999999999</v>
      </c>
      <c r="J3017">
        <v>2.16</v>
      </c>
      <c r="K3017">
        <v>8.51</v>
      </c>
      <c r="L3017">
        <v>284.97000000000003</v>
      </c>
      <c r="M3017">
        <v>0.93</v>
      </c>
      <c r="N3017">
        <v>-79.78</v>
      </c>
    </row>
    <row r="3018" spans="1:14" x14ac:dyDescent="0.2">
      <c r="A3018" s="1">
        <v>45725</v>
      </c>
      <c r="B3018" s="2" t="s">
        <v>24</v>
      </c>
      <c r="C3018" s="2" t="s">
        <v>32</v>
      </c>
      <c r="D3018" s="2" t="s">
        <v>22</v>
      </c>
      <c r="E3018">
        <v>16090</v>
      </c>
      <c r="F3018">
        <v>3241</v>
      </c>
      <c r="G3018">
        <v>399</v>
      </c>
      <c r="H3018">
        <v>191.18</v>
      </c>
      <c r="I3018">
        <v>57056.81</v>
      </c>
      <c r="J3018">
        <v>20.14</v>
      </c>
      <c r="K3018">
        <v>12.31</v>
      </c>
      <c r="L3018">
        <v>0.48</v>
      </c>
      <c r="M3018">
        <v>298.45</v>
      </c>
      <c r="N3018">
        <v>56865.63</v>
      </c>
    </row>
    <row r="3019" spans="1:14" x14ac:dyDescent="0.2">
      <c r="A3019" s="1">
        <v>45725</v>
      </c>
      <c r="B3019" s="2" t="s">
        <v>26</v>
      </c>
      <c r="C3019" s="2" t="s">
        <v>28</v>
      </c>
      <c r="D3019" s="2" t="s">
        <v>36</v>
      </c>
      <c r="E3019">
        <v>20827</v>
      </c>
      <c r="F3019">
        <v>1029</v>
      </c>
      <c r="G3019">
        <v>161</v>
      </c>
      <c r="H3019">
        <v>0</v>
      </c>
      <c r="I3019">
        <v>21868.55</v>
      </c>
      <c r="J3019">
        <v>4.9400000000000004</v>
      </c>
      <c r="K3019">
        <v>15.65</v>
      </c>
      <c r="L3019">
        <v>0</v>
      </c>
      <c r="M3019">
        <v>0</v>
      </c>
      <c r="N3019">
        <v>21868.55</v>
      </c>
    </row>
    <row r="3020" spans="1:14" x14ac:dyDescent="0.2">
      <c r="A3020" s="1">
        <v>45725</v>
      </c>
      <c r="B3020" s="2" t="s">
        <v>27</v>
      </c>
      <c r="C3020" s="2" t="s">
        <v>15</v>
      </c>
      <c r="D3020" s="2" t="s">
        <v>19</v>
      </c>
      <c r="E3020">
        <v>19590</v>
      </c>
      <c r="F3020">
        <v>389</v>
      </c>
      <c r="G3020">
        <v>10</v>
      </c>
      <c r="H3020">
        <v>606.08000000000004</v>
      </c>
      <c r="I3020">
        <v>1279.78</v>
      </c>
      <c r="J3020">
        <v>1.99</v>
      </c>
      <c r="K3020">
        <v>2.57</v>
      </c>
      <c r="L3020">
        <v>60.61</v>
      </c>
      <c r="M3020">
        <v>2.11</v>
      </c>
      <c r="N3020">
        <v>673.7</v>
      </c>
    </row>
    <row r="3021" spans="1:14" x14ac:dyDescent="0.2">
      <c r="A3021" s="1">
        <v>45725</v>
      </c>
      <c r="B3021" s="2" t="s">
        <v>29</v>
      </c>
      <c r="C3021" s="2" t="s">
        <v>35</v>
      </c>
      <c r="D3021" s="2" t="s">
        <v>22</v>
      </c>
      <c r="E3021">
        <v>14811</v>
      </c>
      <c r="F3021">
        <v>347</v>
      </c>
      <c r="G3021">
        <v>19</v>
      </c>
      <c r="H3021">
        <v>927.85</v>
      </c>
      <c r="I3021">
        <v>2117.2600000000002</v>
      </c>
      <c r="J3021">
        <v>2.34</v>
      </c>
      <c r="K3021">
        <v>5.48</v>
      </c>
      <c r="L3021">
        <v>48.83</v>
      </c>
      <c r="M3021">
        <v>2.2799999999999998</v>
      </c>
      <c r="N3021">
        <v>1189.4100000000001</v>
      </c>
    </row>
    <row r="3022" spans="1:14" x14ac:dyDescent="0.2">
      <c r="A3022" s="1">
        <v>45725</v>
      </c>
      <c r="B3022" s="2" t="s">
        <v>30</v>
      </c>
      <c r="C3022" s="2" t="s">
        <v>15</v>
      </c>
      <c r="D3022" s="2" t="s">
        <v>16</v>
      </c>
      <c r="E3022">
        <v>7608</v>
      </c>
      <c r="F3022">
        <v>252</v>
      </c>
      <c r="G3022">
        <v>8</v>
      </c>
      <c r="H3022">
        <v>548.30999999999995</v>
      </c>
      <c r="I3022">
        <v>689.47</v>
      </c>
      <c r="J3022">
        <v>3.31</v>
      </c>
      <c r="K3022">
        <v>3.17</v>
      </c>
      <c r="L3022">
        <v>68.540000000000006</v>
      </c>
      <c r="M3022">
        <v>1.26</v>
      </c>
      <c r="N3022">
        <v>141.16</v>
      </c>
    </row>
    <row r="3023" spans="1:14" x14ac:dyDescent="0.2">
      <c r="A3023" s="1">
        <v>45725</v>
      </c>
      <c r="B3023" s="2" t="s">
        <v>31</v>
      </c>
      <c r="C3023" s="2" t="s">
        <v>15</v>
      </c>
      <c r="D3023" s="2" t="s">
        <v>25</v>
      </c>
      <c r="E3023">
        <v>16260</v>
      </c>
      <c r="F3023">
        <v>595</v>
      </c>
      <c r="G3023">
        <v>22</v>
      </c>
      <c r="H3023">
        <v>696.9</v>
      </c>
      <c r="I3023">
        <v>1605.96</v>
      </c>
      <c r="J3023">
        <v>3.66</v>
      </c>
      <c r="K3023">
        <v>3.7</v>
      </c>
      <c r="L3023">
        <v>31.68</v>
      </c>
      <c r="M3023">
        <v>2.2999999999999998</v>
      </c>
      <c r="N3023">
        <v>909.06</v>
      </c>
    </row>
    <row r="3024" spans="1:14" x14ac:dyDescent="0.2">
      <c r="A3024" s="1">
        <v>45725</v>
      </c>
      <c r="B3024" s="2" t="s">
        <v>33</v>
      </c>
      <c r="C3024" s="2" t="s">
        <v>32</v>
      </c>
      <c r="D3024" s="2" t="s">
        <v>16</v>
      </c>
      <c r="E3024">
        <v>4816</v>
      </c>
      <c r="F3024">
        <v>259</v>
      </c>
      <c r="G3024">
        <v>22</v>
      </c>
      <c r="H3024">
        <v>438.23</v>
      </c>
      <c r="I3024">
        <v>2629.89</v>
      </c>
      <c r="J3024">
        <v>5.38</v>
      </c>
      <c r="K3024">
        <v>8.49</v>
      </c>
      <c r="L3024">
        <v>19.920000000000002</v>
      </c>
      <c r="M3024">
        <v>6</v>
      </c>
      <c r="N3024">
        <v>2191.66</v>
      </c>
    </row>
    <row r="3025" spans="1:14" x14ac:dyDescent="0.2">
      <c r="A3025" s="1">
        <v>45725</v>
      </c>
      <c r="B3025" s="2" t="s">
        <v>34</v>
      </c>
      <c r="C3025" s="2" t="s">
        <v>35</v>
      </c>
      <c r="D3025" s="2" t="s">
        <v>36</v>
      </c>
      <c r="E3025">
        <v>2874</v>
      </c>
      <c r="F3025">
        <v>175</v>
      </c>
      <c r="G3025">
        <v>27</v>
      </c>
      <c r="H3025">
        <v>81.27</v>
      </c>
      <c r="I3025">
        <v>3536.9</v>
      </c>
      <c r="J3025">
        <v>6.09</v>
      </c>
      <c r="K3025">
        <v>15.43</v>
      </c>
      <c r="L3025">
        <v>3.01</v>
      </c>
      <c r="M3025">
        <v>43.52</v>
      </c>
      <c r="N3025">
        <v>3455.63</v>
      </c>
    </row>
    <row r="3026" spans="1:14" x14ac:dyDescent="0.2">
      <c r="A3026" s="1">
        <v>45726</v>
      </c>
      <c r="B3026" s="2" t="s">
        <v>14</v>
      </c>
      <c r="C3026" s="2" t="s">
        <v>15</v>
      </c>
      <c r="D3026" s="2" t="s">
        <v>19</v>
      </c>
      <c r="E3026">
        <v>9238</v>
      </c>
      <c r="F3026">
        <v>420</v>
      </c>
      <c r="G3026">
        <v>48</v>
      </c>
      <c r="H3026">
        <v>1080.72</v>
      </c>
      <c r="I3026">
        <v>5712.95</v>
      </c>
      <c r="J3026">
        <v>4.55</v>
      </c>
      <c r="K3026">
        <v>11.43</v>
      </c>
      <c r="L3026">
        <v>22.52</v>
      </c>
      <c r="M3026">
        <v>5.29</v>
      </c>
      <c r="N3026">
        <v>4632.2299999999996</v>
      </c>
    </row>
    <row r="3027" spans="1:14" x14ac:dyDescent="0.2">
      <c r="A3027" s="1">
        <v>45726</v>
      </c>
      <c r="B3027" s="2" t="s">
        <v>17</v>
      </c>
      <c r="C3027" s="2" t="s">
        <v>21</v>
      </c>
      <c r="D3027" s="2" t="s">
        <v>19</v>
      </c>
      <c r="E3027">
        <v>14951</v>
      </c>
      <c r="F3027">
        <v>321</v>
      </c>
      <c r="G3027">
        <v>18</v>
      </c>
      <c r="H3027">
        <v>1049.8499999999999</v>
      </c>
      <c r="I3027">
        <v>2078.59</v>
      </c>
      <c r="J3027">
        <v>2.15</v>
      </c>
      <c r="K3027">
        <v>5.61</v>
      </c>
      <c r="L3027">
        <v>58.32</v>
      </c>
      <c r="M3027">
        <v>1.98</v>
      </c>
      <c r="N3027">
        <v>1028.74</v>
      </c>
    </row>
    <row r="3028" spans="1:14" x14ac:dyDescent="0.2">
      <c r="A3028" s="1">
        <v>45726</v>
      </c>
      <c r="B3028" s="2" t="s">
        <v>20</v>
      </c>
      <c r="C3028" s="2" t="s">
        <v>18</v>
      </c>
      <c r="D3028" s="2" t="s">
        <v>22</v>
      </c>
      <c r="E3028">
        <v>13896</v>
      </c>
      <c r="F3028">
        <v>618</v>
      </c>
      <c r="G3028">
        <v>24</v>
      </c>
      <c r="H3028">
        <v>706.92</v>
      </c>
      <c r="I3028">
        <v>1972.64</v>
      </c>
      <c r="J3028">
        <v>4.45</v>
      </c>
      <c r="K3028">
        <v>3.88</v>
      </c>
      <c r="L3028">
        <v>29.46</v>
      </c>
      <c r="M3028">
        <v>2.79</v>
      </c>
      <c r="N3028">
        <v>1265.72</v>
      </c>
    </row>
    <row r="3029" spans="1:14" x14ac:dyDescent="0.2">
      <c r="A3029" s="1">
        <v>45726</v>
      </c>
      <c r="B3029" s="2" t="s">
        <v>23</v>
      </c>
      <c r="C3029" s="2" t="s">
        <v>18</v>
      </c>
      <c r="D3029" s="2" t="s">
        <v>22</v>
      </c>
      <c r="E3029">
        <v>5629</v>
      </c>
      <c r="F3029">
        <v>124</v>
      </c>
      <c r="G3029">
        <v>15</v>
      </c>
      <c r="H3029">
        <v>1265.6099999999999</v>
      </c>
      <c r="I3029">
        <v>4255.71</v>
      </c>
      <c r="J3029">
        <v>2.2000000000000002</v>
      </c>
      <c r="K3029">
        <v>12.1</v>
      </c>
      <c r="L3029">
        <v>84.37</v>
      </c>
      <c r="M3029">
        <v>3.36</v>
      </c>
      <c r="N3029">
        <v>2990.1</v>
      </c>
    </row>
    <row r="3030" spans="1:14" x14ac:dyDescent="0.2">
      <c r="A3030" s="1">
        <v>45726</v>
      </c>
      <c r="B3030" s="2" t="s">
        <v>24</v>
      </c>
      <c r="C3030" s="2" t="s">
        <v>15</v>
      </c>
      <c r="D3030" s="2" t="s">
        <v>36</v>
      </c>
      <c r="E3030">
        <v>19461</v>
      </c>
      <c r="F3030">
        <v>4100</v>
      </c>
      <c r="G3030">
        <v>570</v>
      </c>
      <c r="H3030">
        <v>223.88</v>
      </c>
      <c r="I3030">
        <v>80146.11</v>
      </c>
      <c r="J3030">
        <v>21.07</v>
      </c>
      <c r="K3030">
        <v>13.9</v>
      </c>
      <c r="L3030">
        <v>0.39</v>
      </c>
      <c r="M3030">
        <v>357.99</v>
      </c>
      <c r="N3030">
        <v>79922.23</v>
      </c>
    </row>
    <row r="3031" spans="1:14" x14ac:dyDescent="0.2">
      <c r="A3031" s="1">
        <v>45726</v>
      </c>
      <c r="B3031" s="2" t="s">
        <v>26</v>
      </c>
      <c r="C3031" s="2" t="s">
        <v>35</v>
      </c>
      <c r="D3031" s="2" t="s">
        <v>16</v>
      </c>
      <c r="E3031">
        <v>30315</v>
      </c>
      <c r="F3031">
        <v>1692</v>
      </c>
      <c r="G3031">
        <v>251</v>
      </c>
      <c r="H3031">
        <v>0</v>
      </c>
      <c r="I3031">
        <v>28151.439999999999</v>
      </c>
      <c r="J3031">
        <v>5.58</v>
      </c>
      <c r="K3031">
        <v>14.83</v>
      </c>
      <c r="L3031">
        <v>0</v>
      </c>
      <c r="M3031">
        <v>0</v>
      </c>
      <c r="N3031">
        <v>28151.439999999999</v>
      </c>
    </row>
    <row r="3032" spans="1:14" x14ac:dyDescent="0.2">
      <c r="A3032" s="1">
        <v>45726</v>
      </c>
      <c r="B3032" s="2" t="s">
        <v>27</v>
      </c>
      <c r="C3032" s="2" t="s">
        <v>21</v>
      </c>
      <c r="D3032" s="2" t="s">
        <v>19</v>
      </c>
      <c r="E3032">
        <v>36410</v>
      </c>
      <c r="F3032">
        <v>404</v>
      </c>
      <c r="G3032">
        <v>12</v>
      </c>
      <c r="H3032">
        <v>1178.92</v>
      </c>
      <c r="I3032">
        <v>951.08</v>
      </c>
      <c r="J3032">
        <v>1.1100000000000001</v>
      </c>
      <c r="K3032">
        <v>2.97</v>
      </c>
      <c r="L3032">
        <v>98.24</v>
      </c>
      <c r="M3032">
        <v>0.81</v>
      </c>
      <c r="N3032">
        <v>-227.84</v>
      </c>
    </row>
    <row r="3033" spans="1:14" x14ac:dyDescent="0.2">
      <c r="A3033" s="1">
        <v>45726</v>
      </c>
      <c r="B3033" s="2" t="s">
        <v>29</v>
      </c>
      <c r="C3033" s="2" t="s">
        <v>32</v>
      </c>
      <c r="D3033" s="2" t="s">
        <v>16</v>
      </c>
      <c r="E3033">
        <v>24916</v>
      </c>
      <c r="F3033">
        <v>570</v>
      </c>
      <c r="G3033">
        <v>27</v>
      </c>
      <c r="H3033">
        <v>880.02</v>
      </c>
      <c r="I3033">
        <v>3568.03</v>
      </c>
      <c r="J3033">
        <v>2.29</v>
      </c>
      <c r="K3033">
        <v>4.74</v>
      </c>
      <c r="L3033">
        <v>32.590000000000003</v>
      </c>
      <c r="M3033">
        <v>4.05</v>
      </c>
      <c r="N3033">
        <v>2688.01</v>
      </c>
    </row>
    <row r="3034" spans="1:14" x14ac:dyDescent="0.2">
      <c r="A3034" s="1">
        <v>45726</v>
      </c>
      <c r="B3034" s="2" t="s">
        <v>30</v>
      </c>
      <c r="C3034" s="2" t="s">
        <v>28</v>
      </c>
      <c r="D3034" s="2" t="s">
        <v>22</v>
      </c>
      <c r="E3034">
        <v>10261</v>
      </c>
      <c r="F3034">
        <v>278</v>
      </c>
      <c r="G3034">
        <v>9</v>
      </c>
      <c r="H3034">
        <v>795.52</v>
      </c>
      <c r="I3034">
        <v>819.26</v>
      </c>
      <c r="J3034">
        <v>2.71</v>
      </c>
      <c r="K3034">
        <v>3.24</v>
      </c>
      <c r="L3034">
        <v>88.39</v>
      </c>
      <c r="M3034">
        <v>1.03</v>
      </c>
      <c r="N3034">
        <v>23.74</v>
      </c>
    </row>
    <row r="3035" spans="1:14" x14ac:dyDescent="0.2">
      <c r="A3035" s="1">
        <v>45726</v>
      </c>
      <c r="B3035" s="2" t="s">
        <v>31</v>
      </c>
      <c r="C3035" s="2" t="s">
        <v>18</v>
      </c>
      <c r="D3035" s="2" t="s">
        <v>16</v>
      </c>
      <c r="E3035">
        <v>24183</v>
      </c>
      <c r="F3035">
        <v>945</v>
      </c>
      <c r="G3035">
        <v>39</v>
      </c>
      <c r="H3035">
        <v>1054.77</v>
      </c>
      <c r="I3035">
        <v>3508.1</v>
      </c>
      <c r="J3035">
        <v>3.91</v>
      </c>
      <c r="K3035">
        <v>4.13</v>
      </c>
      <c r="L3035">
        <v>27.05</v>
      </c>
      <c r="M3035">
        <v>3.33</v>
      </c>
      <c r="N3035">
        <v>2453.33</v>
      </c>
    </row>
    <row r="3036" spans="1:14" x14ac:dyDescent="0.2">
      <c r="A3036" s="1">
        <v>45726</v>
      </c>
      <c r="B3036" s="2" t="s">
        <v>33</v>
      </c>
      <c r="C3036" s="2" t="s">
        <v>32</v>
      </c>
      <c r="D3036" s="2" t="s">
        <v>36</v>
      </c>
      <c r="E3036">
        <v>8492</v>
      </c>
      <c r="F3036">
        <v>559</v>
      </c>
      <c r="G3036">
        <v>50</v>
      </c>
      <c r="H3036">
        <v>367.5</v>
      </c>
      <c r="I3036">
        <v>6735.1</v>
      </c>
      <c r="J3036">
        <v>6.58</v>
      </c>
      <c r="K3036">
        <v>8.94</v>
      </c>
      <c r="L3036">
        <v>7.35</v>
      </c>
      <c r="M3036">
        <v>18.329999999999998</v>
      </c>
      <c r="N3036">
        <v>6367.6</v>
      </c>
    </row>
    <row r="3037" spans="1:14" x14ac:dyDescent="0.2">
      <c r="A3037" s="1">
        <v>45726</v>
      </c>
      <c r="B3037" s="2" t="s">
        <v>34</v>
      </c>
      <c r="C3037" s="2" t="s">
        <v>15</v>
      </c>
      <c r="D3037" s="2" t="s">
        <v>25</v>
      </c>
      <c r="E3037">
        <v>3239</v>
      </c>
      <c r="F3037">
        <v>182</v>
      </c>
      <c r="G3037">
        <v>29</v>
      </c>
      <c r="H3037">
        <v>185.64</v>
      </c>
      <c r="I3037">
        <v>4265.96</v>
      </c>
      <c r="J3037">
        <v>5.62</v>
      </c>
      <c r="K3037">
        <v>15.93</v>
      </c>
      <c r="L3037">
        <v>6.4</v>
      </c>
      <c r="M3037">
        <v>22.98</v>
      </c>
      <c r="N3037">
        <v>4080.32</v>
      </c>
    </row>
    <row r="3038" spans="1:14" x14ac:dyDescent="0.2">
      <c r="A3038" s="1">
        <v>45727</v>
      </c>
      <c r="B3038" s="2" t="s">
        <v>14</v>
      </c>
      <c r="C3038" s="2" t="s">
        <v>21</v>
      </c>
      <c r="D3038" s="2" t="s">
        <v>19</v>
      </c>
      <c r="E3038">
        <v>12121</v>
      </c>
      <c r="F3038">
        <v>474</v>
      </c>
      <c r="G3038">
        <v>41</v>
      </c>
      <c r="H3038">
        <v>1280.69</v>
      </c>
      <c r="I3038">
        <v>7720.3</v>
      </c>
      <c r="J3038">
        <v>3.91</v>
      </c>
      <c r="K3038">
        <v>8.65</v>
      </c>
      <c r="L3038">
        <v>31.24</v>
      </c>
      <c r="M3038">
        <v>6.03</v>
      </c>
      <c r="N3038">
        <v>6439.61</v>
      </c>
    </row>
    <row r="3039" spans="1:14" x14ac:dyDescent="0.2">
      <c r="A3039" s="1">
        <v>45727</v>
      </c>
      <c r="B3039" s="2" t="s">
        <v>17</v>
      </c>
      <c r="C3039" s="2" t="s">
        <v>18</v>
      </c>
      <c r="D3039" s="2" t="s">
        <v>22</v>
      </c>
      <c r="E3039">
        <v>17716</v>
      </c>
      <c r="F3039">
        <v>354</v>
      </c>
      <c r="G3039">
        <v>19</v>
      </c>
      <c r="H3039">
        <v>607.16999999999996</v>
      </c>
      <c r="I3039">
        <v>2345.9</v>
      </c>
      <c r="J3039">
        <v>2</v>
      </c>
      <c r="K3039">
        <v>5.37</v>
      </c>
      <c r="L3039">
        <v>31.96</v>
      </c>
      <c r="M3039">
        <v>3.86</v>
      </c>
      <c r="N3039">
        <v>1738.73</v>
      </c>
    </row>
    <row r="3040" spans="1:14" x14ac:dyDescent="0.2">
      <c r="A3040" s="1">
        <v>45727</v>
      </c>
      <c r="B3040" s="2" t="s">
        <v>20</v>
      </c>
      <c r="C3040" s="2" t="s">
        <v>21</v>
      </c>
      <c r="D3040" s="2" t="s">
        <v>36</v>
      </c>
      <c r="E3040">
        <v>13625</v>
      </c>
      <c r="F3040">
        <v>404</v>
      </c>
      <c r="G3040">
        <v>25</v>
      </c>
      <c r="H3040">
        <v>975.99</v>
      </c>
      <c r="I3040">
        <v>3102.81</v>
      </c>
      <c r="J3040">
        <v>2.97</v>
      </c>
      <c r="K3040">
        <v>6.19</v>
      </c>
      <c r="L3040">
        <v>39.04</v>
      </c>
      <c r="M3040">
        <v>3.18</v>
      </c>
      <c r="N3040">
        <v>2126.8200000000002</v>
      </c>
    </row>
    <row r="3041" spans="1:14" x14ac:dyDescent="0.2">
      <c r="A3041" s="1">
        <v>45727</v>
      </c>
      <c r="B3041" s="2" t="s">
        <v>23</v>
      </c>
      <c r="C3041" s="2" t="s">
        <v>18</v>
      </c>
      <c r="D3041" s="2" t="s">
        <v>25</v>
      </c>
      <c r="E3041">
        <v>4961</v>
      </c>
      <c r="F3041">
        <v>78</v>
      </c>
      <c r="G3041">
        <v>11</v>
      </c>
      <c r="H3041">
        <v>1543.29</v>
      </c>
      <c r="I3041">
        <v>2754.65</v>
      </c>
      <c r="J3041">
        <v>1.57</v>
      </c>
      <c r="K3041">
        <v>14.1</v>
      </c>
      <c r="L3041">
        <v>140.30000000000001</v>
      </c>
      <c r="M3041">
        <v>1.78</v>
      </c>
      <c r="N3041">
        <v>1211.3599999999999</v>
      </c>
    </row>
    <row r="3042" spans="1:14" x14ac:dyDescent="0.2">
      <c r="A3042" s="1">
        <v>45727</v>
      </c>
      <c r="B3042" s="2" t="s">
        <v>24</v>
      </c>
      <c r="C3042" s="2" t="s">
        <v>35</v>
      </c>
      <c r="D3042" s="2" t="s">
        <v>16</v>
      </c>
      <c r="E3042">
        <v>23557</v>
      </c>
      <c r="F3042">
        <v>4202</v>
      </c>
      <c r="G3042">
        <v>399</v>
      </c>
      <c r="H3042">
        <v>227.27</v>
      </c>
      <c r="I3042">
        <v>59646.86</v>
      </c>
      <c r="J3042">
        <v>17.84</v>
      </c>
      <c r="K3042">
        <v>9.5</v>
      </c>
      <c r="L3042">
        <v>0.56999999999999995</v>
      </c>
      <c r="M3042">
        <v>262.45</v>
      </c>
      <c r="N3042">
        <v>59419.59</v>
      </c>
    </row>
    <row r="3043" spans="1:14" x14ac:dyDescent="0.2">
      <c r="A3043" s="1">
        <v>45727</v>
      </c>
      <c r="B3043" s="2" t="s">
        <v>26</v>
      </c>
      <c r="C3043" s="2" t="s">
        <v>18</v>
      </c>
      <c r="D3043" s="2" t="s">
        <v>19</v>
      </c>
      <c r="E3043">
        <v>25290</v>
      </c>
      <c r="F3043">
        <v>1715</v>
      </c>
      <c r="G3043">
        <v>215</v>
      </c>
      <c r="H3043">
        <v>0</v>
      </c>
      <c r="I3043">
        <v>25100.68</v>
      </c>
      <c r="J3043">
        <v>6.78</v>
      </c>
      <c r="K3043">
        <v>12.54</v>
      </c>
      <c r="L3043">
        <v>0</v>
      </c>
      <c r="M3043">
        <v>0</v>
      </c>
      <c r="N3043">
        <v>25100.68</v>
      </c>
    </row>
    <row r="3044" spans="1:14" x14ac:dyDescent="0.2">
      <c r="A3044" s="1">
        <v>45727</v>
      </c>
      <c r="B3044" s="2" t="s">
        <v>27</v>
      </c>
      <c r="C3044" s="2" t="s">
        <v>15</v>
      </c>
      <c r="D3044" s="2" t="s">
        <v>22</v>
      </c>
      <c r="E3044">
        <v>26164</v>
      </c>
      <c r="F3044">
        <v>501</v>
      </c>
      <c r="G3044">
        <v>22</v>
      </c>
      <c r="H3044">
        <v>1225.9000000000001</v>
      </c>
      <c r="I3044">
        <v>2189.8000000000002</v>
      </c>
      <c r="J3044">
        <v>1.91</v>
      </c>
      <c r="K3044">
        <v>4.3899999999999997</v>
      </c>
      <c r="L3044">
        <v>55.72</v>
      </c>
      <c r="M3044">
        <v>1.79</v>
      </c>
      <c r="N3044">
        <v>963.9</v>
      </c>
    </row>
    <row r="3045" spans="1:14" x14ac:dyDescent="0.2">
      <c r="A3045" s="1">
        <v>45727</v>
      </c>
      <c r="B3045" s="2" t="s">
        <v>29</v>
      </c>
      <c r="C3045" s="2" t="s">
        <v>15</v>
      </c>
      <c r="D3045" s="2" t="s">
        <v>25</v>
      </c>
      <c r="E3045">
        <v>18866</v>
      </c>
      <c r="F3045">
        <v>519</v>
      </c>
      <c r="G3045">
        <v>31</v>
      </c>
      <c r="H3045">
        <v>1148.0999999999999</v>
      </c>
      <c r="I3045">
        <v>3341.17</v>
      </c>
      <c r="J3045">
        <v>2.75</v>
      </c>
      <c r="K3045">
        <v>5.97</v>
      </c>
      <c r="L3045">
        <v>37.04</v>
      </c>
      <c r="M3045">
        <v>2.91</v>
      </c>
      <c r="N3045">
        <v>2193.0700000000002</v>
      </c>
    </row>
    <row r="3046" spans="1:14" x14ac:dyDescent="0.2">
      <c r="A3046" s="1">
        <v>45727</v>
      </c>
      <c r="B3046" s="2" t="s">
        <v>30</v>
      </c>
      <c r="C3046" s="2" t="s">
        <v>18</v>
      </c>
      <c r="D3046" s="2" t="s">
        <v>22</v>
      </c>
      <c r="E3046">
        <v>13113</v>
      </c>
      <c r="F3046">
        <v>413</v>
      </c>
      <c r="G3046">
        <v>14</v>
      </c>
      <c r="H3046">
        <v>766.03</v>
      </c>
      <c r="I3046">
        <v>1285.02</v>
      </c>
      <c r="J3046">
        <v>3.15</v>
      </c>
      <c r="K3046">
        <v>3.39</v>
      </c>
      <c r="L3046">
        <v>54.72</v>
      </c>
      <c r="M3046">
        <v>1.68</v>
      </c>
      <c r="N3046">
        <v>518.99</v>
      </c>
    </row>
    <row r="3047" spans="1:14" x14ac:dyDescent="0.2">
      <c r="A3047" s="1">
        <v>45727</v>
      </c>
      <c r="B3047" s="2" t="s">
        <v>31</v>
      </c>
      <c r="C3047" s="2" t="s">
        <v>28</v>
      </c>
      <c r="D3047" s="2" t="s">
        <v>22</v>
      </c>
      <c r="E3047">
        <v>25393</v>
      </c>
      <c r="F3047">
        <v>1024</v>
      </c>
      <c r="G3047">
        <v>31</v>
      </c>
      <c r="H3047">
        <v>728.2</v>
      </c>
      <c r="I3047">
        <v>2439.9299999999998</v>
      </c>
      <c r="J3047">
        <v>4.03</v>
      </c>
      <c r="K3047">
        <v>3.03</v>
      </c>
      <c r="L3047">
        <v>23.49</v>
      </c>
      <c r="M3047">
        <v>3.35</v>
      </c>
      <c r="N3047">
        <v>1711.73</v>
      </c>
    </row>
    <row r="3048" spans="1:14" x14ac:dyDescent="0.2">
      <c r="A3048" s="1">
        <v>45727</v>
      </c>
      <c r="B3048" s="2" t="s">
        <v>33</v>
      </c>
      <c r="C3048" s="2" t="s">
        <v>35</v>
      </c>
      <c r="D3048" s="2" t="s">
        <v>25</v>
      </c>
      <c r="E3048">
        <v>7585</v>
      </c>
      <c r="F3048">
        <v>458</v>
      </c>
      <c r="G3048">
        <v>48</v>
      </c>
      <c r="H3048">
        <v>371.6</v>
      </c>
      <c r="I3048">
        <v>4969.9799999999996</v>
      </c>
      <c r="J3048">
        <v>6.04</v>
      </c>
      <c r="K3048">
        <v>10.48</v>
      </c>
      <c r="L3048">
        <v>7.74</v>
      </c>
      <c r="M3048">
        <v>13.37</v>
      </c>
      <c r="N3048">
        <v>4598.38</v>
      </c>
    </row>
    <row r="3049" spans="1:14" x14ac:dyDescent="0.2">
      <c r="A3049" s="1">
        <v>45727</v>
      </c>
      <c r="B3049" s="2" t="s">
        <v>34</v>
      </c>
      <c r="C3049" s="2" t="s">
        <v>15</v>
      </c>
      <c r="D3049" s="2" t="s">
        <v>19</v>
      </c>
      <c r="E3049">
        <v>3470</v>
      </c>
      <c r="F3049">
        <v>188</v>
      </c>
      <c r="G3049">
        <v>29</v>
      </c>
      <c r="H3049">
        <v>85.51</v>
      </c>
      <c r="I3049">
        <v>4067.34</v>
      </c>
      <c r="J3049">
        <v>5.42</v>
      </c>
      <c r="K3049">
        <v>15.43</v>
      </c>
      <c r="L3049">
        <v>2.95</v>
      </c>
      <c r="M3049">
        <v>47.57</v>
      </c>
      <c r="N3049">
        <v>3981.83</v>
      </c>
    </row>
    <row r="3050" spans="1:14" x14ac:dyDescent="0.2">
      <c r="A3050" s="1">
        <v>45728</v>
      </c>
      <c r="B3050" s="2" t="s">
        <v>14</v>
      </c>
      <c r="C3050" s="2" t="s">
        <v>28</v>
      </c>
      <c r="D3050" s="2" t="s">
        <v>22</v>
      </c>
      <c r="E3050">
        <v>8416</v>
      </c>
      <c r="F3050">
        <v>268</v>
      </c>
      <c r="G3050">
        <v>30</v>
      </c>
      <c r="H3050">
        <v>1135.56</v>
      </c>
      <c r="I3050">
        <v>4179.4399999999996</v>
      </c>
      <c r="J3050">
        <v>3.18</v>
      </c>
      <c r="K3050">
        <v>11.19</v>
      </c>
      <c r="L3050">
        <v>37.85</v>
      </c>
      <c r="M3050">
        <v>3.68</v>
      </c>
      <c r="N3050">
        <v>3043.88</v>
      </c>
    </row>
    <row r="3051" spans="1:14" x14ac:dyDescent="0.2">
      <c r="A3051" s="1">
        <v>45728</v>
      </c>
      <c r="B3051" s="2" t="s">
        <v>17</v>
      </c>
      <c r="C3051" s="2" t="s">
        <v>18</v>
      </c>
      <c r="D3051" s="2" t="s">
        <v>36</v>
      </c>
      <c r="E3051">
        <v>13399</v>
      </c>
      <c r="F3051">
        <v>515</v>
      </c>
      <c r="G3051">
        <v>29</v>
      </c>
      <c r="H3051">
        <v>1178.1099999999999</v>
      </c>
      <c r="I3051">
        <v>4063.64</v>
      </c>
      <c r="J3051">
        <v>3.84</v>
      </c>
      <c r="K3051">
        <v>5.63</v>
      </c>
      <c r="L3051">
        <v>40.619999999999997</v>
      </c>
      <c r="M3051">
        <v>3.45</v>
      </c>
      <c r="N3051">
        <v>2885.53</v>
      </c>
    </row>
    <row r="3052" spans="1:14" x14ac:dyDescent="0.2">
      <c r="A3052" s="1">
        <v>45728</v>
      </c>
      <c r="B3052" s="2" t="s">
        <v>20</v>
      </c>
      <c r="C3052" s="2" t="s">
        <v>35</v>
      </c>
      <c r="D3052" s="2" t="s">
        <v>22</v>
      </c>
      <c r="E3052">
        <v>10654</v>
      </c>
      <c r="F3052">
        <v>393</v>
      </c>
      <c r="G3052">
        <v>18</v>
      </c>
      <c r="H3052">
        <v>613.41999999999996</v>
      </c>
      <c r="I3052">
        <v>1715.83</v>
      </c>
      <c r="J3052">
        <v>3.69</v>
      </c>
      <c r="K3052">
        <v>4.58</v>
      </c>
      <c r="L3052">
        <v>34.08</v>
      </c>
      <c r="M3052">
        <v>2.8</v>
      </c>
      <c r="N3052">
        <v>1102.4100000000001</v>
      </c>
    </row>
    <row r="3053" spans="1:14" x14ac:dyDescent="0.2">
      <c r="A3053" s="1">
        <v>45728</v>
      </c>
      <c r="B3053" s="2" t="s">
        <v>23</v>
      </c>
      <c r="C3053" s="2" t="s">
        <v>35</v>
      </c>
      <c r="D3053" s="2" t="s">
        <v>16</v>
      </c>
      <c r="E3053">
        <v>4510</v>
      </c>
      <c r="F3053">
        <v>129</v>
      </c>
      <c r="G3053">
        <v>18</v>
      </c>
      <c r="H3053">
        <v>1642.01</v>
      </c>
      <c r="I3053">
        <v>3899.75</v>
      </c>
      <c r="J3053">
        <v>2.86</v>
      </c>
      <c r="K3053">
        <v>13.95</v>
      </c>
      <c r="L3053">
        <v>91.22</v>
      </c>
      <c r="M3053">
        <v>2.37</v>
      </c>
      <c r="N3053">
        <v>2257.7399999999998</v>
      </c>
    </row>
    <row r="3054" spans="1:14" x14ac:dyDescent="0.2">
      <c r="A3054" s="1">
        <v>45728</v>
      </c>
      <c r="B3054" s="2" t="s">
        <v>24</v>
      </c>
      <c r="C3054" s="2" t="s">
        <v>28</v>
      </c>
      <c r="D3054" s="2" t="s">
        <v>36</v>
      </c>
      <c r="E3054">
        <v>18448</v>
      </c>
      <c r="F3054">
        <v>3581</v>
      </c>
      <c r="G3054">
        <v>286</v>
      </c>
      <c r="H3054">
        <v>197.99</v>
      </c>
      <c r="I3054">
        <v>31278.83</v>
      </c>
      <c r="J3054">
        <v>19.41</v>
      </c>
      <c r="K3054">
        <v>7.99</v>
      </c>
      <c r="L3054">
        <v>0.69</v>
      </c>
      <c r="M3054">
        <v>157.97999999999999</v>
      </c>
      <c r="N3054">
        <v>31080.84</v>
      </c>
    </row>
    <row r="3055" spans="1:14" x14ac:dyDescent="0.2">
      <c r="A3055" s="1">
        <v>45728</v>
      </c>
      <c r="B3055" s="2" t="s">
        <v>26</v>
      </c>
      <c r="C3055" s="2" t="s">
        <v>32</v>
      </c>
      <c r="D3055" s="2" t="s">
        <v>19</v>
      </c>
      <c r="E3055">
        <v>34648</v>
      </c>
      <c r="F3055">
        <v>1477</v>
      </c>
      <c r="G3055">
        <v>160</v>
      </c>
      <c r="H3055">
        <v>0</v>
      </c>
      <c r="I3055">
        <v>22495.4</v>
      </c>
      <c r="J3055">
        <v>4.26</v>
      </c>
      <c r="K3055">
        <v>10.83</v>
      </c>
      <c r="L3055">
        <v>0</v>
      </c>
      <c r="M3055">
        <v>0</v>
      </c>
      <c r="N3055">
        <v>22495.4</v>
      </c>
    </row>
    <row r="3056" spans="1:14" x14ac:dyDescent="0.2">
      <c r="A3056" s="1">
        <v>45728</v>
      </c>
      <c r="B3056" s="2" t="s">
        <v>27</v>
      </c>
      <c r="C3056" s="2" t="s">
        <v>32</v>
      </c>
      <c r="D3056" s="2" t="s">
        <v>36</v>
      </c>
      <c r="E3056">
        <v>36486</v>
      </c>
      <c r="F3056">
        <v>680</v>
      </c>
      <c r="G3056">
        <v>29</v>
      </c>
      <c r="H3056">
        <v>1090.76</v>
      </c>
      <c r="I3056">
        <v>3428.89</v>
      </c>
      <c r="J3056">
        <v>1.86</v>
      </c>
      <c r="K3056">
        <v>4.26</v>
      </c>
      <c r="L3056">
        <v>37.61</v>
      </c>
      <c r="M3056">
        <v>3.14</v>
      </c>
      <c r="N3056">
        <v>2338.13</v>
      </c>
    </row>
    <row r="3057" spans="1:14" x14ac:dyDescent="0.2">
      <c r="A3057" s="1">
        <v>45728</v>
      </c>
      <c r="B3057" s="2" t="s">
        <v>29</v>
      </c>
      <c r="C3057" s="2" t="s">
        <v>21</v>
      </c>
      <c r="D3057" s="2" t="s">
        <v>25</v>
      </c>
      <c r="E3057">
        <v>20802</v>
      </c>
      <c r="F3057">
        <v>514</v>
      </c>
      <c r="G3057">
        <v>22</v>
      </c>
      <c r="H3057">
        <v>1063.69</v>
      </c>
      <c r="I3057">
        <v>2681.12</v>
      </c>
      <c r="J3057">
        <v>2.4700000000000002</v>
      </c>
      <c r="K3057">
        <v>4.28</v>
      </c>
      <c r="L3057">
        <v>48.35</v>
      </c>
      <c r="M3057">
        <v>2.52</v>
      </c>
      <c r="N3057">
        <v>1617.43</v>
      </c>
    </row>
    <row r="3058" spans="1:14" x14ac:dyDescent="0.2">
      <c r="A3058" s="1">
        <v>45728</v>
      </c>
      <c r="B3058" s="2" t="s">
        <v>30</v>
      </c>
      <c r="C3058" s="2" t="s">
        <v>21</v>
      </c>
      <c r="D3058" s="2" t="s">
        <v>25</v>
      </c>
      <c r="E3058">
        <v>10621</v>
      </c>
      <c r="F3058">
        <v>305</v>
      </c>
      <c r="G3058">
        <v>10</v>
      </c>
      <c r="H3058">
        <v>474.62</v>
      </c>
      <c r="I3058">
        <v>1197.97</v>
      </c>
      <c r="J3058">
        <v>2.87</v>
      </c>
      <c r="K3058">
        <v>3.28</v>
      </c>
      <c r="L3058">
        <v>47.46</v>
      </c>
      <c r="M3058">
        <v>2.52</v>
      </c>
      <c r="N3058">
        <v>723.35</v>
      </c>
    </row>
    <row r="3059" spans="1:14" x14ac:dyDescent="0.2">
      <c r="A3059" s="1">
        <v>45728</v>
      </c>
      <c r="B3059" s="2" t="s">
        <v>31</v>
      </c>
      <c r="C3059" s="2" t="s">
        <v>35</v>
      </c>
      <c r="D3059" s="2" t="s">
        <v>19</v>
      </c>
      <c r="E3059">
        <v>29905</v>
      </c>
      <c r="F3059">
        <v>851</v>
      </c>
      <c r="G3059">
        <v>36</v>
      </c>
      <c r="H3059">
        <v>1070.3599999999999</v>
      </c>
      <c r="I3059">
        <v>2783.44</v>
      </c>
      <c r="J3059">
        <v>2.85</v>
      </c>
      <c r="K3059">
        <v>4.2300000000000004</v>
      </c>
      <c r="L3059">
        <v>29.73</v>
      </c>
      <c r="M3059">
        <v>2.6</v>
      </c>
      <c r="N3059">
        <v>1713.08</v>
      </c>
    </row>
    <row r="3060" spans="1:14" x14ac:dyDescent="0.2">
      <c r="A3060" s="1">
        <v>45728</v>
      </c>
      <c r="B3060" s="2" t="s">
        <v>33</v>
      </c>
      <c r="C3060" s="2" t="s">
        <v>15</v>
      </c>
      <c r="D3060" s="2" t="s">
        <v>36</v>
      </c>
      <c r="E3060">
        <v>6846</v>
      </c>
      <c r="F3060">
        <v>474</v>
      </c>
      <c r="G3060">
        <v>46</v>
      </c>
      <c r="H3060">
        <v>447.14</v>
      </c>
      <c r="I3060">
        <v>5204.59</v>
      </c>
      <c r="J3060">
        <v>6.92</v>
      </c>
      <c r="K3060">
        <v>9.6999999999999993</v>
      </c>
      <c r="L3060">
        <v>9.7200000000000006</v>
      </c>
      <c r="M3060">
        <v>11.64</v>
      </c>
      <c r="N3060">
        <v>4757.45</v>
      </c>
    </row>
    <row r="3061" spans="1:14" x14ac:dyDescent="0.2">
      <c r="A3061" s="1">
        <v>45728</v>
      </c>
      <c r="B3061" s="2" t="s">
        <v>34</v>
      </c>
      <c r="C3061" s="2" t="s">
        <v>35</v>
      </c>
      <c r="D3061" s="2" t="s">
        <v>25</v>
      </c>
      <c r="E3061">
        <v>4590</v>
      </c>
      <c r="F3061">
        <v>404</v>
      </c>
      <c r="G3061">
        <v>63</v>
      </c>
      <c r="H3061">
        <v>128.21</v>
      </c>
      <c r="I3061">
        <v>8791.6200000000008</v>
      </c>
      <c r="J3061">
        <v>8.8000000000000007</v>
      </c>
      <c r="K3061">
        <v>15.59</v>
      </c>
      <c r="L3061">
        <v>2.04</v>
      </c>
      <c r="M3061">
        <v>68.569999999999993</v>
      </c>
      <c r="N3061">
        <v>8663.41</v>
      </c>
    </row>
    <row r="3062" spans="1:14" x14ac:dyDescent="0.2">
      <c r="A3062" s="1">
        <v>45729</v>
      </c>
      <c r="B3062" s="2" t="s">
        <v>14</v>
      </c>
      <c r="C3062" s="2" t="s">
        <v>32</v>
      </c>
      <c r="D3062" s="2" t="s">
        <v>22</v>
      </c>
      <c r="E3062">
        <v>13959</v>
      </c>
      <c r="F3062">
        <v>503</v>
      </c>
      <c r="G3062">
        <v>47</v>
      </c>
      <c r="H3062">
        <v>1159.97</v>
      </c>
      <c r="I3062">
        <v>7542.5</v>
      </c>
      <c r="J3062">
        <v>3.6</v>
      </c>
      <c r="K3062">
        <v>9.34</v>
      </c>
      <c r="L3062">
        <v>24.68</v>
      </c>
      <c r="M3062">
        <v>6.5</v>
      </c>
      <c r="N3062">
        <v>6382.53</v>
      </c>
    </row>
    <row r="3063" spans="1:14" x14ac:dyDescent="0.2">
      <c r="A3063" s="1">
        <v>45729</v>
      </c>
      <c r="B3063" s="2" t="s">
        <v>17</v>
      </c>
      <c r="C3063" s="2" t="s">
        <v>18</v>
      </c>
      <c r="D3063" s="2" t="s">
        <v>25</v>
      </c>
      <c r="E3063">
        <v>18101</v>
      </c>
      <c r="F3063">
        <v>662</v>
      </c>
      <c r="G3063">
        <v>36</v>
      </c>
      <c r="H3063">
        <v>1088.6400000000001</v>
      </c>
      <c r="I3063">
        <v>3731.38</v>
      </c>
      <c r="J3063">
        <v>3.66</v>
      </c>
      <c r="K3063">
        <v>5.44</v>
      </c>
      <c r="L3063">
        <v>30.24</v>
      </c>
      <c r="M3063">
        <v>3.43</v>
      </c>
      <c r="N3063">
        <v>2642.74</v>
      </c>
    </row>
    <row r="3064" spans="1:14" x14ac:dyDescent="0.2">
      <c r="A3064" s="1">
        <v>45729</v>
      </c>
      <c r="B3064" s="2" t="s">
        <v>20</v>
      </c>
      <c r="C3064" s="2" t="s">
        <v>21</v>
      </c>
      <c r="D3064" s="2" t="s">
        <v>36</v>
      </c>
      <c r="E3064">
        <v>16539</v>
      </c>
      <c r="F3064">
        <v>684</v>
      </c>
      <c r="G3064">
        <v>30</v>
      </c>
      <c r="H3064">
        <v>513.54999999999995</v>
      </c>
      <c r="I3064">
        <v>3402.6</v>
      </c>
      <c r="J3064">
        <v>4.1399999999999997</v>
      </c>
      <c r="K3064">
        <v>4.3899999999999997</v>
      </c>
      <c r="L3064">
        <v>17.12</v>
      </c>
      <c r="M3064">
        <v>6.63</v>
      </c>
      <c r="N3064">
        <v>2889.05</v>
      </c>
    </row>
    <row r="3065" spans="1:14" x14ac:dyDescent="0.2">
      <c r="A3065" s="1">
        <v>45729</v>
      </c>
      <c r="B3065" s="2" t="s">
        <v>23</v>
      </c>
      <c r="C3065" s="2" t="s">
        <v>35</v>
      </c>
      <c r="D3065" s="2" t="s">
        <v>19</v>
      </c>
      <c r="E3065">
        <v>5697</v>
      </c>
      <c r="F3065">
        <v>103</v>
      </c>
      <c r="G3065">
        <v>13</v>
      </c>
      <c r="H3065">
        <v>1545.07</v>
      </c>
      <c r="I3065">
        <v>4258.49</v>
      </c>
      <c r="J3065">
        <v>1.81</v>
      </c>
      <c r="K3065">
        <v>12.62</v>
      </c>
      <c r="L3065">
        <v>118.85</v>
      </c>
      <c r="M3065">
        <v>2.76</v>
      </c>
      <c r="N3065">
        <v>2713.42</v>
      </c>
    </row>
    <row r="3066" spans="1:14" x14ac:dyDescent="0.2">
      <c r="A3066" s="1">
        <v>45729</v>
      </c>
      <c r="B3066" s="2" t="s">
        <v>24</v>
      </c>
      <c r="C3066" s="2" t="s">
        <v>32</v>
      </c>
      <c r="D3066" s="2" t="s">
        <v>19</v>
      </c>
      <c r="E3066">
        <v>21136</v>
      </c>
      <c r="F3066">
        <v>3856</v>
      </c>
      <c r="G3066">
        <v>453</v>
      </c>
      <c r="H3066">
        <v>120.31</v>
      </c>
      <c r="I3066">
        <v>51192.45</v>
      </c>
      <c r="J3066">
        <v>18.239999999999998</v>
      </c>
      <c r="K3066">
        <v>11.75</v>
      </c>
      <c r="L3066">
        <v>0.27</v>
      </c>
      <c r="M3066">
        <v>425.5</v>
      </c>
      <c r="N3066">
        <v>51072.14</v>
      </c>
    </row>
    <row r="3067" spans="1:14" x14ac:dyDescent="0.2">
      <c r="A3067" s="1">
        <v>45729</v>
      </c>
      <c r="B3067" s="2" t="s">
        <v>26</v>
      </c>
      <c r="C3067" s="2" t="s">
        <v>28</v>
      </c>
      <c r="D3067" s="2" t="s">
        <v>16</v>
      </c>
      <c r="E3067">
        <v>31968</v>
      </c>
      <c r="F3067">
        <v>1558</v>
      </c>
      <c r="G3067">
        <v>210</v>
      </c>
      <c r="H3067">
        <v>0</v>
      </c>
      <c r="I3067">
        <v>26716.32</v>
      </c>
      <c r="J3067">
        <v>4.87</v>
      </c>
      <c r="K3067">
        <v>13.48</v>
      </c>
      <c r="L3067">
        <v>0</v>
      </c>
      <c r="M3067">
        <v>0</v>
      </c>
      <c r="N3067">
        <v>26716.32</v>
      </c>
    </row>
    <row r="3068" spans="1:14" x14ac:dyDescent="0.2">
      <c r="A3068" s="1">
        <v>45729</v>
      </c>
      <c r="B3068" s="2" t="s">
        <v>27</v>
      </c>
      <c r="C3068" s="2" t="s">
        <v>15</v>
      </c>
      <c r="D3068" s="2" t="s">
        <v>25</v>
      </c>
      <c r="E3068">
        <v>39806</v>
      </c>
      <c r="F3068">
        <v>517</v>
      </c>
      <c r="G3068">
        <v>17</v>
      </c>
      <c r="H3068">
        <v>1011.63</v>
      </c>
      <c r="I3068">
        <v>2149.63</v>
      </c>
      <c r="J3068">
        <v>1.3</v>
      </c>
      <c r="K3068">
        <v>3.29</v>
      </c>
      <c r="L3068">
        <v>59.51</v>
      </c>
      <c r="M3068">
        <v>2.12</v>
      </c>
      <c r="N3068">
        <v>1138</v>
      </c>
    </row>
    <row r="3069" spans="1:14" x14ac:dyDescent="0.2">
      <c r="A3069" s="1">
        <v>45729</v>
      </c>
      <c r="B3069" s="2" t="s">
        <v>29</v>
      </c>
      <c r="C3069" s="2" t="s">
        <v>28</v>
      </c>
      <c r="D3069" s="2" t="s">
        <v>22</v>
      </c>
      <c r="E3069">
        <v>23731</v>
      </c>
      <c r="F3069">
        <v>537</v>
      </c>
      <c r="G3069">
        <v>32</v>
      </c>
      <c r="H3069">
        <v>1236.48</v>
      </c>
      <c r="I3069">
        <v>3401.25</v>
      </c>
      <c r="J3069">
        <v>2.2599999999999998</v>
      </c>
      <c r="K3069">
        <v>5.96</v>
      </c>
      <c r="L3069">
        <v>38.64</v>
      </c>
      <c r="M3069">
        <v>2.75</v>
      </c>
      <c r="N3069">
        <v>2164.77</v>
      </c>
    </row>
    <row r="3070" spans="1:14" x14ac:dyDescent="0.2">
      <c r="A3070" s="1">
        <v>45729</v>
      </c>
      <c r="B3070" s="2" t="s">
        <v>30</v>
      </c>
      <c r="C3070" s="2" t="s">
        <v>18</v>
      </c>
      <c r="D3070" s="2" t="s">
        <v>25</v>
      </c>
      <c r="E3070">
        <v>9072</v>
      </c>
      <c r="F3070">
        <v>266</v>
      </c>
      <c r="G3070">
        <v>15</v>
      </c>
      <c r="H3070">
        <v>720.6</v>
      </c>
      <c r="I3070">
        <v>1802.19</v>
      </c>
      <c r="J3070">
        <v>2.93</v>
      </c>
      <c r="K3070">
        <v>5.64</v>
      </c>
      <c r="L3070">
        <v>48.04</v>
      </c>
      <c r="M3070">
        <v>2.5</v>
      </c>
      <c r="N3070">
        <v>1081.5899999999999</v>
      </c>
    </row>
    <row r="3071" spans="1:14" x14ac:dyDescent="0.2">
      <c r="A3071" s="1">
        <v>45729</v>
      </c>
      <c r="B3071" s="2" t="s">
        <v>31</v>
      </c>
      <c r="C3071" s="2" t="s">
        <v>35</v>
      </c>
      <c r="D3071" s="2" t="s">
        <v>25</v>
      </c>
      <c r="E3071">
        <v>23887</v>
      </c>
      <c r="F3071">
        <v>897</v>
      </c>
      <c r="G3071">
        <v>61</v>
      </c>
      <c r="H3071">
        <v>1063.73</v>
      </c>
      <c r="I3071">
        <v>4825.3100000000004</v>
      </c>
      <c r="J3071">
        <v>3.76</v>
      </c>
      <c r="K3071">
        <v>6.8</v>
      </c>
      <c r="L3071">
        <v>17.440000000000001</v>
      </c>
      <c r="M3071">
        <v>4.54</v>
      </c>
      <c r="N3071">
        <v>3761.58</v>
      </c>
    </row>
    <row r="3072" spans="1:14" x14ac:dyDescent="0.2">
      <c r="A3072" s="1">
        <v>45729</v>
      </c>
      <c r="B3072" s="2" t="s">
        <v>33</v>
      </c>
      <c r="C3072" s="2" t="s">
        <v>21</v>
      </c>
      <c r="D3072" s="2" t="s">
        <v>19</v>
      </c>
      <c r="E3072">
        <v>6284</v>
      </c>
      <c r="F3072">
        <v>320</v>
      </c>
      <c r="G3072">
        <v>31</v>
      </c>
      <c r="H3072">
        <v>511.85</v>
      </c>
      <c r="I3072">
        <v>3826.58</v>
      </c>
      <c r="J3072">
        <v>5.09</v>
      </c>
      <c r="K3072">
        <v>9.69</v>
      </c>
      <c r="L3072">
        <v>16.510000000000002</v>
      </c>
      <c r="M3072">
        <v>7.48</v>
      </c>
      <c r="N3072">
        <v>3314.73</v>
      </c>
    </row>
    <row r="3073" spans="1:14" x14ac:dyDescent="0.2">
      <c r="A3073" s="1">
        <v>45729</v>
      </c>
      <c r="B3073" s="2" t="s">
        <v>34</v>
      </c>
      <c r="C3073" s="2" t="s">
        <v>15</v>
      </c>
      <c r="D3073" s="2" t="s">
        <v>16</v>
      </c>
      <c r="E3073">
        <v>6328</v>
      </c>
      <c r="F3073">
        <v>457</v>
      </c>
      <c r="G3073">
        <v>72</v>
      </c>
      <c r="H3073">
        <v>183.2</v>
      </c>
      <c r="I3073">
        <v>9684.2199999999993</v>
      </c>
      <c r="J3073">
        <v>7.22</v>
      </c>
      <c r="K3073">
        <v>15.75</v>
      </c>
      <c r="L3073">
        <v>2.54</v>
      </c>
      <c r="M3073">
        <v>52.86</v>
      </c>
      <c r="N3073">
        <v>9501.02</v>
      </c>
    </row>
    <row r="3074" spans="1:14" x14ac:dyDescent="0.2">
      <c r="A3074" s="1">
        <v>45730</v>
      </c>
      <c r="B3074" s="2" t="s">
        <v>14</v>
      </c>
      <c r="C3074" s="2" t="s">
        <v>15</v>
      </c>
      <c r="D3074" s="2" t="s">
        <v>25</v>
      </c>
      <c r="E3074">
        <v>8110</v>
      </c>
      <c r="F3074">
        <v>346</v>
      </c>
      <c r="G3074">
        <v>29</v>
      </c>
      <c r="H3074">
        <v>942.71</v>
      </c>
      <c r="I3074">
        <v>5246.28</v>
      </c>
      <c r="J3074">
        <v>4.2699999999999996</v>
      </c>
      <c r="K3074">
        <v>8.3800000000000008</v>
      </c>
      <c r="L3074">
        <v>32.51</v>
      </c>
      <c r="M3074">
        <v>5.57</v>
      </c>
      <c r="N3074">
        <v>4303.57</v>
      </c>
    </row>
    <row r="3075" spans="1:14" x14ac:dyDescent="0.2">
      <c r="A3075" s="1">
        <v>45730</v>
      </c>
      <c r="B3075" s="2" t="s">
        <v>17</v>
      </c>
      <c r="C3075" s="2" t="s">
        <v>28</v>
      </c>
      <c r="D3075" s="2" t="s">
        <v>22</v>
      </c>
      <c r="E3075">
        <v>17951</v>
      </c>
      <c r="F3075">
        <v>632</v>
      </c>
      <c r="G3075">
        <v>52</v>
      </c>
      <c r="H3075">
        <v>653.73</v>
      </c>
      <c r="I3075">
        <v>5323.63</v>
      </c>
      <c r="J3075">
        <v>3.52</v>
      </c>
      <c r="K3075">
        <v>8.23</v>
      </c>
      <c r="L3075">
        <v>12.57</v>
      </c>
      <c r="M3075">
        <v>8.14</v>
      </c>
      <c r="N3075">
        <v>4669.8999999999996</v>
      </c>
    </row>
    <row r="3076" spans="1:14" x14ac:dyDescent="0.2">
      <c r="A3076" s="1">
        <v>45730</v>
      </c>
      <c r="B3076" s="2" t="s">
        <v>20</v>
      </c>
      <c r="C3076" s="2" t="s">
        <v>32</v>
      </c>
      <c r="D3076" s="2" t="s">
        <v>36</v>
      </c>
      <c r="E3076">
        <v>15800</v>
      </c>
      <c r="F3076">
        <v>410</v>
      </c>
      <c r="G3076">
        <v>31</v>
      </c>
      <c r="H3076">
        <v>615.55999999999995</v>
      </c>
      <c r="I3076">
        <v>2738.45</v>
      </c>
      <c r="J3076">
        <v>2.59</v>
      </c>
      <c r="K3076">
        <v>7.56</v>
      </c>
      <c r="L3076">
        <v>19.86</v>
      </c>
      <c r="M3076">
        <v>4.45</v>
      </c>
      <c r="N3076">
        <v>2122.89</v>
      </c>
    </row>
    <row r="3077" spans="1:14" x14ac:dyDescent="0.2">
      <c r="A3077" s="1">
        <v>45730</v>
      </c>
      <c r="B3077" s="2" t="s">
        <v>23</v>
      </c>
      <c r="C3077" s="2" t="s">
        <v>32</v>
      </c>
      <c r="D3077" s="2" t="s">
        <v>22</v>
      </c>
      <c r="E3077">
        <v>5818</v>
      </c>
      <c r="F3077">
        <v>140</v>
      </c>
      <c r="G3077">
        <v>20</v>
      </c>
      <c r="H3077">
        <v>1728.96</v>
      </c>
      <c r="I3077">
        <v>4679.59</v>
      </c>
      <c r="J3077">
        <v>2.41</v>
      </c>
      <c r="K3077">
        <v>14.29</v>
      </c>
      <c r="L3077">
        <v>86.45</v>
      </c>
      <c r="M3077">
        <v>2.71</v>
      </c>
      <c r="N3077">
        <v>2950.63</v>
      </c>
    </row>
    <row r="3078" spans="1:14" x14ac:dyDescent="0.2">
      <c r="A3078" s="1">
        <v>45730</v>
      </c>
      <c r="B3078" s="2" t="s">
        <v>24</v>
      </c>
      <c r="C3078" s="2" t="s">
        <v>32</v>
      </c>
      <c r="D3078" s="2" t="s">
        <v>19</v>
      </c>
      <c r="E3078">
        <v>18839</v>
      </c>
      <c r="F3078">
        <v>4107</v>
      </c>
      <c r="G3078">
        <v>447</v>
      </c>
      <c r="H3078">
        <v>203.89</v>
      </c>
      <c r="I3078">
        <v>57452.2</v>
      </c>
      <c r="J3078">
        <v>21.8</v>
      </c>
      <c r="K3078">
        <v>10.88</v>
      </c>
      <c r="L3078">
        <v>0.46</v>
      </c>
      <c r="M3078">
        <v>281.77999999999997</v>
      </c>
      <c r="N3078">
        <v>57248.31</v>
      </c>
    </row>
    <row r="3079" spans="1:14" x14ac:dyDescent="0.2">
      <c r="A3079" s="1">
        <v>45730</v>
      </c>
      <c r="B3079" s="2" t="s">
        <v>26</v>
      </c>
      <c r="C3079" s="2" t="s">
        <v>35</v>
      </c>
      <c r="D3079" s="2" t="s">
        <v>36</v>
      </c>
      <c r="E3079">
        <v>26948</v>
      </c>
      <c r="F3079">
        <v>1841</v>
      </c>
      <c r="G3079">
        <v>278</v>
      </c>
      <c r="H3079">
        <v>0</v>
      </c>
      <c r="I3079">
        <v>30428.99</v>
      </c>
      <c r="J3079">
        <v>6.83</v>
      </c>
      <c r="K3079">
        <v>15.1</v>
      </c>
      <c r="L3079">
        <v>0</v>
      </c>
      <c r="M3079">
        <v>0</v>
      </c>
      <c r="N3079">
        <v>30428.99</v>
      </c>
    </row>
    <row r="3080" spans="1:14" x14ac:dyDescent="0.2">
      <c r="A3080" s="1">
        <v>45730</v>
      </c>
      <c r="B3080" s="2" t="s">
        <v>27</v>
      </c>
      <c r="C3080" s="2" t="s">
        <v>15</v>
      </c>
      <c r="D3080" s="2" t="s">
        <v>19</v>
      </c>
      <c r="E3080">
        <v>26519</v>
      </c>
      <c r="F3080">
        <v>316</v>
      </c>
      <c r="G3080">
        <v>12</v>
      </c>
      <c r="H3080">
        <v>1184.5</v>
      </c>
      <c r="I3080">
        <v>1146.6300000000001</v>
      </c>
      <c r="J3080">
        <v>1.19</v>
      </c>
      <c r="K3080">
        <v>3.8</v>
      </c>
      <c r="L3080">
        <v>98.71</v>
      </c>
      <c r="M3080">
        <v>0.97</v>
      </c>
      <c r="N3080">
        <v>-37.869999999999997</v>
      </c>
    </row>
    <row r="3081" spans="1:14" x14ac:dyDescent="0.2">
      <c r="A3081" s="1">
        <v>45730</v>
      </c>
      <c r="B3081" s="2" t="s">
        <v>29</v>
      </c>
      <c r="C3081" s="2" t="s">
        <v>18</v>
      </c>
      <c r="D3081" s="2" t="s">
        <v>16</v>
      </c>
      <c r="E3081">
        <v>21246</v>
      </c>
      <c r="F3081">
        <v>371</v>
      </c>
      <c r="G3081">
        <v>16</v>
      </c>
      <c r="H3081">
        <v>1231.3499999999999</v>
      </c>
      <c r="I3081">
        <v>1980.95</v>
      </c>
      <c r="J3081">
        <v>1.75</v>
      </c>
      <c r="K3081">
        <v>4.3099999999999996</v>
      </c>
      <c r="L3081">
        <v>76.959999999999994</v>
      </c>
      <c r="M3081">
        <v>1.61</v>
      </c>
      <c r="N3081">
        <v>749.6</v>
      </c>
    </row>
    <row r="3082" spans="1:14" x14ac:dyDescent="0.2">
      <c r="A3082" s="1">
        <v>45730</v>
      </c>
      <c r="B3082" s="2" t="s">
        <v>30</v>
      </c>
      <c r="C3082" s="2" t="s">
        <v>32</v>
      </c>
      <c r="D3082" s="2" t="s">
        <v>16</v>
      </c>
      <c r="E3082">
        <v>9981</v>
      </c>
      <c r="F3082">
        <v>319</v>
      </c>
      <c r="G3082">
        <v>15</v>
      </c>
      <c r="H3082">
        <v>511.14</v>
      </c>
      <c r="I3082">
        <v>1109.3</v>
      </c>
      <c r="J3082">
        <v>3.2</v>
      </c>
      <c r="K3082">
        <v>4.7</v>
      </c>
      <c r="L3082">
        <v>34.08</v>
      </c>
      <c r="M3082">
        <v>2.17</v>
      </c>
      <c r="N3082">
        <v>598.16</v>
      </c>
    </row>
    <row r="3083" spans="1:14" x14ac:dyDescent="0.2">
      <c r="A3083" s="1">
        <v>45730</v>
      </c>
      <c r="B3083" s="2" t="s">
        <v>31</v>
      </c>
      <c r="C3083" s="2" t="s">
        <v>18</v>
      </c>
      <c r="D3083" s="2" t="s">
        <v>22</v>
      </c>
      <c r="E3083">
        <v>18340</v>
      </c>
      <c r="F3083">
        <v>671</v>
      </c>
      <c r="G3083">
        <v>34</v>
      </c>
      <c r="H3083">
        <v>1043.93</v>
      </c>
      <c r="I3083">
        <v>3278.16</v>
      </c>
      <c r="J3083">
        <v>3.66</v>
      </c>
      <c r="K3083">
        <v>5.07</v>
      </c>
      <c r="L3083">
        <v>30.7</v>
      </c>
      <c r="M3083">
        <v>3.14</v>
      </c>
      <c r="N3083">
        <v>2234.23</v>
      </c>
    </row>
    <row r="3084" spans="1:14" x14ac:dyDescent="0.2">
      <c r="A3084" s="1">
        <v>45730</v>
      </c>
      <c r="B3084" s="2" t="s">
        <v>33</v>
      </c>
      <c r="C3084" s="2" t="s">
        <v>21</v>
      </c>
      <c r="D3084" s="2" t="s">
        <v>16</v>
      </c>
      <c r="E3084">
        <v>5826</v>
      </c>
      <c r="F3084">
        <v>304</v>
      </c>
      <c r="G3084">
        <v>39</v>
      </c>
      <c r="H3084">
        <v>497.51</v>
      </c>
      <c r="I3084">
        <v>4886.6099999999997</v>
      </c>
      <c r="J3084">
        <v>5.22</v>
      </c>
      <c r="K3084">
        <v>12.83</v>
      </c>
      <c r="L3084">
        <v>12.76</v>
      </c>
      <c r="M3084">
        <v>9.82</v>
      </c>
      <c r="N3084">
        <v>4389.1000000000004</v>
      </c>
    </row>
    <row r="3085" spans="1:14" x14ac:dyDescent="0.2">
      <c r="A3085" s="1">
        <v>45730</v>
      </c>
      <c r="B3085" s="2" t="s">
        <v>34</v>
      </c>
      <c r="C3085" s="2" t="s">
        <v>21</v>
      </c>
      <c r="D3085" s="2" t="s">
        <v>16</v>
      </c>
      <c r="E3085">
        <v>5218</v>
      </c>
      <c r="F3085">
        <v>397</v>
      </c>
      <c r="G3085">
        <v>63</v>
      </c>
      <c r="H3085">
        <v>110.75</v>
      </c>
      <c r="I3085">
        <v>10122.799999999999</v>
      </c>
      <c r="J3085">
        <v>7.61</v>
      </c>
      <c r="K3085">
        <v>15.87</v>
      </c>
      <c r="L3085">
        <v>1.76</v>
      </c>
      <c r="M3085">
        <v>91.4</v>
      </c>
      <c r="N3085">
        <v>10012.049999999999</v>
      </c>
    </row>
    <row r="3086" spans="1:14" x14ac:dyDescent="0.2">
      <c r="A3086" s="1">
        <v>45731</v>
      </c>
      <c r="B3086" s="2" t="s">
        <v>14</v>
      </c>
      <c r="C3086" s="2" t="s">
        <v>28</v>
      </c>
      <c r="D3086" s="2" t="s">
        <v>22</v>
      </c>
      <c r="E3086">
        <v>7457</v>
      </c>
      <c r="F3086">
        <v>238</v>
      </c>
      <c r="G3086">
        <v>21</v>
      </c>
      <c r="H3086">
        <v>737.96</v>
      </c>
      <c r="I3086">
        <v>3129.74</v>
      </c>
      <c r="J3086">
        <v>3.19</v>
      </c>
      <c r="K3086">
        <v>8.82</v>
      </c>
      <c r="L3086">
        <v>35.14</v>
      </c>
      <c r="M3086">
        <v>4.24</v>
      </c>
      <c r="N3086">
        <v>2391.7800000000002</v>
      </c>
    </row>
    <row r="3087" spans="1:14" x14ac:dyDescent="0.2">
      <c r="A3087" s="1">
        <v>45731</v>
      </c>
      <c r="B3087" s="2" t="s">
        <v>17</v>
      </c>
      <c r="C3087" s="2" t="s">
        <v>18</v>
      </c>
      <c r="D3087" s="2" t="s">
        <v>16</v>
      </c>
      <c r="E3087">
        <v>8802</v>
      </c>
      <c r="F3087">
        <v>350</v>
      </c>
      <c r="G3087">
        <v>22</v>
      </c>
      <c r="H3087">
        <v>663.38</v>
      </c>
      <c r="I3087">
        <v>2779.03</v>
      </c>
      <c r="J3087">
        <v>3.98</v>
      </c>
      <c r="K3087">
        <v>6.29</v>
      </c>
      <c r="L3087">
        <v>30.15</v>
      </c>
      <c r="M3087">
        <v>4.1900000000000004</v>
      </c>
      <c r="N3087">
        <v>2115.65</v>
      </c>
    </row>
    <row r="3088" spans="1:14" x14ac:dyDescent="0.2">
      <c r="A3088" s="1">
        <v>45731</v>
      </c>
      <c r="B3088" s="2" t="s">
        <v>20</v>
      </c>
      <c r="C3088" s="2" t="s">
        <v>32</v>
      </c>
      <c r="D3088" s="2" t="s">
        <v>36</v>
      </c>
      <c r="E3088">
        <v>8275</v>
      </c>
      <c r="F3088">
        <v>235</v>
      </c>
      <c r="G3088">
        <v>13</v>
      </c>
      <c r="H3088">
        <v>579.04999999999995</v>
      </c>
      <c r="I3088">
        <v>1237.71</v>
      </c>
      <c r="J3088">
        <v>2.84</v>
      </c>
      <c r="K3088">
        <v>5.53</v>
      </c>
      <c r="L3088">
        <v>44.54</v>
      </c>
      <c r="M3088">
        <v>2.14</v>
      </c>
      <c r="N3088">
        <v>658.66</v>
      </c>
    </row>
    <row r="3089" spans="1:14" x14ac:dyDescent="0.2">
      <c r="A3089" s="1">
        <v>45731</v>
      </c>
      <c r="B3089" s="2" t="s">
        <v>23</v>
      </c>
      <c r="C3089" s="2" t="s">
        <v>15</v>
      </c>
      <c r="D3089" s="2" t="s">
        <v>36</v>
      </c>
      <c r="E3089">
        <v>3603</v>
      </c>
      <c r="F3089">
        <v>86</v>
      </c>
      <c r="G3089">
        <v>8</v>
      </c>
      <c r="H3089">
        <v>1004.65</v>
      </c>
      <c r="I3089">
        <v>2478.94</v>
      </c>
      <c r="J3089">
        <v>2.39</v>
      </c>
      <c r="K3089">
        <v>9.3000000000000007</v>
      </c>
      <c r="L3089">
        <v>125.58</v>
      </c>
      <c r="M3089">
        <v>2.4700000000000002</v>
      </c>
      <c r="N3089">
        <v>1474.29</v>
      </c>
    </row>
    <row r="3090" spans="1:14" x14ac:dyDescent="0.2">
      <c r="A3090" s="1">
        <v>45731</v>
      </c>
      <c r="B3090" s="2" t="s">
        <v>24</v>
      </c>
      <c r="C3090" s="2" t="s">
        <v>32</v>
      </c>
      <c r="D3090" s="2" t="s">
        <v>25</v>
      </c>
      <c r="E3090">
        <v>14976</v>
      </c>
      <c r="F3090">
        <v>3153</v>
      </c>
      <c r="G3090">
        <v>378</v>
      </c>
      <c r="H3090">
        <v>164.04</v>
      </c>
      <c r="I3090">
        <v>58244.98</v>
      </c>
      <c r="J3090">
        <v>21.05</v>
      </c>
      <c r="K3090">
        <v>11.99</v>
      </c>
      <c r="L3090">
        <v>0.43</v>
      </c>
      <c r="M3090">
        <v>355.07</v>
      </c>
      <c r="N3090">
        <v>58080.94</v>
      </c>
    </row>
    <row r="3091" spans="1:14" x14ac:dyDescent="0.2">
      <c r="A3091" s="1">
        <v>45731</v>
      </c>
      <c r="B3091" s="2" t="s">
        <v>26</v>
      </c>
      <c r="C3091" s="2" t="s">
        <v>15</v>
      </c>
      <c r="D3091" s="2" t="s">
        <v>25</v>
      </c>
      <c r="E3091">
        <v>18046</v>
      </c>
      <c r="F3091">
        <v>1302</v>
      </c>
      <c r="G3091">
        <v>156</v>
      </c>
      <c r="H3091">
        <v>0</v>
      </c>
      <c r="I3091">
        <v>22655.75</v>
      </c>
      <c r="J3091">
        <v>7.21</v>
      </c>
      <c r="K3091">
        <v>11.98</v>
      </c>
      <c r="L3091">
        <v>0</v>
      </c>
      <c r="M3091">
        <v>0</v>
      </c>
      <c r="N3091">
        <v>22655.75</v>
      </c>
    </row>
    <row r="3092" spans="1:14" x14ac:dyDescent="0.2">
      <c r="A3092" s="1">
        <v>45731</v>
      </c>
      <c r="B3092" s="2" t="s">
        <v>27</v>
      </c>
      <c r="C3092" s="2" t="s">
        <v>35</v>
      </c>
      <c r="D3092" s="2" t="s">
        <v>16</v>
      </c>
      <c r="E3092">
        <v>20640</v>
      </c>
      <c r="F3092">
        <v>410</v>
      </c>
      <c r="G3092">
        <v>19</v>
      </c>
      <c r="H3092">
        <v>653.98</v>
      </c>
      <c r="I3092">
        <v>1867.9</v>
      </c>
      <c r="J3092">
        <v>1.99</v>
      </c>
      <c r="K3092">
        <v>4.63</v>
      </c>
      <c r="L3092">
        <v>34.42</v>
      </c>
      <c r="M3092">
        <v>2.86</v>
      </c>
      <c r="N3092">
        <v>1213.92</v>
      </c>
    </row>
    <row r="3093" spans="1:14" x14ac:dyDescent="0.2">
      <c r="A3093" s="1">
        <v>45731</v>
      </c>
      <c r="B3093" s="2" t="s">
        <v>29</v>
      </c>
      <c r="C3093" s="2" t="s">
        <v>35</v>
      </c>
      <c r="D3093" s="2" t="s">
        <v>22</v>
      </c>
      <c r="E3093">
        <v>17408</v>
      </c>
      <c r="F3093">
        <v>308</v>
      </c>
      <c r="G3093">
        <v>23</v>
      </c>
      <c r="H3093">
        <v>940.24</v>
      </c>
      <c r="I3093">
        <v>2611.46</v>
      </c>
      <c r="J3093">
        <v>1.77</v>
      </c>
      <c r="K3093">
        <v>7.47</v>
      </c>
      <c r="L3093">
        <v>40.880000000000003</v>
      </c>
      <c r="M3093">
        <v>2.78</v>
      </c>
      <c r="N3093">
        <v>1671.22</v>
      </c>
    </row>
    <row r="3094" spans="1:14" x14ac:dyDescent="0.2">
      <c r="A3094" s="1">
        <v>45731</v>
      </c>
      <c r="B3094" s="2" t="s">
        <v>30</v>
      </c>
      <c r="C3094" s="2" t="s">
        <v>32</v>
      </c>
      <c r="D3094" s="2" t="s">
        <v>16</v>
      </c>
      <c r="E3094">
        <v>8218</v>
      </c>
      <c r="F3094">
        <v>224</v>
      </c>
      <c r="G3094">
        <v>8</v>
      </c>
      <c r="H3094">
        <v>351.52</v>
      </c>
      <c r="I3094">
        <v>896.22</v>
      </c>
      <c r="J3094">
        <v>2.73</v>
      </c>
      <c r="K3094">
        <v>3.57</v>
      </c>
      <c r="L3094">
        <v>43.94</v>
      </c>
      <c r="M3094">
        <v>2.5499999999999998</v>
      </c>
      <c r="N3094">
        <v>544.70000000000005</v>
      </c>
    </row>
    <row r="3095" spans="1:14" x14ac:dyDescent="0.2">
      <c r="A3095" s="1">
        <v>45731</v>
      </c>
      <c r="B3095" s="2" t="s">
        <v>31</v>
      </c>
      <c r="C3095" s="2" t="s">
        <v>18</v>
      </c>
      <c r="D3095" s="2" t="s">
        <v>22</v>
      </c>
      <c r="E3095">
        <v>20970</v>
      </c>
      <c r="F3095">
        <v>791</v>
      </c>
      <c r="G3095">
        <v>51</v>
      </c>
      <c r="H3095">
        <v>628</v>
      </c>
      <c r="I3095">
        <v>4412.8</v>
      </c>
      <c r="J3095">
        <v>3.77</v>
      </c>
      <c r="K3095">
        <v>6.45</v>
      </c>
      <c r="L3095">
        <v>12.31</v>
      </c>
      <c r="M3095">
        <v>7.03</v>
      </c>
      <c r="N3095">
        <v>3784.8</v>
      </c>
    </row>
    <row r="3096" spans="1:14" x14ac:dyDescent="0.2">
      <c r="A3096" s="1">
        <v>45731</v>
      </c>
      <c r="B3096" s="2" t="s">
        <v>33</v>
      </c>
      <c r="C3096" s="2" t="s">
        <v>15</v>
      </c>
      <c r="D3096" s="2" t="s">
        <v>36</v>
      </c>
      <c r="E3096">
        <v>4120</v>
      </c>
      <c r="F3096">
        <v>254</v>
      </c>
      <c r="G3096">
        <v>32</v>
      </c>
      <c r="H3096">
        <v>220.63</v>
      </c>
      <c r="I3096">
        <v>3729.28</v>
      </c>
      <c r="J3096">
        <v>6.17</v>
      </c>
      <c r="K3096">
        <v>12.6</v>
      </c>
      <c r="L3096">
        <v>6.89</v>
      </c>
      <c r="M3096">
        <v>16.899999999999999</v>
      </c>
      <c r="N3096">
        <v>3508.65</v>
      </c>
    </row>
    <row r="3097" spans="1:14" x14ac:dyDescent="0.2">
      <c r="A3097" s="1">
        <v>45731</v>
      </c>
      <c r="B3097" s="2" t="s">
        <v>34</v>
      </c>
      <c r="C3097" s="2" t="s">
        <v>18</v>
      </c>
      <c r="D3097" s="2" t="s">
        <v>36</v>
      </c>
      <c r="E3097">
        <v>4040</v>
      </c>
      <c r="F3097">
        <v>344</v>
      </c>
      <c r="G3097">
        <v>51</v>
      </c>
      <c r="H3097">
        <v>62.88</v>
      </c>
      <c r="I3097">
        <v>7908</v>
      </c>
      <c r="J3097">
        <v>8.51</v>
      </c>
      <c r="K3097">
        <v>14.83</v>
      </c>
      <c r="L3097">
        <v>1.23</v>
      </c>
      <c r="M3097">
        <v>125.76</v>
      </c>
      <c r="N3097">
        <v>7845.12</v>
      </c>
    </row>
    <row r="3098" spans="1:14" x14ac:dyDescent="0.2">
      <c r="A3098" s="1">
        <v>45732</v>
      </c>
      <c r="B3098" s="2" t="s">
        <v>14</v>
      </c>
      <c r="C3098" s="2" t="s">
        <v>15</v>
      </c>
      <c r="D3098" s="2" t="s">
        <v>16</v>
      </c>
      <c r="E3098">
        <v>6028</v>
      </c>
      <c r="F3098">
        <v>276</v>
      </c>
      <c r="G3098">
        <v>28</v>
      </c>
      <c r="H3098">
        <v>951.36</v>
      </c>
      <c r="I3098">
        <v>3371.08</v>
      </c>
      <c r="J3098">
        <v>4.58</v>
      </c>
      <c r="K3098">
        <v>10.14</v>
      </c>
      <c r="L3098">
        <v>33.979999999999997</v>
      </c>
      <c r="M3098">
        <v>3.54</v>
      </c>
      <c r="N3098">
        <v>2419.7199999999998</v>
      </c>
    </row>
    <row r="3099" spans="1:14" x14ac:dyDescent="0.2">
      <c r="A3099" s="1">
        <v>45732</v>
      </c>
      <c r="B3099" s="2" t="s">
        <v>17</v>
      </c>
      <c r="C3099" s="2" t="s">
        <v>35</v>
      </c>
      <c r="D3099" s="2" t="s">
        <v>25</v>
      </c>
      <c r="E3099">
        <v>11575</v>
      </c>
      <c r="F3099">
        <v>399</v>
      </c>
      <c r="G3099">
        <v>28</v>
      </c>
      <c r="H3099">
        <v>442.24</v>
      </c>
      <c r="I3099">
        <v>3374.64</v>
      </c>
      <c r="J3099">
        <v>3.45</v>
      </c>
      <c r="K3099">
        <v>7.02</v>
      </c>
      <c r="L3099">
        <v>15.79</v>
      </c>
      <c r="M3099">
        <v>7.63</v>
      </c>
      <c r="N3099">
        <v>2932.4</v>
      </c>
    </row>
    <row r="3100" spans="1:14" x14ac:dyDescent="0.2">
      <c r="A3100" s="1">
        <v>45732</v>
      </c>
      <c r="B3100" s="2" t="s">
        <v>20</v>
      </c>
      <c r="C3100" s="2" t="s">
        <v>15</v>
      </c>
      <c r="D3100" s="2" t="s">
        <v>36</v>
      </c>
      <c r="E3100">
        <v>9420</v>
      </c>
      <c r="F3100">
        <v>410</v>
      </c>
      <c r="G3100">
        <v>16</v>
      </c>
      <c r="H3100">
        <v>352.86</v>
      </c>
      <c r="I3100">
        <v>1378.82</v>
      </c>
      <c r="J3100">
        <v>4.3499999999999996</v>
      </c>
      <c r="K3100">
        <v>3.9</v>
      </c>
      <c r="L3100">
        <v>22.05</v>
      </c>
      <c r="M3100">
        <v>3.91</v>
      </c>
      <c r="N3100">
        <v>1025.96</v>
      </c>
    </row>
    <row r="3101" spans="1:14" x14ac:dyDescent="0.2">
      <c r="A3101" s="1">
        <v>45732</v>
      </c>
      <c r="B3101" s="2" t="s">
        <v>23</v>
      </c>
      <c r="C3101" s="2" t="s">
        <v>35</v>
      </c>
      <c r="D3101" s="2" t="s">
        <v>16</v>
      </c>
      <c r="E3101">
        <v>3299</v>
      </c>
      <c r="F3101">
        <v>80</v>
      </c>
      <c r="G3101">
        <v>9</v>
      </c>
      <c r="H3101">
        <v>836.78</v>
      </c>
      <c r="I3101">
        <v>2419.46</v>
      </c>
      <c r="J3101">
        <v>2.42</v>
      </c>
      <c r="K3101">
        <v>11.25</v>
      </c>
      <c r="L3101">
        <v>92.98</v>
      </c>
      <c r="M3101">
        <v>2.89</v>
      </c>
      <c r="N3101">
        <v>1582.68</v>
      </c>
    </row>
    <row r="3102" spans="1:14" x14ac:dyDescent="0.2">
      <c r="A3102" s="1">
        <v>45732</v>
      </c>
      <c r="B3102" s="2" t="s">
        <v>24</v>
      </c>
      <c r="C3102" s="2" t="s">
        <v>32</v>
      </c>
      <c r="D3102" s="2" t="s">
        <v>19</v>
      </c>
      <c r="E3102">
        <v>13869</v>
      </c>
      <c r="F3102">
        <v>2744</v>
      </c>
      <c r="G3102">
        <v>277</v>
      </c>
      <c r="H3102">
        <v>93.18</v>
      </c>
      <c r="I3102">
        <v>33715.03</v>
      </c>
      <c r="J3102">
        <v>19.79</v>
      </c>
      <c r="K3102">
        <v>10.09</v>
      </c>
      <c r="L3102">
        <v>0.34</v>
      </c>
      <c r="M3102">
        <v>361.83</v>
      </c>
      <c r="N3102">
        <v>33621.85</v>
      </c>
    </row>
    <row r="3103" spans="1:14" x14ac:dyDescent="0.2">
      <c r="A3103" s="1">
        <v>45732</v>
      </c>
      <c r="B3103" s="2" t="s">
        <v>26</v>
      </c>
      <c r="C3103" s="2" t="s">
        <v>32</v>
      </c>
      <c r="D3103" s="2" t="s">
        <v>16</v>
      </c>
      <c r="E3103">
        <v>18772</v>
      </c>
      <c r="F3103">
        <v>991</v>
      </c>
      <c r="G3103">
        <v>143</v>
      </c>
      <c r="H3103">
        <v>0</v>
      </c>
      <c r="I3103">
        <v>16853.189999999999</v>
      </c>
      <c r="J3103">
        <v>5.28</v>
      </c>
      <c r="K3103">
        <v>14.43</v>
      </c>
      <c r="L3103">
        <v>0</v>
      </c>
      <c r="M3103">
        <v>0</v>
      </c>
      <c r="N3103">
        <v>16853.189999999999</v>
      </c>
    </row>
    <row r="3104" spans="1:14" x14ac:dyDescent="0.2">
      <c r="A3104" s="1">
        <v>45732</v>
      </c>
      <c r="B3104" s="2" t="s">
        <v>27</v>
      </c>
      <c r="C3104" s="2" t="s">
        <v>15</v>
      </c>
      <c r="D3104" s="2" t="s">
        <v>16</v>
      </c>
      <c r="E3104">
        <v>18125</v>
      </c>
      <c r="F3104">
        <v>332</v>
      </c>
      <c r="G3104">
        <v>15</v>
      </c>
      <c r="H3104">
        <v>549.9</v>
      </c>
      <c r="I3104">
        <v>1555.31</v>
      </c>
      <c r="J3104">
        <v>1.83</v>
      </c>
      <c r="K3104">
        <v>4.5199999999999996</v>
      </c>
      <c r="L3104">
        <v>36.659999999999997</v>
      </c>
      <c r="M3104">
        <v>2.83</v>
      </c>
      <c r="N3104">
        <v>1005.41</v>
      </c>
    </row>
    <row r="3105" spans="1:14" x14ac:dyDescent="0.2">
      <c r="A3105" s="1">
        <v>45732</v>
      </c>
      <c r="B3105" s="2" t="s">
        <v>29</v>
      </c>
      <c r="C3105" s="2" t="s">
        <v>35</v>
      </c>
      <c r="D3105" s="2" t="s">
        <v>16</v>
      </c>
      <c r="E3105">
        <v>17201</v>
      </c>
      <c r="F3105">
        <v>280</v>
      </c>
      <c r="G3105">
        <v>18</v>
      </c>
      <c r="H3105">
        <v>669.4</v>
      </c>
      <c r="I3105">
        <v>2218.88</v>
      </c>
      <c r="J3105">
        <v>1.63</v>
      </c>
      <c r="K3105">
        <v>6.43</v>
      </c>
      <c r="L3105">
        <v>37.19</v>
      </c>
      <c r="M3105">
        <v>3.31</v>
      </c>
      <c r="N3105">
        <v>1549.48</v>
      </c>
    </row>
    <row r="3106" spans="1:14" x14ac:dyDescent="0.2">
      <c r="A3106" s="1">
        <v>45732</v>
      </c>
      <c r="B3106" s="2" t="s">
        <v>30</v>
      </c>
      <c r="C3106" s="2" t="s">
        <v>21</v>
      </c>
      <c r="D3106" s="2" t="s">
        <v>25</v>
      </c>
      <c r="E3106">
        <v>6929</v>
      </c>
      <c r="F3106">
        <v>196</v>
      </c>
      <c r="G3106">
        <v>6</v>
      </c>
      <c r="H3106">
        <v>473.87</v>
      </c>
      <c r="I3106">
        <v>533.17999999999995</v>
      </c>
      <c r="J3106">
        <v>2.83</v>
      </c>
      <c r="K3106">
        <v>3.06</v>
      </c>
      <c r="L3106">
        <v>78.98</v>
      </c>
      <c r="M3106">
        <v>1.1299999999999999</v>
      </c>
      <c r="N3106">
        <v>59.31</v>
      </c>
    </row>
    <row r="3107" spans="1:14" x14ac:dyDescent="0.2">
      <c r="A3107" s="1">
        <v>45732</v>
      </c>
      <c r="B3107" s="2" t="s">
        <v>31</v>
      </c>
      <c r="C3107" s="2" t="s">
        <v>18</v>
      </c>
      <c r="D3107" s="2" t="s">
        <v>16</v>
      </c>
      <c r="E3107">
        <v>13599</v>
      </c>
      <c r="F3107">
        <v>421</v>
      </c>
      <c r="G3107">
        <v>21</v>
      </c>
      <c r="H3107">
        <v>461.13</v>
      </c>
      <c r="I3107">
        <v>2120.06</v>
      </c>
      <c r="J3107">
        <v>3.1</v>
      </c>
      <c r="K3107">
        <v>4.99</v>
      </c>
      <c r="L3107">
        <v>21.96</v>
      </c>
      <c r="M3107">
        <v>4.5999999999999996</v>
      </c>
      <c r="N3107">
        <v>1658.93</v>
      </c>
    </row>
    <row r="3108" spans="1:14" x14ac:dyDescent="0.2">
      <c r="A3108" s="1">
        <v>45732</v>
      </c>
      <c r="B3108" s="2" t="s">
        <v>33</v>
      </c>
      <c r="C3108" s="2" t="s">
        <v>15</v>
      </c>
      <c r="D3108" s="2" t="s">
        <v>22</v>
      </c>
      <c r="E3108">
        <v>5329</v>
      </c>
      <c r="F3108">
        <v>360</v>
      </c>
      <c r="G3108">
        <v>45</v>
      </c>
      <c r="H3108">
        <v>385.99</v>
      </c>
      <c r="I3108">
        <v>5891.45</v>
      </c>
      <c r="J3108">
        <v>6.76</v>
      </c>
      <c r="K3108">
        <v>12.5</v>
      </c>
      <c r="L3108">
        <v>8.58</v>
      </c>
      <c r="M3108">
        <v>15.26</v>
      </c>
      <c r="N3108">
        <v>5505.46</v>
      </c>
    </row>
    <row r="3109" spans="1:14" x14ac:dyDescent="0.2">
      <c r="A3109" s="1">
        <v>45732</v>
      </c>
      <c r="B3109" s="2" t="s">
        <v>34</v>
      </c>
      <c r="C3109" s="2" t="s">
        <v>32</v>
      </c>
      <c r="D3109" s="2" t="s">
        <v>36</v>
      </c>
      <c r="E3109">
        <v>4773</v>
      </c>
      <c r="F3109">
        <v>417</v>
      </c>
      <c r="G3109">
        <v>67</v>
      </c>
      <c r="H3109">
        <v>59.7</v>
      </c>
      <c r="I3109">
        <v>11963.71</v>
      </c>
      <c r="J3109">
        <v>8.74</v>
      </c>
      <c r="K3109">
        <v>16.07</v>
      </c>
      <c r="L3109">
        <v>0.89</v>
      </c>
      <c r="M3109">
        <v>200.4</v>
      </c>
      <c r="N3109">
        <v>11904.01</v>
      </c>
    </row>
    <row r="3110" spans="1:14" x14ac:dyDescent="0.2">
      <c r="A3110" s="1">
        <v>45733</v>
      </c>
      <c r="B3110" s="2" t="s">
        <v>14</v>
      </c>
      <c r="C3110" s="2" t="s">
        <v>21</v>
      </c>
      <c r="D3110" s="2" t="s">
        <v>22</v>
      </c>
      <c r="E3110">
        <v>10332</v>
      </c>
      <c r="F3110">
        <v>369</v>
      </c>
      <c r="G3110">
        <v>40</v>
      </c>
      <c r="H3110">
        <v>847.22</v>
      </c>
      <c r="I3110">
        <v>6452.37</v>
      </c>
      <c r="J3110">
        <v>3.57</v>
      </c>
      <c r="K3110">
        <v>10.84</v>
      </c>
      <c r="L3110">
        <v>21.18</v>
      </c>
      <c r="M3110">
        <v>7.62</v>
      </c>
      <c r="N3110">
        <v>5605.15</v>
      </c>
    </row>
    <row r="3111" spans="1:14" x14ac:dyDescent="0.2">
      <c r="A3111" s="1">
        <v>45733</v>
      </c>
      <c r="B3111" s="2" t="s">
        <v>17</v>
      </c>
      <c r="C3111" s="2" t="s">
        <v>32</v>
      </c>
      <c r="D3111" s="2" t="s">
        <v>22</v>
      </c>
      <c r="E3111">
        <v>17683</v>
      </c>
      <c r="F3111">
        <v>446</v>
      </c>
      <c r="G3111">
        <v>37</v>
      </c>
      <c r="H3111">
        <v>1097.04</v>
      </c>
      <c r="I3111">
        <v>4383.51</v>
      </c>
      <c r="J3111">
        <v>2.52</v>
      </c>
      <c r="K3111">
        <v>8.3000000000000007</v>
      </c>
      <c r="L3111">
        <v>29.65</v>
      </c>
      <c r="M3111">
        <v>4</v>
      </c>
      <c r="N3111">
        <v>3286.47</v>
      </c>
    </row>
    <row r="3112" spans="1:14" x14ac:dyDescent="0.2">
      <c r="A3112" s="1">
        <v>45733</v>
      </c>
      <c r="B3112" s="2" t="s">
        <v>20</v>
      </c>
      <c r="C3112" s="2" t="s">
        <v>32</v>
      </c>
      <c r="D3112" s="2" t="s">
        <v>22</v>
      </c>
      <c r="E3112">
        <v>12576</v>
      </c>
      <c r="F3112">
        <v>333</v>
      </c>
      <c r="G3112">
        <v>19</v>
      </c>
      <c r="H3112">
        <v>660.27</v>
      </c>
      <c r="I3112">
        <v>1778.79</v>
      </c>
      <c r="J3112">
        <v>2.65</v>
      </c>
      <c r="K3112">
        <v>5.71</v>
      </c>
      <c r="L3112">
        <v>34.75</v>
      </c>
      <c r="M3112">
        <v>2.69</v>
      </c>
      <c r="N3112">
        <v>1118.52</v>
      </c>
    </row>
    <row r="3113" spans="1:14" x14ac:dyDescent="0.2">
      <c r="A3113" s="1">
        <v>45733</v>
      </c>
      <c r="B3113" s="2" t="s">
        <v>23</v>
      </c>
      <c r="C3113" s="2" t="s">
        <v>32</v>
      </c>
      <c r="D3113" s="2" t="s">
        <v>25</v>
      </c>
      <c r="E3113">
        <v>3516</v>
      </c>
      <c r="F3113">
        <v>105</v>
      </c>
      <c r="G3113">
        <v>10</v>
      </c>
      <c r="H3113">
        <v>1029.5</v>
      </c>
      <c r="I3113">
        <v>3466.38</v>
      </c>
      <c r="J3113">
        <v>2.99</v>
      </c>
      <c r="K3113">
        <v>9.52</v>
      </c>
      <c r="L3113">
        <v>102.95</v>
      </c>
      <c r="M3113">
        <v>3.37</v>
      </c>
      <c r="N3113">
        <v>2436.88</v>
      </c>
    </row>
    <row r="3114" spans="1:14" x14ac:dyDescent="0.2">
      <c r="A3114" s="1">
        <v>45733</v>
      </c>
      <c r="B3114" s="2" t="s">
        <v>24</v>
      </c>
      <c r="C3114" s="2" t="s">
        <v>28</v>
      </c>
      <c r="D3114" s="2" t="s">
        <v>16</v>
      </c>
      <c r="E3114">
        <v>20625</v>
      </c>
      <c r="F3114">
        <v>4939</v>
      </c>
      <c r="G3114">
        <v>671</v>
      </c>
      <c r="H3114">
        <v>228.03</v>
      </c>
      <c r="I3114">
        <v>78409.460000000006</v>
      </c>
      <c r="J3114">
        <v>23.95</v>
      </c>
      <c r="K3114">
        <v>13.59</v>
      </c>
      <c r="L3114">
        <v>0.34</v>
      </c>
      <c r="M3114">
        <v>343.86</v>
      </c>
      <c r="N3114">
        <v>78181.429999999993</v>
      </c>
    </row>
    <row r="3115" spans="1:14" x14ac:dyDescent="0.2">
      <c r="A3115" s="1">
        <v>45733</v>
      </c>
      <c r="B3115" s="2" t="s">
        <v>26</v>
      </c>
      <c r="C3115" s="2" t="s">
        <v>15</v>
      </c>
      <c r="D3115" s="2" t="s">
        <v>25</v>
      </c>
      <c r="E3115">
        <v>33318</v>
      </c>
      <c r="F3115">
        <v>1686</v>
      </c>
      <c r="G3115">
        <v>263</v>
      </c>
      <c r="H3115">
        <v>0</v>
      </c>
      <c r="I3115">
        <v>36321.47</v>
      </c>
      <c r="J3115">
        <v>5.0599999999999996</v>
      </c>
      <c r="K3115">
        <v>15.6</v>
      </c>
      <c r="L3115">
        <v>0</v>
      </c>
      <c r="M3115">
        <v>0</v>
      </c>
      <c r="N3115">
        <v>36321.47</v>
      </c>
    </row>
    <row r="3116" spans="1:14" x14ac:dyDescent="0.2">
      <c r="A3116" s="1">
        <v>45733</v>
      </c>
      <c r="B3116" s="2" t="s">
        <v>27</v>
      </c>
      <c r="C3116" s="2" t="s">
        <v>35</v>
      </c>
      <c r="D3116" s="2" t="s">
        <v>36</v>
      </c>
      <c r="E3116">
        <v>32266</v>
      </c>
      <c r="F3116">
        <v>525</v>
      </c>
      <c r="G3116">
        <v>23</v>
      </c>
      <c r="H3116">
        <v>1108.69</v>
      </c>
      <c r="I3116">
        <v>2712.31</v>
      </c>
      <c r="J3116">
        <v>1.63</v>
      </c>
      <c r="K3116">
        <v>4.38</v>
      </c>
      <c r="L3116">
        <v>48.2</v>
      </c>
      <c r="M3116">
        <v>2.4500000000000002</v>
      </c>
      <c r="N3116">
        <v>1603.62</v>
      </c>
    </row>
    <row r="3117" spans="1:14" x14ac:dyDescent="0.2">
      <c r="A3117" s="1">
        <v>45733</v>
      </c>
      <c r="B3117" s="2" t="s">
        <v>29</v>
      </c>
      <c r="C3117" s="2" t="s">
        <v>15</v>
      </c>
      <c r="D3117" s="2" t="s">
        <v>36</v>
      </c>
      <c r="E3117">
        <v>18581</v>
      </c>
      <c r="F3117">
        <v>295</v>
      </c>
      <c r="G3117">
        <v>20</v>
      </c>
      <c r="H3117">
        <v>1349.57</v>
      </c>
      <c r="I3117">
        <v>2440.4899999999998</v>
      </c>
      <c r="J3117">
        <v>1.59</v>
      </c>
      <c r="K3117">
        <v>6.78</v>
      </c>
      <c r="L3117">
        <v>67.48</v>
      </c>
      <c r="M3117">
        <v>1.81</v>
      </c>
      <c r="N3117">
        <v>1090.92</v>
      </c>
    </row>
    <row r="3118" spans="1:14" x14ac:dyDescent="0.2">
      <c r="A3118" s="1">
        <v>45733</v>
      </c>
      <c r="B3118" s="2" t="s">
        <v>30</v>
      </c>
      <c r="C3118" s="2" t="s">
        <v>18</v>
      </c>
      <c r="D3118" s="2" t="s">
        <v>22</v>
      </c>
      <c r="E3118">
        <v>11139</v>
      </c>
      <c r="F3118">
        <v>360</v>
      </c>
      <c r="G3118">
        <v>20</v>
      </c>
      <c r="H3118">
        <v>623.03</v>
      </c>
      <c r="I3118">
        <v>1959.77</v>
      </c>
      <c r="J3118">
        <v>3.23</v>
      </c>
      <c r="K3118">
        <v>5.56</v>
      </c>
      <c r="L3118">
        <v>31.15</v>
      </c>
      <c r="M3118">
        <v>3.15</v>
      </c>
      <c r="N3118">
        <v>1336.74</v>
      </c>
    </row>
    <row r="3119" spans="1:14" x14ac:dyDescent="0.2">
      <c r="A3119" s="1">
        <v>45733</v>
      </c>
      <c r="B3119" s="2" t="s">
        <v>31</v>
      </c>
      <c r="C3119" s="2" t="s">
        <v>21</v>
      </c>
      <c r="D3119" s="2" t="s">
        <v>25</v>
      </c>
      <c r="E3119">
        <v>28404</v>
      </c>
      <c r="F3119">
        <v>972</v>
      </c>
      <c r="G3119">
        <v>53</v>
      </c>
      <c r="H3119">
        <v>629.29</v>
      </c>
      <c r="I3119">
        <v>6042.72</v>
      </c>
      <c r="J3119">
        <v>3.42</v>
      </c>
      <c r="K3119">
        <v>5.45</v>
      </c>
      <c r="L3119">
        <v>11.87</v>
      </c>
      <c r="M3119">
        <v>9.6</v>
      </c>
      <c r="N3119">
        <v>5413.43</v>
      </c>
    </row>
    <row r="3120" spans="1:14" x14ac:dyDescent="0.2">
      <c r="A3120" s="1">
        <v>45733</v>
      </c>
      <c r="B3120" s="2" t="s">
        <v>33</v>
      </c>
      <c r="C3120" s="2" t="s">
        <v>28</v>
      </c>
      <c r="D3120" s="2" t="s">
        <v>25</v>
      </c>
      <c r="E3120">
        <v>9874</v>
      </c>
      <c r="F3120">
        <v>618</v>
      </c>
      <c r="G3120">
        <v>53</v>
      </c>
      <c r="H3120">
        <v>506.84</v>
      </c>
      <c r="I3120">
        <v>7505.28</v>
      </c>
      <c r="J3120">
        <v>6.26</v>
      </c>
      <c r="K3120">
        <v>8.58</v>
      </c>
      <c r="L3120">
        <v>9.56</v>
      </c>
      <c r="M3120">
        <v>14.81</v>
      </c>
      <c r="N3120">
        <v>6998.44</v>
      </c>
    </row>
    <row r="3121" spans="1:14" x14ac:dyDescent="0.2">
      <c r="A3121" s="1">
        <v>45733</v>
      </c>
      <c r="B3121" s="2" t="s">
        <v>34</v>
      </c>
      <c r="C3121" s="2" t="s">
        <v>35</v>
      </c>
      <c r="D3121" s="2" t="s">
        <v>22</v>
      </c>
      <c r="E3121">
        <v>6662</v>
      </c>
      <c r="F3121">
        <v>333</v>
      </c>
      <c r="G3121">
        <v>42</v>
      </c>
      <c r="H3121">
        <v>59.86</v>
      </c>
      <c r="I3121">
        <v>6058.82</v>
      </c>
      <c r="J3121">
        <v>5</v>
      </c>
      <c r="K3121">
        <v>12.61</v>
      </c>
      <c r="L3121">
        <v>1.43</v>
      </c>
      <c r="M3121">
        <v>101.22</v>
      </c>
      <c r="N3121">
        <v>5998.96</v>
      </c>
    </row>
    <row r="3122" spans="1:14" x14ac:dyDescent="0.2">
      <c r="A3122" s="1">
        <v>45734</v>
      </c>
      <c r="B3122" s="2" t="s">
        <v>14</v>
      </c>
      <c r="C3122" s="2" t="s">
        <v>32</v>
      </c>
      <c r="D3122" s="2" t="s">
        <v>25</v>
      </c>
      <c r="E3122">
        <v>10030</v>
      </c>
      <c r="F3122">
        <v>359</v>
      </c>
      <c r="G3122">
        <v>42</v>
      </c>
      <c r="H3122">
        <v>809.05</v>
      </c>
      <c r="I3122">
        <v>5518.63</v>
      </c>
      <c r="J3122">
        <v>3.58</v>
      </c>
      <c r="K3122">
        <v>11.7</v>
      </c>
      <c r="L3122">
        <v>19.260000000000002</v>
      </c>
      <c r="M3122">
        <v>6.82</v>
      </c>
      <c r="N3122">
        <v>4709.58</v>
      </c>
    </row>
    <row r="3123" spans="1:14" x14ac:dyDescent="0.2">
      <c r="A3123" s="1">
        <v>45734</v>
      </c>
      <c r="B3123" s="2" t="s">
        <v>17</v>
      </c>
      <c r="C3123" s="2" t="s">
        <v>28</v>
      </c>
      <c r="D3123" s="2" t="s">
        <v>19</v>
      </c>
      <c r="E3123">
        <v>17181</v>
      </c>
      <c r="F3123">
        <v>361</v>
      </c>
      <c r="G3123">
        <v>28</v>
      </c>
      <c r="H3123">
        <v>956.45</v>
      </c>
      <c r="I3123">
        <v>3311.68</v>
      </c>
      <c r="J3123">
        <v>2.1</v>
      </c>
      <c r="K3123">
        <v>7.76</v>
      </c>
      <c r="L3123">
        <v>34.159999999999997</v>
      </c>
      <c r="M3123">
        <v>3.46</v>
      </c>
      <c r="N3123">
        <v>2355.23</v>
      </c>
    </row>
    <row r="3124" spans="1:14" x14ac:dyDescent="0.2">
      <c r="A3124" s="1">
        <v>45734</v>
      </c>
      <c r="B3124" s="2" t="s">
        <v>20</v>
      </c>
      <c r="C3124" s="2" t="s">
        <v>35</v>
      </c>
      <c r="D3124" s="2" t="s">
        <v>25</v>
      </c>
      <c r="E3124">
        <v>17384</v>
      </c>
      <c r="F3124">
        <v>453</v>
      </c>
      <c r="G3124">
        <v>26</v>
      </c>
      <c r="H3124">
        <v>767.76</v>
      </c>
      <c r="I3124">
        <v>2039.27</v>
      </c>
      <c r="J3124">
        <v>2.61</v>
      </c>
      <c r="K3124">
        <v>5.74</v>
      </c>
      <c r="L3124">
        <v>29.53</v>
      </c>
      <c r="M3124">
        <v>2.66</v>
      </c>
      <c r="N3124">
        <v>1271.51</v>
      </c>
    </row>
    <row r="3125" spans="1:14" x14ac:dyDescent="0.2">
      <c r="A3125" s="1">
        <v>45734</v>
      </c>
      <c r="B3125" s="2" t="s">
        <v>23</v>
      </c>
      <c r="C3125" s="2" t="s">
        <v>35</v>
      </c>
      <c r="D3125" s="2" t="s">
        <v>19</v>
      </c>
      <c r="E3125">
        <v>4140</v>
      </c>
      <c r="F3125">
        <v>109</v>
      </c>
      <c r="G3125">
        <v>14</v>
      </c>
      <c r="H3125">
        <v>1530.91</v>
      </c>
      <c r="I3125">
        <v>4034.39</v>
      </c>
      <c r="J3125">
        <v>2.63</v>
      </c>
      <c r="K3125">
        <v>12.84</v>
      </c>
      <c r="L3125">
        <v>109.35</v>
      </c>
      <c r="M3125">
        <v>2.64</v>
      </c>
      <c r="N3125">
        <v>2503.48</v>
      </c>
    </row>
    <row r="3126" spans="1:14" x14ac:dyDescent="0.2">
      <c r="A3126" s="1">
        <v>45734</v>
      </c>
      <c r="B3126" s="2" t="s">
        <v>24</v>
      </c>
      <c r="C3126" s="2" t="s">
        <v>28</v>
      </c>
      <c r="D3126" s="2" t="s">
        <v>36</v>
      </c>
      <c r="E3126">
        <v>23066</v>
      </c>
      <c r="F3126">
        <v>4678</v>
      </c>
      <c r="G3126">
        <v>601</v>
      </c>
      <c r="H3126">
        <v>144.38999999999999</v>
      </c>
      <c r="I3126">
        <v>97176.91</v>
      </c>
      <c r="J3126">
        <v>20.28</v>
      </c>
      <c r="K3126">
        <v>12.85</v>
      </c>
      <c r="L3126">
        <v>0.24</v>
      </c>
      <c r="M3126">
        <v>673.02</v>
      </c>
      <c r="N3126">
        <v>97032.52</v>
      </c>
    </row>
    <row r="3127" spans="1:14" x14ac:dyDescent="0.2">
      <c r="A3127" s="1">
        <v>45734</v>
      </c>
      <c r="B3127" s="2" t="s">
        <v>26</v>
      </c>
      <c r="C3127" s="2" t="s">
        <v>15</v>
      </c>
      <c r="D3127" s="2" t="s">
        <v>19</v>
      </c>
      <c r="E3127">
        <v>21756</v>
      </c>
      <c r="F3127">
        <v>1683</v>
      </c>
      <c r="G3127">
        <v>219</v>
      </c>
      <c r="H3127">
        <v>0</v>
      </c>
      <c r="I3127">
        <v>25011.31</v>
      </c>
      <c r="J3127">
        <v>7.74</v>
      </c>
      <c r="K3127">
        <v>13.01</v>
      </c>
      <c r="L3127">
        <v>0</v>
      </c>
      <c r="M3127">
        <v>0</v>
      </c>
      <c r="N3127">
        <v>25011.31</v>
      </c>
    </row>
    <row r="3128" spans="1:14" x14ac:dyDescent="0.2">
      <c r="A3128" s="1">
        <v>45734</v>
      </c>
      <c r="B3128" s="2" t="s">
        <v>27</v>
      </c>
      <c r="C3128" s="2" t="s">
        <v>32</v>
      </c>
      <c r="D3128" s="2" t="s">
        <v>22</v>
      </c>
      <c r="E3128">
        <v>39305</v>
      </c>
      <c r="F3128">
        <v>457</v>
      </c>
      <c r="G3128">
        <v>22</v>
      </c>
      <c r="H3128">
        <v>890.5</v>
      </c>
      <c r="I3128">
        <v>2816.49</v>
      </c>
      <c r="J3128">
        <v>1.1599999999999999</v>
      </c>
      <c r="K3128">
        <v>4.8099999999999996</v>
      </c>
      <c r="L3128">
        <v>40.479999999999997</v>
      </c>
      <c r="M3128">
        <v>3.16</v>
      </c>
      <c r="N3128">
        <v>1925.99</v>
      </c>
    </row>
    <row r="3129" spans="1:14" x14ac:dyDescent="0.2">
      <c r="A3129" s="1">
        <v>45734</v>
      </c>
      <c r="B3129" s="2" t="s">
        <v>29</v>
      </c>
      <c r="C3129" s="2" t="s">
        <v>32</v>
      </c>
      <c r="D3129" s="2" t="s">
        <v>25</v>
      </c>
      <c r="E3129">
        <v>17954</v>
      </c>
      <c r="F3129">
        <v>446</v>
      </c>
      <c r="G3129">
        <v>23</v>
      </c>
      <c r="H3129">
        <v>1080.5</v>
      </c>
      <c r="I3129">
        <v>3099.62</v>
      </c>
      <c r="J3129">
        <v>2.48</v>
      </c>
      <c r="K3129">
        <v>5.16</v>
      </c>
      <c r="L3129">
        <v>46.98</v>
      </c>
      <c r="M3129">
        <v>2.87</v>
      </c>
      <c r="N3129">
        <v>2019.12</v>
      </c>
    </row>
    <row r="3130" spans="1:14" x14ac:dyDescent="0.2">
      <c r="A3130" s="1">
        <v>45734</v>
      </c>
      <c r="B3130" s="2" t="s">
        <v>30</v>
      </c>
      <c r="C3130" s="2" t="s">
        <v>21</v>
      </c>
      <c r="D3130" s="2" t="s">
        <v>36</v>
      </c>
      <c r="E3130">
        <v>13443</v>
      </c>
      <c r="F3130">
        <v>287</v>
      </c>
      <c r="G3130">
        <v>12</v>
      </c>
      <c r="H3130">
        <v>715.57</v>
      </c>
      <c r="I3130">
        <v>1195.26</v>
      </c>
      <c r="J3130">
        <v>2.13</v>
      </c>
      <c r="K3130">
        <v>4.18</v>
      </c>
      <c r="L3130">
        <v>59.63</v>
      </c>
      <c r="M3130">
        <v>1.67</v>
      </c>
      <c r="N3130">
        <v>479.69</v>
      </c>
    </row>
    <row r="3131" spans="1:14" x14ac:dyDescent="0.2">
      <c r="A3131" s="1">
        <v>45734</v>
      </c>
      <c r="B3131" s="2" t="s">
        <v>31</v>
      </c>
      <c r="C3131" s="2" t="s">
        <v>32</v>
      </c>
      <c r="D3131" s="2" t="s">
        <v>19</v>
      </c>
      <c r="E3131">
        <v>19797</v>
      </c>
      <c r="F3131">
        <v>795</v>
      </c>
      <c r="G3131">
        <v>52</v>
      </c>
      <c r="H3131">
        <v>997.94</v>
      </c>
      <c r="I3131">
        <v>3793.63</v>
      </c>
      <c r="J3131">
        <v>4.0199999999999996</v>
      </c>
      <c r="K3131">
        <v>6.54</v>
      </c>
      <c r="L3131">
        <v>19.190000000000001</v>
      </c>
      <c r="M3131">
        <v>3.8</v>
      </c>
      <c r="N3131">
        <v>2795.69</v>
      </c>
    </row>
    <row r="3132" spans="1:14" x14ac:dyDescent="0.2">
      <c r="A3132" s="1">
        <v>45734</v>
      </c>
      <c r="B3132" s="2" t="s">
        <v>33</v>
      </c>
      <c r="C3132" s="2" t="s">
        <v>35</v>
      </c>
      <c r="D3132" s="2" t="s">
        <v>36</v>
      </c>
      <c r="E3132">
        <v>7940</v>
      </c>
      <c r="F3132">
        <v>508</v>
      </c>
      <c r="G3132">
        <v>62</v>
      </c>
      <c r="H3132">
        <v>338.66</v>
      </c>
      <c r="I3132">
        <v>8120.86</v>
      </c>
      <c r="J3132">
        <v>6.4</v>
      </c>
      <c r="K3132">
        <v>12.2</v>
      </c>
      <c r="L3132">
        <v>5.46</v>
      </c>
      <c r="M3132">
        <v>23.98</v>
      </c>
      <c r="N3132">
        <v>7782.2</v>
      </c>
    </row>
    <row r="3133" spans="1:14" x14ac:dyDescent="0.2">
      <c r="A3133" s="1">
        <v>45734</v>
      </c>
      <c r="B3133" s="2" t="s">
        <v>34</v>
      </c>
      <c r="C3133" s="2" t="s">
        <v>28</v>
      </c>
      <c r="D3133" s="2" t="s">
        <v>36</v>
      </c>
      <c r="E3133">
        <v>6896</v>
      </c>
      <c r="F3133">
        <v>662</v>
      </c>
      <c r="G3133">
        <v>81</v>
      </c>
      <c r="H3133">
        <v>80.27</v>
      </c>
      <c r="I3133">
        <v>12331.09</v>
      </c>
      <c r="J3133">
        <v>9.6</v>
      </c>
      <c r="K3133">
        <v>12.24</v>
      </c>
      <c r="L3133">
        <v>0.99</v>
      </c>
      <c r="M3133">
        <v>153.62</v>
      </c>
      <c r="N3133">
        <v>12250.82</v>
      </c>
    </row>
    <row r="3134" spans="1:14" x14ac:dyDescent="0.2">
      <c r="A3134" s="1">
        <v>45735</v>
      </c>
      <c r="B3134" s="2" t="s">
        <v>14</v>
      </c>
      <c r="C3134" s="2" t="s">
        <v>18</v>
      </c>
      <c r="D3134" s="2" t="s">
        <v>16</v>
      </c>
      <c r="E3134">
        <v>13375</v>
      </c>
      <c r="F3134">
        <v>577</v>
      </c>
      <c r="G3134">
        <v>60</v>
      </c>
      <c r="H3134">
        <v>1188.21</v>
      </c>
      <c r="I3134">
        <v>9651.7900000000009</v>
      </c>
      <c r="J3134">
        <v>4.3099999999999996</v>
      </c>
      <c r="K3134">
        <v>10.4</v>
      </c>
      <c r="L3134">
        <v>19.8</v>
      </c>
      <c r="M3134">
        <v>8.1199999999999992</v>
      </c>
      <c r="N3134">
        <v>8463.58</v>
      </c>
    </row>
    <row r="3135" spans="1:14" x14ac:dyDescent="0.2">
      <c r="A3135" s="1">
        <v>45735</v>
      </c>
      <c r="B3135" s="2" t="s">
        <v>17</v>
      </c>
      <c r="C3135" s="2" t="s">
        <v>35</v>
      </c>
      <c r="D3135" s="2" t="s">
        <v>25</v>
      </c>
      <c r="E3135">
        <v>19564</v>
      </c>
      <c r="F3135">
        <v>758</v>
      </c>
      <c r="G3135">
        <v>61</v>
      </c>
      <c r="H3135">
        <v>807.27</v>
      </c>
      <c r="I3135">
        <v>6749.2</v>
      </c>
      <c r="J3135">
        <v>3.87</v>
      </c>
      <c r="K3135">
        <v>8.0500000000000007</v>
      </c>
      <c r="L3135">
        <v>13.23</v>
      </c>
      <c r="M3135">
        <v>8.36</v>
      </c>
      <c r="N3135">
        <v>5941.93</v>
      </c>
    </row>
    <row r="3136" spans="1:14" x14ac:dyDescent="0.2">
      <c r="A3136" s="1">
        <v>45735</v>
      </c>
      <c r="B3136" s="2" t="s">
        <v>20</v>
      </c>
      <c r="C3136" s="2" t="s">
        <v>18</v>
      </c>
      <c r="D3136" s="2" t="s">
        <v>25</v>
      </c>
      <c r="E3136">
        <v>10362</v>
      </c>
      <c r="F3136">
        <v>296</v>
      </c>
      <c r="G3136">
        <v>13</v>
      </c>
      <c r="H3136">
        <v>865.97</v>
      </c>
      <c r="I3136">
        <v>1250.32</v>
      </c>
      <c r="J3136">
        <v>2.86</v>
      </c>
      <c r="K3136">
        <v>4.3899999999999997</v>
      </c>
      <c r="L3136">
        <v>66.61</v>
      </c>
      <c r="M3136">
        <v>1.44</v>
      </c>
      <c r="N3136">
        <v>384.35</v>
      </c>
    </row>
    <row r="3137" spans="1:14" x14ac:dyDescent="0.2">
      <c r="A3137" s="1">
        <v>45735</v>
      </c>
      <c r="B3137" s="2" t="s">
        <v>23</v>
      </c>
      <c r="C3137" s="2" t="s">
        <v>21</v>
      </c>
      <c r="D3137" s="2" t="s">
        <v>19</v>
      </c>
      <c r="E3137">
        <v>3892</v>
      </c>
      <c r="F3137">
        <v>113</v>
      </c>
      <c r="G3137">
        <v>11</v>
      </c>
      <c r="H3137">
        <v>1553.13</v>
      </c>
      <c r="I3137">
        <v>3338.8</v>
      </c>
      <c r="J3137">
        <v>2.9</v>
      </c>
      <c r="K3137">
        <v>9.73</v>
      </c>
      <c r="L3137">
        <v>141.19</v>
      </c>
      <c r="M3137">
        <v>2.15</v>
      </c>
      <c r="N3137">
        <v>1785.67</v>
      </c>
    </row>
    <row r="3138" spans="1:14" x14ac:dyDescent="0.2">
      <c r="A3138" s="1">
        <v>45735</v>
      </c>
      <c r="B3138" s="2" t="s">
        <v>24</v>
      </c>
      <c r="C3138" s="2" t="s">
        <v>18</v>
      </c>
      <c r="D3138" s="2" t="s">
        <v>19</v>
      </c>
      <c r="E3138">
        <v>23769</v>
      </c>
      <c r="F3138">
        <v>4641</v>
      </c>
      <c r="G3138">
        <v>463</v>
      </c>
      <c r="H3138">
        <v>164.98</v>
      </c>
      <c r="I3138">
        <v>55244.25</v>
      </c>
      <c r="J3138">
        <v>19.53</v>
      </c>
      <c r="K3138">
        <v>9.98</v>
      </c>
      <c r="L3138">
        <v>0.36</v>
      </c>
      <c r="M3138">
        <v>334.85</v>
      </c>
      <c r="N3138">
        <v>55079.27</v>
      </c>
    </row>
    <row r="3139" spans="1:14" x14ac:dyDescent="0.2">
      <c r="A3139" s="1">
        <v>45735</v>
      </c>
      <c r="B3139" s="2" t="s">
        <v>26</v>
      </c>
      <c r="C3139" s="2" t="s">
        <v>21</v>
      </c>
      <c r="D3139" s="2" t="s">
        <v>22</v>
      </c>
      <c r="E3139">
        <v>28539</v>
      </c>
      <c r="F3139">
        <v>1245</v>
      </c>
      <c r="G3139">
        <v>159</v>
      </c>
      <c r="H3139">
        <v>0</v>
      </c>
      <c r="I3139">
        <v>20101.22</v>
      </c>
      <c r="J3139">
        <v>4.3600000000000003</v>
      </c>
      <c r="K3139">
        <v>12.77</v>
      </c>
      <c r="L3139">
        <v>0</v>
      </c>
      <c r="M3139">
        <v>0</v>
      </c>
      <c r="N3139">
        <v>20101.22</v>
      </c>
    </row>
    <row r="3140" spans="1:14" x14ac:dyDescent="0.2">
      <c r="A3140" s="1">
        <v>45735</v>
      </c>
      <c r="B3140" s="2" t="s">
        <v>27</v>
      </c>
      <c r="C3140" s="2" t="s">
        <v>35</v>
      </c>
      <c r="D3140" s="2" t="s">
        <v>16</v>
      </c>
      <c r="E3140">
        <v>37276</v>
      </c>
      <c r="F3140">
        <v>743</v>
      </c>
      <c r="G3140">
        <v>26</v>
      </c>
      <c r="H3140">
        <v>1163.93</v>
      </c>
      <c r="I3140">
        <v>2035.24</v>
      </c>
      <c r="J3140">
        <v>1.99</v>
      </c>
      <c r="K3140">
        <v>3.5</v>
      </c>
      <c r="L3140">
        <v>44.77</v>
      </c>
      <c r="M3140">
        <v>1.75</v>
      </c>
      <c r="N3140">
        <v>871.31</v>
      </c>
    </row>
    <row r="3141" spans="1:14" x14ac:dyDescent="0.2">
      <c r="A3141" s="1">
        <v>45735</v>
      </c>
      <c r="B3141" s="2" t="s">
        <v>29</v>
      </c>
      <c r="C3141" s="2" t="s">
        <v>15</v>
      </c>
      <c r="D3141" s="2" t="s">
        <v>19</v>
      </c>
      <c r="E3141">
        <v>21853</v>
      </c>
      <c r="F3141">
        <v>351</v>
      </c>
      <c r="G3141">
        <v>21</v>
      </c>
      <c r="H3141">
        <v>830.12</v>
      </c>
      <c r="I3141">
        <v>2023.12</v>
      </c>
      <c r="J3141">
        <v>1.61</v>
      </c>
      <c r="K3141">
        <v>5.98</v>
      </c>
      <c r="L3141">
        <v>39.53</v>
      </c>
      <c r="M3141">
        <v>2.44</v>
      </c>
      <c r="N3141">
        <v>1193</v>
      </c>
    </row>
    <row r="3142" spans="1:14" x14ac:dyDescent="0.2">
      <c r="A3142" s="1">
        <v>45735</v>
      </c>
      <c r="B3142" s="2" t="s">
        <v>30</v>
      </c>
      <c r="C3142" s="2" t="s">
        <v>32</v>
      </c>
      <c r="D3142" s="2" t="s">
        <v>25</v>
      </c>
      <c r="E3142">
        <v>11227</v>
      </c>
      <c r="F3142">
        <v>386</v>
      </c>
      <c r="G3142">
        <v>12</v>
      </c>
      <c r="H3142">
        <v>553.17999999999995</v>
      </c>
      <c r="I3142">
        <v>1098.56</v>
      </c>
      <c r="J3142">
        <v>3.44</v>
      </c>
      <c r="K3142">
        <v>3.11</v>
      </c>
      <c r="L3142">
        <v>46.1</v>
      </c>
      <c r="M3142">
        <v>1.99</v>
      </c>
      <c r="N3142">
        <v>545.38</v>
      </c>
    </row>
    <row r="3143" spans="1:14" x14ac:dyDescent="0.2">
      <c r="A3143" s="1">
        <v>45735</v>
      </c>
      <c r="B3143" s="2" t="s">
        <v>31</v>
      </c>
      <c r="C3143" s="2" t="s">
        <v>32</v>
      </c>
      <c r="D3143" s="2" t="s">
        <v>25</v>
      </c>
      <c r="E3143">
        <v>27496</v>
      </c>
      <c r="F3143">
        <v>1052</v>
      </c>
      <c r="G3143">
        <v>38</v>
      </c>
      <c r="H3143">
        <v>777.29</v>
      </c>
      <c r="I3143">
        <v>3979.25</v>
      </c>
      <c r="J3143">
        <v>3.83</v>
      </c>
      <c r="K3143">
        <v>3.61</v>
      </c>
      <c r="L3143">
        <v>20.45</v>
      </c>
      <c r="M3143">
        <v>5.12</v>
      </c>
      <c r="N3143">
        <v>3201.96</v>
      </c>
    </row>
    <row r="3144" spans="1:14" x14ac:dyDescent="0.2">
      <c r="A3144" s="1">
        <v>45735</v>
      </c>
      <c r="B3144" s="2" t="s">
        <v>33</v>
      </c>
      <c r="C3144" s="2" t="s">
        <v>32</v>
      </c>
      <c r="D3144" s="2" t="s">
        <v>22</v>
      </c>
      <c r="E3144">
        <v>9359</v>
      </c>
      <c r="F3144">
        <v>648</v>
      </c>
      <c r="G3144">
        <v>60</v>
      </c>
      <c r="H3144">
        <v>610.97</v>
      </c>
      <c r="I3144">
        <v>7001.79</v>
      </c>
      <c r="J3144">
        <v>6.92</v>
      </c>
      <c r="K3144">
        <v>9.26</v>
      </c>
      <c r="L3144">
        <v>10.18</v>
      </c>
      <c r="M3144">
        <v>11.46</v>
      </c>
      <c r="N3144">
        <v>6390.82</v>
      </c>
    </row>
    <row r="3145" spans="1:14" x14ac:dyDescent="0.2">
      <c r="A3145" s="1">
        <v>45735</v>
      </c>
      <c r="B3145" s="2" t="s">
        <v>34</v>
      </c>
      <c r="C3145" s="2" t="s">
        <v>18</v>
      </c>
      <c r="D3145" s="2" t="s">
        <v>16</v>
      </c>
      <c r="E3145">
        <v>5657</v>
      </c>
      <c r="F3145">
        <v>491</v>
      </c>
      <c r="G3145">
        <v>81</v>
      </c>
      <c r="H3145">
        <v>186.81</v>
      </c>
      <c r="I3145">
        <v>11267.16</v>
      </c>
      <c r="J3145">
        <v>8.68</v>
      </c>
      <c r="K3145">
        <v>16.5</v>
      </c>
      <c r="L3145">
        <v>2.31</v>
      </c>
      <c r="M3145">
        <v>60.31</v>
      </c>
      <c r="N3145">
        <v>11080.35</v>
      </c>
    </row>
    <row r="3146" spans="1:14" x14ac:dyDescent="0.2">
      <c r="A3146" s="1">
        <v>45736</v>
      </c>
      <c r="B3146" s="2" t="s">
        <v>14</v>
      </c>
      <c r="C3146" s="2" t="s">
        <v>28</v>
      </c>
      <c r="D3146" s="2" t="s">
        <v>19</v>
      </c>
      <c r="E3146">
        <v>11699</v>
      </c>
      <c r="F3146">
        <v>449</v>
      </c>
      <c r="G3146">
        <v>50</v>
      </c>
      <c r="H3146">
        <v>1184.49</v>
      </c>
      <c r="I3146">
        <v>7461.27</v>
      </c>
      <c r="J3146">
        <v>3.84</v>
      </c>
      <c r="K3146">
        <v>11.14</v>
      </c>
      <c r="L3146">
        <v>23.69</v>
      </c>
      <c r="M3146">
        <v>6.3</v>
      </c>
      <c r="N3146">
        <v>6276.78</v>
      </c>
    </row>
    <row r="3147" spans="1:14" x14ac:dyDescent="0.2">
      <c r="A3147" s="1">
        <v>45736</v>
      </c>
      <c r="B3147" s="2" t="s">
        <v>17</v>
      </c>
      <c r="C3147" s="2" t="s">
        <v>21</v>
      </c>
      <c r="D3147" s="2" t="s">
        <v>22</v>
      </c>
      <c r="E3147">
        <v>12802</v>
      </c>
      <c r="F3147">
        <v>434</v>
      </c>
      <c r="G3147">
        <v>36</v>
      </c>
      <c r="H3147">
        <v>864.47</v>
      </c>
      <c r="I3147">
        <v>3806.97</v>
      </c>
      <c r="J3147">
        <v>3.39</v>
      </c>
      <c r="K3147">
        <v>8.2899999999999991</v>
      </c>
      <c r="L3147">
        <v>24.01</v>
      </c>
      <c r="M3147">
        <v>4.4000000000000004</v>
      </c>
      <c r="N3147">
        <v>2942.5</v>
      </c>
    </row>
    <row r="3148" spans="1:14" x14ac:dyDescent="0.2">
      <c r="A3148" s="1">
        <v>45736</v>
      </c>
      <c r="B3148" s="2" t="s">
        <v>20</v>
      </c>
      <c r="C3148" s="2" t="s">
        <v>35</v>
      </c>
      <c r="D3148" s="2" t="s">
        <v>19</v>
      </c>
      <c r="E3148">
        <v>11375</v>
      </c>
      <c r="F3148">
        <v>368</v>
      </c>
      <c r="G3148">
        <v>17</v>
      </c>
      <c r="H3148">
        <v>519.11</v>
      </c>
      <c r="I3148">
        <v>1609.21</v>
      </c>
      <c r="J3148">
        <v>3.24</v>
      </c>
      <c r="K3148">
        <v>4.62</v>
      </c>
      <c r="L3148">
        <v>30.54</v>
      </c>
      <c r="M3148">
        <v>3.1</v>
      </c>
      <c r="N3148">
        <v>1090.0999999999999</v>
      </c>
    </row>
    <row r="3149" spans="1:14" x14ac:dyDescent="0.2">
      <c r="A3149" s="1">
        <v>45736</v>
      </c>
      <c r="B3149" s="2" t="s">
        <v>23</v>
      </c>
      <c r="C3149" s="2" t="s">
        <v>32</v>
      </c>
      <c r="D3149" s="2" t="s">
        <v>22</v>
      </c>
      <c r="E3149">
        <v>4370</v>
      </c>
      <c r="F3149">
        <v>83</v>
      </c>
      <c r="G3149">
        <v>9</v>
      </c>
      <c r="H3149">
        <v>1432.04</v>
      </c>
      <c r="I3149">
        <v>1773.28</v>
      </c>
      <c r="J3149">
        <v>1.9</v>
      </c>
      <c r="K3149">
        <v>10.84</v>
      </c>
      <c r="L3149">
        <v>159.12</v>
      </c>
      <c r="M3149">
        <v>1.24</v>
      </c>
      <c r="N3149">
        <v>341.24</v>
      </c>
    </row>
    <row r="3150" spans="1:14" x14ac:dyDescent="0.2">
      <c r="A3150" s="1">
        <v>45736</v>
      </c>
      <c r="B3150" s="2" t="s">
        <v>24</v>
      </c>
      <c r="C3150" s="2" t="s">
        <v>21</v>
      </c>
      <c r="D3150" s="2" t="s">
        <v>19</v>
      </c>
      <c r="E3150">
        <v>17970</v>
      </c>
      <c r="F3150">
        <v>4069</v>
      </c>
      <c r="G3150">
        <v>404</v>
      </c>
      <c r="H3150">
        <v>272.48</v>
      </c>
      <c r="I3150">
        <v>46229.75</v>
      </c>
      <c r="J3150">
        <v>22.64</v>
      </c>
      <c r="K3150">
        <v>9.93</v>
      </c>
      <c r="L3150">
        <v>0.67</v>
      </c>
      <c r="M3150">
        <v>169.66</v>
      </c>
      <c r="N3150">
        <v>45957.27</v>
      </c>
    </row>
    <row r="3151" spans="1:14" x14ac:dyDescent="0.2">
      <c r="A3151" s="1">
        <v>45736</v>
      </c>
      <c r="B3151" s="2" t="s">
        <v>26</v>
      </c>
      <c r="C3151" s="2" t="s">
        <v>35</v>
      </c>
      <c r="D3151" s="2" t="s">
        <v>16</v>
      </c>
      <c r="E3151">
        <v>34550</v>
      </c>
      <c r="F3151">
        <v>1815</v>
      </c>
      <c r="G3151">
        <v>227</v>
      </c>
      <c r="H3151">
        <v>0</v>
      </c>
      <c r="I3151">
        <v>31926.83</v>
      </c>
      <c r="J3151">
        <v>5.25</v>
      </c>
      <c r="K3151">
        <v>12.51</v>
      </c>
      <c r="L3151">
        <v>0</v>
      </c>
      <c r="M3151">
        <v>0</v>
      </c>
      <c r="N3151">
        <v>31926.83</v>
      </c>
    </row>
    <row r="3152" spans="1:14" x14ac:dyDescent="0.2">
      <c r="A3152" s="1">
        <v>45736</v>
      </c>
      <c r="B3152" s="2" t="s">
        <v>27</v>
      </c>
      <c r="C3152" s="2" t="s">
        <v>32</v>
      </c>
      <c r="D3152" s="2" t="s">
        <v>36</v>
      </c>
      <c r="E3152">
        <v>32023</v>
      </c>
      <c r="F3152">
        <v>424</v>
      </c>
      <c r="G3152">
        <v>12</v>
      </c>
      <c r="H3152">
        <v>1234.04</v>
      </c>
      <c r="I3152">
        <v>1082.19</v>
      </c>
      <c r="J3152">
        <v>1.32</v>
      </c>
      <c r="K3152">
        <v>2.83</v>
      </c>
      <c r="L3152">
        <v>102.84</v>
      </c>
      <c r="M3152">
        <v>0.88</v>
      </c>
      <c r="N3152">
        <v>-151.85</v>
      </c>
    </row>
    <row r="3153" spans="1:14" x14ac:dyDescent="0.2">
      <c r="A3153" s="1">
        <v>45736</v>
      </c>
      <c r="B3153" s="2" t="s">
        <v>29</v>
      </c>
      <c r="C3153" s="2" t="s">
        <v>32</v>
      </c>
      <c r="D3153" s="2" t="s">
        <v>22</v>
      </c>
      <c r="E3153">
        <v>23595</v>
      </c>
      <c r="F3153">
        <v>642</v>
      </c>
      <c r="G3153">
        <v>43</v>
      </c>
      <c r="H3153">
        <v>1262.96</v>
      </c>
      <c r="I3153">
        <v>5185.6099999999997</v>
      </c>
      <c r="J3153">
        <v>2.72</v>
      </c>
      <c r="K3153">
        <v>6.7</v>
      </c>
      <c r="L3153">
        <v>29.37</v>
      </c>
      <c r="M3153">
        <v>4.1100000000000003</v>
      </c>
      <c r="N3153">
        <v>3922.65</v>
      </c>
    </row>
    <row r="3154" spans="1:14" x14ac:dyDescent="0.2">
      <c r="A3154" s="1">
        <v>45736</v>
      </c>
      <c r="B3154" s="2" t="s">
        <v>30</v>
      </c>
      <c r="C3154" s="2" t="s">
        <v>15</v>
      </c>
      <c r="D3154" s="2" t="s">
        <v>16</v>
      </c>
      <c r="E3154">
        <v>12764</v>
      </c>
      <c r="F3154">
        <v>385</v>
      </c>
      <c r="G3154">
        <v>17</v>
      </c>
      <c r="H3154">
        <v>781.17</v>
      </c>
      <c r="I3154">
        <v>1862.31</v>
      </c>
      <c r="J3154">
        <v>3.02</v>
      </c>
      <c r="K3154">
        <v>4.42</v>
      </c>
      <c r="L3154">
        <v>45.95</v>
      </c>
      <c r="M3154">
        <v>2.38</v>
      </c>
      <c r="N3154">
        <v>1081.1400000000001</v>
      </c>
    </row>
    <row r="3155" spans="1:14" x14ac:dyDescent="0.2">
      <c r="A3155" s="1">
        <v>45736</v>
      </c>
      <c r="B3155" s="2" t="s">
        <v>31</v>
      </c>
      <c r="C3155" s="2" t="s">
        <v>15</v>
      </c>
      <c r="D3155" s="2" t="s">
        <v>19</v>
      </c>
      <c r="E3155">
        <v>21763</v>
      </c>
      <c r="F3155">
        <v>848</v>
      </c>
      <c r="G3155">
        <v>33</v>
      </c>
      <c r="H3155">
        <v>928.19</v>
      </c>
      <c r="I3155">
        <v>3055.21</v>
      </c>
      <c r="J3155">
        <v>3.9</v>
      </c>
      <c r="K3155">
        <v>3.89</v>
      </c>
      <c r="L3155">
        <v>28.13</v>
      </c>
      <c r="M3155">
        <v>3.29</v>
      </c>
      <c r="N3155">
        <v>2127.02</v>
      </c>
    </row>
    <row r="3156" spans="1:14" x14ac:dyDescent="0.2">
      <c r="A3156" s="1">
        <v>45736</v>
      </c>
      <c r="B3156" s="2" t="s">
        <v>33</v>
      </c>
      <c r="C3156" s="2" t="s">
        <v>28</v>
      </c>
      <c r="D3156" s="2" t="s">
        <v>22</v>
      </c>
      <c r="E3156">
        <v>6856</v>
      </c>
      <c r="F3156">
        <v>446</v>
      </c>
      <c r="G3156">
        <v>45</v>
      </c>
      <c r="H3156">
        <v>370.13</v>
      </c>
      <c r="I3156">
        <v>4945.4399999999996</v>
      </c>
      <c r="J3156">
        <v>6.51</v>
      </c>
      <c r="K3156">
        <v>10.09</v>
      </c>
      <c r="L3156">
        <v>8.23</v>
      </c>
      <c r="M3156">
        <v>13.36</v>
      </c>
      <c r="N3156">
        <v>4575.3100000000004</v>
      </c>
    </row>
    <row r="3157" spans="1:14" x14ac:dyDescent="0.2">
      <c r="A3157" s="1">
        <v>45736</v>
      </c>
      <c r="B3157" s="2" t="s">
        <v>34</v>
      </c>
      <c r="C3157" s="2" t="s">
        <v>28</v>
      </c>
      <c r="D3157" s="2" t="s">
        <v>25</v>
      </c>
      <c r="E3157">
        <v>6943</v>
      </c>
      <c r="F3157">
        <v>453</v>
      </c>
      <c r="G3157">
        <v>63</v>
      </c>
      <c r="H3157">
        <v>150.07</v>
      </c>
      <c r="I3157">
        <v>8531.57</v>
      </c>
      <c r="J3157">
        <v>6.52</v>
      </c>
      <c r="K3157">
        <v>13.91</v>
      </c>
      <c r="L3157">
        <v>2.38</v>
      </c>
      <c r="M3157">
        <v>56.85</v>
      </c>
      <c r="N3157">
        <v>8381.5</v>
      </c>
    </row>
    <row r="3158" spans="1:14" x14ac:dyDescent="0.2">
      <c r="A3158" s="1">
        <v>45737</v>
      </c>
      <c r="B3158" s="2" t="s">
        <v>14</v>
      </c>
      <c r="C3158" s="2" t="s">
        <v>18</v>
      </c>
      <c r="D3158" s="2" t="s">
        <v>25</v>
      </c>
      <c r="E3158">
        <v>10883</v>
      </c>
      <c r="F3158">
        <v>471</v>
      </c>
      <c r="G3158">
        <v>45</v>
      </c>
      <c r="H3158">
        <v>1242.02</v>
      </c>
      <c r="I3158">
        <v>7277.05</v>
      </c>
      <c r="J3158">
        <v>4.33</v>
      </c>
      <c r="K3158">
        <v>9.5500000000000007</v>
      </c>
      <c r="L3158">
        <v>27.6</v>
      </c>
      <c r="M3158">
        <v>5.86</v>
      </c>
      <c r="N3158">
        <v>6035.03</v>
      </c>
    </row>
    <row r="3159" spans="1:14" x14ac:dyDescent="0.2">
      <c r="A3159" s="1">
        <v>45737</v>
      </c>
      <c r="B3159" s="2" t="s">
        <v>17</v>
      </c>
      <c r="C3159" s="2" t="s">
        <v>15</v>
      </c>
      <c r="D3159" s="2" t="s">
        <v>19</v>
      </c>
      <c r="E3159">
        <v>12996</v>
      </c>
      <c r="F3159">
        <v>356</v>
      </c>
      <c r="G3159">
        <v>26</v>
      </c>
      <c r="H3159">
        <v>1114.1500000000001</v>
      </c>
      <c r="I3159">
        <v>3678.2</v>
      </c>
      <c r="J3159">
        <v>2.74</v>
      </c>
      <c r="K3159">
        <v>7.3</v>
      </c>
      <c r="L3159">
        <v>42.85</v>
      </c>
      <c r="M3159">
        <v>3.3</v>
      </c>
      <c r="N3159">
        <v>2564.0500000000002</v>
      </c>
    </row>
    <row r="3160" spans="1:14" x14ac:dyDescent="0.2">
      <c r="A3160" s="1">
        <v>45737</v>
      </c>
      <c r="B3160" s="2" t="s">
        <v>20</v>
      </c>
      <c r="C3160" s="2" t="s">
        <v>18</v>
      </c>
      <c r="D3160" s="2" t="s">
        <v>25</v>
      </c>
      <c r="E3160">
        <v>16710</v>
      </c>
      <c r="F3160">
        <v>440</v>
      </c>
      <c r="G3160">
        <v>26</v>
      </c>
      <c r="H3160">
        <v>657.16</v>
      </c>
      <c r="I3160">
        <v>2696.12</v>
      </c>
      <c r="J3160">
        <v>2.63</v>
      </c>
      <c r="K3160">
        <v>5.91</v>
      </c>
      <c r="L3160">
        <v>25.28</v>
      </c>
      <c r="M3160">
        <v>4.0999999999999996</v>
      </c>
      <c r="N3160">
        <v>2038.96</v>
      </c>
    </row>
    <row r="3161" spans="1:14" x14ac:dyDescent="0.2">
      <c r="A3161" s="1">
        <v>45737</v>
      </c>
      <c r="B3161" s="2" t="s">
        <v>23</v>
      </c>
      <c r="C3161" s="2" t="s">
        <v>28</v>
      </c>
      <c r="D3161" s="2" t="s">
        <v>16</v>
      </c>
      <c r="E3161">
        <v>3598</v>
      </c>
      <c r="F3161">
        <v>73</v>
      </c>
      <c r="G3161">
        <v>7</v>
      </c>
      <c r="H3161">
        <v>1350.21</v>
      </c>
      <c r="I3161">
        <v>1645.97</v>
      </c>
      <c r="J3161">
        <v>2.0299999999999998</v>
      </c>
      <c r="K3161">
        <v>9.59</v>
      </c>
      <c r="L3161">
        <v>192.89</v>
      </c>
      <c r="M3161">
        <v>1.22</v>
      </c>
      <c r="N3161">
        <v>295.76</v>
      </c>
    </row>
    <row r="3162" spans="1:14" x14ac:dyDescent="0.2">
      <c r="A3162" s="1">
        <v>45737</v>
      </c>
      <c r="B3162" s="2" t="s">
        <v>24</v>
      </c>
      <c r="C3162" s="2" t="s">
        <v>18</v>
      </c>
      <c r="D3162" s="2" t="s">
        <v>19</v>
      </c>
      <c r="E3162">
        <v>24423</v>
      </c>
      <c r="F3162">
        <v>4951</v>
      </c>
      <c r="G3162">
        <v>651</v>
      </c>
      <c r="H3162">
        <v>210.81</v>
      </c>
      <c r="I3162">
        <v>95710.080000000002</v>
      </c>
      <c r="J3162">
        <v>20.27</v>
      </c>
      <c r="K3162">
        <v>13.15</v>
      </c>
      <c r="L3162">
        <v>0.32</v>
      </c>
      <c r="M3162">
        <v>454.01</v>
      </c>
      <c r="N3162">
        <v>95499.27</v>
      </c>
    </row>
    <row r="3163" spans="1:14" x14ac:dyDescent="0.2">
      <c r="A3163" s="1">
        <v>45737</v>
      </c>
      <c r="B3163" s="2" t="s">
        <v>26</v>
      </c>
      <c r="C3163" s="2" t="s">
        <v>35</v>
      </c>
      <c r="D3163" s="2" t="s">
        <v>36</v>
      </c>
      <c r="E3163">
        <v>32840</v>
      </c>
      <c r="F3163">
        <v>2562</v>
      </c>
      <c r="G3163">
        <v>408</v>
      </c>
      <c r="H3163">
        <v>0</v>
      </c>
      <c r="I3163">
        <v>55550.43</v>
      </c>
      <c r="J3163">
        <v>7.8</v>
      </c>
      <c r="K3163">
        <v>15.93</v>
      </c>
      <c r="L3163">
        <v>0</v>
      </c>
      <c r="M3163">
        <v>0</v>
      </c>
      <c r="N3163">
        <v>55550.43</v>
      </c>
    </row>
    <row r="3164" spans="1:14" x14ac:dyDescent="0.2">
      <c r="A3164" s="1">
        <v>45737</v>
      </c>
      <c r="B3164" s="2" t="s">
        <v>27</v>
      </c>
      <c r="C3164" s="2" t="s">
        <v>28</v>
      </c>
      <c r="D3164" s="2" t="s">
        <v>16</v>
      </c>
      <c r="E3164">
        <v>26892</v>
      </c>
      <c r="F3164">
        <v>519</v>
      </c>
      <c r="G3164">
        <v>24</v>
      </c>
      <c r="H3164">
        <v>732.94</v>
      </c>
      <c r="I3164">
        <v>2820.22</v>
      </c>
      <c r="J3164">
        <v>1.93</v>
      </c>
      <c r="K3164">
        <v>4.62</v>
      </c>
      <c r="L3164">
        <v>30.54</v>
      </c>
      <c r="M3164">
        <v>3.85</v>
      </c>
      <c r="N3164">
        <v>2087.2800000000002</v>
      </c>
    </row>
    <row r="3165" spans="1:14" x14ac:dyDescent="0.2">
      <c r="A3165" s="1">
        <v>45737</v>
      </c>
      <c r="B3165" s="2" t="s">
        <v>29</v>
      </c>
      <c r="C3165" s="2" t="s">
        <v>21</v>
      </c>
      <c r="D3165" s="2" t="s">
        <v>25</v>
      </c>
      <c r="E3165">
        <v>20125</v>
      </c>
      <c r="F3165">
        <v>564</v>
      </c>
      <c r="G3165">
        <v>44</v>
      </c>
      <c r="H3165">
        <v>1018.7</v>
      </c>
      <c r="I3165">
        <v>4677.5600000000004</v>
      </c>
      <c r="J3165">
        <v>2.8</v>
      </c>
      <c r="K3165">
        <v>7.8</v>
      </c>
      <c r="L3165">
        <v>23.15</v>
      </c>
      <c r="M3165">
        <v>4.59</v>
      </c>
      <c r="N3165">
        <v>3658.86</v>
      </c>
    </row>
    <row r="3166" spans="1:14" x14ac:dyDescent="0.2">
      <c r="A3166" s="1">
        <v>45737</v>
      </c>
      <c r="B3166" s="2" t="s">
        <v>30</v>
      </c>
      <c r="C3166" s="2" t="s">
        <v>18</v>
      </c>
      <c r="D3166" s="2" t="s">
        <v>36</v>
      </c>
      <c r="E3166">
        <v>13113</v>
      </c>
      <c r="F3166">
        <v>338</v>
      </c>
      <c r="G3166">
        <v>14</v>
      </c>
      <c r="H3166">
        <v>522.02</v>
      </c>
      <c r="I3166">
        <v>1338.26</v>
      </c>
      <c r="J3166">
        <v>2.58</v>
      </c>
      <c r="K3166">
        <v>4.1399999999999997</v>
      </c>
      <c r="L3166">
        <v>37.29</v>
      </c>
      <c r="M3166">
        <v>2.56</v>
      </c>
      <c r="N3166">
        <v>816.24</v>
      </c>
    </row>
    <row r="3167" spans="1:14" x14ac:dyDescent="0.2">
      <c r="A3167" s="1">
        <v>45737</v>
      </c>
      <c r="B3167" s="2" t="s">
        <v>31</v>
      </c>
      <c r="C3167" s="2" t="s">
        <v>18</v>
      </c>
      <c r="D3167" s="2" t="s">
        <v>19</v>
      </c>
      <c r="E3167">
        <v>26066</v>
      </c>
      <c r="F3167">
        <v>991</v>
      </c>
      <c r="G3167">
        <v>65</v>
      </c>
      <c r="H3167">
        <v>777.45</v>
      </c>
      <c r="I3167">
        <v>6857.89</v>
      </c>
      <c r="J3167">
        <v>3.8</v>
      </c>
      <c r="K3167">
        <v>6.56</v>
      </c>
      <c r="L3167">
        <v>11.96</v>
      </c>
      <c r="M3167">
        <v>8.82</v>
      </c>
      <c r="N3167">
        <v>6080.44</v>
      </c>
    </row>
    <row r="3168" spans="1:14" x14ac:dyDescent="0.2">
      <c r="A3168" s="1">
        <v>45737</v>
      </c>
      <c r="B3168" s="2" t="s">
        <v>33</v>
      </c>
      <c r="C3168" s="2" t="s">
        <v>32</v>
      </c>
      <c r="D3168" s="2" t="s">
        <v>16</v>
      </c>
      <c r="E3168">
        <v>9140</v>
      </c>
      <c r="F3168">
        <v>365</v>
      </c>
      <c r="G3168">
        <v>43</v>
      </c>
      <c r="H3168">
        <v>633.17999999999995</v>
      </c>
      <c r="I3168">
        <v>6427.94</v>
      </c>
      <c r="J3168">
        <v>3.99</v>
      </c>
      <c r="K3168">
        <v>11.78</v>
      </c>
      <c r="L3168">
        <v>14.73</v>
      </c>
      <c r="M3168">
        <v>10.15</v>
      </c>
      <c r="N3168">
        <v>5794.76</v>
      </c>
    </row>
    <row r="3169" spans="1:14" x14ac:dyDescent="0.2">
      <c r="A3169" s="1">
        <v>45737</v>
      </c>
      <c r="B3169" s="2" t="s">
        <v>34</v>
      </c>
      <c r="C3169" s="2" t="s">
        <v>35</v>
      </c>
      <c r="D3169" s="2" t="s">
        <v>25</v>
      </c>
      <c r="E3169">
        <v>4572</v>
      </c>
      <c r="F3169">
        <v>395</v>
      </c>
      <c r="G3169">
        <v>48</v>
      </c>
      <c r="H3169">
        <v>156.06</v>
      </c>
      <c r="I3169">
        <v>6922.79</v>
      </c>
      <c r="J3169">
        <v>8.64</v>
      </c>
      <c r="K3169">
        <v>12.15</v>
      </c>
      <c r="L3169">
        <v>3.25</v>
      </c>
      <c r="M3169">
        <v>44.36</v>
      </c>
      <c r="N3169">
        <v>6766.73</v>
      </c>
    </row>
    <row r="3170" spans="1:14" x14ac:dyDescent="0.2">
      <c r="A3170" s="1">
        <v>45738</v>
      </c>
      <c r="B3170" s="2" t="s">
        <v>14</v>
      </c>
      <c r="C3170" s="2" t="s">
        <v>32</v>
      </c>
      <c r="D3170" s="2" t="s">
        <v>22</v>
      </c>
      <c r="E3170">
        <v>8661</v>
      </c>
      <c r="F3170">
        <v>367</v>
      </c>
      <c r="G3170">
        <v>37</v>
      </c>
      <c r="H3170">
        <v>654.45000000000005</v>
      </c>
      <c r="I3170">
        <v>6202.44</v>
      </c>
      <c r="J3170">
        <v>4.24</v>
      </c>
      <c r="K3170">
        <v>10.08</v>
      </c>
      <c r="L3170">
        <v>17.690000000000001</v>
      </c>
      <c r="M3170">
        <v>9.48</v>
      </c>
      <c r="N3170">
        <v>5547.99</v>
      </c>
    </row>
    <row r="3171" spans="1:14" x14ac:dyDescent="0.2">
      <c r="A3171" s="1">
        <v>45738</v>
      </c>
      <c r="B3171" s="2" t="s">
        <v>17</v>
      </c>
      <c r="C3171" s="2" t="s">
        <v>35</v>
      </c>
      <c r="D3171" s="2" t="s">
        <v>25</v>
      </c>
      <c r="E3171">
        <v>13305</v>
      </c>
      <c r="F3171">
        <v>527</v>
      </c>
      <c r="G3171">
        <v>28</v>
      </c>
      <c r="H3171">
        <v>816.25</v>
      </c>
      <c r="I3171">
        <v>3257.02</v>
      </c>
      <c r="J3171">
        <v>3.96</v>
      </c>
      <c r="K3171">
        <v>5.31</v>
      </c>
      <c r="L3171">
        <v>29.15</v>
      </c>
      <c r="M3171">
        <v>3.99</v>
      </c>
      <c r="N3171">
        <v>2440.77</v>
      </c>
    </row>
    <row r="3172" spans="1:14" x14ac:dyDescent="0.2">
      <c r="A3172" s="1">
        <v>45738</v>
      </c>
      <c r="B3172" s="2" t="s">
        <v>20</v>
      </c>
      <c r="C3172" s="2" t="s">
        <v>15</v>
      </c>
      <c r="D3172" s="2" t="s">
        <v>22</v>
      </c>
      <c r="E3172">
        <v>7750</v>
      </c>
      <c r="F3172">
        <v>301</v>
      </c>
      <c r="G3172">
        <v>21</v>
      </c>
      <c r="H3172">
        <v>635.6</v>
      </c>
      <c r="I3172">
        <v>1992.81</v>
      </c>
      <c r="J3172">
        <v>3.88</v>
      </c>
      <c r="K3172">
        <v>6.98</v>
      </c>
      <c r="L3172">
        <v>30.27</v>
      </c>
      <c r="M3172">
        <v>3.14</v>
      </c>
      <c r="N3172">
        <v>1357.21</v>
      </c>
    </row>
    <row r="3173" spans="1:14" x14ac:dyDescent="0.2">
      <c r="A3173" s="1">
        <v>45738</v>
      </c>
      <c r="B3173" s="2" t="s">
        <v>23</v>
      </c>
      <c r="C3173" s="2" t="s">
        <v>21</v>
      </c>
      <c r="D3173" s="2" t="s">
        <v>16</v>
      </c>
      <c r="E3173">
        <v>3019</v>
      </c>
      <c r="F3173">
        <v>50</v>
      </c>
      <c r="G3173">
        <v>5</v>
      </c>
      <c r="H3173">
        <v>1100.8800000000001</v>
      </c>
      <c r="I3173">
        <v>1662.65</v>
      </c>
      <c r="J3173">
        <v>1.66</v>
      </c>
      <c r="K3173">
        <v>10</v>
      </c>
      <c r="L3173">
        <v>220.18</v>
      </c>
      <c r="M3173">
        <v>1.51</v>
      </c>
      <c r="N3173">
        <v>561.77</v>
      </c>
    </row>
    <row r="3174" spans="1:14" x14ac:dyDescent="0.2">
      <c r="A3174" s="1">
        <v>45738</v>
      </c>
      <c r="B3174" s="2" t="s">
        <v>24</v>
      </c>
      <c r="C3174" s="2" t="s">
        <v>15</v>
      </c>
      <c r="D3174" s="2" t="s">
        <v>36</v>
      </c>
      <c r="E3174">
        <v>12733</v>
      </c>
      <c r="F3174">
        <v>2438</v>
      </c>
      <c r="G3174">
        <v>325</v>
      </c>
      <c r="H3174">
        <v>173.79</v>
      </c>
      <c r="I3174">
        <v>43246.05</v>
      </c>
      <c r="J3174">
        <v>19.149999999999999</v>
      </c>
      <c r="K3174">
        <v>13.33</v>
      </c>
      <c r="L3174">
        <v>0.53</v>
      </c>
      <c r="M3174">
        <v>248.84</v>
      </c>
      <c r="N3174">
        <v>43072.26</v>
      </c>
    </row>
    <row r="3175" spans="1:14" x14ac:dyDescent="0.2">
      <c r="A3175" s="1">
        <v>45738</v>
      </c>
      <c r="B3175" s="2" t="s">
        <v>26</v>
      </c>
      <c r="C3175" s="2" t="s">
        <v>28</v>
      </c>
      <c r="D3175" s="2" t="s">
        <v>25</v>
      </c>
      <c r="E3175">
        <v>14774</v>
      </c>
      <c r="F3175">
        <v>902</v>
      </c>
      <c r="G3175">
        <v>135</v>
      </c>
      <c r="H3175">
        <v>0</v>
      </c>
      <c r="I3175">
        <v>16852.82</v>
      </c>
      <c r="J3175">
        <v>6.11</v>
      </c>
      <c r="K3175">
        <v>14.97</v>
      </c>
      <c r="L3175">
        <v>0</v>
      </c>
      <c r="M3175">
        <v>0</v>
      </c>
      <c r="N3175">
        <v>16852.82</v>
      </c>
    </row>
    <row r="3176" spans="1:14" x14ac:dyDescent="0.2">
      <c r="A3176" s="1">
        <v>45738</v>
      </c>
      <c r="B3176" s="2" t="s">
        <v>27</v>
      </c>
      <c r="C3176" s="2" t="s">
        <v>32</v>
      </c>
      <c r="D3176" s="2" t="s">
        <v>25</v>
      </c>
      <c r="E3176">
        <v>24105</v>
      </c>
      <c r="F3176">
        <v>350</v>
      </c>
      <c r="G3176">
        <v>14</v>
      </c>
      <c r="H3176">
        <v>710.16</v>
      </c>
      <c r="I3176">
        <v>1341.29</v>
      </c>
      <c r="J3176">
        <v>1.45</v>
      </c>
      <c r="K3176">
        <v>4</v>
      </c>
      <c r="L3176">
        <v>50.73</v>
      </c>
      <c r="M3176">
        <v>1.89</v>
      </c>
      <c r="N3176">
        <v>631.13</v>
      </c>
    </row>
    <row r="3177" spans="1:14" x14ac:dyDescent="0.2">
      <c r="A3177" s="1">
        <v>45738</v>
      </c>
      <c r="B3177" s="2" t="s">
        <v>29</v>
      </c>
      <c r="C3177" s="2" t="s">
        <v>18</v>
      </c>
      <c r="D3177" s="2" t="s">
        <v>22</v>
      </c>
      <c r="E3177">
        <v>12016</v>
      </c>
      <c r="F3177">
        <v>339</v>
      </c>
      <c r="G3177">
        <v>17</v>
      </c>
      <c r="H3177">
        <v>873.87</v>
      </c>
      <c r="I3177">
        <v>1618.23</v>
      </c>
      <c r="J3177">
        <v>2.82</v>
      </c>
      <c r="K3177">
        <v>5.01</v>
      </c>
      <c r="L3177">
        <v>51.4</v>
      </c>
      <c r="M3177">
        <v>1.85</v>
      </c>
      <c r="N3177">
        <v>744.36</v>
      </c>
    </row>
    <row r="3178" spans="1:14" x14ac:dyDescent="0.2">
      <c r="A3178" s="1">
        <v>45738</v>
      </c>
      <c r="B3178" s="2" t="s">
        <v>30</v>
      </c>
      <c r="C3178" s="2" t="s">
        <v>28</v>
      </c>
      <c r="D3178" s="2" t="s">
        <v>19</v>
      </c>
      <c r="E3178">
        <v>9069</v>
      </c>
      <c r="F3178">
        <v>267</v>
      </c>
      <c r="G3178">
        <v>14</v>
      </c>
      <c r="H3178">
        <v>504.66</v>
      </c>
      <c r="I3178">
        <v>1289.8399999999999</v>
      </c>
      <c r="J3178">
        <v>2.94</v>
      </c>
      <c r="K3178">
        <v>5.24</v>
      </c>
      <c r="L3178">
        <v>36.049999999999997</v>
      </c>
      <c r="M3178">
        <v>2.56</v>
      </c>
      <c r="N3178">
        <v>785.18</v>
      </c>
    </row>
    <row r="3179" spans="1:14" x14ac:dyDescent="0.2">
      <c r="A3179" s="1">
        <v>45738</v>
      </c>
      <c r="B3179" s="2" t="s">
        <v>31</v>
      </c>
      <c r="C3179" s="2" t="s">
        <v>28</v>
      </c>
      <c r="D3179" s="2" t="s">
        <v>22</v>
      </c>
      <c r="E3179">
        <v>17752</v>
      </c>
      <c r="F3179">
        <v>519</v>
      </c>
      <c r="G3179">
        <v>16</v>
      </c>
      <c r="H3179">
        <v>533.69000000000005</v>
      </c>
      <c r="I3179">
        <v>1249.3800000000001</v>
      </c>
      <c r="J3179">
        <v>2.92</v>
      </c>
      <c r="K3179">
        <v>3.08</v>
      </c>
      <c r="L3179">
        <v>33.36</v>
      </c>
      <c r="M3179">
        <v>2.34</v>
      </c>
      <c r="N3179">
        <v>715.69</v>
      </c>
    </row>
    <row r="3180" spans="1:14" x14ac:dyDescent="0.2">
      <c r="A3180" s="1">
        <v>45738</v>
      </c>
      <c r="B3180" s="2" t="s">
        <v>33</v>
      </c>
      <c r="C3180" s="2" t="s">
        <v>21</v>
      </c>
      <c r="D3180" s="2" t="s">
        <v>19</v>
      </c>
      <c r="E3180">
        <v>5786</v>
      </c>
      <c r="F3180">
        <v>285</v>
      </c>
      <c r="G3180">
        <v>23</v>
      </c>
      <c r="H3180">
        <v>274.33</v>
      </c>
      <c r="I3180">
        <v>3603.83</v>
      </c>
      <c r="J3180">
        <v>4.93</v>
      </c>
      <c r="K3180">
        <v>8.07</v>
      </c>
      <c r="L3180">
        <v>11.93</v>
      </c>
      <c r="M3180">
        <v>13.14</v>
      </c>
      <c r="N3180">
        <v>3329.5</v>
      </c>
    </row>
    <row r="3181" spans="1:14" x14ac:dyDescent="0.2">
      <c r="A3181" s="1">
        <v>45738</v>
      </c>
      <c r="B3181" s="2" t="s">
        <v>34</v>
      </c>
      <c r="C3181" s="2" t="s">
        <v>18</v>
      </c>
      <c r="D3181" s="2" t="s">
        <v>36</v>
      </c>
      <c r="E3181">
        <v>2714</v>
      </c>
      <c r="F3181">
        <v>259</v>
      </c>
      <c r="G3181">
        <v>35</v>
      </c>
      <c r="H3181">
        <v>75.11</v>
      </c>
      <c r="I3181">
        <v>5024.05</v>
      </c>
      <c r="J3181">
        <v>9.5399999999999991</v>
      </c>
      <c r="K3181">
        <v>13.51</v>
      </c>
      <c r="L3181">
        <v>2.15</v>
      </c>
      <c r="M3181">
        <v>66.89</v>
      </c>
      <c r="N3181">
        <v>4948.9399999999996</v>
      </c>
    </row>
    <row r="3182" spans="1:14" x14ac:dyDescent="0.2">
      <c r="A3182" s="1">
        <v>45739</v>
      </c>
      <c r="B3182" s="2" t="s">
        <v>14</v>
      </c>
      <c r="C3182" s="2" t="s">
        <v>32</v>
      </c>
      <c r="D3182" s="2" t="s">
        <v>16</v>
      </c>
      <c r="E3182">
        <v>8249</v>
      </c>
      <c r="F3182">
        <v>270</v>
      </c>
      <c r="G3182">
        <v>22</v>
      </c>
      <c r="H3182">
        <v>670.48</v>
      </c>
      <c r="I3182">
        <v>3995.17</v>
      </c>
      <c r="J3182">
        <v>3.27</v>
      </c>
      <c r="K3182">
        <v>8.15</v>
      </c>
      <c r="L3182">
        <v>30.48</v>
      </c>
      <c r="M3182">
        <v>5.96</v>
      </c>
      <c r="N3182">
        <v>3324.69</v>
      </c>
    </row>
    <row r="3183" spans="1:14" x14ac:dyDescent="0.2">
      <c r="A3183" s="1">
        <v>45739</v>
      </c>
      <c r="B3183" s="2" t="s">
        <v>17</v>
      </c>
      <c r="C3183" s="2" t="s">
        <v>32</v>
      </c>
      <c r="D3183" s="2" t="s">
        <v>36</v>
      </c>
      <c r="E3183">
        <v>13244</v>
      </c>
      <c r="F3183">
        <v>294</v>
      </c>
      <c r="G3183">
        <v>23</v>
      </c>
      <c r="H3183">
        <v>688.98</v>
      </c>
      <c r="I3183">
        <v>3337.06</v>
      </c>
      <c r="J3183">
        <v>2.2200000000000002</v>
      </c>
      <c r="K3183">
        <v>7.82</v>
      </c>
      <c r="L3183">
        <v>29.96</v>
      </c>
      <c r="M3183">
        <v>4.84</v>
      </c>
      <c r="N3183">
        <v>2648.08</v>
      </c>
    </row>
    <row r="3184" spans="1:14" x14ac:dyDescent="0.2">
      <c r="A3184" s="1">
        <v>45739</v>
      </c>
      <c r="B3184" s="2" t="s">
        <v>20</v>
      </c>
      <c r="C3184" s="2" t="s">
        <v>35</v>
      </c>
      <c r="D3184" s="2" t="s">
        <v>16</v>
      </c>
      <c r="E3184">
        <v>10164</v>
      </c>
      <c r="F3184">
        <v>347</v>
      </c>
      <c r="G3184">
        <v>16</v>
      </c>
      <c r="H3184">
        <v>408.88</v>
      </c>
      <c r="I3184">
        <v>1605.8</v>
      </c>
      <c r="J3184">
        <v>3.41</v>
      </c>
      <c r="K3184">
        <v>4.6100000000000003</v>
      </c>
      <c r="L3184">
        <v>25.56</v>
      </c>
      <c r="M3184">
        <v>3.93</v>
      </c>
      <c r="N3184">
        <v>1196.92</v>
      </c>
    </row>
    <row r="3185" spans="1:14" x14ac:dyDescent="0.2">
      <c r="A3185" s="1">
        <v>45739</v>
      </c>
      <c r="B3185" s="2" t="s">
        <v>23</v>
      </c>
      <c r="C3185" s="2" t="s">
        <v>28</v>
      </c>
      <c r="D3185" s="2" t="s">
        <v>25</v>
      </c>
      <c r="E3185">
        <v>3748</v>
      </c>
      <c r="F3185">
        <v>80</v>
      </c>
      <c r="G3185">
        <v>10</v>
      </c>
      <c r="H3185">
        <v>754.15</v>
      </c>
      <c r="I3185">
        <v>2969.03</v>
      </c>
      <c r="J3185">
        <v>2.13</v>
      </c>
      <c r="K3185">
        <v>12.5</v>
      </c>
      <c r="L3185">
        <v>75.41</v>
      </c>
      <c r="M3185">
        <v>3.94</v>
      </c>
      <c r="N3185">
        <v>2214.88</v>
      </c>
    </row>
    <row r="3186" spans="1:14" x14ac:dyDescent="0.2">
      <c r="A3186" s="1">
        <v>45739</v>
      </c>
      <c r="B3186" s="2" t="s">
        <v>24</v>
      </c>
      <c r="C3186" s="2" t="s">
        <v>28</v>
      </c>
      <c r="D3186" s="2" t="s">
        <v>22</v>
      </c>
      <c r="E3186">
        <v>11921</v>
      </c>
      <c r="F3186">
        <v>2320</v>
      </c>
      <c r="G3186">
        <v>271</v>
      </c>
      <c r="H3186">
        <v>157.16</v>
      </c>
      <c r="I3186">
        <v>33391.79</v>
      </c>
      <c r="J3186">
        <v>19.46</v>
      </c>
      <c r="K3186">
        <v>11.68</v>
      </c>
      <c r="L3186">
        <v>0.57999999999999996</v>
      </c>
      <c r="M3186">
        <v>212.47</v>
      </c>
      <c r="N3186">
        <v>33234.629999999997</v>
      </c>
    </row>
    <row r="3187" spans="1:14" x14ac:dyDescent="0.2">
      <c r="A3187" s="1">
        <v>45739</v>
      </c>
      <c r="B3187" s="2" t="s">
        <v>26</v>
      </c>
      <c r="C3187" s="2" t="s">
        <v>21</v>
      </c>
      <c r="D3187" s="2" t="s">
        <v>36</v>
      </c>
      <c r="E3187">
        <v>20991</v>
      </c>
      <c r="F3187">
        <v>1111</v>
      </c>
      <c r="G3187">
        <v>116</v>
      </c>
      <c r="H3187">
        <v>0</v>
      </c>
      <c r="I3187">
        <v>15128.87</v>
      </c>
      <c r="J3187">
        <v>5.29</v>
      </c>
      <c r="K3187">
        <v>10.44</v>
      </c>
      <c r="L3187">
        <v>0</v>
      </c>
      <c r="M3187">
        <v>0</v>
      </c>
      <c r="N3187">
        <v>15128.87</v>
      </c>
    </row>
    <row r="3188" spans="1:14" x14ac:dyDescent="0.2">
      <c r="A3188" s="1">
        <v>45739</v>
      </c>
      <c r="B3188" s="2" t="s">
        <v>27</v>
      </c>
      <c r="C3188" s="2" t="s">
        <v>32</v>
      </c>
      <c r="D3188" s="2" t="s">
        <v>22</v>
      </c>
      <c r="E3188">
        <v>26765</v>
      </c>
      <c r="F3188">
        <v>465</v>
      </c>
      <c r="G3188">
        <v>19</v>
      </c>
      <c r="H3188">
        <v>517.25</v>
      </c>
      <c r="I3188">
        <v>2089.37</v>
      </c>
      <c r="J3188">
        <v>1.74</v>
      </c>
      <c r="K3188">
        <v>4.09</v>
      </c>
      <c r="L3188">
        <v>27.22</v>
      </c>
      <c r="M3188">
        <v>4.04</v>
      </c>
      <c r="N3188">
        <v>1572.12</v>
      </c>
    </row>
    <row r="3189" spans="1:14" x14ac:dyDescent="0.2">
      <c r="A3189" s="1">
        <v>45739</v>
      </c>
      <c r="B3189" s="2" t="s">
        <v>29</v>
      </c>
      <c r="C3189" s="2" t="s">
        <v>28</v>
      </c>
      <c r="D3189" s="2" t="s">
        <v>36</v>
      </c>
      <c r="E3189">
        <v>15168</v>
      </c>
      <c r="F3189">
        <v>335</v>
      </c>
      <c r="G3189">
        <v>16</v>
      </c>
      <c r="H3189">
        <v>728.34</v>
      </c>
      <c r="I3189">
        <v>1739.31</v>
      </c>
      <c r="J3189">
        <v>2.21</v>
      </c>
      <c r="K3189">
        <v>4.78</v>
      </c>
      <c r="L3189">
        <v>45.52</v>
      </c>
      <c r="M3189">
        <v>2.39</v>
      </c>
      <c r="N3189">
        <v>1010.97</v>
      </c>
    </row>
    <row r="3190" spans="1:14" x14ac:dyDescent="0.2">
      <c r="A3190" s="1">
        <v>45739</v>
      </c>
      <c r="B3190" s="2" t="s">
        <v>30</v>
      </c>
      <c r="C3190" s="2" t="s">
        <v>15</v>
      </c>
      <c r="D3190" s="2" t="s">
        <v>25</v>
      </c>
      <c r="E3190">
        <v>6503</v>
      </c>
      <c r="F3190">
        <v>155</v>
      </c>
      <c r="G3190">
        <v>5</v>
      </c>
      <c r="H3190">
        <v>533.39</v>
      </c>
      <c r="I3190">
        <v>471.09</v>
      </c>
      <c r="J3190">
        <v>2.38</v>
      </c>
      <c r="K3190">
        <v>3.23</v>
      </c>
      <c r="L3190">
        <v>106.68</v>
      </c>
      <c r="M3190">
        <v>0.88</v>
      </c>
      <c r="N3190">
        <v>-62.3</v>
      </c>
    </row>
    <row r="3191" spans="1:14" x14ac:dyDescent="0.2">
      <c r="A3191" s="1">
        <v>45739</v>
      </c>
      <c r="B3191" s="2" t="s">
        <v>31</v>
      </c>
      <c r="C3191" s="2" t="s">
        <v>21</v>
      </c>
      <c r="D3191" s="2" t="s">
        <v>25</v>
      </c>
      <c r="E3191">
        <v>15900</v>
      </c>
      <c r="F3191">
        <v>632</v>
      </c>
      <c r="G3191">
        <v>32</v>
      </c>
      <c r="H3191">
        <v>465</v>
      </c>
      <c r="I3191">
        <v>2415.52</v>
      </c>
      <c r="J3191">
        <v>3.97</v>
      </c>
      <c r="K3191">
        <v>5.0599999999999996</v>
      </c>
      <c r="L3191">
        <v>14.53</v>
      </c>
      <c r="M3191">
        <v>5.19</v>
      </c>
      <c r="N3191">
        <v>1950.52</v>
      </c>
    </row>
    <row r="3192" spans="1:14" x14ac:dyDescent="0.2">
      <c r="A3192" s="1">
        <v>45739</v>
      </c>
      <c r="B3192" s="2" t="s">
        <v>33</v>
      </c>
      <c r="C3192" s="2" t="s">
        <v>32</v>
      </c>
      <c r="D3192" s="2" t="s">
        <v>25</v>
      </c>
      <c r="E3192">
        <v>4913</v>
      </c>
      <c r="F3192">
        <v>203</v>
      </c>
      <c r="G3192">
        <v>19</v>
      </c>
      <c r="H3192">
        <v>302.63</v>
      </c>
      <c r="I3192">
        <v>2626.09</v>
      </c>
      <c r="J3192">
        <v>4.13</v>
      </c>
      <c r="K3192">
        <v>9.36</v>
      </c>
      <c r="L3192">
        <v>15.93</v>
      </c>
      <c r="M3192">
        <v>8.68</v>
      </c>
      <c r="N3192">
        <v>2323.46</v>
      </c>
    </row>
    <row r="3193" spans="1:14" x14ac:dyDescent="0.2">
      <c r="A3193" s="1">
        <v>45739</v>
      </c>
      <c r="B3193" s="2" t="s">
        <v>34</v>
      </c>
      <c r="C3193" s="2" t="s">
        <v>21</v>
      </c>
      <c r="D3193" s="2" t="s">
        <v>22</v>
      </c>
      <c r="E3193">
        <v>3920</v>
      </c>
      <c r="F3193">
        <v>235</v>
      </c>
      <c r="G3193">
        <v>38</v>
      </c>
      <c r="H3193">
        <v>116.25</v>
      </c>
      <c r="I3193">
        <v>6690.3</v>
      </c>
      <c r="J3193">
        <v>5.99</v>
      </c>
      <c r="K3193">
        <v>16.170000000000002</v>
      </c>
      <c r="L3193">
        <v>3.06</v>
      </c>
      <c r="M3193">
        <v>57.55</v>
      </c>
      <c r="N3193">
        <v>6574.05</v>
      </c>
    </row>
    <row r="3194" spans="1:14" x14ac:dyDescent="0.2">
      <c r="A3194" s="1">
        <v>45740</v>
      </c>
      <c r="B3194" s="2" t="s">
        <v>14</v>
      </c>
      <c r="C3194" s="2" t="s">
        <v>18</v>
      </c>
      <c r="D3194" s="2" t="s">
        <v>19</v>
      </c>
      <c r="E3194">
        <v>14574</v>
      </c>
      <c r="F3194">
        <v>609</v>
      </c>
      <c r="G3194">
        <v>61</v>
      </c>
      <c r="H3194">
        <v>1189.3</v>
      </c>
      <c r="I3194">
        <v>8254.41</v>
      </c>
      <c r="J3194">
        <v>4.18</v>
      </c>
      <c r="K3194">
        <v>10.02</v>
      </c>
      <c r="L3194">
        <v>19.5</v>
      </c>
      <c r="M3194">
        <v>6.94</v>
      </c>
      <c r="N3194">
        <v>7065.11</v>
      </c>
    </row>
    <row r="3195" spans="1:14" x14ac:dyDescent="0.2">
      <c r="A3195" s="1">
        <v>45740</v>
      </c>
      <c r="B3195" s="2" t="s">
        <v>17</v>
      </c>
      <c r="C3195" s="2" t="s">
        <v>28</v>
      </c>
      <c r="D3195" s="2" t="s">
        <v>19</v>
      </c>
      <c r="E3195">
        <v>16960</v>
      </c>
      <c r="F3195">
        <v>492</v>
      </c>
      <c r="G3195">
        <v>42</v>
      </c>
      <c r="H3195">
        <v>648.49</v>
      </c>
      <c r="I3195">
        <v>5692.61</v>
      </c>
      <c r="J3195">
        <v>2.9</v>
      </c>
      <c r="K3195">
        <v>8.5399999999999991</v>
      </c>
      <c r="L3195">
        <v>15.44</v>
      </c>
      <c r="M3195">
        <v>8.7799999999999994</v>
      </c>
      <c r="N3195">
        <v>5044.12</v>
      </c>
    </row>
    <row r="3196" spans="1:14" x14ac:dyDescent="0.2">
      <c r="A3196" s="1">
        <v>45740</v>
      </c>
      <c r="B3196" s="2" t="s">
        <v>20</v>
      </c>
      <c r="C3196" s="2" t="s">
        <v>15</v>
      </c>
      <c r="D3196" s="2" t="s">
        <v>25</v>
      </c>
      <c r="E3196">
        <v>13128</v>
      </c>
      <c r="F3196">
        <v>421</v>
      </c>
      <c r="G3196">
        <v>25</v>
      </c>
      <c r="H3196">
        <v>576.9</v>
      </c>
      <c r="I3196">
        <v>2966.78</v>
      </c>
      <c r="J3196">
        <v>3.21</v>
      </c>
      <c r="K3196">
        <v>5.94</v>
      </c>
      <c r="L3196">
        <v>23.08</v>
      </c>
      <c r="M3196">
        <v>5.14</v>
      </c>
      <c r="N3196">
        <v>2389.88</v>
      </c>
    </row>
    <row r="3197" spans="1:14" x14ac:dyDescent="0.2">
      <c r="A3197" s="1">
        <v>45740</v>
      </c>
      <c r="B3197" s="2" t="s">
        <v>23</v>
      </c>
      <c r="C3197" s="2" t="s">
        <v>18</v>
      </c>
      <c r="D3197" s="2" t="s">
        <v>16</v>
      </c>
      <c r="E3197">
        <v>3986</v>
      </c>
      <c r="F3197">
        <v>115</v>
      </c>
      <c r="G3197">
        <v>15</v>
      </c>
      <c r="H3197">
        <v>1699.59</v>
      </c>
      <c r="I3197">
        <v>3202.51</v>
      </c>
      <c r="J3197">
        <v>2.89</v>
      </c>
      <c r="K3197">
        <v>13.04</v>
      </c>
      <c r="L3197">
        <v>113.31</v>
      </c>
      <c r="M3197">
        <v>1.88</v>
      </c>
      <c r="N3197">
        <v>1502.92</v>
      </c>
    </row>
    <row r="3198" spans="1:14" x14ac:dyDescent="0.2">
      <c r="A3198" s="1">
        <v>45740</v>
      </c>
      <c r="B3198" s="2" t="s">
        <v>24</v>
      </c>
      <c r="C3198" s="2" t="s">
        <v>15</v>
      </c>
      <c r="D3198" s="2" t="s">
        <v>36</v>
      </c>
      <c r="E3198">
        <v>17699</v>
      </c>
      <c r="F3198">
        <v>2680</v>
      </c>
      <c r="G3198">
        <v>252</v>
      </c>
      <c r="H3198">
        <v>111.28</v>
      </c>
      <c r="I3198">
        <v>35347.769999999997</v>
      </c>
      <c r="J3198">
        <v>15.14</v>
      </c>
      <c r="K3198">
        <v>9.4</v>
      </c>
      <c r="L3198">
        <v>0.44</v>
      </c>
      <c r="M3198">
        <v>317.64999999999998</v>
      </c>
      <c r="N3198">
        <v>35236.49</v>
      </c>
    </row>
    <row r="3199" spans="1:14" x14ac:dyDescent="0.2">
      <c r="A3199" s="1">
        <v>45740</v>
      </c>
      <c r="B3199" s="2" t="s">
        <v>26</v>
      </c>
      <c r="C3199" s="2" t="s">
        <v>28</v>
      </c>
      <c r="D3199" s="2" t="s">
        <v>19</v>
      </c>
      <c r="E3199">
        <v>34620</v>
      </c>
      <c r="F3199">
        <v>2591</v>
      </c>
      <c r="G3199">
        <v>378</v>
      </c>
      <c r="H3199">
        <v>0</v>
      </c>
      <c r="I3199">
        <v>43481.41</v>
      </c>
      <c r="J3199">
        <v>7.48</v>
      </c>
      <c r="K3199">
        <v>14.59</v>
      </c>
      <c r="L3199">
        <v>0</v>
      </c>
      <c r="M3199">
        <v>0</v>
      </c>
      <c r="N3199">
        <v>43481.41</v>
      </c>
    </row>
    <row r="3200" spans="1:14" x14ac:dyDescent="0.2">
      <c r="A3200" s="1">
        <v>45740</v>
      </c>
      <c r="B3200" s="2" t="s">
        <v>27</v>
      </c>
      <c r="C3200" s="2" t="s">
        <v>35</v>
      </c>
      <c r="D3200" s="2" t="s">
        <v>22</v>
      </c>
      <c r="E3200">
        <v>36189</v>
      </c>
      <c r="F3200">
        <v>535</v>
      </c>
      <c r="G3200">
        <v>21</v>
      </c>
      <c r="H3200">
        <v>897.66</v>
      </c>
      <c r="I3200">
        <v>2228.9</v>
      </c>
      <c r="J3200">
        <v>1.48</v>
      </c>
      <c r="K3200">
        <v>3.93</v>
      </c>
      <c r="L3200">
        <v>42.75</v>
      </c>
      <c r="M3200">
        <v>2.48</v>
      </c>
      <c r="N3200">
        <v>1331.24</v>
      </c>
    </row>
    <row r="3201" spans="1:14" x14ac:dyDescent="0.2">
      <c r="A3201" s="1">
        <v>45740</v>
      </c>
      <c r="B3201" s="2" t="s">
        <v>29</v>
      </c>
      <c r="C3201" s="2" t="s">
        <v>35</v>
      </c>
      <c r="D3201" s="2" t="s">
        <v>19</v>
      </c>
      <c r="E3201">
        <v>17975</v>
      </c>
      <c r="F3201">
        <v>406</v>
      </c>
      <c r="G3201">
        <v>27</v>
      </c>
      <c r="H3201">
        <v>835.29</v>
      </c>
      <c r="I3201">
        <v>2977.89</v>
      </c>
      <c r="J3201">
        <v>2.2599999999999998</v>
      </c>
      <c r="K3201">
        <v>6.65</v>
      </c>
      <c r="L3201">
        <v>30.94</v>
      </c>
      <c r="M3201">
        <v>3.57</v>
      </c>
      <c r="N3201">
        <v>2142.6</v>
      </c>
    </row>
    <row r="3202" spans="1:14" x14ac:dyDescent="0.2">
      <c r="A3202" s="1">
        <v>45740</v>
      </c>
      <c r="B3202" s="2" t="s">
        <v>30</v>
      </c>
      <c r="C3202" s="2" t="s">
        <v>32</v>
      </c>
      <c r="D3202" s="2" t="s">
        <v>16</v>
      </c>
      <c r="E3202">
        <v>8188</v>
      </c>
      <c r="F3202">
        <v>196</v>
      </c>
      <c r="G3202">
        <v>8</v>
      </c>
      <c r="H3202">
        <v>777.38</v>
      </c>
      <c r="I3202">
        <v>761.15</v>
      </c>
      <c r="J3202">
        <v>2.39</v>
      </c>
      <c r="K3202">
        <v>4.08</v>
      </c>
      <c r="L3202">
        <v>97.17</v>
      </c>
      <c r="M3202">
        <v>0.98</v>
      </c>
      <c r="N3202">
        <v>-16.23</v>
      </c>
    </row>
    <row r="3203" spans="1:14" x14ac:dyDescent="0.2">
      <c r="A3203" s="1">
        <v>45740</v>
      </c>
      <c r="B3203" s="2" t="s">
        <v>31</v>
      </c>
      <c r="C3203" s="2" t="s">
        <v>35</v>
      </c>
      <c r="D3203" s="2" t="s">
        <v>22</v>
      </c>
      <c r="E3203">
        <v>21199</v>
      </c>
      <c r="F3203">
        <v>756</v>
      </c>
      <c r="G3203">
        <v>41</v>
      </c>
      <c r="H3203">
        <v>791.86</v>
      </c>
      <c r="I3203">
        <v>3699.32</v>
      </c>
      <c r="J3203">
        <v>3.57</v>
      </c>
      <c r="K3203">
        <v>5.42</v>
      </c>
      <c r="L3203">
        <v>19.309999999999999</v>
      </c>
      <c r="M3203">
        <v>4.67</v>
      </c>
      <c r="N3203">
        <v>2907.46</v>
      </c>
    </row>
    <row r="3204" spans="1:14" x14ac:dyDescent="0.2">
      <c r="A3204" s="1">
        <v>45740</v>
      </c>
      <c r="B3204" s="2" t="s">
        <v>33</v>
      </c>
      <c r="C3204" s="2" t="s">
        <v>35</v>
      </c>
      <c r="D3204" s="2" t="s">
        <v>25</v>
      </c>
      <c r="E3204">
        <v>8429</v>
      </c>
      <c r="F3204">
        <v>388</v>
      </c>
      <c r="G3204">
        <v>49</v>
      </c>
      <c r="H3204">
        <v>434.29</v>
      </c>
      <c r="I3204">
        <v>6263.26</v>
      </c>
      <c r="J3204">
        <v>4.5999999999999996</v>
      </c>
      <c r="K3204">
        <v>12.63</v>
      </c>
      <c r="L3204">
        <v>8.86</v>
      </c>
      <c r="M3204">
        <v>14.42</v>
      </c>
      <c r="N3204">
        <v>5828.97</v>
      </c>
    </row>
    <row r="3205" spans="1:14" x14ac:dyDescent="0.2">
      <c r="A3205" s="1">
        <v>45740</v>
      </c>
      <c r="B3205" s="2" t="s">
        <v>34</v>
      </c>
      <c r="C3205" s="2" t="s">
        <v>28</v>
      </c>
      <c r="D3205" s="2" t="s">
        <v>25</v>
      </c>
      <c r="E3205">
        <v>4931</v>
      </c>
      <c r="F3205">
        <v>349</v>
      </c>
      <c r="G3205">
        <v>43</v>
      </c>
      <c r="H3205">
        <v>124.03</v>
      </c>
      <c r="I3205">
        <v>5742.71</v>
      </c>
      <c r="J3205">
        <v>7.08</v>
      </c>
      <c r="K3205">
        <v>12.32</v>
      </c>
      <c r="L3205">
        <v>2.88</v>
      </c>
      <c r="M3205">
        <v>46.3</v>
      </c>
      <c r="N3205">
        <v>5618.68</v>
      </c>
    </row>
    <row r="3206" spans="1:14" x14ac:dyDescent="0.2">
      <c r="A3206" s="1">
        <v>45741</v>
      </c>
      <c r="B3206" s="2" t="s">
        <v>14</v>
      </c>
      <c r="C3206" s="2" t="s">
        <v>21</v>
      </c>
      <c r="D3206" s="2" t="s">
        <v>36</v>
      </c>
      <c r="E3206">
        <v>12916</v>
      </c>
      <c r="F3206">
        <v>563</v>
      </c>
      <c r="G3206">
        <v>50</v>
      </c>
      <c r="H3206">
        <v>875.42</v>
      </c>
      <c r="I3206">
        <v>6097.78</v>
      </c>
      <c r="J3206">
        <v>4.3600000000000003</v>
      </c>
      <c r="K3206">
        <v>8.8800000000000008</v>
      </c>
      <c r="L3206">
        <v>17.510000000000002</v>
      </c>
      <c r="M3206">
        <v>6.97</v>
      </c>
      <c r="N3206">
        <v>5222.3599999999997</v>
      </c>
    </row>
    <row r="3207" spans="1:14" x14ac:dyDescent="0.2">
      <c r="A3207" s="1">
        <v>45741</v>
      </c>
      <c r="B3207" s="2" t="s">
        <v>17</v>
      </c>
      <c r="C3207" s="2" t="s">
        <v>18</v>
      </c>
      <c r="D3207" s="2" t="s">
        <v>22</v>
      </c>
      <c r="E3207">
        <v>15342</v>
      </c>
      <c r="F3207">
        <v>591</v>
      </c>
      <c r="G3207">
        <v>45</v>
      </c>
      <c r="H3207">
        <v>643.95000000000005</v>
      </c>
      <c r="I3207">
        <v>5045.01</v>
      </c>
      <c r="J3207">
        <v>3.85</v>
      </c>
      <c r="K3207">
        <v>7.61</v>
      </c>
      <c r="L3207">
        <v>14.31</v>
      </c>
      <c r="M3207">
        <v>7.83</v>
      </c>
      <c r="N3207">
        <v>4401.0600000000004</v>
      </c>
    </row>
    <row r="3208" spans="1:14" x14ac:dyDescent="0.2">
      <c r="A3208" s="1">
        <v>45741</v>
      </c>
      <c r="B3208" s="2" t="s">
        <v>20</v>
      </c>
      <c r="C3208" s="2" t="s">
        <v>21</v>
      </c>
      <c r="D3208" s="2" t="s">
        <v>19</v>
      </c>
      <c r="E3208">
        <v>17573</v>
      </c>
      <c r="F3208">
        <v>704</v>
      </c>
      <c r="G3208">
        <v>32</v>
      </c>
      <c r="H3208">
        <v>666.23</v>
      </c>
      <c r="I3208">
        <v>3113.23</v>
      </c>
      <c r="J3208">
        <v>4.01</v>
      </c>
      <c r="K3208">
        <v>4.55</v>
      </c>
      <c r="L3208">
        <v>20.82</v>
      </c>
      <c r="M3208">
        <v>4.67</v>
      </c>
      <c r="N3208">
        <v>2447</v>
      </c>
    </row>
    <row r="3209" spans="1:14" x14ac:dyDescent="0.2">
      <c r="A3209" s="1">
        <v>45741</v>
      </c>
      <c r="B3209" s="2" t="s">
        <v>23</v>
      </c>
      <c r="C3209" s="2" t="s">
        <v>21</v>
      </c>
      <c r="D3209" s="2" t="s">
        <v>16</v>
      </c>
      <c r="E3209">
        <v>5910</v>
      </c>
      <c r="F3209">
        <v>91</v>
      </c>
      <c r="G3209">
        <v>10</v>
      </c>
      <c r="H3209">
        <v>1434.89</v>
      </c>
      <c r="I3209">
        <v>2852.17</v>
      </c>
      <c r="J3209">
        <v>1.54</v>
      </c>
      <c r="K3209">
        <v>10.99</v>
      </c>
      <c r="L3209">
        <v>143.49</v>
      </c>
      <c r="M3209">
        <v>1.99</v>
      </c>
      <c r="N3209">
        <v>1417.28</v>
      </c>
    </row>
    <row r="3210" spans="1:14" x14ac:dyDescent="0.2">
      <c r="A3210" s="1">
        <v>45741</v>
      </c>
      <c r="B3210" s="2" t="s">
        <v>24</v>
      </c>
      <c r="C3210" s="2" t="s">
        <v>18</v>
      </c>
      <c r="D3210" s="2" t="s">
        <v>16</v>
      </c>
      <c r="E3210">
        <v>20136</v>
      </c>
      <c r="F3210">
        <v>3113</v>
      </c>
      <c r="G3210">
        <v>373</v>
      </c>
      <c r="H3210">
        <v>101.36</v>
      </c>
      <c r="I3210">
        <v>57345.599999999999</v>
      </c>
      <c r="J3210">
        <v>15.46</v>
      </c>
      <c r="K3210">
        <v>11.98</v>
      </c>
      <c r="L3210">
        <v>0.27</v>
      </c>
      <c r="M3210">
        <v>565.76</v>
      </c>
      <c r="N3210">
        <v>57244.24</v>
      </c>
    </row>
    <row r="3211" spans="1:14" x14ac:dyDescent="0.2">
      <c r="A3211" s="1">
        <v>45741</v>
      </c>
      <c r="B3211" s="2" t="s">
        <v>26</v>
      </c>
      <c r="C3211" s="2" t="s">
        <v>21</v>
      </c>
      <c r="D3211" s="2" t="s">
        <v>25</v>
      </c>
      <c r="E3211">
        <v>22507</v>
      </c>
      <c r="F3211">
        <v>1501</v>
      </c>
      <c r="G3211">
        <v>233</v>
      </c>
      <c r="H3211">
        <v>0</v>
      </c>
      <c r="I3211">
        <v>27528.1</v>
      </c>
      <c r="J3211">
        <v>6.67</v>
      </c>
      <c r="K3211">
        <v>15.52</v>
      </c>
      <c r="L3211">
        <v>0</v>
      </c>
      <c r="M3211">
        <v>0</v>
      </c>
      <c r="N3211">
        <v>27528.1</v>
      </c>
    </row>
    <row r="3212" spans="1:14" x14ac:dyDescent="0.2">
      <c r="A3212" s="1">
        <v>45741</v>
      </c>
      <c r="B3212" s="2" t="s">
        <v>27</v>
      </c>
      <c r="C3212" s="2" t="s">
        <v>21</v>
      </c>
      <c r="D3212" s="2" t="s">
        <v>19</v>
      </c>
      <c r="E3212">
        <v>29080</v>
      </c>
      <c r="F3212">
        <v>358</v>
      </c>
      <c r="G3212">
        <v>15</v>
      </c>
      <c r="H3212">
        <v>1132.9000000000001</v>
      </c>
      <c r="I3212">
        <v>1472.33</v>
      </c>
      <c r="J3212">
        <v>1.23</v>
      </c>
      <c r="K3212">
        <v>4.1900000000000004</v>
      </c>
      <c r="L3212">
        <v>75.53</v>
      </c>
      <c r="M3212">
        <v>1.3</v>
      </c>
      <c r="N3212">
        <v>339.43</v>
      </c>
    </row>
    <row r="3213" spans="1:14" x14ac:dyDescent="0.2">
      <c r="A3213" s="1">
        <v>45741</v>
      </c>
      <c r="B3213" s="2" t="s">
        <v>29</v>
      </c>
      <c r="C3213" s="2" t="s">
        <v>18</v>
      </c>
      <c r="D3213" s="2" t="s">
        <v>19</v>
      </c>
      <c r="E3213">
        <v>22873</v>
      </c>
      <c r="F3213">
        <v>619</v>
      </c>
      <c r="G3213">
        <v>48</v>
      </c>
      <c r="H3213">
        <v>957.4</v>
      </c>
      <c r="I3213">
        <v>5136.1400000000003</v>
      </c>
      <c r="J3213">
        <v>2.71</v>
      </c>
      <c r="K3213">
        <v>7.75</v>
      </c>
      <c r="L3213">
        <v>19.95</v>
      </c>
      <c r="M3213">
        <v>5.36</v>
      </c>
      <c r="N3213">
        <v>4178.74</v>
      </c>
    </row>
    <row r="3214" spans="1:14" x14ac:dyDescent="0.2">
      <c r="A3214" s="1">
        <v>45741</v>
      </c>
      <c r="B3214" s="2" t="s">
        <v>30</v>
      </c>
      <c r="C3214" s="2" t="s">
        <v>15</v>
      </c>
      <c r="D3214" s="2" t="s">
        <v>16</v>
      </c>
      <c r="E3214">
        <v>11944</v>
      </c>
      <c r="F3214">
        <v>306</v>
      </c>
      <c r="G3214">
        <v>17</v>
      </c>
      <c r="H3214">
        <v>432.41</v>
      </c>
      <c r="I3214">
        <v>1633.66</v>
      </c>
      <c r="J3214">
        <v>2.56</v>
      </c>
      <c r="K3214">
        <v>5.56</v>
      </c>
      <c r="L3214">
        <v>25.44</v>
      </c>
      <c r="M3214">
        <v>3.78</v>
      </c>
      <c r="N3214">
        <v>1201.25</v>
      </c>
    </row>
    <row r="3215" spans="1:14" x14ac:dyDescent="0.2">
      <c r="A3215" s="1">
        <v>45741</v>
      </c>
      <c r="B3215" s="2" t="s">
        <v>31</v>
      </c>
      <c r="C3215" s="2" t="s">
        <v>35</v>
      </c>
      <c r="D3215" s="2" t="s">
        <v>36</v>
      </c>
      <c r="E3215">
        <v>28877</v>
      </c>
      <c r="F3215">
        <v>1162</v>
      </c>
      <c r="G3215">
        <v>79</v>
      </c>
      <c r="H3215">
        <v>610.45000000000005</v>
      </c>
      <c r="I3215">
        <v>6768.94</v>
      </c>
      <c r="J3215">
        <v>4.0199999999999996</v>
      </c>
      <c r="K3215">
        <v>6.8</v>
      </c>
      <c r="L3215">
        <v>7.73</v>
      </c>
      <c r="M3215">
        <v>11.09</v>
      </c>
      <c r="N3215">
        <v>6158.49</v>
      </c>
    </row>
    <row r="3216" spans="1:14" x14ac:dyDescent="0.2">
      <c r="A3216" s="1">
        <v>45741</v>
      </c>
      <c r="B3216" s="2" t="s">
        <v>33</v>
      </c>
      <c r="C3216" s="2" t="s">
        <v>28</v>
      </c>
      <c r="D3216" s="2" t="s">
        <v>16</v>
      </c>
      <c r="E3216">
        <v>9780</v>
      </c>
      <c r="F3216">
        <v>461</v>
      </c>
      <c r="G3216">
        <v>48</v>
      </c>
      <c r="H3216">
        <v>635.62</v>
      </c>
      <c r="I3216">
        <v>5697.67</v>
      </c>
      <c r="J3216">
        <v>4.71</v>
      </c>
      <c r="K3216">
        <v>10.41</v>
      </c>
      <c r="L3216">
        <v>13.24</v>
      </c>
      <c r="M3216">
        <v>8.9600000000000009</v>
      </c>
      <c r="N3216">
        <v>5062.05</v>
      </c>
    </row>
    <row r="3217" spans="1:14" x14ac:dyDescent="0.2">
      <c r="A3217" s="1">
        <v>45741</v>
      </c>
      <c r="B3217" s="2" t="s">
        <v>34</v>
      </c>
      <c r="C3217" s="2" t="s">
        <v>35</v>
      </c>
      <c r="D3217" s="2" t="s">
        <v>22</v>
      </c>
      <c r="E3217">
        <v>3054</v>
      </c>
      <c r="F3217">
        <v>228</v>
      </c>
      <c r="G3217">
        <v>30</v>
      </c>
      <c r="H3217">
        <v>70.78</v>
      </c>
      <c r="I3217">
        <v>5261.02</v>
      </c>
      <c r="J3217">
        <v>7.47</v>
      </c>
      <c r="K3217">
        <v>13.16</v>
      </c>
      <c r="L3217">
        <v>2.36</v>
      </c>
      <c r="M3217">
        <v>74.33</v>
      </c>
      <c r="N3217">
        <v>5190.24</v>
      </c>
    </row>
    <row r="3218" spans="1:14" x14ac:dyDescent="0.2">
      <c r="A3218" s="1">
        <v>45742</v>
      </c>
      <c r="B3218" s="2" t="s">
        <v>14</v>
      </c>
      <c r="C3218" s="2" t="s">
        <v>15</v>
      </c>
      <c r="D3218" s="2" t="s">
        <v>25</v>
      </c>
      <c r="E3218">
        <v>14138</v>
      </c>
      <c r="F3218">
        <v>569</v>
      </c>
      <c r="G3218">
        <v>65</v>
      </c>
      <c r="H3218">
        <v>1186.6300000000001</v>
      </c>
      <c r="I3218">
        <v>8315.59</v>
      </c>
      <c r="J3218">
        <v>4.0199999999999996</v>
      </c>
      <c r="K3218">
        <v>11.42</v>
      </c>
      <c r="L3218">
        <v>18.260000000000002</v>
      </c>
      <c r="M3218">
        <v>7.01</v>
      </c>
      <c r="N3218">
        <v>7128.96</v>
      </c>
    </row>
    <row r="3219" spans="1:14" x14ac:dyDescent="0.2">
      <c r="A3219" s="1">
        <v>45742</v>
      </c>
      <c r="B3219" s="2" t="s">
        <v>17</v>
      </c>
      <c r="C3219" s="2" t="s">
        <v>21</v>
      </c>
      <c r="D3219" s="2" t="s">
        <v>22</v>
      </c>
      <c r="E3219">
        <v>17913</v>
      </c>
      <c r="F3219">
        <v>450</v>
      </c>
      <c r="G3219">
        <v>31</v>
      </c>
      <c r="H3219">
        <v>710.5</v>
      </c>
      <c r="I3219">
        <v>3440.79</v>
      </c>
      <c r="J3219">
        <v>2.5099999999999998</v>
      </c>
      <c r="K3219">
        <v>6.89</v>
      </c>
      <c r="L3219">
        <v>22.92</v>
      </c>
      <c r="M3219">
        <v>4.84</v>
      </c>
      <c r="N3219">
        <v>2730.29</v>
      </c>
    </row>
    <row r="3220" spans="1:14" x14ac:dyDescent="0.2">
      <c r="A3220" s="1">
        <v>45742</v>
      </c>
      <c r="B3220" s="2" t="s">
        <v>20</v>
      </c>
      <c r="C3220" s="2" t="s">
        <v>32</v>
      </c>
      <c r="D3220" s="2" t="s">
        <v>25</v>
      </c>
      <c r="E3220">
        <v>12323</v>
      </c>
      <c r="F3220">
        <v>433</v>
      </c>
      <c r="G3220">
        <v>21</v>
      </c>
      <c r="H3220">
        <v>970.9</v>
      </c>
      <c r="I3220">
        <v>1850.4</v>
      </c>
      <c r="J3220">
        <v>3.51</v>
      </c>
      <c r="K3220">
        <v>4.8499999999999996</v>
      </c>
      <c r="L3220">
        <v>46.23</v>
      </c>
      <c r="M3220">
        <v>1.91</v>
      </c>
      <c r="N3220">
        <v>879.5</v>
      </c>
    </row>
    <row r="3221" spans="1:14" x14ac:dyDescent="0.2">
      <c r="A3221" s="1">
        <v>45742</v>
      </c>
      <c r="B3221" s="2" t="s">
        <v>23</v>
      </c>
      <c r="C3221" s="2" t="s">
        <v>35</v>
      </c>
      <c r="D3221" s="2" t="s">
        <v>25</v>
      </c>
      <c r="E3221">
        <v>3627</v>
      </c>
      <c r="F3221">
        <v>105</v>
      </c>
      <c r="G3221">
        <v>14</v>
      </c>
      <c r="H3221">
        <v>1074.02</v>
      </c>
      <c r="I3221">
        <v>4533.18</v>
      </c>
      <c r="J3221">
        <v>2.89</v>
      </c>
      <c r="K3221">
        <v>13.33</v>
      </c>
      <c r="L3221">
        <v>76.72</v>
      </c>
      <c r="M3221">
        <v>4.22</v>
      </c>
      <c r="N3221">
        <v>3459.16</v>
      </c>
    </row>
    <row r="3222" spans="1:14" x14ac:dyDescent="0.2">
      <c r="A3222" s="1">
        <v>45742</v>
      </c>
      <c r="B3222" s="2" t="s">
        <v>24</v>
      </c>
      <c r="C3222" s="2" t="s">
        <v>28</v>
      </c>
      <c r="D3222" s="2" t="s">
        <v>25</v>
      </c>
      <c r="E3222">
        <v>24403</v>
      </c>
      <c r="F3222">
        <v>3847</v>
      </c>
      <c r="G3222">
        <v>536</v>
      </c>
      <c r="H3222">
        <v>113.91</v>
      </c>
      <c r="I3222">
        <v>78005.33</v>
      </c>
      <c r="J3222">
        <v>15.76</v>
      </c>
      <c r="K3222">
        <v>13.93</v>
      </c>
      <c r="L3222">
        <v>0.21</v>
      </c>
      <c r="M3222">
        <v>684.8</v>
      </c>
      <c r="N3222">
        <v>77891.42</v>
      </c>
    </row>
    <row r="3223" spans="1:14" x14ac:dyDescent="0.2">
      <c r="A3223" s="1">
        <v>45742</v>
      </c>
      <c r="B3223" s="2" t="s">
        <v>26</v>
      </c>
      <c r="C3223" s="2" t="s">
        <v>15</v>
      </c>
      <c r="D3223" s="2" t="s">
        <v>22</v>
      </c>
      <c r="E3223">
        <v>32989</v>
      </c>
      <c r="F3223">
        <v>1863</v>
      </c>
      <c r="G3223">
        <v>197</v>
      </c>
      <c r="H3223">
        <v>0</v>
      </c>
      <c r="I3223">
        <v>24923.43</v>
      </c>
      <c r="J3223">
        <v>5.65</v>
      </c>
      <c r="K3223">
        <v>10.57</v>
      </c>
      <c r="L3223">
        <v>0</v>
      </c>
      <c r="M3223">
        <v>0</v>
      </c>
      <c r="N3223">
        <v>24923.43</v>
      </c>
    </row>
    <row r="3224" spans="1:14" x14ac:dyDescent="0.2">
      <c r="A3224" s="1">
        <v>45742</v>
      </c>
      <c r="B3224" s="2" t="s">
        <v>27</v>
      </c>
      <c r="C3224" s="2" t="s">
        <v>15</v>
      </c>
      <c r="D3224" s="2" t="s">
        <v>16</v>
      </c>
      <c r="E3224">
        <v>29306</v>
      </c>
      <c r="F3224">
        <v>571</v>
      </c>
      <c r="G3224">
        <v>20</v>
      </c>
      <c r="H3224">
        <v>1151.52</v>
      </c>
      <c r="I3224">
        <v>2597.1999999999998</v>
      </c>
      <c r="J3224">
        <v>1.95</v>
      </c>
      <c r="K3224">
        <v>3.5</v>
      </c>
      <c r="L3224">
        <v>57.58</v>
      </c>
      <c r="M3224">
        <v>2.2599999999999998</v>
      </c>
      <c r="N3224">
        <v>1445.68</v>
      </c>
    </row>
    <row r="3225" spans="1:14" x14ac:dyDescent="0.2">
      <c r="A3225" s="1">
        <v>45742</v>
      </c>
      <c r="B3225" s="2" t="s">
        <v>29</v>
      </c>
      <c r="C3225" s="2" t="s">
        <v>28</v>
      </c>
      <c r="D3225" s="2" t="s">
        <v>25</v>
      </c>
      <c r="E3225">
        <v>22881</v>
      </c>
      <c r="F3225">
        <v>499</v>
      </c>
      <c r="G3225">
        <v>33</v>
      </c>
      <c r="H3225">
        <v>961.12</v>
      </c>
      <c r="I3225">
        <v>4391.03</v>
      </c>
      <c r="J3225">
        <v>2.1800000000000002</v>
      </c>
      <c r="K3225">
        <v>6.61</v>
      </c>
      <c r="L3225">
        <v>29.12</v>
      </c>
      <c r="M3225">
        <v>4.57</v>
      </c>
      <c r="N3225">
        <v>3429.91</v>
      </c>
    </row>
    <row r="3226" spans="1:14" x14ac:dyDescent="0.2">
      <c r="A3226" s="1">
        <v>45742</v>
      </c>
      <c r="B3226" s="2" t="s">
        <v>30</v>
      </c>
      <c r="C3226" s="2" t="s">
        <v>15</v>
      </c>
      <c r="D3226" s="2" t="s">
        <v>25</v>
      </c>
      <c r="E3226">
        <v>8621</v>
      </c>
      <c r="F3226">
        <v>216</v>
      </c>
      <c r="G3226">
        <v>10</v>
      </c>
      <c r="H3226">
        <v>604.91999999999996</v>
      </c>
      <c r="I3226">
        <v>841.55</v>
      </c>
      <c r="J3226">
        <v>2.5099999999999998</v>
      </c>
      <c r="K3226">
        <v>4.63</v>
      </c>
      <c r="L3226">
        <v>60.49</v>
      </c>
      <c r="M3226">
        <v>1.39</v>
      </c>
      <c r="N3226">
        <v>236.63</v>
      </c>
    </row>
    <row r="3227" spans="1:14" x14ac:dyDescent="0.2">
      <c r="A3227" s="1">
        <v>45742</v>
      </c>
      <c r="B3227" s="2" t="s">
        <v>31</v>
      </c>
      <c r="C3227" s="2" t="s">
        <v>18</v>
      </c>
      <c r="D3227" s="2" t="s">
        <v>19</v>
      </c>
      <c r="E3227">
        <v>22357</v>
      </c>
      <c r="F3227">
        <v>832</v>
      </c>
      <c r="G3227">
        <v>48</v>
      </c>
      <c r="H3227">
        <v>670.29</v>
      </c>
      <c r="I3227">
        <v>4859.5200000000004</v>
      </c>
      <c r="J3227">
        <v>3.72</v>
      </c>
      <c r="K3227">
        <v>5.77</v>
      </c>
      <c r="L3227">
        <v>13.96</v>
      </c>
      <c r="M3227">
        <v>7.25</v>
      </c>
      <c r="N3227">
        <v>4189.2299999999996</v>
      </c>
    </row>
    <row r="3228" spans="1:14" x14ac:dyDescent="0.2">
      <c r="A3228" s="1">
        <v>45742</v>
      </c>
      <c r="B3228" s="2" t="s">
        <v>33</v>
      </c>
      <c r="C3228" s="2" t="s">
        <v>21</v>
      </c>
      <c r="D3228" s="2" t="s">
        <v>16</v>
      </c>
      <c r="E3228">
        <v>6710</v>
      </c>
      <c r="F3228">
        <v>340</v>
      </c>
      <c r="G3228">
        <v>40</v>
      </c>
      <c r="H3228">
        <v>637.52</v>
      </c>
      <c r="I3228">
        <v>5554.39</v>
      </c>
      <c r="J3228">
        <v>5.07</v>
      </c>
      <c r="K3228">
        <v>11.76</v>
      </c>
      <c r="L3228">
        <v>15.94</v>
      </c>
      <c r="M3228">
        <v>8.7100000000000009</v>
      </c>
      <c r="N3228">
        <v>4916.87</v>
      </c>
    </row>
    <row r="3229" spans="1:14" x14ac:dyDescent="0.2">
      <c r="A3229" s="1">
        <v>45742</v>
      </c>
      <c r="B3229" s="2" t="s">
        <v>34</v>
      </c>
      <c r="C3229" s="2" t="s">
        <v>35</v>
      </c>
      <c r="D3229" s="2" t="s">
        <v>22</v>
      </c>
      <c r="E3229">
        <v>4692</v>
      </c>
      <c r="F3229">
        <v>274</v>
      </c>
      <c r="G3229">
        <v>36</v>
      </c>
      <c r="H3229">
        <v>148.25</v>
      </c>
      <c r="I3229">
        <v>5874.78</v>
      </c>
      <c r="J3229">
        <v>5.84</v>
      </c>
      <c r="K3229">
        <v>13.14</v>
      </c>
      <c r="L3229">
        <v>4.12</v>
      </c>
      <c r="M3229">
        <v>39.630000000000003</v>
      </c>
      <c r="N3229">
        <v>5726.53</v>
      </c>
    </row>
    <row r="3230" spans="1:14" x14ac:dyDescent="0.2">
      <c r="A3230" s="1">
        <v>45743</v>
      </c>
      <c r="B3230" s="2" t="s">
        <v>14</v>
      </c>
      <c r="C3230" s="2" t="s">
        <v>15</v>
      </c>
      <c r="D3230" s="2" t="s">
        <v>25</v>
      </c>
      <c r="E3230">
        <v>14822</v>
      </c>
      <c r="F3230">
        <v>715</v>
      </c>
      <c r="G3230">
        <v>71</v>
      </c>
      <c r="H3230">
        <v>1069.8699999999999</v>
      </c>
      <c r="I3230">
        <v>10194.299999999999</v>
      </c>
      <c r="J3230">
        <v>4.82</v>
      </c>
      <c r="K3230">
        <v>9.93</v>
      </c>
      <c r="L3230">
        <v>15.07</v>
      </c>
      <c r="M3230">
        <v>9.5299999999999994</v>
      </c>
      <c r="N3230">
        <v>9124.43</v>
      </c>
    </row>
    <row r="3231" spans="1:14" x14ac:dyDescent="0.2">
      <c r="A3231" s="1">
        <v>45743</v>
      </c>
      <c r="B3231" s="2" t="s">
        <v>17</v>
      </c>
      <c r="C3231" s="2" t="s">
        <v>35</v>
      </c>
      <c r="D3231" s="2" t="s">
        <v>16</v>
      </c>
      <c r="E3231">
        <v>12974</v>
      </c>
      <c r="F3231">
        <v>288</v>
      </c>
      <c r="G3231">
        <v>22</v>
      </c>
      <c r="H3231">
        <v>1197.07</v>
      </c>
      <c r="I3231">
        <v>2358.16</v>
      </c>
      <c r="J3231">
        <v>2.2200000000000002</v>
      </c>
      <c r="K3231">
        <v>7.64</v>
      </c>
      <c r="L3231">
        <v>54.41</v>
      </c>
      <c r="M3231">
        <v>1.97</v>
      </c>
      <c r="N3231">
        <v>1161.0899999999999</v>
      </c>
    </row>
    <row r="3232" spans="1:14" x14ac:dyDescent="0.2">
      <c r="A3232" s="1">
        <v>45743</v>
      </c>
      <c r="B3232" s="2" t="s">
        <v>20</v>
      </c>
      <c r="C3232" s="2" t="s">
        <v>28</v>
      </c>
      <c r="D3232" s="2" t="s">
        <v>16</v>
      </c>
      <c r="E3232">
        <v>10502</v>
      </c>
      <c r="F3232">
        <v>358</v>
      </c>
      <c r="G3232">
        <v>25</v>
      </c>
      <c r="H3232">
        <v>665.16</v>
      </c>
      <c r="I3232">
        <v>2549.59</v>
      </c>
      <c r="J3232">
        <v>3.41</v>
      </c>
      <c r="K3232">
        <v>6.98</v>
      </c>
      <c r="L3232">
        <v>26.61</v>
      </c>
      <c r="M3232">
        <v>3.83</v>
      </c>
      <c r="N3232">
        <v>1884.43</v>
      </c>
    </row>
    <row r="3233" spans="1:14" x14ac:dyDescent="0.2">
      <c r="A3233" s="1">
        <v>45743</v>
      </c>
      <c r="B3233" s="2" t="s">
        <v>23</v>
      </c>
      <c r="C3233" s="2" t="s">
        <v>18</v>
      </c>
      <c r="D3233" s="2" t="s">
        <v>36</v>
      </c>
      <c r="E3233">
        <v>5379</v>
      </c>
      <c r="F3233">
        <v>111</v>
      </c>
      <c r="G3233">
        <v>11</v>
      </c>
      <c r="H3233">
        <v>1423.04</v>
      </c>
      <c r="I3233">
        <v>3383.92</v>
      </c>
      <c r="J3233">
        <v>2.06</v>
      </c>
      <c r="K3233">
        <v>9.91</v>
      </c>
      <c r="L3233">
        <v>129.37</v>
      </c>
      <c r="M3233">
        <v>2.38</v>
      </c>
      <c r="N3233">
        <v>1960.88</v>
      </c>
    </row>
    <row r="3234" spans="1:14" x14ac:dyDescent="0.2">
      <c r="A3234" s="1">
        <v>45743</v>
      </c>
      <c r="B3234" s="2" t="s">
        <v>24</v>
      </c>
      <c r="C3234" s="2" t="s">
        <v>15</v>
      </c>
      <c r="D3234" s="2" t="s">
        <v>19</v>
      </c>
      <c r="E3234">
        <v>18542</v>
      </c>
      <c r="F3234">
        <v>2962</v>
      </c>
      <c r="G3234">
        <v>253</v>
      </c>
      <c r="H3234">
        <v>189.44</v>
      </c>
      <c r="I3234">
        <v>35353.1</v>
      </c>
      <c r="J3234">
        <v>15.97</v>
      </c>
      <c r="K3234">
        <v>8.5399999999999991</v>
      </c>
      <c r="L3234">
        <v>0.75</v>
      </c>
      <c r="M3234">
        <v>186.62</v>
      </c>
      <c r="N3234">
        <v>35163.660000000003</v>
      </c>
    </row>
    <row r="3235" spans="1:14" x14ac:dyDescent="0.2">
      <c r="A3235" s="1">
        <v>45743</v>
      </c>
      <c r="B3235" s="2" t="s">
        <v>26</v>
      </c>
      <c r="C3235" s="2" t="s">
        <v>15</v>
      </c>
      <c r="D3235" s="2" t="s">
        <v>19</v>
      </c>
      <c r="E3235">
        <v>24330</v>
      </c>
      <c r="F3235">
        <v>1056</v>
      </c>
      <c r="G3235">
        <v>106</v>
      </c>
      <c r="H3235">
        <v>0</v>
      </c>
      <c r="I3235">
        <v>12088.09</v>
      </c>
      <c r="J3235">
        <v>4.34</v>
      </c>
      <c r="K3235">
        <v>10.039999999999999</v>
      </c>
      <c r="L3235">
        <v>0</v>
      </c>
      <c r="M3235">
        <v>0</v>
      </c>
      <c r="N3235">
        <v>12088.09</v>
      </c>
    </row>
    <row r="3236" spans="1:14" x14ac:dyDescent="0.2">
      <c r="A3236" s="1">
        <v>45743</v>
      </c>
      <c r="B3236" s="2" t="s">
        <v>27</v>
      </c>
      <c r="C3236" s="2" t="s">
        <v>18</v>
      </c>
      <c r="D3236" s="2" t="s">
        <v>16</v>
      </c>
      <c r="E3236">
        <v>29517</v>
      </c>
      <c r="F3236">
        <v>396</v>
      </c>
      <c r="G3236">
        <v>18</v>
      </c>
      <c r="H3236">
        <v>1002.52</v>
      </c>
      <c r="I3236">
        <v>1737.7</v>
      </c>
      <c r="J3236">
        <v>1.34</v>
      </c>
      <c r="K3236">
        <v>4.55</v>
      </c>
      <c r="L3236">
        <v>55.7</v>
      </c>
      <c r="M3236">
        <v>1.73</v>
      </c>
      <c r="N3236">
        <v>735.18</v>
      </c>
    </row>
    <row r="3237" spans="1:14" x14ac:dyDescent="0.2">
      <c r="A3237" s="1">
        <v>45743</v>
      </c>
      <c r="B3237" s="2" t="s">
        <v>29</v>
      </c>
      <c r="C3237" s="2" t="s">
        <v>35</v>
      </c>
      <c r="D3237" s="2" t="s">
        <v>36</v>
      </c>
      <c r="E3237">
        <v>20635</v>
      </c>
      <c r="F3237">
        <v>544</v>
      </c>
      <c r="G3237">
        <v>40</v>
      </c>
      <c r="H3237">
        <v>1133.96</v>
      </c>
      <c r="I3237">
        <v>5059.4399999999996</v>
      </c>
      <c r="J3237">
        <v>2.64</v>
      </c>
      <c r="K3237">
        <v>7.35</v>
      </c>
      <c r="L3237">
        <v>28.35</v>
      </c>
      <c r="M3237">
        <v>4.46</v>
      </c>
      <c r="N3237">
        <v>3925.48</v>
      </c>
    </row>
    <row r="3238" spans="1:14" x14ac:dyDescent="0.2">
      <c r="A3238" s="1">
        <v>45743</v>
      </c>
      <c r="B3238" s="2" t="s">
        <v>30</v>
      </c>
      <c r="C3238" s="2" t="s">
        <v>21</v>
      </c>
      <c r="D3238" s="2" t="s">
        <v>36</v>
      </c>
      <c r="E3238">
        <v>9710</v>
      </c>
      <c r="F3238">
        <v>314</v>
      </c>
      <c r="G3238">
        <v>15</v>
      </c>
      <c r="H3238">
        <v>743.25</v>
      </c>
      <c r="I3238">
        <v>1137.9000000000001</v>
      </c>
      <c r="J3238">
        <v>3.23</v>
      </c>
      <c r="K3238">
        <v>4.78</v>
      </c>
      <c r="L3238">
        <v>49.55</v>
      </c>
      <c r="M3238">
        <v>1.53</v>
      </c>
      <c r="N3238">
        <v>394.65</v>
      </c>
    </row>
    <row r="3239" spans="1:14" x14ac:dyDescent="0.2">
      <c r="A3239" s="1">
        <v>45743</v>
      </c>
      <c r="B3239" s="2" t="s">
        <v>31</v>
      </c>
      <c r="C3239" s="2" t="s">
        <v>32</v>
      </c>
      <c r="D3239" s="2" t="s">
        <v>16</v>
      </c>
      <c r="E3239">
        <v>21570</v>
      </c>
      <c r="F3239">
        <v>581</v>
      </c>
      <c r="G3239">
        <v>25</v>
      </c>
      <c r="H3239">
        <v>1030.08</v>
      </c>
      <c r="I3239">
        <v>2170.85</v>
      </c>
      <c r="J3239">
        <v>2.69</v>
      </c>
      <c r="K3239">
        <v>4.3</v>
      </c>
      <c r="L3239">
        <v>41.2</v>
      </c>
      <c r="M3239">
        <v>2.11</v>
      </c>
      <c r="N3239">
        <v>1140.77</v>
      </c>
    </row>
    <row r="3240" spans="1:14" x14ac:dyDescent="0.2">
      <c r="A3240" s="1">
        <v>45743</v>
      </c>
      <c r="B3240" s="2" t="s">
        <v>33</v>
      </c>
      <c r="C3240" s="2" t="s">
        <v>35</v>
      </c>
      <c r="D3240" s="2" t="s">
        <v>36</v>
      </c>
      <c r="E3240">
        <v>7161</v>
      </c>
      <c r="F3240">
        <v>373</v>
      </c>
      <c r="G3240">
        <v>42</v>
      </c>
      <c r="H3240">
        <v>662.01</v>
      </c>
      <c r="I3240">
        <v>5730.12</v>
      </c>
      <c r="J3240">
        <v>5.21</v>
      </c>
      <c r="K3240">
        <v>11.26</v>
      </c>
      <c r="L3240">
        <v>15.76</v>
      </c>
      <c r="M3240">
        <v>8.66</v>
      </c>
      <c r="N3240">
        <v>5068.1099999999997</v>
      </c>
    </row>
    <row r="3241" spans="1:14" x14ac:dyDescent="0.2">
      <c r="A3241" s="1">
        <v>45743</v>
      </c>
      <c r="B3241" s="2" t="s">
        <v>34</v>
      </c>
      <c r="C3241" s="2" t="s">
        <v>32</v>
      </c>
      <c r="D3241" s="2" t="s">
        <v>25</v>
      </c>
      <c r="E3241">
        <v>4807</v>
      </c>
      <c r="F3241">
        <v>294</v>
      </c>
      <c r="G3241">
        <v>37</v>
      </c>
      <c r="H3241">
        <v>58.23</v>
      </c>
      <c r="I3241">
        <v>4221.8</v>
      </c>
      <c r="J3241">
        <v>6.12</v>
      </c>
      <c r="K3241">
        <v>12.59</v>
      </c>
      <c r="L3241">
        <v>1.57</v>
      </c>
      <c r="M3241">
        <v>72.5</v>
      </c>
      <c r="N3241">
        <v>4163.57</v>
      </c>
    </row>
    <row r="3242" spans="1:14" x14ac:dyDescent="0.2">
      <c r="A3242" s="1">
        <v>45744</v>
      </c>
      <c r="B3242" s="2" t="s">
        <v>14</v>
      </c>
      <c r="C3242" s="2" t="s">
        <v>18</v>
      </c>
      <c r="D3242" s="2" t="s">
        <v>22</v>
      </c>
      <c r="E3242">
        <v>8841</v>
      </c>
      <c r="F3242">
        <v>308</v>
      </c>
      <c r="G3242">
        <v>28</v>
      </c>
      <c r="H3242">
        <v>1123.47</v>
      </c>
      <c r="I3242">
        <v>3798.13</v>
      </c>
      <c r="J3242">
        <v>3.48</v>
      </c>
      <c r="K3242">
        <v>9.09</v>
      </c>
      <c r="L3242">
        <v>40.119999999999997</v>
      </c>
      <c r="M3242">
        <v>3.38</v>
      </c>
      <c r="N3242">
        <v>2674.66</v>
      </c>
    </row>
    <row r="3243" spans="1:14" x14ac:dyDescent="0.2">
      <c r="A3243" s="1">
        <v>45744</v>
      </c>
      <c r="B3243" s="2" t="s">
        <v>17</v>
      </c>
      <c r="C3243" s="2" t="s">
        <v>21</v>
      </c>
      <c r="D3243" s="2" t="s">
        <v>25</v>
      </c>
      <c r="E3243">
        <v>13736</v>
      </c>
      <c r="F3243">
        <v>385</v>
      </c>
      <c r="G3243">
        <v>21</v>
      </c>
      <c r="H3243">
        <v>1150.54</v>
      </c>
      <c r="I3243">
        <v>2426.7399999999998</v>
      </c>
      <c r="J3243">
        <v>2.8</v>
      </c>
      <c r="K3243">
        <v>5.45</v>
      </c>
      <c r="L3243">
        <v>54.79</v>
      </c>
      <c r="M3243">
        <v>2.11</v>
      </c>
      <c r="N3243">
        <v>1276.2</v>
      </c>
    </row>
    <row r="3244" spans="1:14" x14ac:dyDescent="0.2">
      <c r="A3244" s="1">
        <v>45744</v>
      </c>
      <c r="B3244" s="2" t="s">
        <v>20</v>
      </c>
      <c r="C3244" s="2" t="s">
        <v>28</v>
      </c>
      <c r="D3244" s="2" t="s">
        <v>25</v>
      </c>
      <c r="E3244">
        <v>17845</v>
      </c>
      <c r="F3244">
        <v>567</v>
      </c>
      <c r="G3244">
        <v>42</v>
      </c>
      <c r="H3244">
        <v>830.56</v>
      </c>
      <c r="I3244">
        <v>3560.41</v>
      </c>
      <c r="J3244">
        <v>3.18</v>
      </c>
      <c r="K3244">
        <v>7.41</v>
      </c>
      <c r="L3244">
        <v>19.78</v>
      </c>
      <c r="M3244">
        <v>4.29</v>
      </c>
      <c r="N3244">
        <v>2729.85</v>
      </c>
    </row>
    <row r="3245" spans="1:14" x14ac:dyDescent="0.2">
      <c r="A3245" s="1">
        <v>45744</v>
      </c>
      <c r="B3245" s="2" t="s">
        <v>23</v>
      </c>
      <c r="C3245" s="2" t="s">
        <v>15</v>
      </c>
      <c r="D3245" s="2" t="s">
        <v>16</v>
      </c>
      <c r="E3245">
        <v>5767</v>
      </c>
      <c r="F3245">
        <v>145</v>
      </c>
      <c r="G3245">
        <v>18</v>
      </c>
      <c r="H3245">
        <v>1667.65</v>
      </c>
      <c r="I3245">
        <v>4738.8100000000004</v>
      </c>
      <c r="J3245">
        <v>2.5099999999999998</v>
      </c>
      <c r="K3245">
        <v>12.41</v>
      </c>
      <c r="L3245">
        <v>92.65</v>
      </c>
      <c r="M3245">
        <v>2.84</v>
      </c>
      <c r="N3245">
        <v>3071.16</v>
      </c>
    </row>
    <row r="3246" spans="1:14" x14ac:dyDescent="0.2">
      <c r="A3246" s="1">
        <v>45744</v>
      </c>
      <c r="B3246" s="2" t="s">
        <v>24</v>
      </c>
      <c r="C3246" s="2" t="s">
        <v>18</v>
      </c>
      <c r="D3246" s="2" t="s">
        <v>22</v>
      </c>
      <c r="E3246">
        <v>16976</v>
      </c>
      <c r="F3246">
        <v>4169</v>
      </c>
      <c r="G3246">
        <v>458</v>
      </c>
      <c r="H3246">
        <v>283.47000000000003</v>
      </c>
      <c r="I3246">
        <v>52842.1</v>
      </c>
      <c r="J3246">
        <v>24.56</v>
      </c>
      <c r="K3246">
        <v>10.99</v>
      </c>
      <c r="L3246">
        <v>0.62</v>
      </c>
      <c r="M3246">
        <v>186.41</v>
      </c>
      <c r="N3246">
        <v>52558.63</v>
      </c>
    </row>
    <row r="3247" spans="1:14" x14ac:dyDescent="0.2">
      <c r="A3247" s="1">
        <v>45744</v>
      </c>
      <c r="B3247" s="2" t="s">
        <v>26</v>
      </c>
      <c r="C3247" s="2" t="s">
        <v>32</v>
      </c>
      <c r="D3247" s="2" t="s">
        <v>19</v>
      </c>
      <c r="E3247">
        <v>34829</v>
      </c>
      <c r="F3247">
        <v>2006</v>
      </c>
      <c r="G3247">
        <v>275</v>
      </c>
      <c r="H3247">
        <v>0</v>
      </c>
      <c r="I3247">
        <v>35171.629999999997</v>
      </c>
      <c r="J3247">
        <v>5.76</v>
      </c>
      <c r="K3247">
        <v>13.71</v>
      </c>
      <c r="L3247">
        <v>0</v>
      </c>
      <c r="M3247">
        <v>0</v>
      </c>
      <c r="N3247">
        <v>35171.629999999997</v>
      </c>
    </row>
    <row r="3248" spans="1:14" x14ac:dyDescent="0.2">
      <c r="A3248" s="1">
        <v>45744</v>
      </c>
      <c r="B3248" s="2" t="s">
        <v>27</v>
      </c>
      <c r="C3248" s="2" t="s">
        <v>35</v>
      </c>
      <c r="D3248" s="2" t="s">
        <v>36</v>
      </c>
      <c r="E3248">
        <v>35073</v>
      </c>
      <c r="F3248">
        <v>385</v>
      </c>
      <c r="G3248">
        <v>16</v>
      </c>
      <c r="H3248">
        <v>724.97</v>
      </c>
      <c r="I3248">
        <v>1708.15</v>
      </c>
      <c r="J3248">
        <v>1.1000000000000001</v>
      </c>
      <c r="K3248">
        <v>4.16</v>
      </c>
      <c r="L3248">
        <v>45.31</v>
      </c>
      <c r="M3248">
        <v>2.36</v>
      </c>
      <c r="N3248">
        <v>983.18</v>
      </c>
    </row>
    <row r="3249" spans="1:14" x14ac:dyDescent="0.2">
      <c r="A3249" s="1">
        <v>45744</v>
      </c>
      <c r="B3249" s="2" t="s">
        <v>29</v>
      </c>
      <c r="C3249" s="2" t="s">
        <v>28</v>
      </c>
      <c r="D3249" s="2" t="s">
        <v>22</v>
      </c>
      <c r="E3249">
        <v>15263</v>
      </c>
      <c r="F3249">
        <v>255</v>
      </c>
      <c r="G3249">
        <v>11</v>
      </c>
      <c r="H3249">
        <v>1136.28</v>
      </c>
      <c r="I3249">
        <v>981.85</v>
      </c>
      <c r="J3249">
        <v>1.67</v>
      </c>
      <c r="K3249">
        <v>4.3099999999999996</v>
      </c>
      <c r="L3249">
        <v>103.3</v>
      </c>
      <c r="M3249">
        <v>0.86</v>
      </c>
      <c r="N3249">
        <v>-154.43</v>
      </c>
    </row>
    <row r="3250" spans="1:14" x14ac:dyDescent="0.2">
      <c r="A3250" s="1">
        <v>45744</v>
      </c>
      <c r="B3250" s="2" t="s">
        <v>30</v>
      </c>
      <c r="C3250" s="2" t="s">
        <v>18</v>
      </c>
      <c r="D3250" s="2" t="s">
        <v>19</v>
      </c>
      <c r="E3250">
        <v>12841</v>
      </c>
      <c r="F3250">
        <v>336</v>
      </c>
      <c r="G3250">
        <v>14</v>
      </c>
      <c r="H3250">
        <v>711.19</v>
      </c>
      <c r="I3250">
        <v>1082.3399999999999</v>
      </c>
      <c r="J3250">
        <v>2.62</v>
      </c>
      <c r="K3250">
        <v>4.17</v>
      </c>
      <c r="L3250">
        <v>50.8</v>
      </c>
      <c r="M3250">
        <v>1.52</v>
      </c>
      <c r="N3250">
        <v>371.15</v>
      </c>
    </row>
    <row r="3251" spans="1:14" x14ac:dyDescent="0.2">
      <c r="A3251" s="1">
        <v>45744</v>
      </c>
      <c r="B3251" s="2" t="s">
        <v>31</v>
      </c>
      <c r="C3251" s="2" t="s">
        <v>15</v>
      </c>
      <c r="D3251" s="2" t="s">
        <v>19</v>
      </c>
      <c r="E3251">
        <v>29014</v>
      </c>
      <c r="F3251">
        <v>957</v>
      </c>
      <c r="G3251">
        <v>57</v>
      </c>
      <c r="H3251">
        <v>739.52</v>
      </c>
      <c r="I3251">
        <v>6065.51</v>
      </c>
      <c r="J3251">
        <v>3.3</v>
      </c>
      <c r="K3251">
        <v>5.96</v>
      </c>
      <c r="L3251">
        <v>12.97</v>
      </c>
      <c r="M3251">
        <v>8.1999999999999993</v>
      </c>
      <c r="N3251">
        <v>5325.99</v>
      </c>
    </row>
    <row r="3252" spans="1:14" x14ac:dyDescent="0.2">
      <c r="A3252" s="1">
        <v>45744</v>
      </c>
      <c r="B3252" s="2" t="s">
        <v>33</v>
      </c>
      <c r="C3252" s="2" t="s">
        <v>35</v>
      </c>
      <c r="D3252" s="2" t="s">
        <v>19</v>
      </c>
      <c r="E3252">
        <v>7954</v>
      </c>
      <c r="F3252">
        <v>439</v>
      </c>
      <c r="G3252">
        <v>42</v>
      </c>
      <c r="H3252">
        <v>401.83</v>
      </c>
      <c r="I3252">
        <v>6375.85</v>
      </c>
      <c r="J3252">
        <v>5.52</v>
      </c>
      <c r="K3252">
        <v>9.57</v>
      </c>
      <c r="L3252">
        <v>9.57</v>
      </c>
      <c r="M3252">
        <v>15.87</v>
      </c>
      <c r="N3252">
        <v>5974.02</v>
      </c>
    </row>
    <row r="3253" spans="1:14" x14ac:dyDescent="0.2">
      <c r="A3253" s="1">
        <v>45744</v>
      </c>
      <c r="B3253" s="2" t="s">
        <v>34</v>
      </c>
      <c r="C3253" s="2" t="s">
        <v>21</v>
      </c>
      <c r="D3253" s="2" t="s">
        <v>25</v>
      </c>
      <c r="E3253">
        <v>6910</v>
      </c>
      <c r="F3253">
        <v>628</v>
      </c>
      <c r="G3253">
        <v>107</v>
      </c>
      <c r="H3253">
        <v>157.33000000000001</v>
      </c>
      <c r="I3253">
        <v>14241.8</v>
      </c>
      <c r="J3253">
        <v>9.09</v>
      </c>
      <c r="K3253">
        <v>17.04</v>
      </c>
      <c r="L3253">
        <v>1.47</v>
      </c>
      <c r="M3253">
        <v>90.52</v>
      </c>
      <c r="N3253">
        <v>14084.47</v>
      </c>
    </row>
    <row r="3254" spans="1:14" x14ac:dyDescent="0.2">
      <c r="A3254" s="1">
        <v>45745</v>
      </c>
      <c r="B3254" s="2" t="s">
        <v>14</v>
      </c>
      <c r="C3254" s="2" t="s">
        <v>35</v>
      </c>
      <c r="D3254" s="2" t="s">
        <v>16</v>
      </c>
      <c r="E3254">
        <v>8091</v>
      </c>
      <c r="F3254">
        <v>398</v>
      </c>
      <c r="G3254">
        <v>39</v>
      </c>
      <c r="H3254">
        <v>1031.26</v>
      </c>
      <c r="I3254">
        <v>5534.36</v>
      </c>
      <c r="J3254">
        <v>4.92</v>
      </c>
      <c r="K3254">
        <v>9.8000000000000007</v>
      </c>
      <c r="L3254">
        <v>26.44</v>
      </c>
      <c r="M3254">
        <v>5.37</v>
      </c>
      <c r="N3254">
        <v>4503.1000000000004</v>
      </c>
    </row>
    <row r="3255" spans="1:14" x14ac:dyDescent="0.2">
      <c r="A3255" s="1">
        <v>45745</v>
      </c>
      <c r="B3255" s="2" t="s">
        <v>17</v>
      </c>
      <c r="C3255" s="2" t="s">
        <v>15</v>
      </c>
      <c r="D3255" s="2" t="s">
        <v>19</v>
      </c>
      <c r="E3255">
        <v>13811</v>
      </c>
      <c r="F3255">
        <v>348</v>
      </c>
      <c r="G3255">
        <v>29</v>
      </c>
      <c r="H3255">
        <v>823.73</v>
      </c>
      <c r="I3255">
        <v>2488.4</v>
      </c>
      <c r="J3255">
        <v>2.52</v>
      </c>
      <c r="K3255">
        <v>8.33</v>
      </c>
      <c r="L3255">
        <v>28.4</v>
      </c>
      <c r="M3255">
        <v>3.02</v>
      </c>
      <c r="N3255">
        <v>1664.67</v>
      </c>
    </row>
    <row r="3256" spans="1:14" x14ac:dyDescent="0.2">
      <c r="A3256" s="1">
        <v>45745</v>
      </c>
      <c r="B3256" s="2" t="s">
        <v>20</v>
      </c>
      <c r="C3256" s="2" t="s">
        <v>28</v>
      </c>
      <c r="D3256" s="2" t="s">
        <v>16</v>
      </c>
      <c r="E3256">
        <v>7009</v>
      </c>
      <c r="F3256">
        <v>203</v>
      </c>
      <c r="G3256">
        <v>12</v>
      </c>
      <c r="H3256">
        <v>604.4</v>
      </c>
      <c r="I3256">
        <v>1308.3</v>
      </c>
      <c r="J3256">
        <v>2.9</v>
      </c>
      <c r="K3256">
        <v>5.91</v>
      </c>
      <c r="L3256">
        <v>50.37</v>
      </c>
      <c r="M3256">
        <v>2.16</v>
      </c>
      <c r="N3256">
        <v>703.9</v>
      </c>
    </row>
    <row r="3257" spans="1:14" x14ac:dyDescent="0.2">
      <c r="A3257" s="1">
        <v>45745</v>
      </c>
      <c r="B3257" s="2" t="s">
        <v>23</v>
      </c>
      <c r="C3257" s="2" t="s">
        <v>32</v>
      </c>
      <c r="D3257" s="2" t="s">
        <v>19</v>
      </c>
      <c r="E3257">
        <v>3119</v>
      </c>
      <c r="F3257">
        <v>62</v>
      </c>
      <c r="G3257">
        <v>7</v>
      </c>
      <c r="H3257">
        <v>1163.51</v>
      </c>
      <c r="I3257">
        <v>1714.9</v>
      </c>
      <c r="J3257">
        <v>1.99</v>
      </c>
      <c r="K3257">
        <v>11.29</v>
      </c>
      <c r="L3257">
        <v>166.22</v>
      </c>
      <c r="M3257">
        <v>1.47</v>
      </c>
      <c r="N3257">
        <v>551.39</v>
      </c>
    </row>
    <row r="3258" spans="1:14" x14ac:dyDescent="0.2">
      <c r="A3258" s="1">
        <v>45745</v>
      </c>
      <c r="B3258" s="2" t="s">
        <v>24</v>
      </c>
      <c r="C3258" s="2" t="s">
        <v>21</v>
      </c>
      <c r="D3258" s="2" t="s">
        <v>22</v>
      </c>
      <c r="E3258">
        <v>16139</v>
      </c>
      <c r="F3258">
        <v>3362</v>
      </c>
      <c r="G3258">
        <v>429</v>
      </c>
      <c r="H3258">
        <v>97.68</v>
      </c>
      <c r="I3258">
        <v>63408.88</v>
      </c>
      <c r="J3258">
        <v>20.83</v>
      </c>
      <c r="K3258">
        <v>12.76</v>
      </c>
      <c r="L3258">
        <v>0.23</v>
      </c>
      <c r="M3258">
        <v>649.15</v>
      </c>
      <c r="N3258">
        <v>63311.199999999997</v>
      </c>
    </row>
    <row r="3259" spans="1:14" x14ac:dyDescent="0.2">
      <c r="A3259" s="1">
        <v>45745</v>
      </c>
      <c r="B3259" s="2" t="s">
        <v>26</v>
      </c>
      <c r="C3259" s="2" t="s">
        <v>35</v>
      </c>
      <c r="D3259" s="2" t="s">
        <v>36</v>
      </c>
      <c r="E3259">
        <v>23617</v>
      </c>
      <c r="F3259">
        <v>970</v>
      </c>
      <c r="G3259">
        <v>139</v>
      </c>
      <c r="H3259">
        <v>0</v>
      </c>
      <c r="I3259">
        <v>18400.439999999999</v>
      </c>
      <c r="J3259">
        <v>4.1100000000000003</v>
      </c>
      <c r="K3259">
        <v>14.33</v>
      </c>
      <c r="L3259">
        <v>0</v>
      </c>
      <c r="M3259">
        <v>0</v>
      </c>
      <c r="N3259">
        <v>18400.439999999999</v>
      </c>
    </row>
    <row r="3260" spans="1:14" x14ac:dyDescent="0.2">
      <c r="A3260" s="1">
        <v>45745</v>
      </c>
      <c r="B3260" s="2" t="s">
        <v>27</v>
      </c>
      <c r="C3260" s="2" t="s">
        <v>15</v>
      </c>
      <c r="D3260" s="2" t="s">
        <v>22</v>
      </c>
      <c r="E3260">
        <v>17588</v>
      </c>
      <c r="F3260">
        <v>219</v>
      </c>
      <c r="G3260">
        <v>9</v>
      </c>
      <c r="H3260">
        <v>564.57000000000005</v>
      </c>
      <c r="I3260">
        <v>792.09</v>
      </c>
      <c r="J3260">
        <v>1.25</v>
      </c>
      <c r="K3260">
        <v>4.1100000000000003</v>
      </c>
      <c r="L3260">
        <v>62.73</v>
      </c>
      <c r="M3260">
        <v>1.4</v>
      </c>
      <c r="N3260">
        <v>227.52</v>
      </c>
    </row>
    <row r="3261" spans="1:14" x14ac:dyDescent="0.2">
      <c r="A3261" s="1">
        <v>45745</v>
      </c>
      <c r="B3261" s="2" t="s">
        <v>29</v>
      </c>
      <c r="C3261" s="2" t="s">
        <v>18</v>
      </c>
      <c r="D3261" s="2" t="s">
        <v>36</v>
      </c>
      <c r="E3261">
        <v>16323</v>
      </c>
      <c r="F3261">
        <v>294</v>
      </c>
      <c r="G3261">
        <v>14</v>
      </c>
      <c r="H3261">
        <v>753.52</v>
      </c>
      <c r="I3261">
        <v>1544.09</v>
      </c>
      <c r="J3261">
        <v>1.8</v>
      </c>
      <c r="K3261">
        <v>4.76</v>
      </c>
      <c r="L3261">
        <v>53.82</v>
      </c>
      <c r="M3261">
        <v>2.0499999999999998</v>
      </c>
      <c r="N3261">
        <v>790.57</v>
      </c>
    </row>
    <row r="3262" spans="1:14" x14ac:dyDescent="0.2">
      <c r="A3262" s="1">
        <v>45745</v>
      </c>
      <c r="B3262" s="2" t="s">
        <v>30</v>
      </c>
      <c r="C3262" s="2" t="s">
        <v>32</v>
      </c>
      <c r="D3262" s="2" t="s">
        <v>25</v>
      </c>
      <c r="E3262">
        <v>6848</v>
      </c>
      <c r="F3262">
        <v>213</v>
      </c>
      <c r="G3262">
        <v>12</v>
      </c>
      <c r="H3262">
        <v>349.84</v>
      </c>
      <c r="I3262">
        <v>1221.81</v>
      </c>
      <c r="J3262">
        <v>3.11</v>
      </c>
      <c r="K3262">
        <v>5.63</v>
      </c>
      <c r="L3262">
        <v>29.15</v>
      </c>
      <c r="M3262">
        <v>3.49</v>
      </c>
      <c r="N3262">
        <v>871.97</v>
      </c>
    </row>
    <row r="3263" spans="1:14" x14ac:dyDescent="0.2">
      <c r="A3263" s="1">
        <v>45745</v>
      </c>
      <c r="B3263" s="2" t="s">
        <v>31</v>
      </c>
      <c r="C3263" s="2" t="s">
        <v>15</v>
      </c>
      <c r="D3263" s="2" t="s">
        <v>22</v>
      </c>
      <c r="E3263">
        <v>20580</v>
      </c>
      <c r="F3263">
        <v>637</v>
      </c>
      <c r="G3263">
        <v>40</v>
      </c>
      <c r="H3263">
        <v>725.47</v>
      </c>
      <c r="I3263">
        <v>2802.69</v>
      </c>
      <c r="J3263">
        <v>3.1</v>
      </c>
      <c r="K3263">
        <v>6.28</v>
      </c>
      <c r="L3263">
        <v>18.14</v>
      </c>
      <c r="M3263">
        <v>3.86</v>
      </c>
      <c r="N3263">
        <v>2077.2199999999998</v>
      </c>
    </row>
    <row r="3264" spans="1:14" x14ac:dyDescent="0.2">
      <c r="A3264" s="1">
        <v>45745</v>
      </c>
      <c r="B3264" s="2" t="s">
        <v>33</v>
      </c>
      <c r="C3264" s="2" t="s">
        <v>28</v>
      </c>
      <c r="D3264" s="2" t="s">
        <v>22</v>
      </c>
      <c r="E3264">
        <v>3624</v>
      </c>
      <c r="F3264">
        <v>227</v>
      </c>
      <c r="G3264">
        <v>19</v>
      </c>
      <c r="H3264">
        <v>281.29000000000002</v>
      </c>
      <c r="I3264">
        <v>2286.16</v>
      </c>
      <c r="J3264">
        <v>6.26</v>
      </c>
      <c r="K3264">
        <v>8.3699999999999992</v>
      </c>
      <c r="L3264">
        <v>14.8</v>
      </c>
      <c r="M3264">
        <v>8.1300000000000008</v>
      </c>
      <c r="N3264">
        <v>2004.87</v>
      </c>
    </row>
    <row r="3265" spans="1:14" x14ac:dyDescent="0.2">
      <c r="A3265" s="1">
        <v>45745</v>
      </c>
      <c r="B3265" s="2" t="s">
        <v>34</v>
      </c>
      <c r="C3265" s="2" t="s">
        <v>32</v>
      </c>
      <c r="D3265" s="2" t="s">
        <v>22</v>
      </c>
      <c r="E3265">
        <v>3843</v>
      </c>
      <c r="F3265">
        <v>270</v>
      </c>
      <c r="G3265">
        <v>32</v>
      </c>
      <c r="H3265">
        <v>120.73</v>
      </c>
      <c r="I3265">
        <v>4093.71</v>
      </c>
      <c r="J3265">
        <v>7.03</v>
      </c>
      <c r="K3265">
        <v>11.85</v>
      </c>
      <c r="L3265">
        <v>3.77</v>
      </c>
      <c r="M3265">
        <v>33.909999999999997</v>
      </c>
      <c r="N3265">
        <v>3972.98</v>
      </c>
    </row>
    <row r="3266" spans="1:14" x14ac:dyDescent="0.2">
      <c r="A3266" s="1">
        <v>45746</v>
      </c>
      <c r="B3266" s="2" t="s">
        <v>14</v>
      </c>
      <c r="C3266" s="2" t="s">
        <v>28</v>
      </c>
      <c r="D3266" s="2" t="s">
        <v>19</v>
      </c>
      <c r="E3266">
        <v>8248</v>
      </c>
      <c r="F3266">
        <v>392</v>
      </c>
      <c r="G3266">
        <v>40</v>
      </c>
      <c r="H3266">
        <v>717.36</v>
      </c>
      <c r="I3266">
        <v>7760.74</v>
      </c>
      <c r="J3266">
        <v>4.75</v>
      </c>
      <c r="K3266">
        <v>10.199999999999999</v>
      </c>
      <c r="L3266">
        <v>17.93</v>
      </c>
      <c r="M3266">
        <v>10.82</v>
      </c>
      <c r="N3266">
        <v>7043.38</v>
      </c>
    </row>
    <row r="3267" spans="1:14" x14ac:dyDescent="0.2">
      <c r="A3267" s="1">
        <v>45746</v>
      </c>
      <c r="B3267" s="2" t="s">
        <v>17</v>
      </c>
      <c r="C3267" s="2" t="s">
        <v>32</v>
      </c>
      <c r="D3267" s="2" t="s">
        <v>19</v>
      </c>
      <c r="E3267">
        <v>12381</v>
      </c>
      <c r="F3267">
        <v>404</v>
      </c>
      <c r="G3267">
        <v>29</v>
      </c>
      <c r="H3267">
        <v>464.9</v>
      </c>
      <c r="I3267">
        <v>3588.9</v>
      </c>
      <c r="J3267">
        <v>3.26</v>
      </c>
      <c r="K3267">
        <v>7.18</v>
      </c>
      <c r="L3267">
        <v>16.03</v>
      </c>
      <c r="M3267">
        <v>7.72</v>
      </c>
      <c r="N3267">
        <v>3124</v>
      </c>
    </row>
    <row r="3268" spans="1:14" x14ac:dyDescent="0.2">
      <c r="A3268" s="1">
        <v>45746</v>
      </c>
      <c r="B3268" s="2" t="s">
        <v>20</v>
      </c>
      <c r="C3268" s="2" t="s">
        <v>28</v>
      </c>
      <c r="D3268" s="2" t="s">
        <v>25</v>
      </c>
      <c r="E3268">
        <v>8945</v>
      </c>
      <c r="F3268">
        <v>343</v>
      </c>
      <c r="G3268">
        <v>19</v>
      </c>
      <c r="H3268">
        <v>616.48</v>
      </c>
      <c r="I3268">
        <v>2164</v>
      </c>
      <c r="J3268">
        <v>3.83</v>
      </c>
      <c r="K3268">
        <v>5.54</v>
      </c>
      <c r="L3268">
        <v>32.450000000000003</v>
      </c>
      <c r="M3268">
        <v>3.51</v>
      </c>
      <c r="N3268">
        <v>1547.52</v>
      </c>
    </row>
    <row r="3269" spans="1:14" x14ac:dyDescent="0.2">
      <c r="A3269" s="1">
        <v>45746</v>
      </c>
      <c r="B3269" s="2" t="s">
        <v>23</v>
      </c>
      <c r="C3269" s="2" t="s">
        <v>21</v>
      </c>
      <c r="D3269" s="2" t="s">
        <v>22</v>
      </c>
      <c r="E3269">
        <v>2519</v>
      </c>
      <c r="F3269">
        <v>60</v>
      </c>
      <c r="G3269">
        <v>8</v>
      </c>
      <c r="H3269">
        <v>1050.03</v>
      </c>
      <c r="I3269">
        <v>2549.1999999999998</v>
      </c>
      <c r="J3269">
        <v>2.38</v>
      </c>
      <c r="K3269">
        <v>13.33</v>
      </c>
      <c r="L3269">
        <v>131.25</v>
      </c>
      <c r="M3269">
        <v>2.4300000000000002</v>
      </c>
      <c r="N3269">
        <v>1499.17</v>
      </c>
    </row>
    <row r="3270" spans="1:14" x14ac:dyDescent="0.2">
      <c r="A3270" s="1">
        <v>45746</v>
      </c>
      <c r="B3270" s="2" t="s">
        <v>24</v>
      </c>
      <c r="C3270" s="2" t="s">
        <v>15</v>
      </c>
      <c r="D3270" s="2" t="s">
        <v>22</v>
      </c>
      <c r="E3270">
        <v>15096</v>
      </c>
      <c r="F3270">
        <v>2777</v>
      </c>
      <c r="G3270">
        <v>228</v>
      </c>
      <c r="H3270">
        <v>145.62</v>
      </c>
      <c r="I3270">
        <v>32113.51</v>
      </c>
      <c r="J3270">
        <v>18.399999999999999</v>
      </c>
      <c r="K3270">
        <v>8.2100000000000009</v>
      </c>
      <c r="L3270">
        <v>0.64</v>
      </c>
      <c r="M3270">
        <v>220.53</v>
      </c>
      <c r="N3270">
        <v>31967.89</v>
      </c>
    </row>
    <row r="3271" spans="1:14" x14ac:dyDescent="0.2">
      <c r="A3271" s="1">
        <v>45746</v>
      </c>
      <c r="B3271" s="2" t="s">
        <v>26</v>
      </c>
      <c r="C3271" s="2" t="s">
        <v>32</v>
      </c>
      <c r="D3271" s="2" t="s">
        <v>25</v>
      </c>
      <c r="E3271">
        <v>22577</v>
      </c>
      <c r="F3271">
        <v>1211</v>
      </c>
      <c r="G3271">
        <v>166</v>
      </c>
      <c r="H3271">
        <v>0</v>
      </c>
      <c r="I3271">
        <v>20807.84</v>
      </c>
      <c r="J3271">
        <v>5.36</v>
      </c>
      <c r="K3271">
        <v>13.71</v>
      </c>
      <c r="L3271">
        <v>0</v>
      </c>
      <c r="M3271">
        <v>0</v>
      </c>
      <c r="N3271">
        <v>20807.84</v>
      </c>
    </row>
    <row r="3272" spans="1:14" x14ac:dyDescent="0.2">
      <c r="A3272" s="1">
        <v>45746</v>
      </c>
      <c r="B3272" s="2" t="s">
        <v>27</v>
      </c>
      <c r="C3272" s="2" t="s">
        <v>15</v>
      </c>
      <c r="D3272" s="2" t="s">
        <v>22</v>
      </c>
      <c r="E3272">
        <v>18914</v>
      </c>
      <c r="F3272">
        <v>317</v>
      </c>
      <c r="G3272">
        <v>9</v>
      </c>
      <c r="H3272">
        <v>492.73</v>
      </c>
      <c r="I3272">
        <v>961.34</v>
      </c>
      <c r="J3272">
        <v>1.68</v>
      </c>
      <c r="K3272">
        <v>2.84</v>
      </c>
      <c r="L3272">
        <v>54.75</v>
      </c>
      <c r="M3272">
        <v>1.95</v>
      </c>
      <c r="N3272">
        <v>468.61</v>
      </c>
    </row>
    <row r="3273" spans="1:14" x14ac:dyDescent="0.2">
      <c r="A3273" s="1">
        <v>45746</v>
      </c>
      <c r="B3273" s="2" t="s">
        <v>29</v>
      </c>
      <c r="C3273" s="2" t="s">
        <v>21</v>
      </c>
      <c r="D3273" s="2" t="s">
        <v>19</v>
      </c>
      <c r="E3273">
        <v>16842</v>
      </c>
      <c r="F3273">
        <v>272</v>
      </c>
      <c r="G3273">
        <v>14</v>
      </c>
      <c r="H3273">
        <v>837.91</v>
      </c>
      <c r="I3273">
        <v>1993.97</v>
      </c>
      <c r="J3273">
        <v>1.62</v>
      </c>
      <c r="K3273">
        <v>5.15</v>
      </c>
      <c r="L3273">
        <v>59.85</v>
      </c>
      <c r="M3273">
        <v>2.38</v>
      </c>
      <c r="N3273">
        <v>1156.06</v>
      </c>
    </row>
    <row r="3274" spans="1:14" x14ac:dyDescent="0.2">
      <c r="A3274" s="1">
        <v>45746</v>
      </c>
      <c r="B3274" s="2" t="s">
        <v>30</v>
      </c>
      <c r="C3274" s="2" t="s">
        <v>15</v>
      </c>
      <c r="D3274" s="2" t="s">
        <v>25</v>
      </c>
      <c r="E3274">
        <v>9391</v>
      </c>
      <c r="F3274">
        <v>310</v>
      </c>
      <c r="G3274">
        <v>14</v>
      </c>
      <c r="H3274">
        <v>338.46</v>
      </c>
      <c r="I3274">
        <v>1197.02</v>
      </c>
      <c r="J3274">
        <v>3.3</v>
      </c>
      <c r="K3274">
        <v>4.5199999999999996</v>
      </c>
      <c r="L3274">
        <v>24.18</v>
      </c>
      <c r="M3274">
        <v>3.54</v>
      </c>
      <c r="N3274">
        <v>858.56</v>
      </c>
    </row>
    <row r="3275" spans="1:14" x14ac:dyDescent="0.2">
      <c r="A3275" s="1">
        <v>45746</v>
      </c>
      <c r="B3275" s="2" t="s">
        <v>31</v>
      </c>
      <c r="C3275" s="2" t="s">
        <v>21</v>
      </c>
      <c r="D3275" s="2" t="s">
        <v>36</v>
      </c>
      <c r="E3275">
        <v>20419</v>
      </c>
      <c r="F3275">
        <v>634</v>
      </c>
      <c r="G3275">
        <v>28</v>
      </c>
      <c r="H3275">
        <v>663.93</v>
      </c>
      <c r="I3275">
        <v>2979.22</v>
      </c>
      <c r="J3275">
        <v>3.1</v>
      </c>
      <c r="K3275">
        <v>4.42</v>
      </c>
      <c r="L3275">
        <v>23.71</v>
      </c>
      <c r="M3275">
        <v>4.49</v>
      </c>
      <c r="N3275">
        <v>2315.29</v>
      </c>
    </row>
    <row r="3276" spans="1:14" x14ac:dyDescent="0.2">
      <c r="A3276" s="1">
        <v>45746</v>
      </c>
      <c r="B3276" s="2" t="s">
        <v>33</v>
      </c>
      <c r="C3276" s="2" t="s">
        <v>21</v>
      </c>
      <c r="D3276" s="2" t="s">
        <v>25</v>
      </c>
      <c r="E3276">
        <v>4575</v>
      </c>
      <c r="F3276">
        <v>212</v>
      </c>
      <c r="G3276">
        <v>25</v>
      </c>
      <c r="H3276">
        <v>409.08</v>
      </c>
      <c r="I3276">
        <v>3776.18</v>
      </c>
      <c r="J3276">
        <v>4.63</v>
      </c>
      <c r="K3276">
        <v>11.79</v>
      </c>
      <c r="L3276">
        <v>16.36</v>
      </c>
      <c r="M3276">
        <v>9.23</v>
      </c>
      <c r="N3276">
        <v>3367.1</v>
      </c>
    </row>
    <row r="3277" spans="1:14" x14ac:dyDescent="0.2">
      <c r="A3277" s="1">
        <v>45746</v>
      </c>
      <c r="B3277" s="2" t="s">
        <v>34</v>
      </c>
      <c r="C3277" s="2" t="s">
        <v>21</v>
      </c>
      <c r="D3277" s="2" t="s">
        <v>19</v>
      </c>
      <c r="E3277">
        <v>2678</v>
      </c>
      <c r="F3277">
        <v>214</v>
      </c>
      <c r="G3277">
        <v>30</v>
      </c>
      <c r="H3277">
        <v>116.07</v>
      </c>
      <c r="I3277">
        <v>3809.21</v>
      </c>
      <c r="J3277">
        <v>7.99</v>
      </c>
      <c r="K3277">
        <v>14.02</v>
      </c>
      <c r="L3277">
        <v>3.87</v>
      </c>
      <c r="M3277">
        <v>32.82</v>
      </c>
      <c r="N3277">
        <v>3693.14</v>
      </c>
    </row>
    <row r="3278" spans="1:14" x14ac:dyDescent="0.2">
      <c r="A3278" s="1">
        <v>45747</v>
      </c>
      <c r="B3278" s="2" t="s">
        <v>14</v>
      </c>
      <c r="C3278" s="2" t="s">
        <v>18</v>
      </c>
      <c r="D3278" s="2" t="s">
        <v>25</v>
      </c>
      <c r="E3278">
        <v>14378</v>
      </c>
      <c r="F3278">
        <v>696</v>
      </c>
      <c r="G3278">
        <v>58</v>
      </c>
      <c r="H3278">
        <v>987.09</v>
      </c>
      <c r="I3278">
        <v>7730.67</v>
      </c>
      <c r="J3278">
        <v>4.84</v>
      </c>
      <c r="K3278">
        <v>8.33</v>
      </c>
      <c r="L3278">
        <v>17.02</v>
      </c>
      <c r="M3278">
        <v>7.83</v>
      </c>
      <c r="N3278">
        <v>6743.58</v>
      </c>
    </row>
    <row r="3279" spans="1:14" x14ac:dyDescent="0.2">
      <c r="A3279" s="1">
        <v>45747</v>
      </c>
      <c r="B3279" s="2" t="s">
        <v>17</v>
      </c>
      <c r="C3279" s="2" t="s">
        <v>32</v>
      </c>
      <c r="D3279" s="2" t="s">
        <v>16</v>
      </c>
      <c r="E3279">
        <v>12986</v>
      </c>
      <c r="F3279">
        <v>331</v>
      </c>
      <c r="G3279">
        <v>27</v>
      </c>
      <c r="H3279">
        <v>1100.7</v>
      </c>
      <c r="I3279">
        <v>2836.95</v>
      </c>
      <c r="J3279">
        <v>2.5499999999999998</v>
      </c>
      <c r="K3279">
        <v>8.16</v>
      </c>
      <c r="L3279">
        <v>40.770000000000003</v>
      </c>
      <c r="M3279">
        <v>2.58</v>
      </c>
      <c r="N3279">
        <v>1736.25</v>
      </c>
    </row>
    <row r="3280" spans="1:14" x14ac:dyDescent="0.2">
      <c r="A3280" s="1">
        <v>45747</v>
      </c>
      <c r="B3280" s="2" t="s">
        <v>20</v>
      </c>
      <c r="C3280" s="2" t="s">
        <v>21</v>
      </c>
      <c r="D3280" s="2" t="s">
        <v>19</v>
      </c>
      <c r="E3280">
        <v>11784</v>
      </c>
      <c r="F3280">
        <v>441</v>
      </c>
      <c r="G3280">
        <v>18</v>
      </c>
      <c r="H3280">
        <v>924.74</v>
      </c>
      <c r="I3280">
        <v>1437.24</v>
      </c>
      <c r="J3280">
        <v>3.74</v>
      </c>
      <c r="K3280">
        <v>4.08</v>
      </c>
      <c r="L3280">
        <v>51.37</v>
      </c>
      <c r="M3280">
        <v>1.55</v>
      </c>
      <c r="N3280">
        <v>512.5</v>
      </c>
    </row>
    <row r="3281" spans="1:14" x14ac:dyDescent="0.2">
      <c r="A3281" s="1">
        <v>45747</v>
      </c>
      <c r="B3281" s="2" t="s">
        <v>23</v>
      </c>
      <c r="C3281" s="2" t="s">
        <v>21</v>
      </c>
      <c r="D3281" s="2" t="s">
        <v>16</v>
      </c>
      <c r="E3281">
        <v>4065</v>
      </c>
      <c r="F3281">
        <v>103</v>
      </c>
      <c r="G3281">
        <v>11</v>
      </c>
      <c r="H3281">
        <v>940.81</v>
      </c>
      <c r="I3281">
        <v>2832.42</v>
      </c>
      <c r="J3281">
        <v>2.5299999999999998</v>
      </c>
      <c r="K3281">
        <v>10.68</v>
      </c>
      <c r="L3281">
        <v>85.53</v>
      </c>
      <c r="M3281">
        <v>3.01</v>
      </c>
      <c r="N3281">
        <v>1891.61</v>
      </c>
    </row>
    <row r="3282" spans="1:14" x14ac:dyDescent="0.2">
      <c r="A3282" s="1">
        <v>45747</v>
      </c>
      <c r="B3282" s="2" t="s">
        <v>24</v>
      </c>
      <c r="C3282" s="2" t="s">
        <v>35</v>
      </c>
      <c r="D3282" s="2" t="s">
        <v>36</v>
      </c>
      <c r="E3282">
        <v>18798</v>
      </c>
      <c r="F3282">
        <v>4504</v>
      </c>
      <c r="G3282">
        <v>466</v>
      </c>
      <c r="H3282">
        <v>106.65</v>
      </c>
      <c r="I3282">
        <v>48679.07</v>
      </c>
      <c r="J3282">
        <v>23.96</v>
      </c>
      <c r="K3282">
        <v>10.35</v>
      </c>
      <c r="L3282">
        <v>0.23</v>
      </c>
      <c r="M3282">
        <v>456.44</v>
      </c>
      <c r="N3282">
        <v>48572.42</v>
      </c>
    </row>
    <row r="3283" spans="1:14" x14ac:dyDescent="0.2">
      <c r="A3283" s="1">
        <v>45747</v>
      </c>
      <c r="B3283" s="2" t="s">
        <v>26</v>
      </c>
      <c r="C3283" s="2" t="s">
        <v>28</v>
      </c>
      <c r="D3283" s="2" t="s">
        <v>19</v>
      </c>
      <c r="E3283">
        <v>20532</v>
      </c>
      <c r="F3283">
        <v>1274</v>
      </c>
      <c r="G3283">
        <v>176</v>
      </c>
      <c r="H3283">
        <v>0</v>
      </c>
      <c r="I3283">
        <v>17030.77</v>
      </c>
      <c r="J3283">
        <v>6.2</v>
      </c>
      <c r="K3283">
        <v>13.81</v>
      </c>
      <c r="L3283">
        <v>0</v>
      </c>
      <c r="M3283">
        <v>0</v>
      </c>
      <c r="N3283">
        <v>17030.77</v>
      </c>
    </row>
    <row r="3284" spans="1:14" x14ac:dyDescent="0.2">
      <c r="A3284" s="1">
        <v>45747</v>
      </c>
      <c r="B3284" s="2" t="s">
        <v>27</v>
      </c>
      <c r="C3284" s="2" t="s">
        <v>28</v>
      </c>
      <c r="D3284" s="2" t="s">
        <v>19</v>
      </c>
      <c r="E3284">
        <v>28652</v>
      </c>
      <c r="F3284">
        <v>378</v>
      </c>
      <c r="G3284">
        <v>16</v>
      </c>
      <c r="H3284">
        <v>778.46</v>
      </c>
      <c r="I3284">
        <v>1781.17</v>
      </c>
      <c r="J3284">
        <v>1.32</v>
      </c>
      <c r="K3284">
        <v>4.2300000000000004</v>
      </c>
      <c r="L3284">
        <v>48.65</v>
      </c>
      <c r="M3284">
        <v>2.29</v>
      </c>
      <c r="N3284">
        <v>1002.71</v>
      </c>
    </row>
    <row r="3285" spans="1:14" x14ac:dyDescent="0.2">
      <c r="A3285" s="1">
        <v>45747</v>
      </c>
      <c r="B3285" s="2" t="s">
        <v>29</v>
      </c>
      <c r="C3285" s="2" t="s">
        <v>21</v>
      </c>
      <c r="D3285" s="2" t="s">
        <v>22</v>
      </c>
      <c r="E3285">
        <v>21547</v>
      </c>
      <c r="F3285">
        <v>325</v>
      </c>
      <c r="G3285">
        <v>13</v>
      </c>
      <c r="H3285">
        <v>883.03</v>
      </c>
      <c r="I3285">
        <v>1608.01</v>
      </c>
      <c r="J3285">
        <v>1.51</v>
      </c>
      <c r="K3285">
        <v>4</v>
      </c>
      <c r="L3285">
        <v>67.930000000000007</v>
      </c>
      <c r="M3285">
        <v>1.82</v>
      </c>
      <c r="N3285">
        <v>724.98</v>
      </c>
    </row>
    <row r="3286" spans="1:14" x14ac:dyDescent="0.2">
      <c r="A3286" s="1">
        <v>45747</v>
      </c>
      <c r="B3286" s="2" t="s">
        <v>30</v>
      </c>
      <c r="C3286" s="2" t="s">
        <v>18</v>
      </c>
      <c r="D3286" s="2" t="s">
        <v>22</v>
      </c>
      <c r="E3286">
        <v>9137</v>
      </c>
      <c r="F3286">
        <v>201</v>
      </c>
      <c r="G3286">
        <v>7</v>
      </c>
      <c r="H3286">
        <v>795.35</v>
      </c>
      <c r="I3286">
        <v>738.81</v>
      </c>
      <c r="J3286">
        <v>2.2000000000000002</v>
      </c>
      <c r="K3286">
        <v>3.48</v>
      </c>
      <c r="L3286">
        <v>113.62</v>
      </c>
      <c r="M3286">
        <v>0.93</v>
      </c>
      <c r="N3286">
        <v>-56.54</v>
      </c>
    </row>
    <row r="3287" spans="1:14" x14ac:dyDescent="0.2">
      <c r="A3287" s="1">
        <v>45747</v>
      </c>
      <c r="B3287" s="2" t="s">
        <v>31</v>
      </c>
      <c r="C3287" s="2" t="s">
        <v>21</v>
      </c>
      <c r="D3287" s="2" t="s">
        <v>16</v>
      </c>
      <c r="E3287">
        <v>28363</v>
      </c>
      <c r="F3287">
        <v>777</v>
      </c>
      <c r="G3287">
        <v>32</v>
      </c>
      <c r="H3287">
        <v>636.41999999999996</v>
      </c>
      <c r="I3287">
        <v>3065.25</v>
      </c>
      <c r="J3287">
        <v>2.74</v>
      </c>
      <c r="K3287">
        <v>4.12</v>
      </c>
      <c r="L3287">
        <v>19.89</v>
      </c>
      <c r="M3287">
        <v>4.82</v>
      </c>
      <c r="N3287">
        <v>2428.83</v>
      </c>
    </row>
    <row r="3288" spans="1:14" x14ac:dyDescent="0.2">
      <c r="A3288" s="1">
        <v>45747</v>
      </c>
      <c r="B3288" s="2" t="s">
        <v>33</v>
      </c>
      <c r="C3288" s="2" t="s">
        <v>32</v>
      </c>
      <c r="D3288" s="2" t="s">
        <v>25</v>
      </c>
      <c r="E3288">
        <v>7041</v>
      </c>
      <c r="F3288">
        <v>333</v>
      </c>
      <c r="G3288">
        <v>31</v>
      </c>
      <c r="H3288">
        <v>421.33</v>
      </c>
      <c r="I3288">
        <v>4688.95</v>
      </c>
      <c r="J3288">
        <v>4.7300000000000004</v>
      </c>
      <c r="K3288">
        <v>9.31</v>
      </c>
      <c r="L3288">
        <v>13.59</v>
      </c>
      <c r="M3288">
        <v>11.13</v>
      </c>
      <c r="N3288">
        <v>4267.62</v>
      </c>
    </row>
    <row r="3289" spans="1:14" x14ac:dyDescent="0.2">
      <c r="A3289" s="1">
        <v>45747</v>
      </c>
      <c r="B3289" s="2" t="s">
        <v>34</v>
      </c>
      <c r="C3289" s="2" t="s">
        <v>35</v>
      </c>
      <c r="D3289" s="2" t="s">
        <v>25</v>
      </c>
      <c r="E3289">
        <v>4619</v>
      </c>
      <c r="F3289">
        <v>374</v>
      </c>
      <c r="G3289">
        <v>59</v>
      </c>
      <c r="H3289">
        <v>133.03</v>
      </c>
      <c r="I3289">
        <v>9185.91</v>
      </c>
      <c r="J3289">
        <v>8.1</v>
      </c>
      <c r="K3289">
        <v>15.78</v>
      </c>
      <c r="L3289">
        <v>2.25</v>
      </c>
      <c r="M3289">
        <v>69.05</v>
      </c>
      <c r="N3289">
        <v>9052.8799999999992</v>
      </c>
    </row>
    <row r="3290" spans="1:14" x14ac:dyDescent="0.2">
      <c r="A3290" s="1">
        <v>45748</v>
      </c>
      <c r="B3290" s="2" t="s">
        <v>14</v>
      </c>
      <c r="C3290" s="2" t="s">
        <v>32</v>
      </c>
      <c r="D3290" s="2" t="s">
        <v>25</v>
      </c>
      <c r="E3290">
        <v>13249</v>
      </c>
      <c r="F3290">
        <v>445</v>
      </c>
      <c r="G3290">
        <v>45</v>
      </c>
      <c r="H3290">
        <v>1495.62</v>
      </c>
      <c r="I3290">
        <v>7899.01</v>
      </c>
      <c r="J3290">
        <v>3.36</v>
      </c>
      <c r="K3290">
        <v>10.11</v>
      </c>
      <c r="L3290">
        <v>33.24</v>
      </c>
      <c r="M3290">
        <v>5.28</v>
      </c>
      <c r="N3290">
        <v>6403.39</v>
      </c>
    </row>
    <row r="3291" spans="1:14" x14ac:dyDescent="0.2">
      <c r="A3291" s="1">
        <v>45748</v>
      </c>
      <c r="B3291" s="2" t="s">
        <v>17</v>
      </c>
      <c r="C3291" s="2" t="s">
        <v>21</v>
      </c>
      <c r="D3291" s="2" t="s">
        <v>25</v>
      </c>
      <c r="E3291">
        <v>18068</v>
      </c>
      <c r="F3291">
        <v>491</v>
      </c>
      <c r="G3291">
        <v>38</v>
      </c>
      <c r="H3291">
        <v>788.59</v>
      </c>
      <c r="I3291">
        <v>3576.53</v>
      </c>
      <c r="J3291">
        <v>2.72</v>
      </c>
      <c r="K3291">
        <v>7.74</v>
      </c>
      <c r="L3291">
        <v>20.75</v>
      </c>
      <c r="M3291">
        <v>4.54</v>
      </c>
      <c r="N3291">
        <v>2787.94</v>
      </c>
    </row>
    <row r="3292" spans="1:14" x14ac:dyDescent="0.2">
      <c r="A3292" s="1">
        <v>45748</v>
      </c>
      <c r="B3292" s="2" t="s">
        <v>20</v>
      </c>
      <c r="C3292" s="2" t="s">
        <v>21</v>
      </c>
      <c r="D3292" s="2" t="s">
        <v>22</v>
      </c>
      <c r="E3292">
        <v>12988</v>
      </c>
      <c r="F3292">
        <v>326</v>
      </c>
      <c r="G3292">
        <v>24</v>
      </c>
      <c r="H3292">
        <v>857</v>
      </c>
      <c r="I3292">
        <v>2070.52</v>
      </c>
      <c r="J3292">
        <v>2.5099999999999998</v>
      </c>
      <c r="K3292">
        <v>7.36</v>
      </c>
      <c r="L3292">
        <v>35.71</v>
      </c>
      <c r="M3292">
        <v>2.42</v>
      </c>
      <c r="N3292">
        <v>1213.52</v>
      </c>
    </row>
    <row r="3293" spans="1:14" x14ac:dyDescent="0.2">
      <c r="A3293" s="1">
        <v>45748</v>
      </c>
      <c r="B3293" s="2" t="s">
        <v>23</v>
      </c>
      <c r="C3293" s="2" t="s">
        <v>15</v>
      </c>
      <c r="D3293" s="2" t="s">
        <v>16</v>
      </c>
      <c r="E3293">
        <v>5532</v>
      </c>
      <c r="F3293">
        <v>130</v>
      </c>
      <c r="G3293">
        <v>19</v>
      </c>
      <c r="H3293">
        <v>1276.1199999999999</v>
      </c>
      <c r="I3293">
        <v>5955.39</v>
      </c>
      <c r="J3293">
        <v>2.35</v>
      </c>
      <c r="K3293">
        <v>14.62</v>
      </c>
      <c r="L3293">
        <v>67.16</v>
      </c>
      <c r="M3293">
        <v>4.67</v>
      </c>
      <c r="N3293">
        <v>4679.2700000000004</v>
      </c>
    </row>
    <row r="3294" spans="1:14" x14ac:dyDescent="0.2">
      <c r="A3294" s="1">
        <v>45748</v>
      </c>
      <c r="B3294" s="2" t="s">
        <v>24</v>
      </c>
      <c r="C3294" s="2" t="s">
        <v>35</v>
      </c>
      <c r="D3294" s="2" t="s">
        <v>16</v>
      </c>
      <c r="E3294">
        <v>19768</v>
      </c>
      <c r="F3294">
        <v>4835</v>
      </c>
      <c r="G3294">
        <v>498</v>
      </c>
      <c r="H3294">
        <v>202.85</v>
      </c>
      <c r="I3294">
        <v>74898.44</v>
      </c>
      <c r="J3294">
        <v>24.46</v>
      </c>
      <c r="K3294">
        <v>10.3</v>
      </c>
      <c r="L3294">
        <v>0.41</v>
      </c>
      <c r="M3294">
        <v>369.23</v>
      </c>
      <c r="N3294">
        <v>74695.59</v>
      </c>
    </row>
    <row r="3295" spans="1:14" x14ac:dyDescent="0.2">
      <c r="A3295" s="1">
        <v>45748</v>
      </c>
      <c r="B3295" s="2" t="s">
        <v>26</v>
      </c>
      <c r="C3295" s="2" t="s">
        <v>15</v>
      </c>
      <c r="D3295" s="2" t="s">
        <v>36</v>
      </c>
      <c r="E3295">
        <v>20966</v>
      </c>
      <c r="F3295">
        <v>1111</v>
      </c>
      <c r="G3295">
        <v>148</v>
      </c>
      <c r="H3295">
        <v>0</v>
      </c>
      <c r="I3295">
        <v>22145.35</v>
      </c>
      <c r="J3295">
        <v>5.3</v>
      </c>
      <c r="K3295">
        <v>13.32</v>
      </c>
      <c r="L3295">
        <v>0</v>
      </c>
      <c r="M3295">
        <v>0</v>
      </c>
      <c r="N3295">
        <v>22145.35</v>
      </c>
    </row>
    <row r="3296" spans="1:14" x14ac:dyDescent="0.2">
      <c r="A3296" s="1">
        <v>45748</v>
      </c>
      <c r="B3296" s="2" t="s">
        <v>27</v>
      </c>
      <c r="C3296" s="2" t="s">
        <v>21</v>
      </c>
      <c r="D3296" s="2" t="s">
        <v>25</v>
      </c>
      <c r="E3296">
        <v>32980</v>
      </c>
      <c r="F3296">
        <v>380</v>
      </c>
      <c r="G3296">
        <v>11</v>
      </c>
      <c r="H3296">
        <v>1045.6400000000001</v>
      </c>
      <c r="I3296">
        <v>1180.51</v>
      </c>
      <c r="J3296">
        <v>1.1499999999999999</v>
      </c>
      <c r="K3296">
        <v>2.89</v>
      </c>
      <c r="L3296">
        <v>95.06</v>
      </c>
      <c r="M3296">
        <v>1.1299999999999999</v>
      </c>
      <c r="N3296">
        <v>134.87</v>
      </c>
    </row>
    <row r="3297" spans="1:14" x14ac:dyDescent="0.2">
      <c r="A3297" s="1">
        <v>45748</v>
      </c>
      <c r="B3297" s="2" t="s">
        <v>29</v>
      </c>
      <c r="C3297" s="2" t="s">
        <v>32</v>
      </c>
      <c r="D3297" s="2" t="s">
        <v>36</v>
      </c>
      <c r="E3297">
        <v>16119</v>
      </c>
      <c r="F3297">
        <v>392</v>
      </c>
      <c r="G3297">
        <v>16</v>
      </c>
      <c r="H3297">
        <v>1064.0999999999999</v>
      </c>
      <c r="I3297">
        <v>1810.36</v>
      </c>
      <c r="J3297">
        <v>2.4300000000000002</v>
      </c>
      <c r="K3297">
        <v>4.08</v>
      </c>
      <c r="L3297">
        <v>66.510000000000005</v>
      </c>
      <c r="M3297">
        <v>1.7</v>
      </c>
      <c r="N3297">
        <v>746.26</v>
      </c>
    </row>
    <row r="3298" spans="1:14" x14ac:dyDescent="0.2">
      <c r="A3298" s="1">
        <v>45748</v>
      </c>
      <c r="B3298" s="2" t="s">
        <v>30</v>
      </c>
      <c r="C3298" s="2" t="s">
        <v>15</v>
      </c>
      <c r="D3298" s="2" t="s">
        <v>19</v>
      </c>
      <c r="E3298">
        <v>12786</v>
      </c>
      <c r="F3298">
        <v>408</v>
      </c>
      <c r="G3298">
        <v>16</v>
      </c>
      <c r="H3298">
        <v>655.89</v>
      </c>
      <c r="I3298">
        <v>1761.54</v>
      </c>
      <c r="J3298">
        <v>3.19</v>
      </c>
      <c r="K3298">
        <v>3.92</v>
      </c>
      <c r="L3298">
        <v>40.99</v>
      </c>
      <c r="M3298">
        <v>2.69</v>
      </c>
      <c r="N3298">
        <v>1105.6500000000001</v>
      </c>
    </row>
    <row r="3299" spans="1:14" x14ac:dyDescent="0.2">
      <c r="A3299" s="1">
        <v>45748</v>
      </c>
      <c r="B3299" s="2" t="s">
        <v>31</v>
      </c>
      <c r="C3299" s="2" t="s">
        <v>21</v>
      </c>
      <c r="D3299" s="2" t="s">
        <v>36</v>
      </c>
      <c r="E3299">
        <v>21327</v>
      </c>
      <c r="F3299">
        <v>593</v>
      </c>
      <c r="G3299">
        <v>36</v>
      </c>
      <c r="H3299">
        <v>783.72</v>
      </c>
      <c r="I3299">
        <v>3159.96</v>
      </c>
      <c r="J3299">
        <v>2.78</v>
      </c>
      <c r="K3299">
        <v>6.07</v>
      </c>
      <c r="L3299">
        <v>21.77</v>
      </c>
      <c r="M3299">
        <v>4.03</v>
      </c>
      <c r="N3299">
        <v>2376.2399999999998</v>
      </c>
    </row>
    <row r="3300" spans="1:14" x14ac:dyDescent="0.2">
      <c r="A3300" s="1">
        <v>45748</v>
      </c>
      <c r="B3300" s="2" t="s">
        <v>33</v>
      </c>
      <c r="C3300" s="2" t="s">
        <v>28</v>
      </c>
      <c r="D3300" s="2" t="s">
        <v>36</v>
      </c>
      <c r="E3300">
        <v>9187</v>
      </c>
      <c r="F3300">
        <v>574</v>
      </c>
      <c r="G3300">
        <v>69</v>
      </c>
      <c r="H3300">
        <v>344.52</v>
      </c>
      <c r="I3300">
        <v>9520.85</v>
      </c>
      <c r="J3300">
        <v>6.25</v>
      </c>
      <c r="K3300">
        <v>12.02</v>
      </c>
      <c r="L3300">
        <v>4.99</v>
      </c>
      <c r="M3300">
        <v>27.64</v>
      </c>
      <c r="N3300">
        <v>9176.33</v>
      </c>
    </row>
    <row r="3301" spans="1:14" x14ac:dyDescent="0.2">
      <c r="A3301" s="1">
        <v>45748</v>
      </c>
      <c r="B3301" s="2" t="s">
        <v>34</v>
      </c>
      <c r="C3301" s="2" t="s">
        <v>21</v>
      </c>
      <c r="D3301" s="2" t="s">
        <v>22</v>
      </c>
      <c r="E3301">
        <v>6864</v>
      </c>
      <c r="F3301">
        <v>674</v>
      </c>
      <c r="G3301">
        <v>91</v>
      </c>
      <c r="H3301">
        <v>115.11</v>
      </c>
      <c r="I3301">
        <v>16412.39</v>
      </c>
      <c r="J3301">
        <v>9.82</v>
      </c>
      <c r="K3301">
        <v>13.5</v>
      </c>
      <c r="L3301">
        <v>1.26</v>
      </c>
      <c r="M3301">
        <v>142.58000000000001</v>
      </c>
      <c r="N3301">
        <v>16297.28</v>
      </c>
    </row>
    <row r="3302" spans="1:14" x14ac:dyDescent="0.2">
      <c r="A3302" s="1">
        <v>45749</v>
      </c>
      <c r="B3302" s="2" t="s">
        <v>14</v>
      </c>
      <c r="C3302" s="2" t="s">
        <v>21</v>
      </c>
      <c r="D3302" s="2" t="s">
        <v>22</v>
      </c>
      <c r="E3302">
        <v>8388</v>
      </c>
      <c r="F3302">
        <v>275</v>
      </c>
      <c r="G3302">
        <v>31</v>
      </c>
      <c r="H3302">
        <v>1463.55</v>
      </c>
      <c r="I3302">
        <v>4096.49</v>
      </c>
      <c r="J3302">
        <v>3.28</v>
      </c>
      <c r="K3302">
        <v>11.27</v>
      </c>
      <c r="L3302">
        <v>47.21</v>
      </c>
      <c r="M3302">
        <v>2.8</v>
      </c>
      <c r="N3302">
        <v>2632.94</v>
      </c>
    </row>
    <row r="3303" spans="1:14" x14ac:dyDescent="0.2">
      <c r="A3303" s="1">
        <v>45749</v>
      </c>
      <c r="B3303" s="2" t="s">
        <v>17</v>
      </c>
      <c r="C3303" s="2" t="s">
        <v>18</v>
      </c>
      <c r="D3303" s="2" t="s">
        <v>36</v>
      </c>
      <c r="E3303">
        <v>19330</v>
      </c>
      <c r="F3303">
        <v>694</v>
      </c>
      <c r="G3303">
        <v>59</v>
      </c>
      <c r="H3303">
        <v>1199.8800000000001</v>
      </c>
      <c r="I3303">
        <v>7718.75</v>
      </c>
      <c r="J3303">
        <v>3.59</v>
      </c>
      <c r="K3303">
        <v>8.5</v>
      </c>
      <c r="L3303">
        <v>20.34</v>
      </c>
      <c r="M3303">
        <v>6.43</v>
      </c>
      <c r="N3303">
        <v>6518.87</v>
      </c>
    </row>
    <row r="3304" spans="1:14" x14ac:dyDescent="0.2">
      <c r="A3304" s="1">
        <v>45749</v>
      </c>
      <c r="B3304" s="2" t="s">
        <v>20</v>
      </c>
      <c r="C3304" s="2" t="s">
        <v>18</v>
      </c>
      <c r="D3304" s="2" t="s">
        <v>19</v>
      </c>
      <c r="E3304">
        <v>14475</v>
      </c>
      <c r="F3304">
        <v>383</v>
      </c>
      <c r="G3304">
        <v>15</v>
      </c>
      <c r="H3304">
        <v>850.62</v>
      </c>
      <c r="I3304">
        <v>1499.16</v>
      </c>
      <c r="J3304">
        <v>2.65</v>
      </c>
      <c r="K3304">
        <v>3.92</v>
      </c>
      <c r="L3304">
        <v>56.71</v>
      </c>
      <c r="M3304">
        <v>1.76</v>
      </c>
      <c r="N3304">
        <v>648.54</v>
      </c>
    </row>
    <row r="3305" spans="1:14" x14ac:dyDescent="0.2">
      <c r="A3305" s="1">
        <v>45749</v>
      </c>
      <c r="B3305" s="2" t="s">
        <v>23</v>
      </c>
      <c r="C3305" s="2" t="s">
        <v>28</v>
      </c>
      <c r="D3305" s="2" t="s">
        <v>22</v>
      </c>
      <c r="E3305">
        <v>5933</v>
      </c>
      <c r="F3305">
        <v>99</v>
      </c>
      <c r="G3305">
        <v>10</v>
      </c>
      <c r="H3305">
        <v>1560.59</v>
      </c>
      <c r="I3305">
        <v>2661.83</v>
      </c>
      <c r="J3305">
        <v>1.67</v>
      </c>
      <c r="K3305">
        <v>10.1</v>
      </c>
      <c r="L3305">
        <v>156.06</v>
      </c>
      <c r="M3305">
        <v>1.71</v>
      </c>
      <c r="N3305">
        <v>1101.24</v>
      </c>
    </row>
    <row r="3306" spans="1:14" x14ac:dyDescent="0.2">
      <c r="A3306" s="1">
        <v>45749</v>
      </c>
      <c r="B3306" s="2" t="s">
        <v>24</v>
      </c>
      <c r="C3306" s="2" t="s">
        <v>15</v>
      </c>
      <c r="D3306" s="2" t="s">
        <v>22</v>
      </c>
      <c r="E3306">
        <v>24030</v>
      </c>
      <c r="F3306">
        <v>5477</v>
      </c>
      <c r="G3306">
        <v>499</v>
      </c>
      <c r="H3306">
        <v>184.52</v>
      </c>
      <c r="I3306">
        <v>64721.36</v>
      </c>
      <c r="J3306">
        <v>22.79</v>
      </c>
      <c r="K3306">
        <v>9.11</v>
      </c>
      <c r="L3306">
        <v>0.37</v>
      </c>
      <c r="M3306">
        <v>350.76</v>
      </c>
      <c r="N3306">
        <v>64536.84</v>
      </c>
    </row>
    <row r="3307" spans="1:14" x14ac:dyDescent="0.2">
      <c r="A3307" s="1">
        <v>45749</v>
      </c>
      <c r="B3307" s="2" t="s">
        <v>26</v>
      </c>
      <c r="C3307" s="2" t="s">
        <v>21</v>
      </c>
      <c r="D3307" s="2" t="s">
        <v>16</v>
      </c>
      <c r="E3307">
        <v>20012</v>
      </c>
      <c r="F3307">
        <v>1120</v>
      </c>
      <c r="G3307">
        <v>127</v>
      </c>
      <c r="H3307">
        <v>0</v>
      </c>
      <c r="I3307">
        <v>13635.9</v>
      </c>
      <c r="J3307">
        <v>5.6</v>
      </c>
      <c r="K3307">
        <v>11.34</v>
      </c>
      <c r="L3307">
        <v>0</v>
      </c>
      <c r="M3307">
        <v>0</v>
      </c>
      <c r="N3307">
        <v>13635.9</v>
      </c>
    </row>
    <row r="3308" spans="1:14" x14ac:dyDescent="0.2">
      <c r="A3308" s="1">
        <v>45749</v>
      </c>
      <c r="B3308" s="2" t="s">
        <v>27</v>
      </c>
      <c r="C3308" s="2" t="s">
        <v>21</v>
      </c>
      <c r="D3308" s="2" t="s">
        <v>36</v>
      </c>
      <c r="E3308">
        <v>28578</v>
      </c>
      <c r="F3308">
        <v>313</v>
      </c>
      <c r="G3308">
        <v>9</v>
      </c>
      <c r="H3308">
        <v>1023.19</v>
      </c>
      <c r="I3308">
        <v>1067.3699999999999</v>
      </c>
      <c r="J3308">
        <v>1.1000000000000001</v>
      </c>
      <c r="K3308">
        <v>2.88</v>
      </c>
      <c r="L3308">
        <v>113.69</v>
      </c>
      <c r="M3308">
        <v>1.04</v>
      </c>
      <c r="N3308">
        <v>44.18</v>
      </c>
    </row>
    <row r="3309" spans="1:14" x14ac:dyDescent="0.2">
      <c r="A3309" s="1">
        <v>45749</v>
      </c>
      <c r="B3309" s="2" t="s">
        <v>29</v>
      </c>
      <c r="C3309" s="2" t="s">
        <v>32</v>
      </c>
      <c r="D3309" s="2" t="s">
        <v>36</v>
      </c>
      <c r="E3309">
        <v>16327</v>
      </c>
      <c r="F3309">
        <v>458</v>
      </c>
      <c r="G3309">
        <v>29</v>
      </c>
      <c r="H3309">
        <v>1191.3699999999999</v>
      </c>
      <c r="I3309">
        <v>3426.28</v>
      </c>
      <c r="J3309">
        <v>2.81</v>
      </c>
      <c r="K3309">
        <v>6.33</v>
      </c>
      <c r="L3309">
        <v>41.08</v>
      </c>
      <c r="M3309">
        <v>2.88</v>
      </c>
      <c r="N3309">
        <v>2234.91</v>
      </c>
    </row>
    <row r="3310" spans="1:14" x14ac:dyDescent="0.2">
      <c r="A3310" s="1">
        <v>45749</v>
      </c>
      <c r="B3310" s="2" t="s">
        <v>30</v>
      </c>
      <c r="C3310" s="2" t="s">
        <v>15</v>
      </c>
      <c r="D3310" s="2" t="s">
        <v>19</v>
      </c>
      <c r="E3310">
        <v>10077</v>
      </c>
      <c r="F3310">
        <v>255</v>
      </c>
      <c r="G3310">
        <v>14</v>
      </c>
      <c r="H3310">
        <v>461.75</v>
      </c>
      <c r="I3310">
        <v>1673.3</v>
      </c>
      <c r="J3310">
        <v>2.5299999999999998</v>
      </c>
      <c r="K3310">
        <v>5.49</v>
      </c>
      <c r="L3310">
        <v>32.979999999999997</v>
      </c>
      <c r="M3310">
        <v>3.62</v>
      </c>
      <c r="N3310">
        <v>1211.55</v>
      </c>
    </row>
    <row r="3311" spans="1:14" x14ac:dyDescent="0.2">
      <c r="A3311" s="1">
        <v>45749</v>
      </c>
      <c r="B3311" s="2" t="s">
        <v>31</v>
      </c>
      <c r="C3311" s="2" t="s">
        <v>28</v>
      </c>
      <c r="D3311" s="2" t="s">
        <v>22</v>
      </c>
      <c r="E3311">
        <v>27973</v>
      </c>
      <c r="F3311">
        <v>824</v>
      </c>
      <c r="G3311">
        <v>31</v>
      </c>
      <c r="H3311">
        <v>796.83</v>
      </c>
      <c r="I3311">
        <v>2989.15</v>
      </c>
      <c r="J3311">
        <v>2.95</v>
      </c>
      <c r="K3311">
        <v>3.76</v>
      </c>
      <c r="L3311">
        <v>25.7</v>
      </c>
      <c r="M3311">
        <v>3.75</v>
      </c>
      <c r="N3311">
        <v>2192.3200000000002</v>
      </c>
    </row>
    <row r="3312" spans="1:14" x14ac:dyDescent="0.2">
      <c r="A3312" s="1">
        <v>45749</v>
      </c>
      <c r="B3312" s="2" t="s">
        <v>33</v>
      </c>
      <c r="C3312" s="2" t="s">
        <v>28</v>
      </c>
      <c r="D3312" s="2" t="s">
        <v>36</v>
      </c>
      <c r="E3312">
        <v>8008</v>
      </c>
      <c r="F3312">
        <v>396</v>
      </c>
      <c r="G3312">
        <v>48</v>
      </c>
      <c r="H3312">
        <v>660.43</v>
      </c>
      <c r="I3312">
        <v>6304.8</v>
      </c>
      <c r="J3312">
        <v>4.95</v>
      </c>
      <c r="K3312">
        <v>12.12</v>
      </c>
      <c r="L3312">
        <v>13.76</v>
      </c>
      <c r="M3312">
        <v>9.5500000000000007</v>
      </c>
      <c r="N3312">
        <v>5644.37</v>
      </c>
    </row>
    <row r="3313" spans="1:14" x14ac:dyDescent="0.2">
      <c r="A3313" s="1">
        <v>45749</v>
      </c>
      <c r="B3313" s="2" t="s">
        <v>34</v>
      </c>
      <c r="C3313" s="2" t="s">
        <v>18</v>
      </c>
      <c r="D3313" s="2" t="s">
        <v>25</v>
      </c>
      <c r="E3313">
        <v>5435</v>
      </c>
      <c r="F3313">
        <v>351</v>
      </c>
      <c r="G3313">
        <v>55</v>
      </c>
      <c r="H3313">
        <v>69.45</v>
      </c>
      <c r="I3313">
        <v>9849.9699999999993</v>
      </c>
      <c r="J3313">
        <v>6.46</v>
      </c>
      <c r="K3313">
        <v>15.67</v>
      </c>
      <c r="L3313">
        <v>1.26</v>
      </c>
      <c r="M3313">
        <v>141.83000000000001</v>
      </c>
      <c r="N3313">
        <v>9780.52</v>
      </c>
    </row>
    <row r="3314" spans="1:14" x14ac:dyDescent="0.2">
      <c r="A3314" s="1">
        <v>45750</v>
      </c>
      <c r="B3314" s="2" t="s">
        <v>14</v>
      </c>
      <c r="C3314" s="2" t="s">
        <v>15</v>
      </c>
      <c r="D3314" s="2" t="s">
        <v>36</v>
      </c>
      <c r="E3314">
        <v>14164</v>
      </c>
      <c r="F3314">
        <v>573</v>
      </c>
      <c r="G3314">
        <v>51</v>
      </c>
      <c r="H3314">
        <v>947.74</v>
      </c>
      <c r="I3314">
        <v>7273.07</v>
      </c>
      <c r="J3314">
        <v>4.05</v>
      </c>
      <c r="K3314">
        <v>8.9</v>
      </c>
      <c r="L3314">
        <v>18.579999999999998</v>
      </c>
      <c r="M3314">
        <v>7.67</v>
      </c>
      <c r="N3314">
        <v>6325.33</v>
      </c>
    </row>
    <row r="3315" spans="1:14" x14ac:dyDescent="0.2">
      <c r="A3315" s="1">
        <v>45750</v>
      </c>
      <c r="B3315" s="2" t="s">
        <v>17</v>
      </c>
      <c r="C3315" s="2" t="s">
        <v>15</v>
      </c>
      <c r="D3315" s="2" t="s">
        <v>19</v>
      </c>
      <c r="E3315">
        <v>18483</v>
      </c>
      <c r="F3315">
        <v>415</v>
      </c>
      <c r="G3315">
        <v>24</v>
      </c>
      <c r="H3315">
        <v>977.01</v>
      </c>
      <c r="I3315">
        <v>3097.07</v>
      </c>
      <c r="J3315">
        <v>2.25</v>
      </c>
      <c r="K3315">
        <v>5.78</v>
      </c>
      <c r="L3315">
        <v>40.71</v>
      </c>
      <c r="M3315">
        <v>3.17</v>
      </c>
      <c r="N3315">
        <v>2120.06</v>
      </c>
    </row>
    <row r="3316" spans="1:14" x14ac:dyDescent="0.2">
      <c r="A3316" s="1">
        <v>45750</v>
      </c>
      <c r="B3316" s="2" t="s">
        <v>20</v>
      </c>
      <c r="C3316" s="2" t="s">
        <v>28</v>
      </c>
      <c r="D3316" s="2" t="s">
        <v>25</v>
      </c>
      <c r="E3316">
        <v>12242</v>
      </c>
      <c r="F3316">
        <v>392</v>
      </c>
      <c r="G3316">
        <v>25</v>
      </c>
      <c r="H3316">
        <v>651.65</v>
      </c>
      <c r="I3316">
        <v>2326.67</v>
      </c>
      <c r="J3316">
        <v>3.2</v>
      </c>
      <c r="K3316">
        <v>6.38</v>
      </c>
      <c r="L3316">
        <v>26.07</v>
      </c>
      <c r="M3316">
        <v>3.57</v>
      </c>
      <c r="N3316">
        <v>1675.02</v>
      </c>
    </row>
    <row r="3317" spans="1:14" x14ac:dyDescent="0.2">
      <c r="A3317" s="1">
        <v>45750</v>
      </c>
      <c r="B3317" s="2" t="s">
        <v>23</v>
      </c>
      <c r="C3317" s="2" t="s">
        <v>15</v>
      </c>
      <c r="D3317" s="2" t="s">
        <v>25</v>
      </c>
      <c r="E3317">
        <v>3804</v>
      </c>
      <c r="F3317">
        <v>69</v>
      </c>
      <c r="G3317">
        <v>7</v>
      </c>
      <c r="H3317">
        <v>1413.83</v>
      </c>
      <c r="I3317">
        <v>2220.27</v>
      </c>
      <c r="J3317">
        <v>1.81</v>
      </c>
      <c r="K3317">
        <v>10.14</v>
      </c>
      <c r="L3317">
        <v>201.98</v>
      </c>
      <c r="M3317">
        <v>1.57</v>
      </c>
      <c r="N3317">
        <v>806.44</v>
      </c>
    </row>
    <row r="3318" spans="1:14" x14ac:dyDescent="0.2">
      <c r="A3318" s="1">
        <v>45750</v>
      </c>
      <c r="B3318" s="2" t="s">
        <v>24</v>
      </c>
      <c r="C3318" s="2" t="s">
        <v>32</v>
      </c>
      <c r="D3318" s="2" t="s">
        <v>25</v>
      </c>
      <c r="E3318">
        <v>20646</v>
      </c>
      <c r="F3318">
        <v>4475</v>
      </c>
      <c r="G3318">
        <v>401</v>
      </c>
      <c r="H3318">
        <v>170.01</v>
      </c>
      <c r="I3318">
        <v>56080.02</v>
      </c>
      <c r="J3318">
        <v>21.67</v>
      </c>
      <c r="K3318">
        <v>8.9600000000000009</v>
      </c>
      <c r="L3318">
        <v>0.42</v>
      </c>
      <c r="M3318">
        <v>329.86</v>
      </c>
      <c r="N3318">
        <v>55910.01</v>
      </c>
    </row>
    <row r="3319" spans="1:14" x14ac:dyDescent="0.2">
      <c r="A3319" s="1">
        <v>45750</v>
      </c>
      <c r="B3319" s="2" t="s">
        <v>26</v>
      </c>
      <c r="C3319" s="2" t="s">
        <v>32</v>
      </c>
      <c r="D3319" s="2" t="s">
        <v>16</v>
      </c>
      <c r="E3319">
        <v>20538</v>
      </c>
      <c r="F3319">
        <v>1431</v>
      </c>
      <c r="G3319">
        <v>210</v>
      </c>
      <c r="H3319">
        <v>0</v>
      </c>
      <c r="I3319">
        <v>27334.9</v>
      </c>
      <c r="J3319">
        <v>6.97</v>
      </c>
      <c r="K3319">
        <v>14.68</v>
      </c>
      <c r="L3319">
        <v>0</v>
      </c>
      <c r="M3319">
        <v>0</v>
      </c>
      <c r="N3319">
        <v>27334.9</v>
      </c>
    </row>
    <row r="3320" spans="1:14" x14ac:dyDescent="0.2">
      <c r="A3320" s="1">
        <v>45750</v>
      </c>
      <c r="B3320" s="2" t="s">
        <v>27</v>
      </c>
      <c r="C3320" s="2" t="s">
        <v>32</v>
      </c>
      <c r="D3320" s="2" t="s">
        <v>16</v>
      </c>
      <c r="E3320">
        <v>25875</v>
      </c>
      <c r="F3320">
        <v>377</v>
      </c>
      <c r="G3320">
        <v>9</v>
      </c>
      <c r="H3320">
        <v>1292.68</v>
      </c>
      <c r="I3320">
        <v>813.24</v>
      </c>
      <c r="J3320">
        <v>1.46</v>
      </c>
      <c r="K3320">
        <v>2.39</v>
      </c>
      <c r="L3320">
        <v>143.63</v>
      </c>
      <c r="M3320">
        <v>0.63</v>
      </c>
      <c r="N3320">
        <v>-479.44</v>
      </c>
    </row>
    <row r="3321" spans="1:14" x14ac:dyDescent="0.2">
      <c r="A3321" s="1">
        <v>45750</v>
      </c>
      <c r="B3321" s="2" t="s">
        <v>29</v>
      </c>
      <c r="C3321" s="2" t="s">
        <v>28</v>
      </c>
      <c r="D3321" s="2" t="s">
        <v>36</v>
      </c>
      <c r="E3321">
        <v>23784</v>
      </c>
      <c r="F3321">
        <v>364</v>
      </c>
      <c r="G3321">
        <v>18</v>
      </c>
      <c r="H3321">
        <v>1069.0899999999999</v>
      </c>
      <c r="I3321">
        <v>2773.01</v>
      </c>
      <c r="J3321">
        <v>1.53</v>
      </c>
      <c r="K3321">
        <v>4.95</v>
      </c>
      <c r="L3321">
        <v>59.39</v>
      </c>
      <c r="M3321">
        <v>2.59</v>
      </c>
      <c r="N3321">
        <v>1703.92</v>
      </c>
    </row>
    <row r="3322" spans="1:14" x14ac:dyDescent="0.2">
      <c r="A3322" s="1">
        <v>45750</v>
      </c>
      <c r="B3322" s="2" t="s">
        <v>30</v>
      </c>
      <c r="C3322" s="2" t="s">
        <v>18</v>
      </c>
      <c r="D3322" s="2" t="s">
        <v>22</v>
      </c>
      <c r="E3322">
        <v>13069</v>
      </c>
      <c r="F3322">
        <v>357</v>
      </c>
      <c r="G3322">
        <v>17</v>
      </c>
      <c r="H3322">
        <v>430.99</v>
      </c>
      <c r="I3322">
        <v>1567.33</v>
      </c>
      <c r="J3322">
        <v>2.73</v>
      </c>
      <c r="K3322">
        <v>4.76</v>
      </c>
      <c r="L3322">
        <v>25.35</v>
      </c>
      <c r="M3322">
        <v>3.64</v>
      </c>
      <c r="N3322">
        <v>1136.3399999999999</v>
      </c>
    </row>
    <row r="3323" spans="1:14" x14ac:dyDescent="0.2">
      <c r="A3323" s="1">
        <v>45750</v>
      </c>
      <c r="B3323" s="2" t="s">
        <v>31</v>
      </c>
      <c r="C3323" s="2" t="s">
        <v>32</v>
      </c>
      <c r="D3323" s="2" t="s">
        <v>25</v>
      </c>
      <c r="E3323">
        <v>21864</v>
      </c>
      <c r="F3323">
        <v>582</v>
      </c>
      <c r="G3323">
        <v>37</v>
      </c>
      <c r="H3323">
        <v>926.74</v>
      </c>
      <c r="I3323">
        <v>3411.69</v>
      </c>
      <c r="J3323">
        <v>2.66</v>
      </c>
      <c r="K3323">
        <v>6.36</v>
      </c>
      <c r="L3323">
        <v>25.05</v>
      </c>
      <c r="M3323">
        <v>3.68</v>
      </c>
      <c r="N3323">
        <v>2484.9499999999998</v>
      </c>
    </row>
    <row r="3324" spans="1:14" x14ac:dyDescent="0.2">
      <c r="A3324" s="1">
        <v>45750</v>
      </c>
      <c r="B3324" s="2" t="s">
        <v>33</v>
      </c>
      <c r="C3324" s="2" t="s">
        <v>28</v>
      </c>
      <c r="D3324" s="2" t="s">
        <v>16</v>
      </c>
      <c r="E3324">
        <v>9538</v>
      </c>
      <c r="F3324">
        <v>493</v>
      </c>
      <c r="G3324">
        <v>44</v>
      </c>
      <c r="H3324">
        <v>318.20999999999998</v>
      </c>
      <c r="I3324">
        <v>6268.6</v>
      </c>
      <c r="J3324">
        <v>5.17</v>
      </c>
      <c r="K3324">
        <v>8.92</v>
      </c>
      <c r="L3324">
        <v>7.23</v>
      </c>
      <c r="M3324">
        <v>19.7</v>
      </c>
      <c r="N3324">
        <v>5950.39</v>
      </c>
    </row>
    <row r="3325" spans="1:14" x14ac:dyDescent="0.2">
      <c r="A3325" s="1">
        <v>45750</v>
      </c>
      <c r="B3325" s="2" t="s">
        <v>34</v>
      </c>
      <c r="C3325" s="2" t="s">
        <v>32</v>
      </c>
      <c r="D3325" s="2" t="s">
        <v>36</v>
      </c>
      <c r="E3325">
        <v>4318</v>
      </c>
      <c r="F3325">
        <v>333</v>
      </c>
      <c r="G3325">
        <v>46</v>
      </c>
      <c r="H3325">
        <v>61.58</v>
      </c>
      <c r="I3325">
        <v>7537.8</v>
      </c>
      <c r="J3325">
        <v>7.71</v>
      </c>
      <c r="K3325">
        <v>13.81</v>
      </c>
      <c r="L3325">
        <v>1.34</v>
      </c>
      <c r="M3325">
        <v>122.41</v>
      </c>
      <c r="N3325">
        <v>7476.22</v>
      </c>
    </row>
    <row r="3326" spans="1:14" x14ac:dyDescent="0.2">
      <c r="A3326" s="1">
        <v>45751</v>
      </c>
      <c r="B3326" s="2" t="s">
        <v>14</v>
      </c>
      <c r="C3326" s="2" t="s">
        <v>32</v>
      </c>
      <c r="D3326" s="2" t="s">
        <v>16</v>
      </c>
      <c r="E3326">
        <v>11322</v>
      </c>
      <c r="F3326">
        <v>491</v>
      </c>
      <c r="G3326">
        <v>50</v>
      </c>
      <c r="H3326">
        <v>981.82</v>
      </c>
      <c r="I3326">
        <v>6352.89</v>
      </c>
      <c r="J3326">
        <v>4.34</v>
      </c>
      <c r="K3326">
        <v>10.18</v>
      </c>
      <c r="L3326">
        <v>19.64</v>
      </c>
      <c r="M3326">
        <v>6.47</v>
      </c>
      <c r="N3326">
        <v>5371.07</v>
      </c>
    </row>
    <row r="3327" spans="1:14" x14ac:dyDescent="0.2">
      <c r="A3327" s="1">
        <v>45751</v>
      </c>
      <c r="B3327" s="2" t="s">
        <v>17</v>
      </c>
      <c r="C3327" s="2" t="s">
        <v>21</v>
      </c>
      <c r="D3327" s="2" t="s">
        <v>19</v>
      </c>
      <c r="E3327">
        <v>17636</v>
      </c>
      <c r="F3327">
        <v>592</v>
      </c>
      <c r="G3327">
        <v>51</v>
      </c>
      <c r="H3327">
        <v>810.82</v>
      </c>
      <c r="I3327">
        <v>5972.31</v>
      </c>
      <c r="J3327">
        <v>3.36</v>
      </c>
      <c r="K3327">
        <v>8.61</v>
      </c>
      <c r="L3327">
        <v>15.9</v>
      </c>
      <c r="M3327">
        <v>7.37</v>
      </c>
      <c r="N3327">
        <v>5161.49</v>
      </c>
    </row>
    <row r="3328" spans="1:14" x14ac:dyDescent="0.2">
      <c r="A3328" s="1">
        <v>45751</v>
      </c>
      <c r="B3328" s="2" t="s">
        <v>20</v>
      </c>
      <c r="C3328" s="2" t="s">
        <v>28</v>
      </c>
      <c r="D3328" s="2" t="s">
        <v>36</v>
      </c>
      <c r="E3328">
        <v>13893</v>
      </c>
      <c r="F3328">
        <v>368</v>
      </c>
      <c r="G3328">
        <v>19</v>
      </c>
      <c r="H3328">
        <v>781.04</v>
      </c>
      <c r="I3328">
        <v>1574.89</v>
      </c>
      <c r="J3328">
        <v>2.65</v>
      </c>
      <c r="K3328">
        <v>5.16</v>
      </c>
      <c r="L3328">
        <v>41.11</v>
      </c>
      <c r="M3328">
        <v>2.02</v>
      </c>
      <c r="N3328">
        <v>793.85</v>
      </c>
    </row>
    <row r="3329" spans="1:14" x14ac:dyDescent="0.2">
      <c r="A3329" s="1">
        <v>45751</v>
      </c>
      <c r="B3329" s="2" t="s">
        <v>23</v>
      </c>
      <c r="C3329" s="2" t="s">
        <v>35</v>
      </c>
      <c r="D3329" s="2" t="s">
        <v>19</v>
      </c>
      <c r="E3329">
        <v>3965</v>
      </c>
      <c r="F3329">
        <v>81</v>
      </c>
      <c r="G3329">
        <v>8</v>
      </c>
      <c r="H3329">
        <v>1726.78</v>
      </c>
      <c r="I3329">
        <v>1620.27</v>
      </c>
      <c r="J3329">
        <v>2.04</v>
      </c>
      <c r="K3329">
        <v>9.8800000000000008</v>
      </c>
      <c r="L3329">
        <v>215.85</v>
      </c>
      <c r="M3329">
        <v>0.94</v>
      </c>
      <c r="N3329">
        <v>-106.51</v>
      </c>
    </row>
    <row r="3330" spans="1:14" x14ac:dyDescent="0.2">
      <c r="A3330" s="1">
        <v>45751</v>
      </c>
      <c r="B3330" s="2" t="s">
        <v>24</v>
      </c>
      <c r="C3330" s="2" t="s">
        <v>28</v>
      </c>
      <c r="D3330" s="2" t="s">
        <v>22</v>
      </c>
      <c r="E3330">
        <v>24265</v>
      </c>
      <c r="F3330">
        <v>5327</v>
      </c>
      <c r="G3330">
        <v>647</v>
      </c>
      <c r="H3330">
        <v>236.83</v>
      </c>
      <c r="I3330">
        <v>91268.97</v>
      </c>
      <c r="J3330">
        <v>21.95</v>
      </c>
      <c r="K3330">
        <v>12.15</v>
      </c>
      <c r="L3330">
        <v>0.37</v>
      </c>
      <c r="M3330">
        <v>385.38</v>
      </c>
      <c r="N3330">
        <v>91032.14</v>
      </c>
    </row>
    <row r="3331" spans="1:14" x14ac:dyDescent="0.2">
      <c r="A3331" s="1">
        <v>45751</v>
      </c>
      <c r="B3331" s="2" t="s">
        <v>26</v>
      </c>
      <c r="C3331" s="2" t="s">
        <v>28</v>
      </c>
      <c r="D3331" s="2" t="s">
        <v>19</v>
      </c>
      <c r="E3331">
        <v>23364</v>
      </c>
      <c r="F3331">
        <v>1011</v>
      </c>
      <c r="G3331">
        <v>153</v>
      </c>
      <c r="H3331">
        <v>0</v>
      </c>
      <c r="I3331">
        <v>18864.57</v>
      </c>
      <c r="J3331">
        <v>4.33</v>
      </c>
      <c r="K3331">
        <v>15.13</v>
      </c>
      <c r="L3331">
        <v>0</v>
      </c>
      <c r="M3331">
        <v>0</v>
      </c>
      <c r="N3331">
        <v>18864.57</v>
      </c>
    </row>
    <row r="3332" spans="1:14" x14ac:dyDescent="0.2">
      <c r="A3332" s="1">
        <v>45751</v>
      </c>
      <c r="B3332" s="2" t="s">
        <v>27</v>
      </c>
      <c r="C3332" s="2" t="s">
        <v>32</v>
      </c>
      <c r="D3332" s="2" t="s">
        <v>16</v>
      </c>
      <c r="E3332">
        <v>26812</v>
      </c>
      <c r="F3332">
        <v>281</v>
      </c>
      <c r="G3332">
        <v>13</v>
      </c>
      <c r="H3332">
        <v>712.19</v>
      </c>
      <c r="I3332">
        <v>1357.85</v>
      </c>
      <c r="J3332">
        <v>1.05</v>
      </c>
      <c r="K3332">
        <v>4.63</v>
      </c>
      <c r="L3332">
        <v>54.78</v>
      </c>
      <c r="M3332">
        <v>1.91</v>
      </c>
      <c r="N3332">
        <v>645.66</v>
      </c>
    </row>
    <row r="3333" spans="1:14" x14ac:dyDescent="0.2">
      <c r="A3333" s="1">
        <v>45751</v>
      </c>
      <c r="B3333" s="2" t="s">
        <v>29</v>
      </c>
      <c r="C3333" s="2" t="s">
        <v>15</v>
      </c>
      <c r="D3333" s="2" t="s">
        <v>25</v>
      </c>
      <c r="E3333">
        <v>17649</v>
      </c>
      <c r="F3333">
        <v>278</v>
      </c>
      <c r="G3333">
        <v>20</v>
      </c>
      <c r="H3333">
        <v>1140.05</v>
      </c>
      <c r="I3333">
        <v>2171.9699999999998</v>
      </c>
      <c r="J3333">
        <v>1.58</v>
      </c>
      <c r="K3333">
        <v>7.19</v>
      </c>
      <c r="L3333">
        <v>57</v>
      </c>
      <c r="M3333">
        <v>1.91</v>
      </c>
      <c r="N3333">
        <v>1031.92</v>
      </c>
    </row>
    <row r="3334" spans="1:14" x14ac:dyDescent="0.2">
      <c r="A3334" s="1">
        <v>45751</v>
      </c>
      <c r="B3334" s="2" t="s">
        <v>30</v>
      </c>
      <c r="C3334" s="2" t="s">
        <v>21</v>
      </c>
      <c r="D3334" s="2" t="s">
        <v>36</v>
      </c>
      <c r="E3334">
        <v>9151</v>
      </c>
      <c r="F3334">
        <v>217</v>
      </c>
      <c r="G3334">
        <v>7</v>
      </c>
      <c r="H3334">
        <v>449.54</v>
      </c>
      <c r="I3334">
        <v>758.81</v>
      </c>
      <c r="J3334">
        <v>2.37</v>
      </c>
      <c r="K3334">
        <v>3.23</v>
      </c>
      <c r="L3334">
        <v>64.22</v>
      </c>
      <c r="M3334">
        <v>1.69</v>
      </c>
      <c r="N3334">
        <v>309.27</v>
      </c>
    </row>
    <row r="3335" spans="1:14" x14ac:dyDescent="0.2">
      <c r="A3335" s="1">
        <v>45751</v>
      </c>
      <c r="B3335" s="2" t="s">
        <v>31</v>
      </c>
      <c r="C3335" s="2" t="s">
        <v>15</v>
      </c>
      <c r="D3335" s="2" t="s">
        <v>36</v>
      </c>
      <c r="E3335">
        <v>25150</v>
      </c>
      <c r="F3335">
        <v>845</v>
      </c>
      <c r="G3335">
        <v>30</v>
      </c>
      <c r="H3335">
        <v>883.43</v>
      </c>
      <c r="I3335">
        <v>2715.4</v>
      </c>
      <c r="J3335">
        <v>3.36</v>
      </c>
      <c r="K3335">
        <v>3.55</v>
      </c>
      <c r="L3335">
        <v>29.45</v>
      </c>
      <c r="M3335">
        <v>3.07</v>
      </c>
      <c r="N3335">
        <v>1831.97</v>
      </c>
    </row>
    <row r="3336" spans="1:14" x14ac:dyDescent="0.2">
      <c r="A3336" s="1">
        <v>45751</v>
      </c>
      <c r="B3336" s="2" t="s">
        <v>33</v>
      </c>
      <c r="C3336" s="2" t="s">
        <v>18</v>
      </c>
      <c r="D3336" s="2" t="s">
        <v>25</v>
      </c>
      <c r="E3336">
        <v>9591</v>
      </c>
      <c r="F3336">
        <v>572</v>
      </c>
      <c r="G3336">
        <v>57</v>
      </c>
      <c r="H3336">
        <v>504.85</v>
      </c>
      <c r="I3336">
        <v>8088.81</v>
      </c>
      <c r="J3336">
        <v>5.96</v>
      </c>
      <c r="K3336">
        <v>9.9700000000000006</v>
      </c>
      <c r="L3336">
        <v>8.86</v>
      </c>
      <c r="M3336">
        <v>16.02</v>
      </c>
      <c r="N3336">
        <v>7583.96</v>
      </c>
    </row>
    <row r="3337" spans="1:14" x14ac:dyDescent="0.2">
      <c r="A3337" s="1">
        <v>45751</v>
      </c>
      <c r="B3337" s="2" t="s">
        <v>34</v>
      </c>
      <c r="C3337" s="2" t="s">
        <v>18</v>
      </c>
      <c r="D3337" s="2" t="s">
        <v>22</v>
      </c>
      <c r="E3337">
        <v>3000</v>
      </c>
      <c r="F3337">
        <v>205</v>
      </c>
      <c r="G3337">
        <v>31</v>
      </c>
      <c r="H3337">
        <v>176.59</v>
      </c>
      <c r="I3337">
        <v>4392.2</v>
      </c>
      <c r="J3337">
        <v>6.83</v>
      </c>
      <c r="K3337">
        <v>15.12</v>
      </c>
      <c r="L3337">
        <v>5.7</v>
      </c>
      <c r="M3337">
        <v>24.87</v>
      </c>
      <c r="N3337">
        <v>4215.6099999999997</v>
      </c>
    </row>
    <row r="3338" spans="1:14" x14ac:dyDescent="0.2">
      <c r="A3338" s="1">
        <v>45752</v>
      </c>
      <c r="B3338" s="2" t="s">
        <v>14</v>
      </c>
      <c r="C3338" s="2" t="s">
        <v>32</v>
      </c>
      <c r="D3338" s="2" t="s">
        <v>25</v>
      </c>
      <c r="E3338">
        <v>6596</v>
      </c>
      <c r="F3338">
        <v>325</v>
      </c>
      <c r="G3338">
        <v>34</v>
      </c>
      <c r="H3338">
        <v>590.85</v>
      </c>
      <c r="I3338">
        <v>4446.1400000000003</v>
      </c>
      <c r="J3338">
        <v>4.93</v>
      </c>
      <c r="K3338">
        <v>10.46</v>
      </c>
      <c r="L3338">
        <v>17.38</v>
      </c>
      <c r="M3338">
        <v>7.52</v>
      </c>
      <c r="N3338">
        <v>3855.29</v>
      </c>
    </row>
    <row r="3339" spans="1:14" x14ac:dyDescent="0.2">
      <c r="A3339" s="1">
        <v>45752</v>
      </c>
      <c r="B3339" s="2" t="s">
        <v>17</v>
      </c>
      <c r="C3339" s="2" t="s">
        <v>21</v>
      </c>
      <c r="D3339" s="2" t="s">
        <v>36</v>
      </c>
      <c r="E3339">
        <v>9466</v>
      </c>
      <c r="F3339">
        <v>282</v>
      </c>
      <c r="G3339">
        <v>16</v>
      </c>
      <c r="H3339">
        <v>726.18</v>
      </c>
      <c r="I3339">
        <v>1731.46</v>
      </c>
      <c r="J3339">
        <v>2.98</v>
      </c>
      <c r="K3339">
        <v>5.67</v>
      </c>
      <c r="L3339">
        <v>45.39</v>
      </c>
      <c r="M3339">
        <v>2.38</v>
      </c>
      <c r="N3339">
        <v>1005.28</v>
      </c>
    </row>
    <row r="3340" spans="1:14" x14ac:dyDescent="0.2">
      <c r="A3340" s="1">
        <v>45752</v>
      </c>
      <c r="B3340" s="2" t="s">
        <v>20</v>
      </c>
      <c r="C3340" s="2" t="s">
        <v>28</v>
      </c>
      <c r="D3340" s="2" t="s">
        <v>19</v>
      </c>
      <c r="E3340">
        <v>9012</v>
      </c>
      <c r="F3340">
        <v>334</v>
      </c>
      <c r="G3340">
        <v>13</v>
      </c>
      <c r="H3340">
        <v>684.02</v>
      </c>
      <c r="I3340">
        <v>1376.67</v>
      </c>
      <c r="J3340">
        <v>3.71</v>
      </c>
      <c r="K3340">
        <v>3.89</v>
      </c>
      <c r="L3340">
        <v>52.62</v>
      </c>
      <c r="M3340">
        <v>2.0099999999999998</v>
      </c>
      <c r="N3340">
        <v>692.65</v>
      </c>
    </row>
    <row r="3341" spans="1:14" x14ac:dyDescent="0.2">
      <c r="A3341" s="1">
        <v>45752</v>
      </c>
      <c r="B3341" s="2" t="s">
        <v>23</v>
      </c>
      <c r="C3341" s="2" t="s">
        <v>28</v>
      </c>
      <c r="D3341" s="2" t="s">
        <v>16</v>
      </c>
      <c r="E3341">
        <v>2219</v>
      </c>
      <c r="F3341">
        <v>35</v>
      </c>
      <c r="G3341">
        <v>3</v>
      </c>
      <c r="H3341">
        <v>779.04</v>
      </c>
      <c r="I3341">
        <v>752.13</v>
      </c>
      <c r="J3341">
        <v>1.58</v>
      </c>
      <c r="K3341">
        <v>8.57</v>
      </c>
      <c r="L3341">
        <v>259.68</v>
      </c>
      <c r="M3341">
        <v>0.97</v>
      </c>
      <c r="N3341">
        <v>-26.91</v>
      </c>
    </row>
    <row r="3342" spans="1:14" x14ac:dyDescent="0.2">
      <c r="A3342" s="1">
        <v>45752</v>
      </c>
      <c r="B3342" s="2" t="s">
        <v>24</v>
      </c>
      <c r="C3342" s="2" t="s">
        <v>21</v>
      </c>
      <c r="D3342" s="2" t="s">
        <v>36</v>
      </c>
      <c r="E3342">
        <v>14856</v>
      </c>
      <c r="F3342">
        <v>2778</v>
      </c>
      <c r="G3342">
        <v>247</v>
      </c>
      <c r="H3342">
        <v>141.97</v>
      </c>
      <c r="I3342">
        <v>27762.63</v>
      </c>
      <c r="J3342">
        <v>18.7</v>
      </c>
      <c r="K3342">
        <v>8.89</v>
      </c>
      <c r="L3342">
        <v>0.56999999999999995</v>
      </c>
      <c r="M3342">
        <v>195.55</v>
      </c>
      <c r="N3342">
        <v>27620.66</v>
      </c>
    </row>
    <row r="3343" spans="1:14" x14ac:dyDescent="0.2">
      <c r="A3343" s="1">
        <v>45752</v>
      </c>
      <c r="B3343" s="2" t="s">
        <v>26</v>
      </c>
      <c r="C3343" s="2" t="s">
        <v>32</v>
      </c>
      <c r="D3343" s="2" t="s">
        <v>22</v>
      </c>
      <c r="E3343">
        <v>21065</v>
      </c>
      <c r="F3343">
        <v>1166</v>
      </c>
      <c r="G3343">
        <v>175</v>
      </c>
      <c r="H3343">
        <v>0</v>
      </c>
      <c r="I3343">
        <v>25848.15</v>
      </c>
      <c r="J3343">
        <v>5.54</v>
      </c>
      <c r="K3343">
        <v>15.01</v>
      </c>
      <c r="L3343">
        <v>0</v>
      </c>
      <c r="M3343">
        <v>0</v>
      </c>
      <c r="N3343">
        <v>25848.15</v>
      </c>
    </row>
    <row r="3344" spans="1:14" x14ac:dyDescent="0.2">
      <c r="A3344" s="1">
        <v>45752</v>
      </c>
      <c r="B3344" s="2" t="s">
        <v>27</v>
      </c>
      <c r="C3344" s="2" t="s">
        <v>28</v>
      </c>
      <c r="D3344" s="2" t="s">
        <v>16</v>
      </c>
      <c r="E3344">
        <v>27747</v>
      </c>
      <c r="F3344">
        <v>446</v>
      </c>
      <c r="G3344">
        <v>13</v>
      </c>
      <c r="H3344">
        <v>625.36</v>
      </c>
      <c r="I3344">
        <v>1420.61</v>
      </c>
      <c r="J3344">
        <v>1.61</v>
      </c>
      <c r="K3344">
        <v>2.91</v>
      </c>
      <c r="L3344">
        <v>48.1</v>
      </c>
      <c r="M3344">
        <v>2.27</v>
      </c>
      <c r="N3344">
        <v>795.25</v>
      </c>
    </row>
    <row r="3345" spans="1:14" x14ac:dyDescent="0.2">
      <c r="A3345" s="1">
        <v>45752</v>
      </c>
      <c r="B3345" s="2" t="s">
        <v>29</v>
      </c>
      <c r="C3345" s="2" t="s">
        <v>35</v>
      </c>
      <c r="D3345" s="2" t="s">
        <v>19</v>
      </c>
      <c r="E3345">
        <v>16116</v>
      </c>
      <c r="F3345">
        <v>440</v>
      </c>
      <c r="G3345">
        <v>17</v>
      </c>
      <c r="H3345">
        <v>719.02</v>
      </c>
      <c r="I3345">
        <v>2306.7800000000002</v>
      </c>
      <c r="J3345">
        <v>2.73</v>
      </c>
      <c r="K3345">
        <v>3.86</v>
      </c>
      <c r="L3345">
        <v>42.3</v>
      </c>
      <c r="M3345">
        <v>3.21</v>
      </c>
      <c r="N3345">
        <v>1587.76</v>
      </c>
    </row>
    <row r="3346" spans="1:14" x14ac:dyDescent="0.2">
      <c r="A3346" s="1">
        <v>45752</v>
      </c>
      <c r="B3346" s="2" t="s">
        <v>30</v>
      </c>
      <c r="C3346" s="2" t="s">
        <v>15</v>
      </c>
      <c r="D3346" s="2" t="s">
        <v>22</v>
      </c>
      <c r="E3346">
        <v>6734</v>
      </c>
      <c r="F3346">
        <v>145</v>
      </c>
      <c r="G3346">
        <v>4</v>
      </c>
      <c r="H3346">
        <v>287.08</v>
      </c>
      <c r="I3346">
        <v>450.8</v>
      </c>
      <c r="J3346">
        <v>2.15</v>
      </c>
      <c r="K3346">
        <v>2.76</v>
      </c>
      <c r="L3346">
        <v>71.77</v>
      </c>
      <c r="M3346">
        <v>1.57</v>
      </c>
      <c r="N3346">
        <v>163.72</v>
      </c>
    </row>
    <row r="3347" spans="1:14" x14ac:dyDescent="0.2">
      <c r="A3347" s="1">
        <v>45752</v>
      </c>
      <c r="B3347" s="2" t="s">
        <v>31</v>
      </c>
      <c r="C3347" s="2" t="s">
        <v>15</v>
      </c>
      <c r="D3347" s="2" t="s">
        <v>16</v>
      </c>
      <c r="E3347">
        <v>19345</v>
      </c>
      <c r="F3347">
        <v>770</v>
      </c>
      <c r="G3347">
        <v>26</v>
      </c>
      <c r="H3347">
        <v>749.45</v>
      </c>
      <c r="I3347">
        <v>2645.43</v>
      </c>
      <c r="J3347">
        <v>3.98</v>
      </c>
      <c r="K3347">
        <v>3.38</v>
      </c>
      <c r="L3347">
        <v>28.83</v>
      </c>
      <c r="M3347">
        <v>3.53</v>
      </c>
      <c r="N3347">
        <v>1895.98</v>
      </c>
    </row>
    <row r="3348" spans="1:14" x14ac:dyDescent="0.2">
      <c r="A3348" s="1">
        <v>45752</v>
      </c>
      <c r="B3348" s="2" t="s">
        <v>33</v>
      </c>
      <c r="C3348" s="2" t="s">
        <v>18</v>
      </c>
      <c r="D3348" s="2" t="s">
        <v>16</v>
      </c>
      <c r="E3348">
        <v>6428</v>
      </c>
      <c r="F3348">
        <v>321</v>
      </c>
      <c r="G3348">
        <v>33</v>
      </c>
      <c r="H3348">
        <v>418.64</v>
      </c>
      <c r="I3348">
        <v>3804.5</v>
      </c>
      <c r="J3348">
        <v>4.99</v>
      </c>
      <c r="K3348">
        <v>10.28</v>
      </c>
      <c r="L3348">
        <v>12.69</v>
      </c>
      <c r="M3348">
        <v>9.09</v>
      </c>
      <c r="N3348">
        <v>3385.86</v>
      </c>
    </row>
    <row r="3349" spans="1:14" x14ac:dyDescent="0.2">
      <c r="A3349" s="1">
        <v>45752</v>
      </c>
      <c r="B3349" s="2" t="s">
        <v>34</v>
      </c>
      <c r="C3349" s="2" t="s">
        <v>15</v>
      </c>
      <c r="D3349" s="2" t="s">
        <v>36</v>
      </c>
      <c r="E3349">
        <v>4779</v>
      </c>
      <c r="F3349">
        <v>456</v>
      </c>
      <c r="G3349">
        <v>65</v>
      </c>
      <c r="H3349">
        <v>106.62</v>
      </c>
      <c r="I3349">
        <v>11959.75</v>
      </c>
      <c r="J3349">
        <v>9.5399999999999991</v>
      </c>
      <c r="K3349">
        <v>14.25</v>
      </c>
      <c r="L3349">
        <v>1.64</v>
      </c>
      <c r="M3349">
        <v>112.17</v>
      </c>
      <c r="N3349">
        <v>11853.13</v>
      </c>
    </row>
    <row r="3350" spans="1:14" x14ac:dyDescent="0.2">
      <c r="A3350" s="1">
        <v>45753</v>
      </c>
      <c r="B3350" s="2" t="s">
        <v>14</v>
      </c>
      <c r="C3350" s="2" t="s">
        <v>15</v>
      </c>
      <c r="D3350" s="2" t="s">
        <v>19</v>
      </c>
      <c r="E3350">
        <v>6790</v>
      </c>
      <c r="F3350">
        <v>291</v>
      </c>
      <c r="G3350">
        <v>28</v>
      </c>
      <c r="H3350">
        <v>896.56</v>
      </c>
      <c r="I3350">
        <v>4587.24</v>
      </c>
      <c r="J3350">
        <v>4.29</v>
      </c>
      <c r="K3350">
        <v>9.6199999999999992</v>
      </c>
      <c r="L3350">
        <v>32.020000000000003</v>
      </c>
      <c r="M3350">
        <v>5.12</v>
      </c>
      <c r="N3350">
        <v>3690.68</v>
      </c>
    </row>
    <row r="3351" spans="1:14" x14ac:dyDescent="0.2">
      <c r="A3351" s="1">
        <v>45753</v>
      </c>
      <c r="B3351" s="2" t="s">
        <v>17</v>
      </c>
      <c r="C3351" s="2" t="s">
        <v>18</v>
      </c>
      <c r="D3351" s="2" t="s">
        <v>25</v>
      </c>
      <c r="E3351">
        <v>12972</v>
      </c>
      <c r="F3351">
        <v>474</v>
      </c>
      <c r="G3351">
        <v>32</v>
      </c>
      <c r="H3351">
        <v>600.09</v>
      </c>
      <c r="I3351">
        <v>3199.15</v>
      </c>
      <c r="J3351">
        <v>3.65</v>
      </c>
      <c r="K3351">
        <v>6.75</v>
      </c>
      <c r="L3351">
        <v>18.75</v>
      </c>
      <c r="M3351">
        <v>5.33</v>
      </c>
      <c r="N3351">
        <v>2599.06</v>
      </c>
    </row>
    <row r="3352" spans="1:14" x14ac:dyDescent="0.2">
      <c r="A3352" s="1">
        <v>45753</v>
      </c>
      <c r="B3352" s="2" t="s">
        <v>20</v>
      </c>
      <c r="C3352" s="2" t="s">
        <v>15</v>
      </c>
      <c r="D3352" s="2" t="s">
        <v>36</v>
      </c>
      <c r="E3352">
        <v>7045</v>
      </c>
      <c r="F3352">
        <v>215</v>
      </c>
      <c r="G3352">
        <v>11</v>
      </c>
      <c r="H3352">
        <v>446.61</v>
      </c>
      <c r="I3352">
        <v>1092.3800000000001</v>
      </c>
      <c r="J3352">
        <v>3.05</v>
      </c>
      <c r="K3352">
        <v>5.12</v>
      </c>
      <c r="L3352">
        <v>40.6</v>
      </c>
      <c r="M3352">
        <v>2.4500000000000002</v>
      </c>
      <c r="N3352">
        <v>645.77</v>
      </c>
    </row>
    <row r="3353" spans="1:14" x14ac:dyDescent="0.2">
      <c r="A3353" s="1">
        <v>45753</v>
      </c>
      <c r="B3353" s="2" t="s">
        <v>23</v>
      </c>
      <c r="C3353" s="2" t="s">
        <v>15</v>
      </c>
      <c r="D3353" s="2" t="s">
        <v>25</v>
      </c>
      <c r="E3353">
        <v>4024</v>
      </c>
      <c r="F3353">
        <v>112</v>
      </c>
      <c r="G3353">
        <v>15</v>
      </c>
      <c r="H3353">
        <v>829.18</v>
      </c>
      <c r="I3353">
        <v>3066.36</v>
      </c>
      <c r="J3353">
        <v>2.78</v>
      </c>
      <c r="K3353">
        <v>13.39</v>
      </c>
      <c r="L3353">
        <v>55.28</v>
      </c>
      <c r="M3353">
        <v>3.7</v>
      </c>
      <c r="N3353">
        <v>2237.1799999999998</v>
      </c>
    </row>
    <row r="3354" spans="1:14" x14ac:dyDescent="0.2">
      <c r="A3354" s="1">
        <v>45753</v>
      </c>
      <c r="B3354" s="2" t="s">
        <v>24</v>
      </c>
      <c r="C3354" s="2" t="s">
        <v>32</v>
      </c>
      <c r="D3354" s="2" t="s">
        <v>22</v>
      </c>
      <c r="E3354">
        <v>10868</v>
      </c>
      <c r="F3354">
        <v>1922</v>
      </c>
      <c r="G3354">
        <v>186</v>
      </c>
      <c r="H3354">
        <v>208.76</v>
      </c>
      <c r="I3354">
        <v>24945.16</v>
      </c>
      <c r="J3354">
        <v>17.68</v>
      </c>
      <c r="K3354">
        <v>9.68</v>
      </c>
      <c r="L3354">
        <v>1.1200000000000001</v>
      </c>
      <c r="M3354">
        <v>119.49</v>
      </c>
      <c r="N3354">
        <v>24736.400000000001</v>
      </c>
    </row>
    <row r="3355" spans="1:14" x14ac:dyDescent="0.2">
      <c r="A3355" s="1">
        <v>45753</v>
      </c>
      <c r="B3355" s="2" t="s">
        <v>26</v>
      </c>
      <c r="C3355" s="2" t="s">
        <v>28</v>
      </c>
      <c r="D3355" s="2" t="s">
        <v>25</v>
      </c>
      <c r="E3355">
        <v>17810</v>
      </c>
      <c r="F3355">
        <v>1423</v>
      </c>
      <c r="G3355">
        <v>205</v>
      </c>
      <c r="H3355">
        <v>0</v>
      </c>
      <c r="I3355">
        <v>24129.97</v>
      </c>
      <c r="J3355">
        <v>7.99</v>
      </c>
      <c r="K3355">
        <v>14.41</v>
      </c>
      <c r="L3355">
        <v>0</v>
      </c>
      <c r="M3355">
        <v>0</v>
      </c>
      <c r="N3355">
        <v>24129.97</v>
      </c>
    </row>
    <row r="3356" spans="1:14" x14ac:dyDescent="0.2">
      <c r="A3356" s="1">
        <v>45753</v>
      </c>
      <c r="B3356" s="2" t="s">
        <v>27</v>
      </c>
      <c r="C3356" s="2" t="s">
        <v>28</v>
      </c>
      <c r="D3356" s="2" t="s">
        <v>16</v>
      </c>
      <c r="E3356">
        <v>20975</v>
      </c>
      <c r="F3356">
        <v>367</v>
      </c>
      <c r="G3356">
        <v>10</v>
      </c>
      <c r="H3356">
        <v>786.54</v>
      </c>
      <c r="I3356">
        <v>1145.1099999999999</v>
      </c>
      <c r="J3356">
        <v>1.75</v>
      </c>
      <c r="K3356">
        <v>2.72</v>
      </c>
      <c r="L3356">
        <v>78.650000000000006</v>
      </c>
      <c r="M3356">
        <v>1.46</v>
      </c>
      <c r="N3356">
        <v>358.57</v>
      </c>
    </row>
    <row r="3357" spans="1:14" x14ac:dyDescent="0.2">
      <c r="A3357" s="1">
        <v>45753</v>
      </c>
      <c r="B3357" s="2" t="s">
        <v>29</v>
      </c>
      <c r="C3357" s="2" t="s">
        <v>21</v>
      </c>
      <c r="D3357" s="2" t="s">
        <v>19</v>
      </c>
      <c r="E3357">
        <v>11042</v>
      </c>
      <c r="F3357">
        <v>184</v>
      </c>
      <c r="G3357">
        <v>13</v>
      </c>
      <c r="H3357">
        <v>907.6</v>
      </c>
      <c r="I3357">
        <v>1562.04</v>
      </c>
      <c r="J3357">
        <v>1.67</v>
      </c>
      <c r="K3357">
        <v>7.07</v>
      </c>
      <c r="L3357">
        <v>69.819999999999993</v>
      </c>
      <c r="M3357">
        <v>1.72</v>
      </c>
      <c r="N3357">
        <v>654.44000000000005</v>
      </c>
    </row>
    <row r="3358" spans="1:14" x14ac:dyDescent="0.2">
      <c r="A3358" s="1">
        <v>45753</v>
      </c>
      <c r="B3358" s="2" t="s">
        <v>30</v>
      </c>
      <c r="C3358" s="2" t="s">
        <v>32</v>
      </c>
      <c r="D3358" s="2" t="s">
        <v>22</v>
      </c>
      <c r="E3358">
        <v>7944</v>
      </c>
      <c r="F3358">
        <v>172</v>
      </c>
      <c r="G3358">
        <v>7</v>
      </c>
      <c r="H3358">
        <v>351.17</v>
      </c>
      <c r="I3358">
        <v>561.59</v>
      </c>
      <c r="J3358">
        <v>2.17</v>
      </c>
      <c r="K3358">
        <v>4.07</v>
      </c>
      <c r="L3358">
        <v>50.17</v>
      </c>
      <c r="M3358">
        <v>1.6</v>
      </c>
      <c r="N3358">
        <v>210.42</v>
      </c>
    </row>
    <row r="3359" spans="1:14" x14ac:dyDescent="0.2">
      <c r="A3359" s="1">
        <v>45753</v>
      </c>
      <c r="B3359" s="2" t="s">
        <v>31</v>
      </c>
      <c r="C3359" s="2" t="s">
        <v>21</v>
      </c>
      <c r="D3359" s="2" t="s">
        <v>22</v>
      </c>
      <c r="E3359">
        <v>18079</v>
      </c>
      <c r="F3359">
        <v>495</v>
      </c>
      <c r="G3359">
        <v>30</v>
      </c>
      <c r="H3359">
        <v>455.07</v>
      </c>
      <c r="I3359">
        <v>2220.44</v>
      </c>
      <c r="J3359">
        <v>2.74</v>
      </c>
      <c r="K3359">
        <v>6.06</v>
      </c>
      <c r="L3359">
        <v>15.17</v>
      </c>
      <c r="M3359">
        <v>4.88</v>
      </c>
      <c r="N3359">
        <v>1765.37</v>
      </c>
    </row>
    <row r="3360" spans="1:14" x14ac:dyDescent="0.2">
      <c r="A3360" s="1">
        <v>45753</v>
      </c>
      <c r="B3360" s="2" t="s">
        <v>33</v>
      </c>
      <c r="C3360" s="2" t="s">
        <v>21</v>
      </c>
      <c r="D3360" s="2" t="s">
        <v>16</v>
      </c>
      <c r="E3360">
        <v>6187</v>
      </c>
      <c r="F3360">
        <v>429</v>
      </c>
      <c r="G3360">
        <v>43</v>
      </c>
      <c r="H3360">
        <v>261.2</v>
      </c>
      <c r="I3360">
        <v>5277.75</v>
      </c>
      <c r="J3360">
        <v>6.93</v>
      </c>
      <c r="K3360">
        <v>10.02</v>
      </c>
      <c r="L3360">
        <v>6.07</v>
      </c>
      <c r="M3360">
        <v>20.21</v>
      </c>
      <c r="N3360">
        <v>5016.55</v>
      </c>
    </row>
    <row r="3361" spans="1:14" x14ac:dyDescent="0.2">
      <c r="A3361" s="1">
        <v>45753</v>
      </c>
      <c r="B3361" s="2" t="s">
        <v>34</v>
      </c>
      <c r="C3361" s="2" t="s">
        <v>28</v>
      </c>
      <c r="D3361" s="2" t="s">
        <v>19</v>
      </c>
      <c r="E3361">
        <v>3791</v>
      </c>
      <c r="F3361">
        <v>258</v>
      </c>
      <c r="G3361">
        <v>37</v>
      </c>
      <c r="H3361">
        <v>110.68</v>
      </c>
      <c r="I3361">
        <v>5151.08</v>
      </c>
      <c r="J3361">
        <v>6.81</v>
      </c>
      <c r="K3361">
        <v>14.34</v>
      </c>
      <c r="L3361">
        <v>2.99</v>
      </c>
      <c r="M3361">
        <v>46.54</v>
      </c>
      <c r="N3361">
        <v>5040.3999999999996</v>
      </c>
    </row>
    <row r="3362" spans="1:14" x14ac:dyDescent="0.2">
      <c r="A3362" s="1">
        <v>45754</v>
      </c>
      <c r="B3362" s="2" t="s">
        <v>14</v>
      </c>
      <c r="C3362" s="2" t="s">
        <v>35</v>
      </c>
      <c r="D3362" s="2" t="s">
        <v>36</v>
      </c>
      <c r="E3362">
        <v>10244</v>
      </c>
      <c r="F3362">
        <v>354</v>
      </c>
      <c r="G3362">
        <v>41</v>
      </c>
      <c r="H3362">
        <v>1026.8599999999999</v>
      </c>
      <c r="I3362">
        <v>7300.95</v>
      </c>
      <c r="J3362">
        <v>3.46</v>
      </c>
      <c r="K3362">
        <v>11.58</v>
      </c>
      <c r="L3362">
        <v>25.05</v>
      </c>
      <c r="M3362">
        <v>7.11</v>
      </c>
      <c r="N3362">
        <v>6274.09</v>
      </c>
    </row>
    <row r="3363" spans="1:14" x14ac:dyDescent="0.2">
      <c r="A3363" s="1">
        <v>45754</v>
      </c>
      <c r="B3363" s="2" t="s">
        <v>17</v>
      </c>
      <c r="C3363" s="2" t="s">
        <v>35</v>
      </c>
      <c r="D3363" s="2" t="s">
        <v>22</v>
      </c>
      <c r="E3363">
        <v>14515</v>
      </c>
      <c r="F3363">
        <v>327</v>
      </c>
      <c r="G3363">
        <v>21</v>
      </c>
      <c r="H3363">
        <v>981.31</v>
      </c>
      <c r="I3363">
        <v>2049.0500000000002</v>
      </c>
      <c r="J3363">
        <v>2.25</v>
      </c>
      <c r="K3363">
        <v>6.42</v>
      </c>
      <c r="L3363">
        <v>46.73</v>
      </c>
      <c r="M3363">
        <v>2.09</v>
      </c>
      <c r="N3363">
        <v>1067.74</v>
      </c>
    </row>
    <row r="3364" spans="1:14" x14ac:dyDescent="0.2">
      <c r="A3364" s="1">
        <v>45754</v>
      </c>
      <c r="B3364" s="2" t="s">
        <v>20</v>
      </c>
      <c r="C3364" s="2" t="s">
        <v>18</v>
      </c>
      <c r="D3364" s="2" t="s">
        <v>22</v>
      </c>
      <c r="E3364">
        <v>10648</v>
      </c>
      <c r="F3364">
        <v>342</v>
      </c>
      <c r="G3364">
        <v>20</v>
      </c>
      <c r="H3364">
        <v>649.82000000000005</v>
      </c>
      <c r="I3364">
        <v>2224.09</v>
      </c>
      <c r="J3364">
        <v>3.21</v>
      </c>
      <c r="K3364">
        <v>5.85</v>
      </c>
      <c r="L3364">
        <v>32.49</v>
      </c>
      <c r="M3364">
        <v>3.42</v>
      </c>
      <c r="N3364">
        <v>1574.27</v>
      </c>
    </row>
    <row r="3365" spans="1:14" x14ac:dyDescent="0.2">
      <c r="A3365" s="1">
        <v>45754</v>
      </c>
      <c r="B3365" s="2" t="s">
        <v>23</v>
      </c>
      <c r="C3365" s="2" t="s">
        <v>21</v>
      </c>
      <c r="D3365" s="2" t="s">
        <v>16</v>
      </c>
      <c r="E3365">
        <v>5597</v>
      </c>
      <c r="F3365">
        <v>157</v>
      </c>
      <c r="G3365">
        <v>15</v>
      </c>
      <c r="H3365">
        <v>931.98</v>
      </c>
      <c r="I3365">
        <v>4603.42</v>
      </c>
      <c r="J3365">
        <v>2.81</v>
      </c>
      <c r="K3365">
        <v>9.5500000000000007</v>
      </c>
      <c r="L3365">
        <v>62.13</v>
      </c>
      <c r="M3365">
        <v>4.9400000000000004</v>
      </c>
      <c r="N3365">
        <v>3671.44</v>
      </c>
    </row>
    <row r="3366" spans="1:14" x14ac:dyDescent="0.2">
      <c r="A3366" s="1">
        <v>45754</v>
      </c>
      <c r="B3366" s="2" t="s">
        <v>24</v>
      </c>
      <c r="C3366" s="2" t="s">
        <v>32</v>
      </c>
      <c r="D3366" s="2" t="s">
        <v>19</v>
      </c>
      <c r="E3366">
        <v>19611</v>
      </c>
      <c r="F3366">
        <v>4428</v>
      </c>
      <c r="G3366">
        <v>549</v>
      </c>
      <c r="H3366">
        <v>194.11</v>
      </c>
      <c r="I3366">
        <v>68423.64</v>
      </c>
      <c r="J3366">
        <v>22.58</v>
      </c>
      <c r="K3366">
        <v>12.4</v>
      </c>
      <c r="L3366">
        <v>0.35</v>
      </c>
      <c r="M3366">
        <v>352.5</v>
      </c>
      <c r="N3366">
        <v>68229.53</v>
      </c>
    </row>
    <row r="3367" spans="1:14" x14ac:dyDescent="0.2">
      <c r="A3367" s="1">
        <v>45754</v>
      </c>
      <c r="B3367" s="2" t="s">
        <v>26</v>
      </c>
      <c r="C3367" s="2" t="s">
        <v>18</v>
      </c>
      <c r="D3367" s="2" t="s">
        <v>36</v>
      </c>
      <c r="E3367">
        <v>24295</v>
      </c>
      <c r="F3367">
        <v>1176</v>
      </c>
      <c r="G3367">
        <v>174</v>
      </c>
      <c r="H3367">
        <v>0</v>
      </c>
      <c r="I3367">
        <v>22232.93</v>
      </c>
      <c r="J3367">
        <v>4.84</v>
      </c>
      <c r="K3367">
        <v>14.8</v>
      </c>
      <c r="L3367">
        <v>0</v>
      </c>
      <c r="M3367">
        <v>0</v>
      </c>
      <c r="N3367">
        <v>22232.93</v>
      </c>
    </row>
    <row r="3368" spans="1:14" x14ac:dyDescent="0.2">
      <c r="A3368" s="1">
        <v>45754</v>
      </c>
      <c r="B3368" s="2" t="s">
        <v>27</v>
      </c>
      <c r="C3368" s="2" t="s">
        <v>28</v>
      </c>
      <c r="D3368" s="2" t="s">
        <v>36</v>
      </c>
      <c r="E3368">
        <v>28494</v>
      </c>
      <c r="F3368">
        <v>352</v>
      </c>
      <c r="G3368">
        <v>8</v>
      </c>
      <c r="H3368">
        <v>1148.46</v>
      </c>
      <c r="I3368">
        <v>1013.67</v>
      </c>
      <c r="J3368">
        <v>1.24</v>
      </c>
      <c r="K3368">
        <v>2.27</v>
      </c>
      <c r="L3368">
        <v>143.56</v>
      </c>
      <c r="M3368">
        <v>0.88</v>
      </c>
      <c r="N3368">
        <v>-134.79</v>
      </c>
    </row>
    <row r="3369" spans="1:14" x14ac:dyDescent="0.2">
      <c r="A3369" s="1">
        <v>45754</v>
      </c>
      <c r="B3369" s="2" t="s">
        <v>29</v>
      </c>
      <c r="C3369" s="2" t="s">
        <v>32</v>
      </c>
      <c r="D3369" s="2" t="s">
        <v>16</v>
      </c>
      <c r="E3369">
        <v>24000</v>
      </c>
      <c r="F3369">
        <v>651</v>
      </c>
      <c r="G3369">
        <v>46</v>
      </c>
      <c r="H3369">
        <v>1203.6099999999999</v>
      </c>
      <c r="I3369">
        <v>4764.6000000000004</v>
      </c>
      <c r="J3369">
        <v>2.71</v>
      </c>
      <c r="K3369">
        <v>7.07</v>
      </c>
      <c r="L3369">
        <v>26.17</v>
      </c>
      <c r="M3369">
        <v>3.96</v>
      </c>
      <c r="N3369">
        <v>3560.99</v>
      </c>
    </row>
    <row r="3370" spans="1:14" x14ac:dyDescent="0.2">
      <c r="A3370" s="1">
        <v>45754</v>
      </c>
      <c r="B3370" s="2" t="s">
        <v>30</v>
      </c>
      <c r="C3370" s="2" t="s">
        <v>32</v>
      </c>
      <c r="D3370" s="2" t="s">
        <v>36</v>
      </c>
      <c r="E3370">
        <v>13912</v>
      </c>
      <c r="F3370">
        <v>438</v>
      </c>
      <c r="G3370">
        <v>25</v>
      </c>
      <c r="H3370">
        <v>455.69</v>
      </c>
      <c r="I3370">
        <v>2157.23</v>
      </c>
      <c r="J3370">
        <v>3.15</v>
      </c>
      <c r="K3370">
        <v>5.71</v>
      </c>
      <c r="L3370">
        <v>18.23</v>
      </c>
      <c r="M3370">
        <v>4.7300000000000004</v>
      </c>
      <c r="N3370">
        <v>1701.54</v>
      </c>
    </row>
    <row r="3371" spans="1:14" x14ac:dyDescent="0.2">
      <c r="A3371" s="1">
        <v>45754</v>
      </c>
      <c r="B3371" s="2" t="s">
        <v>31</v>
      </c>
      <c r="C3371" s="2" t="s">
        <v>21</v>
      </c>
      <c r="D3371" s="2" t="s">
        <v>22</v>
      </c>
      <c r="E3371">
        <v>20915</v>
      </c>
      <c r="F3371">
        <v>875</v>
      </c>
      <c r="G3371">
        <v>31</v>
      </c>
      <c r="H3371">
        <v>991.83</v>
      </c>
      <c r="I3371">
        <v>2871.49</v>
      </c>
      <c r="J3371">
        <v>4.18</v>
      </c>
      <c r="K3371">
        <v>3.54</v>
      </c>
      <c r="L3371">
        <v>31.99</v>
      </c>
      <c r="M3371">
        <v>2.9</v>
      </c>
      <c r="N3371">
        <v>1879.66</v>
      </c>
    </row>
    <row r="3372" spans="1:14" x14ac:dyDescent="0.2">
      <c r="A3372" s="1">
        <v>45754</v>
      </c>
      <c r="B3372" s="2" t="s">
        <v>33</v>
      </c>
      <c r="C3372" s="2" t="s">
        <v>32</v>
      </c>
      <c r="D3372" s="2" t="s">
        <v>36</v>
      </c>
      <c r="E3372">
        <v>9314</v>
      </c>
      <c r="F3372">
        <v>522</v>
      </c>
      <c r="G3372">
        <v>53</v>
      </c>
      <c r="H3372">
        <v>694.37</v>
      </c>
      <c r="I3372">
        <v>6052.7</v>
      </c>
      <c r="J3372">
        <v>5.6</v>
      </c>
      <c r="K3372">
        <v>10.15</v>
      </c>
      <c r="L3372">
        <v>13.1</v>
      </c>
      <c r="M3372">
        <v>8.7200000000000006</v>
      </c>
      <c r="N3372">
        <v>5358.33</v>
      </c>
    </row>
    <row r="3373" spans="1:14" x14ac:dyDescent="0.2">
      <c r="A3373" s="1">
        <v>45754</v>
      </c>
      <c r="B3373" s="2" t="s">
        <v>34</v>
      </c>
      <c r="C3373" s="2" t="s">
        <v>28</v>
      </c>
      <c r="D3373" s="2" t="s">
        <v>36</v>
      </c>
      <c r="E3373">
        <v>3865</v>
      </c>
      <c r="F3373">
        <v>269</v>
      </c>
      <c r="G3373">
        <v>32</v>
      </c>
      <c r="H3373">
        <v>146.49</v>
      </c>
      <c r="I3373">
        <v>5211.5200000000004</v>
      </c>
      <c r="J3373">
        <v>6.96</v>
      </c>
      <c r="K3373">
        <v>11.9</v>
      </c>
      <c r="L3373">
        <v>4.58</v>
      </c>
      <c r="M3373">
        <v>35.58</v>
      </c>
      <c r="N3373">
        <v>5065.03</v>
      </c>
    </row>
    <row r="3374" spans="1:14" x14ac:dyDescent="0.2">
      <c r="A3374" s="1">
        <v>45755</v>
      </c>
      <c r="B3374" s="2" t="s">
        <v>14</v>
      </c>
      <c r="C3374" s="2" t="s">
        <v>28</v>
      </c>
      <c r="D3374" s="2" t="s">
        <v>16</v>
      </c>
      <c r="E3374">
        <v>8561</v>
      </c>
      <c r="F3374">
        <v>363</v>
      </c>
      <c r="G3374">
        <v>38</v>
      </c>
      <c r="H3374">
        <v>892.82</v>
      </c>
      <c r="I3374">
        <v>5620.47</v>
      </c>
      <c r="J3374">
        <v>4.24</v>
      </c>
      <c r="K3374">
        <v>10.47</v>
      </c>
      <c r="L3374">
        <v>23.5</v>
      </c>
      <c r="M3374">
        <v>6.3</v>
      </c>
      <c r="N3374">
        <v>4727.6499999999996</v>
      </c>
    </row>
    <row r="3375" spans="1:14" x14ac:dyDescent="0.2">
      <c r="A3375" s="1">
        <v>45755</v>
      </c>
      <c r="B3375" s="2" t="s">
        <v>17</v>
      </c>
      <c r="C3375" s="2" t="s">
        <v>32</v>
      </c>
      <c r="D3375" s="2" t="s">
        <v>25</v>
      </c>
      <c r="E3375">
        <v>19884</v>
      </c>
      <c r="F3375">
        <v>764</v>
      </c>
      <c r="G3375">
        <v>50</v>
      </c>
      <c r="H3375">
        <v>800.31</v>
      </c>
      <c r="I3375">
        <v>4978.8599999999997</v>
      </c>
      <c r="J3375">
        <v>3.84</v>
      </c>
      <c r="K3375">
        <v>6.54</v>
      </c>
      <c r="L3375">
        <v>16.010000000000002</v>
      </c>
      <c r="M3375">
        <v>6.22</v>
      </c>
      <c r="N3375">
        <v>4178.55</v>
      </c>
    </row>
    <row r="3376" spans="1:14" x14ac:dyDescent="0.2">
      <c r="A3376" s="1">
        <v>45755</v>
      </c>
      <c r="B3376" s="2" t="s">
        <v>20</v>
      </c>
      <c r="C3376" s="2" t="s">
        <v>18</v>
      </c>
      <c r="D3376" s="2" t="s">
        <v>22</v>
      </c>
      <c r="E3376">
        <v>15540</v>
      </c>
      <c r="F3376">
        <v>653</v>
      </c>
      <c r="G3376">
        <v>36</v>
      </c>
      <c r="H3376">
        <v>986.55</v>
      </c>
      <c r="I3376">
        <v>4597.1499999999996</v>
      </c>
      <c r="J3376">
        <v>4.2</v>
      </c>
      <c r="K3376">
        <v>5.51</v>
      </c>
      <c r="L3376">
        <v>27.4</v>
      </c>
      <c r="M3376">
        <v>4.66</v>
      </c>
      <c r="N3376">
        <v>3610.6</v>
      </c>
    </row>
    <row r="3377" spans="1:14" x14ac:dyDescent="0.2">
      <c r="A3377" s="1">
        <v>45755</v>
      </c>
      <c r="B3377" s="2" t="s">
        <v>23</v>
      </c>
      <c r="C3377" s="2" t="s">
        <v>32</v>
      </c>
      <c r="D3377" s="2" t="s">
        <v>19</v>
      </c>
      <c r="E3377">
        <v>3091</v>
      </c>
      <c r="F3377">
        <v>49</v>
      </c>
      <c r="G3377">
        <v>6</v>
      </c>
      <c r="H3377">
        <v>1427.42</v>
      </c>
      <c r="I3377">
        <v>1460.3</v>
      </c>
      <c r="J3377">
        <v>1.59</v>
      </c>
      <c r="K3377">
        <v>12.24</v>
      </c>
      <c r="L3377">
        <v>237.9</v>
      </c>
      <c r="M3377">
        <v>1.02</v>
      </c>
      <c r="N3377">
        <v>32.880000000000003</v>
      </c>
    </row>
    <row r="3378" spans="1:14" x14ac:dyDescent="0.2">
      <c r="A3378" s="1">
        <v>45755</v>
      </c>
      <c r="B3378" s="2" t="s">
        <v>24</v>
      </c>
      <c r="C3378" s="2" t="s">
        <v>32</v>
      </c>
      <c r="D3378" s="2" t="s">
        <v>25</v>
      </c>
      <c r="E3378">
        <v>18102</v>
      </c>
      <c r="F3378">
        <v>3364</v>
      </c>
      <c r="G3378">
        <v>414</v>
      </c>
      <c r="H3378">
        <v>266.92</v>
      </c>
      <c r="I3378">
        <v>67932.460000000006</v>
      </c>
      <c r="J3378">
        <v>18.579999999999998</v>
      </c>
      <c r="K3378">
        <v>12.31</v>
      </c>
      <c r="L3378">
        <v>0.64</v>
      </c>
      <c r="M3378">
        <v>254.5</v>
      </c>
      <c r="N3378">
        <v>67665.539999999994</v>
      </c>
    </row>
    <row r="3379" spans="1:14" x14ac:dyDescent="0.2">
      <c r="A3379" s="1">
        <v>45755</v>
      </c>
      <c r="B3379" s="2" t="s">
        <v>26</v>
      </c>
      <c r="C3379" s="2" t="s">
        <v>21</v>
      </c>
      <c r="D3379" s="2" t="s">
        <v>16</v>
      </c>
      <c r="E3379">
        <v>27591</v>
      </c>
      <c r="F3379">
        <v>1956</v>
      </c>
      <c r="G3379">
        <v>229</v>
      </c>
      <c r="H3379">
        <v>0</v>
      </c>
      <c r="I3379">
        <v>35003.54</v>
      </c>
      <c r="J3379">
        <v>7.09</v>
      </c>
      <c r="K3379">
        <v>11.71</v>
      </c>
      <c r="L3379">
        <v>0</v>
      </c>
      <c r="M3379">
        <v>0</v>
      </c>
      <c r="N3379">
        <v>35003.54</v>
      </c>
    </row>
    <row r="3380" spans="1:14" x14ac:dyDescent="0.2">
      <c r="A3380" s="1">
        <v>45755</v>
      </c>
      <c r="B3380" s="2" t="s">
        <v>27</v>
      </c>
      <c r="C3380" s="2" t="s">
        <v>21</v>
      </c>
      <c r="D3380" s="2" t="s">
        <v>22</v>
      </c>
      <c r="E3380">
        <v>34521</v>
      </c>
      <c r="F3380">
        <v>478</v>
      </c>
      <c r="G3380">
        <v>21</v>
      </c>
      <c r="H3380">
        <v>1168.4000000000001</v>
      </c>
      <c r="I3380">
        <v>1866.42</v>
      </c>
      <c r="J3380">
        <v>1.38</v>
      </c>
      <c r="K3380">
        <v>4.3899999999999997</v>
      </c>
      <c r="L3380">
        <v>55.64</v>
      </c>
      <c r="M3380">
        <v>1.6</v>
      </c>
      <c r="N3380">
        <v>698.02</v>
      </c>
    </row>
    <row r="3381" spans="1:14" x14ac:dyDescent="0.2">
      <c r="A3381" s="1">
        <v>45755</v>
      </c>
      <c r="B3381" s="2" t="s">
        <v>29</v>
      </c>
      <c r="C3381" s="2" t="s">
        <v>18</v>
      </c>
      <c r="D3381" s="2" t="s">
        <v>19</v>
      </c>
      <c r="E3381">
        <v>24390</v>
      </c>
      <c r="F3381">
        <v>428</v>
      </c>
      <c r="G3381">
        <v>18</v>
      </c>
      <c r="H3381">
        <v>1161.8</v>
      </c>
      <c r="I3381">
        <v>1990.55</v>
      </c>
      <c r="J3381">
        <v>1.75</v>
      </c>
      <c r="K3381">
        <v>4.21</v>
      </c>
      <c r="L3381">
        <v>64.540000000000006</v>
      </c>
      <c r="M3381">
        <v>1.71</v>
      </c>
      <c r="N3381">
        <v>828.75</v>
      </c>
    </row>
    <row r="3382" spans="1:14" x14ac:dyDescent="0.2">
      <c r="A3382" s="1">
        <v>45755</v>
      </c>
      <c r="B3382" s="2" t="s">
        <v>30</v>
      </c>
      <c r="C3382" s="2" t="s">
        <v>18</v>
      </c>
      <c r="D3382" s="2" t="s">
        <v>22</v>
      </c>
      <c r="E3382">
        <v>9191</v>
      </c>
      <c r="F3382">
        <v>301</v>
      </c>
      <c r="G3382">
        <v>15</v>
      </c>
      <c r="H3382">
        <v>499.23</v>
      </c>
      <c r="I3382">
        <v>1479.96</v>
      </c>
      <c r="J3382">
        <v>3.27</v>
      </c>
      <c r="K3382">
        <v>4.9800000000000004</v>
      </c>
      <c r="L3382">
        <v>33.28</v>
      </c>
      <c r="M3382">
        <v>2.96</v>
      </c>
      <c r="N3382">
        <v>980.73</v>
      </c>
    </row>
    <row r="3383" spans="1:14" x14ac:dyDescent="0.2">
      <c r="A3383" s="1">
        <v>45755</v>
      </c>
      <c r="B3383" s="2" t="s">
        <v>31</v>
      </c>
      <c r="C3383" s="2" t="s">
        <v>18</v>
      </c>
      <c r="D3383" s="2" t="s">
        <v>25</v>
      </c>
      <c r="E3383">
        <v>26874</v>
      </c>
      <c r="F3383">
        <v>775</v>
      </c>
      <c r="G3383">
        <v>50</v>
      </c>
      <c r="H3383">
        <v>1038.97</v>
      </c>
      <c r="I3383">
        <v>3980.32</v>
      </c>
      <c r="J3383">
        <v>2.88</v>
      </c>
      <c r="K3383">
        <v>6.45</v>
      </c>
      <c r="L3383">
        <v>20.78</v>
      </c>
      <c r="M3383">
        <v>3.83</v>
      </c>
      <c r="N3383">
        <v>2941.35</v>
      </c>
    </row>
    <row r="3384" spans="1:14" x14ac:dyDescent="0.2">
      <c r="A3384" s="1">
        <v>45755</v>
      </c>
      <c r="B3384" s="2" t="s">
        <v>33</v>
      </c>
      <c r="C3384" s="2" t="s">
        <v>32</v>
      </c>
      <c r="D3384" s="2" t="s">
        <v>19</v>
      </c>
      <c r="E3384">
        <v>7992</v>
      </c>
      <c r="F3384">
        <v>418</v>
      </c>
      <c r="G3384">
        <v>50</v>
      </c>
      <c r="H3384">
        <v>542.23</v>
      </c>
      <c r="I3384">
        <v>6252.85</v>
      </c>
      <c r="J3384">
        <v>5.23</v>
      </c>
      <c r="K3384">
        <v>11.96</v>
      </c>
      <c r="L3384">
        <v>10.84</v>
      </c>
      <c r="M3384">
        <v>11.53</v>
      </c>
      <c r="N3384">
        <v>5710.62</v>
      </c>
    </row>
    <row r="3385" spans="1:14" x14ac:dyDescent="0.2">
      <c r="A3385" s="1">
        <v>45755</v>
      </c>
      <c r="B3385" s="2" t="s">
        <v>34</v>
      </c>
      <c r="C3385" s="2" t="s">
        <v>35</v>
      </c>
      <c r="D3385" s="2" t="s">
        <v>16</v>
      </c>
      <c r="E3385">
        <v>5143</v>
      </c>
      <c r="F3385">
        <v>417</v>
      </c>
      <c r="G3385">
        <v>71</v>
      </c>
      <c r="H3385">
        <v>151.44</v>
      </c>
      <c r="I3385">
        <v>9666.31</v>
      </c>
      <c r="J3385">
        <v>8.11</v>
      </c>
      <c r="K3385">
        <v>17.03</v>
      </c>
      <c r="L3385">
        <v>2.13</v>
      </c>
      <c r="M3385">
        <v>63.83</v>
      </c>
      <c r="N3385">
        <v>9514.8700000000008</v>
      </c>
    </row>
    <row r="3386" spans="1:14" x14ac:dyDescent="0.2">
      <c r="A3386" s="1">
        <v>45756</v>
      </c>
      <c r="B3386" s="2" t="s">
        <v>14</v>
      </c>
      <c r="C3386" s="2" t="s">
        <v>18</v>
      </c>
      <c r="D3386" s="2" t="s">
        <v>16</v>
      </c>
      <c r="E3386">
        <v>13455</v>
      </c>
      <c r="F3386">
        <v>671</v>
      </c>
      <c r="G3386">
        <v>78</v>
      </c>
      <c r="H3386">
        <v>1234.6500000000001</v>
      </c>
      <c r="I3386">
        <v>13090.03</v>
      </c>
      <c r="J3386">
        <v>4.99</v>
      </c>
      <c r="K3386">
        <v>11.62</v>
      </c>
      <c r="L3386">
        <v>15.83</v>
      </c>
      <c r="M3386">
        <v>10.6</v>
      </c>
      <c r="N3386">
        <v>11855.38</v>
      </c>
    </row>
    <row r="3387" spans="1:14" x14ac:dyDescent="0.2">
      <c r="A3387" s="1">
        <v>45756</v>
      </c>
      <c r="B3387" s="2" t="s">
        <v>17</v>
      </c>
      <c r="C3387" s="2" t="s">
        <v>28</v>
      </c>
      <c r="D3387" s="2" t="s">
        <v>22</v>
      </c>
      <c r="E3387">
        <v>17898</v>
      </c>
      <c r="F3387">
        <v>384</v>
      </c>
      <c r="G3387">
        <v>32</v>
      </c>
      <c r="H3387">
        <v>605.35</v>
      </c>
      <c r="I3387">
        <v>3131.83</v>
      </c>
      <c r="J3387">
        <v>2.15</v>
      </c>
      <c r="K3387">
        <v>8.33</v>
      </c>
      <c r="L3387">
        <v>18.920000000000002</v>
      </c>
      <c r="M3387">
        <v>5.17</v>
      </c>
      <c r="N3387">
        <v>2526.48</v>
      </c>
    </row>
    <row r="3388" spans="1:14" x14ac:dyDescent="0.2">
      <c r="A3388" s="1">
        <v>45756</v>
      </c>
      <c r="B3388" s="2" t="s">
        <v>20</v>
      </c>
      <c r="C3388" s="2" t="s">
        <v>21</v>
      </c>
      <c r="D3388" s="2" t="s">
        <v>19</v>
      </c>
      <c r="E3388">
        <v>14832</v>
      </c>
      <c r="F3388">
        <v>505</v>
      </c>
      <c r="G3388">
        <v>22</v>
      </c>
      <c r="H3388">
        <v>640.47</v>
      </c>
      <c r="I3388">
        <v>1830.41</v>
      </c>
      <c r="J3388">
        <v>3.4</v>
      </c>
      <c r="K3388">
        <v>4.3600000000000003</v>
      </c>
      <c r="L3388">
        <v>29.11</v>
      </c>
      <c r="M3388">
        <v>2.86</v>
      </c>
      <c r="N3388">
        <v>1189.94</v>
      </c>
    </row>
    <row r="3389" spans="1:14" x14ac:dyDescent="0.2">
      <c r="A3389" s="1">
        <v>45756</v>
      </c>
      <c r="B3389" s="2" t="s">
        <v>23</v>
      </c>
      <c r="C3389" s="2" t="s">
        <v>32</v>
      </c>
      <c r="D3389" s="2" t="s">
        <v>25</v>
      </c>
      <c r="E3389">
        <v>4012</v>
      </c>
      <c r="F3389">
        <v>71</v>
      </c>
      <c r="G3389">
        <v>8</v>
      </c>
      <c r="H3389">
        <v>1058</v>
      </c>
      <c r="I3389">
        <v>2887.99</v>
      </c>
      <c r="J3389">
        <v>1.77</v>
      </c>
      <c r="K3389">
        <v>11.27</v>
      </c>
      <c r="L3389">
        <v>132.25</v>
      </c>
      <c r="M3389">
        <v>2.73</v>
      </c>
      <c r="N3389">
        <v>1829.99</v>
      </c>
    </row>
    <row r="3390" spans="1:14" x14ac:dyDescent="0.2">
      <c r="A3390" s="1">
        <v>45756</v>
      </c>
      <c r="B3390" s="2" t="s">
        <v>24</v>
      </c>
      <c r="C3390" s="2" t="s">
        <v>32</v>
      </c>
      <c r="D3390" s="2" t="s">
        <v>25</v>
      </c>
      <c r="E3390">
        <v>24606</v>
      </c>
      <c r="F3390">
        <v>4757</v>
      </c>
      <c r="G3390">
        <v>432</v>
      </c>
      <c r="H3390">
        <v>215.27</v>
      </c>
      <c r="I3390">
        <v>59347.040000000001</v>
      </c>
      <c r="J3390">
        <v>19.329999999999998</v>
      </c>
      <c r="K3390">
        <v>9.08</v>
      </c>
      <c r="L3390">
        <v>0.5</v>
      </c>
      <c r="M3390">
        <v>275.69</v>
      </c>
      <c r="N3390">
        <v>59131.77</v>
      </c>
    </row>
    <row r="3391" spans="1:14" x14ac:dyDescent="0.2">
      <c r="A3391" s="1">
        <v>45756</v>
      </c>
      <c r="B3391" s="2" t="s">
        <v>26</v>
      </c>
      <c r="C3391" s="2" t="s">
        <v>21</v>
      </c>
      <c r="D3391" s="2" t="s">
        <v>36</v>
      </c>
      <c r="E3391">
        <v>34165</v>
      </c>
      <c r="F3391">
        <v>2671</v>
      </c>
      <c r="G3391">
        <v>389</v>
      </c>
      <c r="H3391">
        <v>0</v>
      </c>
      <c r="I3391">
        <v>42320.82</v>
      </c>
      <c r="J3391">
        <v>7.82</v>
      </c>
      <c r="K3391">
        <v>14.56</v>
      </c>
      <c r="L3391">
        <v>0</v>
      </c>
      <c r="M3391">
        <v>0</v>
      </c>
      <c r="N3391">
        <v>42320.82</v>
      </c>
    </row>
    <row r="3392" spans="1:14" x14ac:dyDescent="0.2">
      <c r="A3392" s="1">
        <v>45756</v>
      </c>
      <c r="B3392" s="2" t="s">
        <v>27</v>
      </c>
      <c r="C3392" s="2" t="s">
        <v>15</v>
      </c>
      <c r="D3392" s="2" t="s">
        <v>25</v>
      </c>
      <c r="E3392">
        <v>37333</v>
      </c>
      <c r="F3392">
        <v>551</v>
      </c>
      <c r="G3392">
        <v>26</v>
      </c>
      <c r="H3392">
        <v>1056.99</v>
      </c>
      <c r="I3392">
        <v>2950.71</v>
      </c>
      <c r="J3392">
        <v>1.48</v>
      </c>
      <c r="K3392">
        <v>4.72</v>
      </c>
      <c r="L3392">
        <v>40.65</v>
      </c>
      <c r="M3392">
        <v>2.79</v>
      </c>
      <c r="N3392">
        <v>1893.72</v>
      </c>
    </row>
    <row r="3393" spans="1:14" x14ac:dyDescent="0.2">
      <c r="A3393" s="1">
        <v>45756</v>
      </c>
      <c r="B3393" s="2" t="s">
        <v>29</v>
      </c>
      <c r="C3393" s="2" t="s">
        <v>35</v>
      </c>
      <c r="D3393" s="2" t="s">
        <v>16</v>
      </c>
      <c r="E3393">
        <v>18157</v>
      </c>
      <c r="F3393">
        <v>389</v>
      </c>
      <c r="G3393">
        <v>29</v>
      </c>
      <c r="H3393">
        <v>987.7</v>
      </c>
      <c r="I3393">
        <v>2785.61</v>
      </c>
      <c r="J3393">
        <v>2.14</v>
      </c>
      <c r="K3393">
        <v>7.46</v>
      </c>
      <c r="L3393">
        <v>34.06</v>
      </c>
      <c r="M3393">
        <v>2.82</v>
      </c>
      <c r="N3393">
        <v>1797.91</v>
      </c>
    </row>
    <row r="3394" spans="1:14" x14ac:dyDescent="0.2">
      <c r="A3394" s="1">
        <v>45756</v>
      </c>
      <c r="B3394" s="2" t="s">
        <v>30</v>
      </c>
      <c r="C3394" s="2" t="s">
        <v>18</v>
      </c>
      <c r="D3394" s="2" t="s">
        <v>19</v>
      </c>
      <c r="E3394">
        <v>8773</v>
      </c>
      <c r="F3394">
        <v>306</v>
      </c>
      <c r="G3394">
        <v>16</v>
      </c>
      <c r="H3394">
        <v>644.71</v>
      </c>
      <c r="I3394">
        <v>1228.4100000000001</v>
      </c>
      <c r="J3394">
        <v>3.49</v>
      </c>
      <c r="K3394">
        <v>5.23</v>
      </c>
      <c r="L3394">
        <v>40.29</v>
      </c>
      <c r="M3394">
        <v>1.91</v>
      </c>
      <c r="N3394">
        <v>583.70000000000005</v>
      </c>
    </row>
    <row r="3395" spans="1:14" x14ac:dyDescent="0.2">
      <c r="A3395" s="1">
        <v>45756</v>
      </c>
      <c r="B3395" s="2" t="s">
        <v>31</v>
      </c>
      <c r="C3395" s="2" t="s">
        <v>35</v>
      </c>
      <c r="D3395" s="2" t="s">
        <v>19</v>
      </c>
      <c r="E3395">
        <v>29778</v>
      </c>
      <c r="F3395">
        <v>974</v>
      </c>
      <c r="G3395">
        <v>50</v>
      </c>
      <c r="H3395">
        <v>773.15</v>
      </c>
      <c r="I3395">
        <v>3890.65</v>
      </c>
      <c r="J3395">
        <v>3.27</v>
      </c>
      <c r="K3395">
        <v>5.13</v>
      </c>
      <c r="L3395">
        <v>15.46</v>
      </c>
      <c r="M3395">
        <v>5.03</v>
      </c>
      <c r="N3395">
        <v>3117.5</v>
      </c>
    </row>
    <row r="3396" spans="1:14" x14ac:dyDescent="0.2">
      <c r="A3396" s="1">
        <v>45756</v>
      </c>
      <c r="B3396" s="2" t="s">
        <v>33</v>
      </c>
      <c r="C3396" s="2" t="s">
        <v>28</v>
      </c>
      <c r="D3396" s="2" t="s">
        <v>16</v>
      </c>
      <c r="E3396">
        <v>5132</v>
      </c>
      <c r="F3396">
        <v>321</v>
      </c>
      <c r="G3396">
        <v>40</v>
      </c>
      <c r="H3396">
        <v>478.62</v>
      </c>
      <c r="I3396">
        <v>4819.32</v>
      </c>
      <c r="J3396">
        <v>6.25</v>
      </c>
      <c r="K3396">
        <v>12.46</v>
      </c>
      <c r="L3396">
        <v>11.97</v>
      </c>
      <c r="M3396">
        <v>10.07</v>
      </c>
      <c r="N3396">
        <v>4340.7</v>
      </c>
    </row>
    <row r="3397" spans="1:14" x14ac:dyDescent="0.2">
      <c r="A3397" s="1">
        <v>45756</v>
      </c>
      <c r="B3397" s="2" t="s">
        <v>34</v>
      </c>
      <c r="C3397" s="2" t="s">
        <v>28</v>
      </c>
      <c r="D3397" s="2" t="s">
        <v>25</v>
      </c>
      <c r="E3397">
        <v>5694</v>
      </c>
      <c r="F3397">
        <v>335</v>
      </c>
      <c r="G3397">
        <v>42</v>
      </c>
      <c r="H3397">
        <v>59.49</v>
      </c>
      <c r="I3397">
        <v>5528.4</v>
      </c>
      <c r="J3397">
        <v>5.88</v>
      </c>
      <c r="K3397">
        <v>12.54</v>
      </c>
      <c r="L3397">
        <v>1.42</v>
      </c>
      <c r="M3397">
        <v>92.93</v>
      </c>
      <c r="N3397">
        <v>5468.91</v>
      </c>
    </row>
    <row r="3398" spans="1:14" x14ac:dyDescent="0.2">
      <c r="A3398" s="1">
        <v>45757</v>
      </c>
      <c r="B3398" s="2" t="s">
        <v>14</v>
      </c>
      <c r="C3398" s="2" t="s">
        <v>18</v>
      </c>
      <c r="D3398" s="2" t="s">
        <v>19</v>
      </c>
      <c r="E3398">
        <v>11156</v>
      </c>
      <c r="F3398">
        <v>404</v>
      </c>
      <c r="G3398">
        <v>38</v>
      </c>
      <c r="H3398">
        <v>1343.49</v>
      </c>
      <c r="I3398">
        <v>5175.68</v>
      </c>
      <c r="J3398">
        <v>3.62</v>
      </c>
      <c r="K3398">
        <v>9.41</v>
      </c>
      <c r="L3398">
        <v>35.35</v>
      </c>
      <c r="M3398">
        <v>3.85</v>
      </c>
      <c r="N3398">
        <v>3832.19</v>
      </c>
    </row>
    <row r="3399" spans="1:14" x14ac:dyDescent="0.2">
      <c r="A3399" s="1">
        <v>45757</v>
      </c>
      <c r="B3399" s="2" t="s">
        <v>17</v>
      </c>
      <c r="C3399" s="2" t="s">
        <v>28</v>
      </c>
      <c r="D3399" s="2" t="s">
        <v>22</v>
      </c>
      <c r="E3399">
        <v>15501</v>
      </c>
      <c r="F3399">
        <v>594</v>
      </c>
      <c r="G3399">
        <v>44</v>
      </c>
      <c r="H3399">
        <v>716.74</v>
      </c>
      <c r="I3399">
        <v>5765.91</v>
      </c>
      <c r="J3399">
        <v>3.83</v>
      </c>
      <c r="K3399">
        <v>7.41</v>
      </c>
      <c r="L3399">
        <v>16.29</v>
      </c>
      <c r="M3399">
        <v>8.0399999999999991</v>
      </c>
      <c r="N3399">
        <v>5049.17</v>
      </c>
    </row>
    <row r="3400" spans="1:14" x14ac:dyDescent="0.2">
      <c r="A3400" s="1">
        <v>45757</v>
      </c>
      <c r="B3400" s="2" t="s">
        <v>20</v>
      </c>
      <c r="C3400" s="2" t="s">
        <v>18</v>
      </c>
      <c r="D3400" s="2" t="s">
        <v>19</v>
      </c>
      <c r="E3400">
        <v>13175</v>
      </c>
      <c r="F3400">
        <v>526</v>
      </c>
      <c r="G3400">
        <v>28</v>
      </c>
      <c r="H3400">
        <v>804.22</v>
      </c>
      <c r="I3400">
        <v>2456.42</v>
      </c>
      <c r="J3400">
        <v>3.99</v>
      </c>
      <c r="K3400">
        <v>5.32</v>
      </c>
      <c r="L3400">
        <v>28.72</v>
      </c>
      <c r="M3400">
        <v>3.05</v>
      </c>
      <c r="N3400">
        <v>1652.2</v>
      </c>
    </row>
    <row r="3401" spans="1:14" x14ac:dyDescent="0.2">
      <c r="A3401" s="1">
        <v>45757</v>
      </c>
      <c r="B3401" s="2" t="s">
        <v>23</v>
      </c>
      <c r="C3401" s="2" t="s">
        <v>35</v>
      </c>
      <c r="D3401" s="2" t="s">
        <v>25</v>
      </c>
      <c r="E3401">
        <v>4024</v>
      </c>
      <c r="F3401">
        <v>62</v>
      </c>
      <c r="G3401">
        <v>7</v>
      </c>
      <c r="H3401">
        <v>1111.3399999999999</v>
      </c>
      <c r="I3401">
        <v>1902.98</v>
      </c>
      <c r="J3401">
        <v>1.54</v>
      </c>
      <c r="K3401">
        <v>11.29</v>
      </c>
      <c r="L3401">
        <v>158.76</v>
      </c>
      <c r="M3401">
        <v>1.71</v>
      </c>
      <c r="N3401">
        <v>791.64</v>
      </c>
    </row>
    <row r="3402" spans="1:14" x14ac:dyDescent="0.2">
      <c r="A3402" s="1">
        <v>45757</v>
      </c>
      <c r="B3402" s="2" t="s">
        <v>24</v>
      </c>
      <c r="C3402" s="2" t="s">
        <v>28</v>
      </c>
      <c r="D3402" s="2" t="s">
        <v>25</v>
      </c>
      <c r="E3402">
        <v>19217</v>
      </c>
      <c r="F3402">
        <v>3748</v>
      </c>
      <c r="G3402">
        <v>338</v>
      </c>
      <c r="H3402">
        <v>208.3</v>
      </c>
      <c r="I3402">
        <v>43321.75</v>
      </c>
      <c r="J3402">
        <v>19.5</v>
      </c>
      <c r="K3402">
        <v>9.02</v>
      </c>
      <c r="L3402">
        <v>0.62</v>
      </c>
      <c r="M3402">
        <v>207.98</v>
      </c>
      <c r="N3402">
        <v>43113.45</v>
      </c>
    </row>
    <row r="3403" spans="1:14" x14ac:dyDescent="0.2">
      <c r="A3403" s="1">
        <v>45757</v>
      </c>
      <c r="B3403" s="2" t="s">
        <v>26</v>
      </c>
      <c r="C3403" s="2" t="s">
        <v>21</v>
      </c>
      <c r="D3403" s="2" t="s">
        <v>22</v>
      </c>
      <c r="E3403">
        <v>26957</v>
      </c>
      <c r="F3403">
        <v>1597</v>
      </c>
      <c r="G3403">
        <v>188</v>
      </c>
      <c r="H3403">
        <v>0</v>
      </c>
      <c r="I3403">
        <v>23755.599999999999</v>
      </c>
      <c r="J3403">
        <v>5.92</v>
      </c>
      <c r="K3403">
        <v>11.77</v>
      </c>
      <c r="L3403">
        <v>0</v>
      </c>
      <c r="M3403">
        <v>0</v>
      </c>
      <c r="N3403">
        <v>23755.599999999999</v>
      </c>
    </row>
    <row r="3404" spans="1:14" x14ac:dyDescent="0.2">
      <c r="A3404" s="1">
        <v>45757</v>
      </c>
      <c r="B3404" s="2" t="s">
        <v>27</v>
      </c>
      <c r="C3404" s="2" t="s">
        <v>32</v>
      </c>
      <c r="D3404" s="2" t="s">
        <v>16</v>
      </c>
      <c r="E3404">
        <v>30852</v>
      </c>
      <c r="F3404">
        <v>608</v>
      </c>
      <c r="G3404">
        <v>26</v>
      </c>
      <c r="H3404">
        <v>1174.58</v>
      </c>
      <c r="I3404">
        <v>3679.48</v>
      </c>
      <c r="J3404">
        <v>1.97</v>
      </c>
      <c r="K3404">
        <v>4.28</v>
      </c>
      <c r="L3404">
        <v>45.18</v>
      </c>
      <c r="M3404">
        <v>3.13</v>
      </c>
      <c r="N3404">
        <v>2504.9</v>
      </c>
    </row>
    <row r="3405" spans="1:14" x14ac:dyDescent="0.2">
      <c r="A3405" s="1">
        <v>45757</v>
      </c>
      <c r="B3405" s="2" t="s">
        <v>29</v>
      </c>
      <c r="C3405" s="2" t="s">
        <v>18</v>
      </c>
      <c r="D3405" s="2" t="s">
        <v>25</v>
      </c>
      <c r="E3405">
        <v>18251</v>
      </c>
      <c r="F3405">
        <v>281</v>
      </c>
      <c r="G3405">
        <v>16</v>
      </c>
      <c r="H3405">
        <v>1131.4100000000001</v>
      </c>
      <c r="I3405">
        <v>1992.11</v>
      </c>
      <c r="J3405">
        <v>1.54</v>
      </c>
      <c r="K3405">
        <v>5.69</v>
      </c>
      <c r="L3405">
        <v>70.709999999999994</v>
      </c>
      <c r="M3405">
        <v>1.76</v>
      </c>
      <c r="N3405">
        <v>860.7</v>
      </c>
    </row>
    <row r="3406" spans="1:14" x14ac:dyDescent="0.2">
      <c r="A3406" s="1">
        <v>45757</v>
      </c>
      <c r="B3406" s="2" t="s">
        <v>30</v>
      </c>
      <c r="C3406" s="2" t="s">
        <v>15</v>
      </c>
      <c r="D3406" s="2" t="s">
        <v>25</v>
      </c>
      <c r="E3406">
        <v>10050</v>
      </c>
      <c r="F3406">
        <v>311</v>
      </c>
      <c r="G3406">
        <v>12</v>
      </c>
      <c r="H3406">
        <v>541.88</v>
      </c>
      <c r="I3406">
        <v>1263.1600000000001</v>
      </c>
      <c r="J3406">
        <v>3.09</v>
      </c>
      <c r="K3406">
        <v>3.86</v>
      </c>
      <c r="L3406">
        <v>45.16</v>
      </c>
      <c r="M3406">
        <v>2.33</v>
      </c>
      <c r="N3406">
        <v>721.28</v>
      </c>
    </row>
    <row r="3407" spans="1:14" x14ac:dyDescent="0.2">
      <c r="A3407" s="1">
        <v>45757</v>
      </c>
      <c r="B3407" s="2" t="s">
        <v>31</v>
      </c>
      <c r="C3407" s="2" t="s">
        <v>18</v>
      </c>
      <c r="D3407" s="2" t="s">
        <v>36</v>
      </c>
      <c r="E3407">
        <v>27855</v>
      </c>
      <c r="F3407">
        <v>1032</v>
      </c>
      <c r="G3407">
        <v>60</v>
      </c>
      <c r="H3407">
        <v>1067.03</v>
      </c>
      <c r="I3407">
        <v>5288.51</v>
      </c>
      <c r="J3407">
        <v>3.7</v>
      </c>
      <c r="K3407">
        <v>5.81</v>
      </c>
      <c r="L3407">
        <v>17.78</v>
      </c>
      <c r="M3407">
        <v>4.96</v>
      </c>
      <c r="N3407">
        <v>4221.4799999999996</v>
      </c>
    </row>
    <row r="3408" spans="1:14" x14ac:dyDescent="0.2">
      <c r="A3408" s="1">
        <v>45757</v>
      </c>
      <c r="B3408" s="2" t="s">
        <v>33</v>
      </c>
      <c r="C3408" s="2" t="s">
        <v>15</v>
      </c>
      <c r="D3408" s="2" t="s">
        <v>25</v>
      </c>
      <c r="E3408">
        <v>5259</v>
      </c>
      <c r="F3408">
        <v>308</v>
      </c>
      <c r="G3408">
        <v>28</v>
      </c>
      <c r="H3408">
        <v>565.62</v>
      </c>
      <c r="I3408">
        <v>3873.25</v>
      </c>
      <c r="J3408">
        <v>5.86</v>
      </c>
      <c r="K3408">
        <v>9.09</v>
      </c>
      <c r="L3408">
        <v>20.2</v>
      </c>
      <c r="M3408">
        <v>6.85</v>
      </c>
      <c r="N3408">
        <v>3307.63</v>
      </c>
    </row>
    <row r="3409" spans="1:14" x14ac:dyDescent="0.2">
      <c r="A3409" s="1">
        <v>45757</v>
      </c>
      <c r="B3409" s="2" t="s">
        <v>34</v>
      </c>
      <c r="C3409" s="2" t="s">
        <v>15</v>
      </c>
      <c r="D3409" s="2" t="s">
        <v>19</v>
      </c>
      <c r="E3409">
        <v>4252</v>
      </c>
      <c r="F3409">
        <v>216</v>
      </c>
      <c r="G3409">
        <v>29</v>
      </c>
      <c r="H3409">
        <v>175.45</v>
      </c>
      <c r="I3409">
        <v>4006.51</v>
      </c>
      <c r="J3409">
        <v>5.08</v>
      </c>
      <c r="K3409">
        <v>13.43</v>
      </c>
      <c r="L3409">
        <v>6.05</v>
      </c>
      <c r="M3409">
        <v>22.84</v>
      </c>
      <c r="N3409">
        <v>3831.06</v>
      </c>
    </row>
    <row r="3410" spans="1:14" x14ac:dyDescent="0.2">
      <c r="A3410" s="1">
        <v>45758</v>
      </c>
      <c r="B3410" s="2" t="s">
        <v>14</v>
      </c>
      <c r="C3410" s="2" t="s">
        <v>28</v>
      </c>
      <c r="D3410" s="2" t="s">
        <v>25</v>
      </c>
      <c r="E3410">
        <v>11424</v>
      </c>
      <c r="F3410">
        <v>364</v>
      </c>
      <c r="G3410">
        <v>36</v>
      </c>
      <c r="H3410">
        <v>1065.46</v>
      </c>
      <c r="I3410">
        <v>4691.9399999999996</v>
      </c>
      <c r="J3410">
        <v>3.19</v>
      </c>
      <c r="K3410">
        <v>9.89</v>
      </c>
      <c r="L3410">
        <v>29.6</v>
      </c>
      <c r="M3410">
        <v>4.4000000000000004</v>
      </c>
      <c r="N3410">
        <v>3626.48</v>
      </c>
    </row>
    <row r="3411" spans="1:14" x14ac:dyDescent="0.2">
      <c r="A3411" s="1">
        <v>45758</v>
      </c>
      <c r="B3411" s="2" t="s">
        <v>17</v>
      </c>
      <c r="C3411" s="2" t="s">
        <v>35</v>
      </c>
      <c r="D3411" s="2" t="s">
        <v>19</v>
      </c>
      <c r="E3411">
        <v>13790</v>
      </c>
      <c r="F3411">
        <v>440</v>
      </c>
      <c r="G3411">
        <v>25</v>
      </c>
      <c r="H3411">
        <v>1113.19</v>
      </c>
      <c r="I3411">
        <v>2374.61</v>
      </c>
      <c r="J3411">
        <v>3.19</v>
      </c>
      <c r="K3411">
        <v>5.68</v>
      </c>
      <c r="L3411">
        <v>44.53</v>
      </c>
      <c r="M3411">
        <v>2.13</v>
      </c>
      <c r="N3411">
        <v>1261.42</v>
      </c>
    </row>
    <row r="3412" spans="1:14" x14ac:dyDescent="0.2">
      <c r="A3412" s="1">
        <v>45758</v>
      </c>
      <c r="B3412" s="2" t="s">
        <v>20</v>
      </c>
      <c r="C3412" s="2" t="s">
        <v>32</v>
      </c>
      <c r="D3412" s="2" t="s">
        <v>25</v>
      </c>
      <c r="E3412">
        <v>16131</v>
      </c>
      <c r="F3412">
        <v>489</v>
      </c>
      <c r="G3412">
        <v>37</v>
      </c>
      <c r="H3412">
        <v>763.39</v>
      </c>
      <c r="I3412">
        <v>3501.72</v>
      </c>
      <c r="J3412">
        <v>3.03</v>
      </c>
      <c r="K3412">
        <v>7.57</v>
      </c>
      <c r="L3412">
        <v>20.63</v>
      </c>
      <c r="M3412">
        <v>4.59</v>
      </c>
      <c r="N3412">
        <v>2738.33</v>
      </c>
    </row>
    <row r="3413" spans="1:14" x14ac:dyDescent="0.2">
      <c r="A3413" s="1">
        <v>45758</v>
      </c>
      <c r="B3413" s="2" t="s">
        <v>23</v>
      </c>
      <c r="C3413" s="2" t="s">
        <v>32</v>
      </c>
      <c r="D3413" s="2" t="s">
        <v>19</v>
      </c>
      <c r="E3413">
        <v>3157</v>
      </c>
      <c r="F3413">
        <v>77</v>
      </c>
      <c r="G3413">
        <v>8</v>
      </c>
      <c r="H3413">
        <v>1107.3399999999999</v>
      </c>
      <c r="I3413">
        <v>2556.36</v>
      </c>
      <c r="J3413">
        <v>2.44</v>
      </c>
      <c r="K3413">
        <v>10.39</v>
      </c>
      <c r="L3413">
        <v>138.41999999999999</v>
      </c>
      <c r="M3413">
        <v>2.31</v>
      </c>
      <c r="N3413">
        <v>1449.02</v>
      </c>
    </row>
    <row r="3414" spans="1:14" x14ac:dyDescent="0.2">
      <c r="A3414" s="1">
        <v>45758</v>
      </c>
      <c r="B3414" s="2" t="s">
        <v>24</v>
      </c>
      <c r="C3414" s="2" t="s">
        <v>21</v>
      </c>
      <c r="D3414" s="2" t="s">
        <v>25</v>
      </c>
      <c r="E3414">
        <v>17877</v>
      </c>
      <c r="F3414">
        <v>3819</v>
      </c>
      <c r="G3414">
        <v>414</v>
      </c>
      <c r="H3414">
        <v>273.12</v>
      </c>
      <c r="I3414">
        <v>48111.05</v>
      </c>
      <c r="J3414">
        <v>21.36</v>
      </c>
      <c r="K3414">
        <v>10.84</v>
      </c>
      <c r="L3414">
        <v>0.66</v>
      </c>
      <c r="M3414">
        <v>176.15</v>
      </c>
      <c r="N3414">
        <v>47837.93</v>
      </c>
    </row>
    <row r="3415" spans="1:14" x14ac:dyDescent="0.2">
      <c r="A3415" s="1">
        <v>45758</v>
      </c>
      <c r="B3415" s="2" t="s">
        <v>26</v>
      </c>
      <c r="C3415" s="2" t="s">
        <v>32</v>
      </c>
      <c r="D3415" s="2" t="s">
        <v>36</v>
      </c>
      <c r="E3415">
        <v>23780</v>
      </c>
      <c r="F3415">
        <v>1304</v>
      </c>
      <c r="G3415">
        <v>135</v>
      </c>
      <c r="H3415">
        <v>0</v>
      </c>
      <c r="I3415">
        <v>19214.27</v>
      </c>
      <c r="J3415">
        <v>5.48</v>
      </c>
      <c r="K3415">
        <v>10.35</v>
      </c>
      <c r="L3415">
        <v>0</v>
      </c>
      <c r="M3415">
        <v>0</v>
      </c>
      <c r="N3415">
        <v>19214.27</v>
      </c>
    </row>
    <row r="3416" spans="1:14" x14ac:dyDescent="0.2">
      <c r="A3416" s="1">
        <v>45758</v>
      </c>
      <c r="B3416" s="2" t="s">
        <v>27</v>
      </c>
      <c r="C3416" s="2" t="s">
        <v>32</v>
      </c>
      <c r="D3416" s="2" t="s">
        <v>36</v>
      </c>
      <c r="E3416">
        <v>38769</v>
      </c>
      <c r="F3416">
        <v>424</v>
      </c>
      <c r="G3416">
        <v>17</v>
      </c>
      <c r="H3416">
        <v>911.62</v>
      </c>
      <c r="I3416">
        <v>2030.27</v>
      </c>
      <c r="J3416">
        <v>1.0900000000000001</v>
      </c>
      <c r="K3416">
        <v>4.01</v>
      </c>
      <c r="L3416">
        <v>53.62</v>
      </c>
      <c r="M3416">
        <v>2.23</v>
      </c>
      <c r="N3416">
        <v>1118.6500000000001</v>
      </c>
    </row>
    <row r="3417" spans="1:14" x14ac:dyDescent="0.2">
      <c r="A3417" s="1">
        <v>45758</v>
      </c>
      <c r="B3417" s="2" t="s">
        <v>29</v>
      </c>
      <c r="C3417" s="2" t="s">
        <v>28</v>
      </c>
      <c r="D3417" s="2" t="s">
        <v>22</v>
      </c>
      <c r="E3417">
        <v>23613</v>
      </c>
      <c r="F3417">
        <v>591</v>
      </c>
      <c r="G3417">
        <v>43</v>
      </c>
      <c r="H3417">
        <v>1319.38</v>
      </c>
      <c r="I3417">
        <v>4517.26</v>
      </c>
      <c r="J3417">
        <v>2.5</v>
      </c>
      <c r="K3417">
        <v>7.28</v>
      </c>
      <c r="L3417">
        <v>30.68</v>
      </c>
      <c r="M3417">
        <v>3.42</v>
      </c>
      <c r="N3417">
        <v>3197.88</v>
      </c>
    </row>
    <row r="3418" spans="1:14" x14ac:dyDescent="0.2">
      <c r="A3418" s="1">
        <v>45758</v>
      </c>
      <c r="B3418" s="2" t="s">
        <v>30</v>
      </c>
      <c r="C3418" s="2" t="s">
        <v>32</v>
      </c>
      <c r="D3418" s="2" t="s">
        <v>22</v>
      </c>
      <c r="E3418">
        <v>12426</v>
      </c>
      <c r="F3418">
        <v>257</v>
      </c>
      <c r="G3418">
        <v>9</v>
      </c>
      <c r="H3418">
        <v>636.84</v>
      </c>
      <c r="I3418">
        <v>1045.48</v>
      </c>
      <c r="J3418">
        <v>2.0699999999999998</v>
      </c>
      <c r="K3418">
        <v>3.5</v>
      </c>
      <c r="L3418">
        <v>70.760000000000005</v>
      </c>
      <c r="M3418">
        <v>1.64</v>
      </c>
      <c r="N3418">
        <v>408.64</v>
      </c>
    </row>
    <row r="3419" spans="1:14" x14ac:dyDescent="0.2">
      <c r="A3419" s="1">
        <v>45758</v>
      </c>
      <c r="B3419" s="2" t="s">
        <v>31</v>
      </c>
      <c r="C3419" s="2" t="s">
        <v>15</v>
      </c>
      <c r="D3419" s="2" t="s">
        <v>19</v>
      </c>
      <c r="E3419">
        <v>26446</v>
      </c>
      <c r="F3419">
        <v>735</v>
      </c>
      <c r="G3419">
        <v>38</v>
      </c>
      <c r="H3419">
        <v>998.3</v>
      </c>
      <c r="I3419">
        <v>2538.41</v>
      </c>
      <c r="J3419">
        <v>2.78</v>
      </c>
      <c r="K3419">
        <v>5.17</v>
      </c>
      <c r="L3419">
        <v>26.27</v>
      </c>
      <c r="M3419">
        <v>2.54</v>
      </c>
      <c r="N3419">
        <v>1540.11</v>
      </c>
    </row>
    <row r="3420" spans="1:14" x14ac:dyDescent="0.2">
      <c r="A3420" s="1">
        <v>45758</v>
      </c>
      <c r="B3420" s="2" t="s">
        <v>33</v>
      </c>
      <c r="C3420" s="2" t="s">
        <v>21</v>
      </c>
      <c r="D3420" s="2" t="s">
        <v>16</v>
      </c>
      <c r="E3420">
        <v>7305</v>
      </c>
      <c r="F3420">
        <v>299</v>
      </c>
      <c r="G3420">
        <v>36</v>
      </c>
      <c r="H3420">
        <v>300.76</v>
      </c>
      <c r="I3420">
        <v>4495.55</v>
      </c>
      <c r="J3420">
        <v>4.09</v>
      </c>
      <c r="K3420">
        <v>12.04</v>
      </c>
      <c r="L3420">
        <v>8.35</v>
      </c>
      <c r="M3420">
        <v>14.95</v>
      </c>
      <c r="N3420">
        <v>4194.79</v>
      </c>
    </row>
    <row r="3421" spans="1:14" x14ac:dyDescent="0.2">
      <c r="A3421" s="1">
        <v>45758</v>
      </c>
      <c r="B3421" s="2" t="s">
        <v>34</v>
      </c>
      <c r="C3421" s="2" t="s">
        <v>18</v>
      </c>
      <c r="D3421" s="2" t="s">
        <v>16</v>
      </c>
      <c r="E3421">
        <v>3496</v>
      </c>
      <c r="F3421">
        <v>292</v>
      </c>
      <c r="G3421">
        <v>35</v>
      </c>
      <c r="H3421">
        <v>198.34</v>
      </c>
      <c r="I3421">
        <v>5968.41</v>
      </c>
      <c r="J3421">
        <v>8.35</v>
      </c>
      <c r="K3421">
        <v>11.99</v>
      </c>
      <c r="L3421">
        <v>5.67</v>
      </c>
      <c r="M3421">
        <v>30.09</v>
      </c>
      <c r="N3421">
        <v>5770.07</v>
      </c>
    </row>
    <row r="3422" spans="1:14" x14ac:dyDescent="0.2">
      <c r="A3422" s="1">
        <v>45759</v>
      </c>
      <c r="B3422" s="2" t="s">
        <v>14</v>
      </c>
      <c r="C3422" s="2" t="s">
        <v>28</v>
      </c>
      <c r="D3422" s="2" t="s">
        <v>16</v>
      </c>
      <c r="E3422">
        <v>7398</v>
      </c>
      <c r="F3422">
        <v>368</v>
      </c>
      <c r="G3422">
        <v>35</v>
      </c>
      <c r="H3422">
        <v>913.9</v>
      </c>
      <c r="I3422">
        <v>6208.68</v>
      </c>
      <c r="J3422">
        <v>4.97</v>
      </c>
      <c r="K3422">
        <v>9.51</v>
      </c>
      <c r="L3422">
        <v>26.11</v>
      </c>
      <c r="M3422">
        <v>6.79</v>
      </c>
      <c r="N3422">
        <v>5294.78</v>
      </c>
    </row>
    <row r="3423" spans="1:14" x14ac:dyDescent="0.2">
      <c r="A3423" s="1">
        <v>45759</v>
      </c>
      <c r="B3423" s="2" t="s">
        <v>17</v>
      </c>
      <c r="C3423" s="2" t="s">
        <v>15</v>
      </c>
      <c r="D3423" s="2" t="s">
        <v>22</v>
      </c>
      <c r="E3423">
        <v>8758</v>
      </c>
      <c r="F3423">
        <v>185</v>
      </c>
      <c r="G3423">
        <v>9</v>
      </c>
      <c r="H3423">
        <v>796.24</v>
      </c>
      <c r="I3423">
        <v>919.44</v>
      </c>
      <c r="J3423">
        <v>2.11</v>
      </c>
      <c r="K3423">
        <v>4.8600000000000003</v>
      </c>
      <c r="L3423">
        <v>88.47</v>
      </c>
      <c r="M3423">
        <v>1.1499999999999999</v>
      </c>
      <c r="N3423">
        <v>123.2</v>
      </c>
    </row>
    <row r="3424" spans="1:14" x14ac:dyDescent="0.2">
      <c r="A3424" s="1">
        <v>45759</v>
      </c>
      <c r="B3424" s="2" t="s">
        <v>20</v>
      </c>
      <c r="C3424" s="2" t="s">
        <v>32</v>
      </c>
      <c r="D3424" s="2" t="s">
        <v>36</v>
      </c>
      <c r="E3424">
        <v>8890</v>
      </c>
      <c r="F3424">
        <v>357</v>
      </c>
      <c r="G3424">
        <v>22</v>
      </c>
      <c r="H3424">
        <v>594.07000000000005</v>
      </c>
      <c r="I3424">
        <v>2013.12</v>
      </c>
      <c r="J3424">
        <v>4.0199999999999996</v>
      </c>
      <c r="K3424">
        <v>6.16</v>
      </c>
      <c r="L3424">
        <v>27</v>
      </c>
      <c r="M3424">
        <v>3.39</v>
      </c>
      <c r="N3424">
        <v>1419.05</v>
      </c>
    </row>
    <row r="3425" spans="1:14" x14ac:dyDescent="0.2">
      <c r="A3425" s="1">
        <v>45759</v>
      </c>
      <c r="B3425" s="2" t="s">
        <v>23</v>
      </c>
      <c r="C3425" s="2" t="s">
        <v>28</v>
      </c>
      <c r="D3425" s="2" t="s">
        <v>16</v>
      </c>
      <c r="E3425">
        <v>2362</v>
      </c>
      <c r="F3425">
        <v>45</v>
      </c>
      <c r="G3425">
        <v>4</v>
      </c>
      <c r="H3425">
        <v>1150.72</v>
      </c>
      <c r="I3425">
        <v>1081.8499999999999</v>
      </c>
      <c r="J3425">
        <v>1.91</v>
      </c>
      <c r="K3425">
        <v>8.89</v>
      </c>
      <c r="L3425">
        <v>287.68</v>
      </c>
      <c r="M3425">
        <v>0.94</v>
      </c>
      <c r="N3425">
        <v>-68.87</v>
      </c>
    </row>
    <row r="3426" spans="1:14" x14ac:dyDescent="0.2">
      <c r="A3426" s="1">
        <v>45759</v>
      </c>
      <c r="B3426" s="2" t="s">
        <v>24</v>
      </c>
      <c r="C3426" s="2" t="s">
        <v>35</v>
      </c>
      <c r="D3426" s="2" t="s">
        <v>19</v>
      </c>
      <c r="E3426">
        <v>10738</v>
      </c>
      <c r="F3426">
        <v>2317</v>
      </c>
      <c r="G3426">
        <v>293</v>
      </c>
      <c r="H3426">
        <v>135.93</v>
      </c>
      <c r="I3426">
        <v>37845.839999999997</v>
      </c>
      <c r="J3426">
        <v>21.58</v>
      </c>
      <c r="K3426">
        <v>12.65</v>
      </c>
      <c r="L3426">
        <v>0.46</v>
      </c>
      <c r="M3426">
        <v>278.42</v>
      </c>
      <c r="N3426">
        <v>37709.910000000003</v>
      </c>
    </row>
    <row r="3427" spans="1:14" x14ac:dyDescent="0.2">
      <c r="A3427" s="1">
        <v>45759</v>
      </c>
      <c r="B3427" s="2" t="s">
        <v>26</v>
      </c>
      <c r="C3427" s="2" t="s">
        <v>32</v>
      </c>
      <c r="D3427" s="2" t="s">
        <v>22</v>
      </c>
      <c r="E3427">
        <v>16780</v>
      </c>
      <c r="F3427">
        <v>1082</v>
      </c>
      <c r="G3427">
        <v>146</v>
      </c>
      <c r="H3427">
        <v>0</v>
      </c>
      <c r="I3427">
        <v>17416.03</v>
      </c>
      <c r="J3427">
        <v>6.45</v>
      </c>
      <c r="K3427">
        <v>13.49</v>
      </c>
      <c r="L3427">
        <v>0</v>
      </c>
      <c r="M3427">
        <v>0</v>
      </c>
      <c r="N3427">
        <v>17416.03</v>
      </c>
    </row>
    <row r="3428" spans="1:14" x14ac:dyDescent="0.2">
      <c r="A3428" s="1">
        <v>45759</v>
      </c>
      <c r="B3428" s="2" t="s">
        <v>27</v>
      </c>
      <c r="C3428" s="2" t="s">
        <v>18</v>
      </c>
      <c r="D3428" s="2" t="s">
        <v>22</v>
      </c>
      <c r="E3428">
        <v>21854</v>
      </c>
      <c r="F3428">
        <v>366</v>
      </c>
      <c r="G3428">
        <v>7</v>
      </c>
      <c r="H3428">
        <v>762.17</v>
      </c>
      <c r="I3428">
        <v>780.38</v>
      </c>
      <c r="J3428">
        <v>1.67</v>
      </c>
      <c r="K3428">
        <v>1.91</v>
      </c>
      <c r="L3428">
        <v>108.88</v>
      </c>
      <c r="M3428">
        <v>1.02</v>
      </c>
      <c r="N3428">
        <v>18.21</v>
      </c>
    </row>
    <row r="3429" spans="1:14" x14ac:dyDescent="0.2">
      <c r="A3429" s="1">
        <v>45759</v>
      </c>
      <c r="B3429" s="2" t="s">
        <v>29</v>
      </c>
      <c r="C3429" s="2" t="s">
        <v>15</v>
      </c>
      <c r="D3429" s="2" t="s">
        <v>19</v>
      </c>
      <c r="E3429">
        <v>12928</v>
      </c>
      <c r="F3429">
        <v>352</v>
      </c>
      <c r="G3429">
        <v>21</v>
      </c>
      <c r="H3429">
        <v>615.1</v>
      </c>
      <c r="I3429">
        <v>2645.08</v>
      </c>
      <c r="J3429">
        <v>2.72</v>
      </c>
      <c r="K3429">
        <v>5.97</v>
      </c>
      <c r="L3429">
        <v>29.29</v>
      </c>
      <c r="M3429">
        <v>4.3</v>
      </c>
      <c r="N3429">
        <v>2029.98</v>
      </c>
    </row>
    <row r="3430" spans="1:14" x14ac:dyDescent="0.2">
      <c r="A3430" s="1">
        <v>45759</v>
      </c>
      <c r="B3430" s="2" t="s">
        <v>30</v>
      </c>
      <c r="C3430" s="2" t="s">
        <v>35</v>
      </c>
      <c r="D3430" s="2" t="s">
        <v>16</v>
      </c>
      <c r="E3430">
        <v>8717</v>
      </c>
      <c r="F3430">
        <v>205</v>
      </c>
      <c r="G3430">
        <v>7</v>
      </c>
      <c r="H3430">
        <v>457.24</v>
      </c>
      <c r="I3430">
        <v>668.85</v>
      </c>
      <c r="J3430">
        <v>2.35</v>
      </c>
      <c r="K3430">
        <v>3.41</v>
      </c>
      <c r="L3430">
        <v>65.319999999999993</v>
      </c>
      <c r="M3430">
        <v>1.46</v>
      </c>
      <c r="N3430">
        <v>211.61</v>
      </c>
    </row>
    <row r="3431" spans="1:14" x14ac:dyDescent="0.2">
      <c r="A3431" s="1">
        <v>45759</v>
      </c>
      <c r="B3431" s="2" t="s">
        <v>31</v>
      </c>
      <c r="C3431" s="2" t="s">
        <v>35</v>
      </c>
      <c r="D3431" s="2" t="s">
        <v>19</v>
      </c>
      <c r="E3431">
        <v>20183</v>
      </c>
      <c r="F3431">
        <v>510</v>
      </c>
      <c r="G3431">
        <v>27</v>
      </c>
      <c r="H3431">
        <v>750.04</v>
      </c>
      <c r="I3431">
        <v>2248.41</v>
      </c>
      <c r="J3431">
        <v>2.5299999999999998</v>
      </c>
      <c r="K3431">
        <v>5.29</v>
      </c>
      <c r="L3431">
        <v>27.78</v>
      </c>
      <c r="M3431">
        <v>3</v>
      </c>
      <c r="N3431">
        <v>1498.37</v>
      </c>
    </row>
    <row r="3432" spans="1:14" x14ac:dyDescent="0.2">
      <c r="A3432" s="1">
        <v>45759</v>
      </c>
      <c r="B3432" s="2" t="s">
        <v>33</v>
      </c>
      <c r="C3432" s="2" t="s">
        <v>32</v>
      </c>
      <c r="D3432" s="2" t="s">
        <v>25</v>
      </c>
      <c r="E3432">
        <v>3995</v>
      </c>
      <c r="F3432">
        <v>242</v>
      </c>
      <c r="G3432">
        <v>22</v>
      </c>
      <c r="H3432">
        <v>320.12</v>
      </c>
      <c r="I3432">
        <v>2547.66</v>
      </c>
      <c r="J3432">
        <v>6.06</v>
      </c>
      <c r="K3432">
        <v>9.09</v>
      </c>
      <c r="L3432">
        <v>14.55</v>
      </c>
      <c r="M3432">
        <v>7.96</v>
      </c>
      <c r="N3432">
        <v>2227.54</v>
      </c>
    </row>
    <row r="3433" spans="1:14" x14ac:dyDescent="0.2">
      <c r="A3433" s="1">
        <v>45759</v>
      </c>
      <c r="B3433" s="2" t="s">
        <v>34</v>
      </c>
      <c r="C3433" s="2" t="s">
        <v>35</v>
      </c>
      <c r="D3433" s="2" t="s">
        <v>16</v>
      </c>
      <c r="E3433">
        <v>2895</v>
      </c>
      <c r="F3433">
        <v>208</v>
      </c>
      <c r="G3433">
        <v>28</v>
      </c>
      <c r="H3433">
        <v>105.89</v>
      </c>
      <c r="I3433">
        <v>4036.33</v>
      </c>
      <c r="J3433">
        <v>7.18</v>
      </c>
      <c r="K3433">
        <v>13.46</v>
      </c>
      <c r="L3433">
        <v>3.78</v>
      </c>
      <c r="M3433">
        <v>38.119999999999997</v>
      </c>
      <c r="N3433">
        <v>3930.44</v>
      </c>
    </row>
    <row r="3434" spans="1:14" x14ac:dyDescent="0.2">
      <c r="A3434" s="1">
        <v>45760</v>
      </c>
      <c r="B3434" s="2" t="s">
        <v>14</v>
      </c>
      <c r="C3434" s="2" t="s">
        <v>18</v>
      </c>
      <c r="D3434" s="2" t="s">
        <v>19</v>
      </c>
      <c r="E3434">
        <v>7972</v>
      </c>
      <c r="F3434">
        <v>335</v>
      </c>
      <c r="G3434">
        <v>37</v>
      </c>
      <c r="H3434">
        <v>657.18</v>
      </c>
      <c r="I3434">
        <v>4871.42</v>
      </c>
      <c r="J3434">
        <v>4.2</v>
      </c>
      <c r="K3434">
        <v>11.04</v>
      </c>
      <c r="L3434">
        <v>17.760000000000002</v>
      </c>
      <c r="M3434">
        <v>7.41</v>
      </c>
      <c r="N3434">
        <v>4214.24</v>
      </c>
    </row>
    <row r="3435" spans="1:14" x14ac:dyDescent="0.2">
      <c r="A3435" s="1">
        <v>45760</v>
      </c>
      <c r="B3435" s="2" t="s">
        <v>17</v>
      </c>
      <c r="C3435" s="2" t="s">
        <v>35</v>
      </c>
      <c r="D3435" s="2" t="s">
        <v>36</v>
      </c>
      <c r="E3435">
        <v>9572</v>
      </c>
      <c r="F3435">
        <v>226</v>
      </c>
      <c r="G3435">
        <v>19</v>
      </c>
      <c r="H3435">
        <v>695.67</v>
      </c>
      <c r="I3435">
        <v>1828.41</v>
      </c>
      <c r="J3435">
        <v>2.36</v>
      </c>
      <c r="K3435">
        <v>8.41</v>
      </c>
      <c r="L3435">
        <v>36.61</v>
      </c>
      <c r="M3435">
        <v>2.63</v>
      </c>
      <c r="N3435">
        <v>1132.74</v>
      </c>
    </row>
    <row r="3436" spans="1:14" x14ac:dyDescent="0.2">
      <c r="A3436" s="1">
        <v>45760</v>
      </c>
      <c r="B3436" s="2" t="s">
        <v>20</v>
      </c>
      <c r="C3436" s="2" t="s">
        <v>15</v>
      </c>
      <c r="D3436" s="2" t="s">
        <v>25</v>
      </c>
      <c r="E3436">
        <v>10662</v>
      </c>
      <c r="F3436">
        <v>478</v>
      </c>
      <c r="G3436">
        <v>30</v>
      </c>
      <c r="H3436">
        <v>579.44000000000005</v>
      </c>
      <c r="I3436">
        <v>2838</v>
      </c>
      <c r="J3436">
        <v>4.4800000000000004</v>
      </c>
      <c r="K3436">
        <v>6.28</v>
      </c>
      <c r="L3436">
        <v>19.309999999999999</v>
      </c>
      <c r="M3436">
        <v>4.9000000000000004</v>
      </c>
      <c r="N3436">
        <v>2258.56</v>
      </c>
    </row>
    <row r="3437" spans="1:14" x14ac:dyDescent="0.2">
      <c r="A3437" s="1">
        <v>45760</v>
      </c>
      <c r="B3437" s="2" t="s">
        <v>23</v>
      </c>
      <c r="C3437" s="2" t="s">
        <v>32</v>
      </c>
      <c r="D3437" s="2" t="s">
        <v>16</v>
      </c>
      <c r="E3437">
        <v>3053</v>
      </c>
      <c r="F3437">
        <v>77</v>
      </c>
      <c r="G3437">
        <v>9</v>
      </c>
      <c r="H3437">
        <v>1116.54</v>
      </c>
      <c r="I3437">
        <v>3014.89</v>
      </c>
      <c r="J3437">
        <v>2.52</v>
      </c>
      <c r="K3437">
        <v>11.69</v>
      </c>
      <c r="L3437">
        <v>124.06</v>
      </c>
      <c r="M3437">
        <v>2.7</v>
      </c>
      <c r="N3437">
        <v>1898.35</v>
      </c>
    </row>
    <row r="3438" spans="1:14" x14ac:dyDescent="0.2">
      <c r="A3438" s="1">
        <v>45760</v>
      </c>
      <c r="B3438" s="2" t="s">
        <v>24</v>
      </c>
      <c r="C3438" s="2" t="s">
        <v>21</v>
      </c>
      <c r="D3438" s="2" t="s">
        <v>22</v>
      </c>
      <c r="E3438">
        <v>13643</v>
      </c>
      <c r="F3438">
        <v>2501</v>
      </c>
      <c r="G3438">
        <v>265</v>
      </c>
      <c r="H3438">
        <v>104.95</v>
      </c>
      <c r="I3438">
        <v>35026.730000000003</v>
      </c>
      <c r="J3438">
        <v>18.329999999999998</v>
      </c>
      <c r="K3438">
        <v>10.6</v>
      </c>
      <c r="L3438">
        <v>0.4</v>
      </c>
      <c r="M3438">
        <v>333.75</v>
      </c>
      <c r="N3438">
        <v>34921.78</v>
      </c>
    </row>
    <row r="3439" spans="1:14" x14ac:dyDescent="0.2">
      <c r="A3439" s="1">
        <v>45760</v>
      </c>
      <c r="B3439" s="2" t="s">
        <v>26</v>
      </c>
      <c r="C3439" s="2" t="s">
        <v>35</v>
      </c>
      <c r="D3439" s="2" t="s">
        <v>19</v>
      </c>
      <c r="E3439">
        <v>18262</v>
      </c>
      <c r="F3439">
        <v>893</v>
      </c>
      <c r="G3439">
        <v>93</v>
      </c>
      <c r="H3439">
        <v>0</v>
      </c>
      <c r="I3439">
        <v>10191.120000000001</v>
      </c>
      <c r="J3439">
        <v>4.8899999999999997</v>
      </c>
      <c r="K3439">
        <v>10.41</v>
      </c>
      <c r="L3439">
        <v>0</v>
      </c>
      <c r="M3439">
        <v>0</v>
      </c>
      <c r="N3439">
        <v>10191.120000000001</v>
      </c>
    </row>
    <row r="3440" spans="1:14" x14ac:dyDescent="0.2">
      <c r="A3440" s="1">
        <v>45760</v>
      </c>
      <c r="B3440" s="2" t="s">
        <v>27</v>
      </c>
      <c r="C3440" s="2" t="s">
        <v>15</v>
      </c>
      <c r="D3440" s="2" t="s">
        <v>36</v>
      </c>
      <c r="E3440">
        <v>26665</v>
      </c>
      <c r="F3440">
        <v>313</v>
      </c>
      <c r="G3440">
        <v>10</v>
      </c>
      <c r="H3440">
        <v>587.35</v>
      </c>
      <c r="I3440">
        <v>811.37</v>
      </c>
      <c r="J3440">
        <v>1.17</v>
      </c>
      <c r="K3440">
        <v>3.19</v>
      </c>
      <c r="L3440">
        <v>58.74</v>
      </c>
      <c r="M3440">
        <v>1.38</v>
      </c>
      <c r="N3440">
        <v>224.02</v>
      </c>
    </row>
    <row r="3441" spans="1:14" x14ac:dyDescent="0.2">
      <c r="A3441" s="1">
        <v>45760</v>
      </c>
      <c r="B3441" s="2" t="s">
        <v>29</v>
      </c>
      <c r="C3441" s="2" t="s">
        <v>28</v>
      </c>
      <c r="D3441" s="2" t="s">
        <v>16</v>
      </c>
      <c r="E3441">
        <v>12570</v>
      </c>
      <c r="F3441">
        <v>303</v>
      </c>
      <c r="G3441">
        <v>21</v>
      </c>
      <c r="H3441">
        <v>860.68</v>
      </c>
      <c r="I3441">
        <v>2208.56</v>
      </c>
      <c r="J3441">
        <v>2.41</v>
      </c>
      <c r="K3441">
        <v>6.93</v>
      </c>
      <c r="L3441">
        <v>40.98</v>
      </c>
      <c r="M3441">
        <v>2.57</v>
      </c>
      <c r="N3441">
        <v>1347.88</v>
      </c>
    </row>
    <row r="3442" spans="1:14" x14ac:dyDescent="0.2">
      <c r="A3442" s="1">
        <v>45760</v>
      </c>
      <c r="B3442" s="2" t="s">
        <v>30</v>
      </c>
      <c r="C3442" s="2" t="s">
        <v>15</v>
      </c>
      <c r="D3442" s="2" t="s">
        <v>22</v>
      </c>
      <c r="E3442">
        <v>8848</v>
      </c>
      <c r="F3442">
        <v>220</v>
      </c>
      <c r="G3442">
        <v>6</v>
      </c>
      <c r="H3442">
        <v>302.64</v>
      </c>
      <c r="I3442">
        <v>497.82</v>
      </c>
      <c r="J3442">
        <v>2.4900000000000002</v>
      </c>
      <c r="K3442">
        <v>2.73</v>
      </c>
      <c r="L3442">
        <v>50.44</v>
      </c>
      <c r="M3442">
        <v>1.64</v>
      </c>
      <c r="N3442">
        <v>195.18</v>
      </c>
    </row>
    <row r="3443" spans="1:14" x14ac:dyDescent="0.2">
      <c r="A3443" s="1">
        <v>45760</v>
      </c>
      <c r="B3443" s="2" t="s">
        <v>31</v>
      </c>
      <c r="C3443" s="2" t="s">
        <v>28</v>
      </c>
      <c r="D3443" s="2" t="s">
        <v>22</v>
      </c>
      <c r="E3443">
        <v>15673</v>
      </c>
      <c r="F3443">
        <v>478</v>
      </c>
      <c r="G3443">
        <v>18</v>
      </c>
      <c r="H3443">
        <v>642.67999999999995</v>
      </c>
      <c r="I3443">
        <v>1998.56</v>
      </c>
      <c r="J3443">
        <v>3.05</v>
      </c>
      <c r="K3443">
        <v>3.77</v>
      </c>
      <c r="L3443">
        <v>35.700000000000003</v>
      </c>
      <c r="M3443">
        <v>3.11</v>
      </c>
      <c r="N3443">
        <v>1355.88</v>
      </c>
    </row>
    <row r="3444" spans="1:14" x14ac:dyDescent="0.2">
      <c r="A3444" s="1">
        <v>45760</v>
      </c>
      <c r="B3444" s="2" t="s">
        <v>33</v>
      </c>
      <c r="C3444" s="2" t="s">
        <v>15</v>
      </c>
      <c r="D3444" s="2" t="s">
        <v>36</v>
      </c>
      <c r="E3444">
        <v>5024</v>
      </c>
      <c r="F3444">
        <v>305</v>
      </c>
      <c r="G3444">
        <v>34</v>
      </c>
      <c r="H3444">
        <v>462.72</v>
      </c>
      <c r="I3444">
        <v>4838.79</v>
      </c>
      <c r="J3444">
        <v>6.07</v>
      </c>
      <c r="K3444">
        <v>11.15</v>
      </c>
      <c r="L3444">
        <v>13.61</v>
      </c>
      <c r="M3444">
        <v>10.46</v>
      </c>
      <c r="N3444">
        <v>4376.07</v>
      </c>
    </row>
    <row r="3445" spans="1:14" x14ac:dyDescent="0.2">
      <c r="A3445" s="1">
        <v>45760</v>
      </c>
      <c r="B3445" s="2" t="s">
        <v>34</v>
      </c>
      <c r="C3445" s="2" t="s">
        <v>32</v>
      </c>
      <c r="D3445" s="2" t="s">
        <v>19</v>
      </c>
      <c r="E3445">
        <v>3885</v>
      </c>
      <c r="F3445">
        <v>347</v>
      </c>
      <c r="G3445">
        <v>48</v>
      </c>
      <c r="H3445">
        <v>56.28</v>
      </c>
      <c r="I3445">
        <v>6618.37</v>
      </c>
      <c r="J3445">
        <v>8.93</v>
      </c>
      <c r="K3445">
        <v>13.83</v>
      </c>
      <c r="L3445">
        <v>1.17</v>
      </c>
      <c r="M3445">
        <v>117.6</v>
      </c>
      <c r="N3445">
        <v>6562.09</v>
      </c>
    </row>
    <row r="3446" spans="1:14" x14ac:dyDescent="0.2">
      <c r="A3446" s="1">
        <v>45761</v>
      </c>
      <c r="B3446" s="2" t="s">
        <v>14</v>
      </c>
      <c r="C3446" s="2" t="s">
        <v>28</v>
      </c>
      <c r="D3446" s="2" t="s">
        <v>36</v>
      </c>
      <c r="E3446">
        <v>12226</v>
      </c>
      <c r="F3446">
        <v>545</v>
      </c>
      <c r="G3446">
        <v>47</v>
      </c>
      <c r="H3446">
        <v>1421.85</v>
      </c>
      <c r="I3446">
        <v>6661.71</v>
      </c>
      <c r="J3446">
        <v>4.46</v>
      </c>
      <c r="K3446">
        <v>8.6199999999999992</v>
      </c>
      <c r="L3446">
        <v>30.25</v>
      </c>
      <c r="M3446">
        <v>4.6900000000000004</v>
      </c>
      <c r="N3446">
        <v>5239.8599999999997</v>
      </c>
    </row>
    <row r="3447" spans="1:14" x14ac:dyDescent="0.2">
      <c r="A3447" s="1">
        <v>45761</v>
      </c>
      <c r="B3447" s="2" t="s">
        <v>17</v>
      </c>
      <c r="C3447" s="2" t="s">
        <v>15</v>
      </c>
      <c r="D3447" s="2" t="s">
        <v>16</v>
      </c>
      <c r="E3447">
        <v>15656</v>
      </c>
      <c r="F3447">
        <v>316</v>
      </c>
      <c r="G3447">
        <v>16</v>
      </c>
      <c r="H3447">
        <v>829.88</v>
      </c>
      <c r="I3447">
        <v>1545.15</v>
      </c>
      <c r="J3447">
        <v>2.02</v>
      </c>
      <c r="K3447">
        <v>5.0599999999999996</v>
      </c>
      <c r="L3447">
        <v>51.87</v>
      </c>
      <c r="M3447">
        <v>1.86</v>
      </c>
      <c r="N3447">
        <v>715.27</v>
      </c>
    </row>
    <row r="3448" spans="1:14" x14ac:dyDescent="0.2">
      <c r="A3448" s="1">
        <v>45761</v>
      </c>
      <c r="B3448" s="2" t="s">
        <v>20</v>
      </c>
      <c r="C3448" s="2" t="s">
        <v>32</v>
      </c>
      <c r="D3448" s="2" t="s">
        <v>19</v>
      </c>
      <c r="E3448">
        <v>15105</v>
      </c>
      <c r="F3448">
        <v>679</v>
      </c>
      <c r="G3448">
        <v>44</v>
      </c>
      <c r="H3448">
        <v>571.07000000000005</v>
      </c>
      <c r="I3448">
        <v>5274.01</v>
      </c>
      <c r="J3448">
        <v>4.5</v>
      </c>
      <c r="K3448">
        <v>6.48</v>
      </c>
      <c r="L3448">
        <v>12.98</v>
      </c>
      <c r="M3448">
        <v>9.24</v>
      </c>
      <c r="N3448">
        <v>4702.9399999999996</v>
      </c>
    </row>
    <row r="3449" spans="1:14" x14ac:dyDescent="0.2">
      <c r="A3449" s="1">
        <v>45761</v>
      </c>
      <c r="B3449" s="2" t="s">
        <v>23</v>
      </c>
      <c r="C3449" s="2" t="s">
        <v>32</v>
      </c>
      <c r="D3449" s="2" t="s">
        <v>19</v>
      </c>
      <c r="E3449">
        <v>3557</v>
      </c>
      <c r="F3449">
        <v>78</v>
      </c>
      <c r="G3449">
        <v>9</v>
      </c>
      <c r="H3449">
        <v>1332.07</v>
      </c>
      <c r="I3449">
        <v>2897.43</v>
      </c>
      <c r="J3449">
        <v>2.19</v>
      </c>
      <c r="K3449">
        <v>11.54</v>
      </c>
      <c r="L3449">
        <v>148.01</v>
      </c>
      <c r="M3449">
        <v>2.1800000000000002</v>
      </c>
      <c r="N3449">
        <v>1565.36</v>
      </c>
    </row>
    <row r="3450" spans="1:14" x14ac:dyDescent="0.2">
      <c r="A3450" s="1">
        <v>45761</v>
      </c>
      <c r="B3450" s="2" t="s">
        <v>24</v>
      </c>
      <c r="C3450" s="2" t="s">
        <v>32</v>
      </c>
      <c r="D3450" s="2" t="s">
        <v>25</v>
      </c>
      <c r="E3450">
        <v>20954</v>
      </c>
      <c r="F3450">
        <v>5215</v>
      </c>
      <c r="G3450">
        <v>542</v>
      </c>
      <c r="H3450">
        <v>111.51</v>
      </c>
      <c r="I3450">
        <v>91421.15</v>
      </c>
      <c r="J3450">
        <v>24.89</v>
      </c>
      <c r="K3450">
        <v>10.39</v>
      </c>
      <c r="L3450">
        <v>0.21</v>
      </c>
      <c r="M3450">
        <v>819.85</v>
      </c>
      <c r="N3450">
        <v>91309.64</v>
      </c>
    </row>
    <row r="3451" spans="1:14" x14ac:dyDescent="0.2">
      <c r="A3451" s="1">
        <v>45761</v>
      </c>
      <c r="B3451" s="2" t="s">
        <v>26</v>
      </c>
      <c r="C3451" s="2" t="s">
        <v>18</v>
      </c>
      <c r="D3451" s="2" t="s">
        <v>22</v>
      </c>
      <c r="E3451">
        <v>31186</v>
      </c>
      <c r="F3451">
        <v>1678</v>
      </c>
      <c r="G3451">
        <v>231</v>
      </c>
      <c r="H3451">
        <v>0</v>
      </c>
      <c r="I3451">
        <v>32616</v>
      </c>
      <c r="J3451">
        <v>5.38</v>
      </c>
      <c r="K3451">
        <v>13.77</v>
      </c>
      <c r="L3451">
        <v>0</v>
      </c>
      <c r="M3451">
        <v>0</v>
      </c>
      <c r="N3451">
        <v>32616</v>
      </c>
    </row>
    <row r="3452" spans="1:14" x14ac:dyDescent="0.2">
      <c r="A3452" s="1">
        <v>45761</v>
      </c>
      <c r="B3452" s="2" t="s">
        <v>27</v>
      </c>
      <c r="C3452" s="2" t="s">
        <v>32</v>
      </c>
      <c r="D3452" s="2" t="s">
        <v>19</v>
      </c>
      <c r="E3452">
        <v>39735</v>
      </c>
      <c r="F3452">
        <v>714</v>
      </c>
      <c r="G3452">
        <v>20</v>
      </c>
      <c r="H3452">
        <v>744.02</v>
      </c>
      <c r="I3452">
        <v>2307.54</v>
      </c>
      <c r="J3452">
        <v>1.8</v>
      </c>
      <c r="K3452">
        <v>2.8</v>
      </c>
      <c r="L3452">
        <v>37.200000000000003</v>
      </c>
      <c r="M3452">
        <v>3.1</v>
      </c>
      <c r="N3452">
        <v>1563.52</v>
      </c>
    </row>
    <row r="3453" spans="1:14" x14ac:dyDescent="0.2">
      <c r="A3453" s="1">
        <v>45761</v>
      </c>
      <c r="B3453" s="2" t="s">
        <v>29</v>
      </c>
      <c r="C3453" s="2" t="s">
        <v>35</v>
      </c>
      <c r="D3453" s="2" t="s">
        <v>16</v>
      </c>
      <c r="E3453">
        <v>23720</v>
      </c>
      <c r="F3453">
        <v>460</v>
      </c>
      <c r="G3453">
        <v>20</v>
      </c>
      <c r="H3453">
        <v>846.79</v>
      </c>
      <c r="I3453">
        <v>2166.2800000000002</v>
      </c>
      <c r="J3453">
        <v>1.94</v>
      </c>
      <c r="K3453">
        <v>4.3499999999999996</v>
      </c>
      <c r="L3453">
        <v>42.34</v>
      </c>
      <c r="M3453">
        <v>2.56</v>
      </c>
      <c r="N3453">
        <v>1319.49</v>
      </c>
    </row>
    <row r="3454" spans="1:14" x14ac:dyDescent="0.2">
      <c r="A3454" s="1">
        <v>45761</v>
      </c>
      <c r="B3454" s="2" t="s">
        <v>30</v>
      </c>
      <c r="C3454" s="2" t="s">
        <v>21</v>
      </c>
      <c r="D3454" s="2" t="s">
        <v>19</v>
      </c>
      <c r="E3454">
        <v>9300</v>
      </c>
      <c r="F3454">
        <v>265</v>
      </c>
      <c r="G3454">
        <v>12</v>
      </c>
      <c r="H3454">
        <v>480.53</v>
      </c>
      <c r="I3454">
        <v>1278.96</v>
      </c>
      <c r="J3454">
        <v>2.85</v>
      </c>
      <c r="K3454">
        <v>4.53</v>
      </c>
      <c r="L3454">
        <v>40.04</v>
      </c>
      <c r="M3454">
        <v>2.66</v>
      </c>
      <c r="N3454">
        <v>798.43</v>
      </c>
    </row>
    <row r="3455" spans="1:14" x14ac:dyDescent="0.2">
      <c r="A3455" s="1">
        <v>45761</v>
      </c>
      <c r="B3455" s="2" t="s">
        <v>31</v>
      </c>
      <c r="C3455" s="2" t="s">
        <v>18</v>
      </c>
      <c r="D3455" s="2" t="s">
        <v>19</v>
      </c>
      <c r="E3455">
        <v>27942</v>
      </c>
      <c r="F3455">
        <v>936</v>
      </c>
      <c r="G3455">
        <v>30</v>
      </c>
      <c r="H3455">
        <v>828.73</v>
      </c>
      <c r="I3455">
        <v>3161.63</v>
      </c>
      <c r="J3455">
        <v>3.35</v>
      </c>
      <c r="K3455">
        <v>3.21</v>
      </c>
      <c r="L3455">
        <v>27.62</v>
      </c>
      <c r="M3455">
        <v>3.82</v>
      </c>
      <c r="N3455">
        <v>2332.9</v>
      </c>
    </row>
    <row r="3456" spans="1:14" x14ac:dyDescent="0.2">
      <c r="A3456" s="1">
        <v>45761</v>
      </c>
      <c r="B3456" s="2" t="s">
        <v>33</v>
      </c>
      <c r="C3456" s="2" t="s">
        <v>28</v>
      </c>
      <c r="D3456" s="2" t="s">
        <v>25</v>
      </c>
      <c r="E3456">
        <v>6590</v>
      </c>
      <c r="F3456">
        <v>288</v>
      </c>
      <c r="G3456">
        <v>27</v>
      </c>
      <c r="H3456">
        <v>534.94000000000005</v>
      </c>
      <c r="I3456">
        <v>3155.43</v>
      </c>
      <c r="J3456">
        <v>4.37</v>
      </c>
      <c r="K3456">
        <v>9.3800000000000008</v>
      </c>
      <c r="L3456">
        <v>19.809999999999999</v>
      </c>
      <c r="M3456">
        <v>5.9</v>
      </c>
      <c r="N3456">
        <v>2620.4899999999998</v>
      </c>
    </row>
    <row r="3457" spans="1:14" x14ac:dyDescent="0.2">
      <c r="A3457" s="1">
        <v>45761</v>
      </c>
      <c r="B3457" s="2" t="s">
        <v>34</v>
      </c>
      <c r="C3457" s="2" t="s">
        <v>21</v>
      </c>
      <c r="D3457" s="2" t="s">
        <v>25</v>
      </c>
      <c r="E3457">
        <v>6569</v>
      </c>
      <c r="F3457">
        <v>472</v>
      </c>
      <c r="G3457">
        <v>76</v>
      </c>
      <c r="H3457">
        <v>80.510000000000005</v>
      </c>
      <c r="I3457">
        <v>13161.82</v>
      </c>
      <c r="J3457">
        <v>7.19</v>
      </c>
      <c r="K3457">
        <v>16.100000000000001</v>
      </c>
      <c r="L3457">
        <v>1.06</v>
      </c>
      <c r="M3457">
        <v>163.47999999999999</v>
      </c>
      <c r="N3457">
        <v>13081.31</v>
      </c>
    </row>
    <row r="3458" spans="1:14" x14ac:dyDescent="0.2">
      <c r="A3458" s="1">
        <v>45762</v>
      </c>
      <c r="B3458" s="2" t="s">
        <v>14</v>
      </c>
      <c r="C3458" s="2" t="s">
        <v>32</v>
      </c>
      <c r="D3458" s="2" t="s">
        <v>36</v>
      </c>
      <c r="E3458">
        <v>9262</v>
      </c>
      <c r="F3458">
        <v>441</v>
      </c>
      <c r="G3458">
        <v>36</v>
      </c>
      <c r="H3458">
        <v>966.21</v>
      </c>
      <c r="I3458">
        <v>5549.04</v>
      </c>
      <c r="J3458">
        <v>4.76</v>
      </c>
      <c r="K3458">
        <v>8.16</v>
      </c>
      <c r="L3458">
        <v>26.84</v>
      </c>
      <c r="M3458">
        <v>5.74</v>
      </c>
      <c r="N3458">
        <v>4582.83</v>
      </c>
    </row>
    <row r="3459" spans="1:14" x14ac:dyDescent="0.2">
      <c r="A3459" s="1">
        <v>45762</v>
      </c>
      <c r="B3459" s="2" t="s">
        <v>17</v>
      </c>
      <c r="C3459" s="2" t="s">
        <v>21</v>
      </c>
      <c r="D3459" s="2" t="s">
        <v>25</v>
      </c>
      <c r="E3459">
        <v>15990</v>
      </c>
      <c r="F3459">
        <v>391</v>
      </c>
      <c r="G3459">
        <v>22</v>
      </c>
      <c r="H3459">
        <v>844.33</v>
      </c>
      <c r="I3459">
        <v>2802.1</v>
      </c>
      <c r="J3459">
        <v>2.4500000000000002</v>
      </c>
      <c r="K3459">
        <v>5.63</v>
      </c>
      <c r="L3459">
        <v>38.380000000000003</v>
      </c>
      <c r="M3459">
        <v>3.32</v>
      </c>
      <c r="N3459">
        <v>1957.77</v>
      </c>
    </row>
    <row r="3460" spans="1:14" x14ac:dyDescent="0.2">
      <c r="A3460" s="1">
        <v>45762</v>
      </c>
      <c r="B3460" s="2" t="s">
        <v>20</v>
      </c>
      <c r="C3460" s="2" t="s">
        <v>18</v>
      </c>
      <c r="D3460" s="2" t="s">
        <v>19</v>
      </c>
      <c r="E3460">
        <v>15824</v>
      </c>
      <c r="F3460">
        <v>599</v>
      </c>
      <c r="G3460">
        <v>38</v>
      </c>
      <c r="H3460">
        <v>570.16</v>
      </c>
      <c r="I3460">
        <v>3268.13</v>
      </c>
      <c r="J3460">
        <v>3.79</v>
      </c>
      <c r="K3460">
        <v>6.34</v>
      </c>
      <c r="L3460">
        <v>15</v>
      </c>
      <c r="M3460">
        <v>5.73</v>
      </c>
      <c r="N3460">
        <v>2697.97</v>
      </c>
    </row>
    <row r="3461" spans="1:14" x14ac:dyDescent="0.2">
      <c r="A3461" s="1">
        <v>45762</v>
      </c>
      <c r="B3461" s="2" t="s">
        <v>23</v>
      </c>
      <c r="C3461" s="2" t="s">
        <v>15</v>
      </c>
      <c r="D3461" s="2" t="s">
        <v>19</v>
      </c>
      <c r="E3461">
        <v>5892</v>
      </c>
      <c r="F3461">
        <v>150</v>
      </c>
      <c r="G3461">
        <v>15</v>
      </c>
      <c r="H3461">
        <v>1419.4</v>
      </c>
      <c r="I3461">
        <v>3557.67</v>
      </c>
      <c r="J3461">
        <v>2.5499999999999998</v>
      </c>
      <c r="K3461">
        <v>10</v>
      </c>
      <c r="L3461">
        <v>94.63</v>
      </c>
      <c r="M3461">
        <v>2.5099999999999998</v>
      </c>
      <c r="N3461">
        <v>2138.27</v>
      </c>
    </row>
    <row r="3462" spans="1:14" x14ac:dyDescent="0.2">
      <c r="A3462" s="1">
        <v>45762</v>
      </c>
      <c r="B3462" s="2" t="s">
        <v>24</v>
      </c>
      <c r="C3462" s="2" t="s">
        <v>15</v>
      </c>
      <c r="D3462" s="2" t="s">
        <v>16</v>
      </c>
      <c r="E3462">
        <v>17675</v>
      </c>
      <c r="F3462">
        <v>3158</v>
      </c>
      <c r="G3462">
        <v>316</v>
      </c>
      <c r="H3462">
        <v>111.34</v>
      </c>
      <c r="I3462">
        <v>50536.26</v>
      </c>
      <c r="J3462">
        <v>17.87</v>
      </c>
      <c r="K3462">
        <v>10.01</v>
      </c>
      <c r="L3462">
        <v>0.35</v>
      </c>
      <c r="M3462">
        <v>453.89</v>
      </c>
      <c r="N3462">
        <v>50424.92</v>
      </c>
    </row>
    <row r="3463" spans="1:14" x14ac:dyDescent="0.2">
      <c r="A3463" s="1">
        <v>45762</v>
      </c>
      <c r="B3463" s="2" t="s">
        <v>26</v>
      </c>
      <c r="C3463" s="2" t="s">
        <v>35</v>
      </c>
      <c r="D3463" s="2" t="s">
        <v>36</v>
      </c>
      <c r="E3463">
        <v>32134</v>
      </c>
      <c r="F3463">
        <v>2389</v>
      </c>
      <c r="G3463">
        <v>343</v>
      </c>
      <c r="H3463">
        <v>0</v>
      </c>
      <c r="I3463">
        <v>49479.82</v>
      </c>
      <c r="J3463">
        <v>7.43</v>
      </c>
      <c r="K3463">
        <v>14.36</v>
      </c>
      <c r="L3463">
        <v>0</v>
      </c>
      <c r="M3463">
        <v>0</v>
      </c>
      <c r="N3463">
        <v>49479.82</v>
      </c>
    </row>
    <row r="3464" spans="1:14" x14ac:dyDescent="0.2">
      <c r="A3464" s="1">
        <v>45762</v>
      </c>
      <c r="B3464" s="2" t="s">
        <v>27</v>
      </c>
      <c r="C3464" s="2" t="s">
        <v>18</v>
      </c>
      <c r="D3464" s="2" t="s">
        <v>36</v>
      </c>
      <c r="E3464">
        <v>33740</v>
      </c>
      <c r="F3464">
        <v>473</v>
      </c>
      <c r="G3464">
        <v>10</v>
      </c>
      <c r="H3464">
        <v>1106.23</v>
      </c>
      <c r="I3464">
        <v>996.45</v>
      </c>
      <c r="J3464">
        <v>1.4</v>
      </c>
      <c r="K3464">
        <v>2.11</v>
      </c>
      <c r="L3464">
        <v>110.62</v>
      </c>
      <c r="M3464">
        <v>0.9</v>
      </c>
      <c r="N3464">
        <v>-109.78</v>
      </c>
    </row>
    <row r="3465" spans="1:14" x14ac:dyDescent="0.2">
      <c r="A3465" s="1">
        <v>45762</v>
      </c>
      <c r="B3465" s="2" t="s">
        <v>29</v>
      </c>
      <c r="C3465" s="2" t="s">
        <v>21</v>
      </c>
      <c r="D3465" s="2" t="s">
        <v>19</v>
      </c>
      <c r="E3465">
        <v>18186</v>
      </c>
      <c r="F3465">
        <v>414</v>
      </c>
      <c r="G3465">
        <v>18</v>
      </c>
      <c r="H3465">
        <v>1251.8399999999999</v>
      </c>
      <c r="I3465">
        <v>2350.5</v>
      </c>
      <c r="J3465">
        <v>2.2799999999999998</v>
      </c>
      <c r="K3465">
        <v>4.3499999999999996</v>
      </c>
      <c r="L3465">
        <v>69.55</v>
      </c>
      <c r="M3465">
        <v>1.88</v>
      </c>
      <c r="N3465">
        <v>1098.6600000000001</v>
      </c>
    </row>
    <row r="3466" spans="1:14" x14ac:dyDescent="0.2">
      <c r="A3466" s="1">
        <v>45762</v>
      </c>
      <c r="B3466" s="2" t="s">
        <v>30</v>
      </c>
      <c r="C3466" s="2" t="s">
        <v>28</v>
      </c>
      <c r="D3466" s="2" t="s">
        <v>19</v>
      </c>
      <c r="E3466">
        <v>9443</v>
      </c>
      <c r="F3466">
        <v>300</v>
      </c>
      <c r="G3466">
        <v>9</v>
      </c>
      <c r="H3466">
        <v>631.15</v>
      </c>
      <c r="I3466">
        <v>845.98</v>
      </c>
      <c r="J3466">
        <v>3.18</v>
      </c>
      <c r="K3466">
        <v>3</v>
      </c>
      <c r="L3466">
        <v>70.13</v>
      </c>
      <c r="M3466">
        <v>1.34</v>
      </c>
      <c r="N3466">
        <v>214.83</v>
      </c>
    </row>
    <row r="3467" spans="1:14" x14ac:dyDescent="0.2">
      <c r="A3467" s="1">
        <v>45762</v>
      </c>
      <c r="B3467" s="2" t="s">
        <v>31</v>
      </c>
      <c r="C3467" s="2" t="s">
        <v>21</v>
      </c>
      <c r="D3467" s="2" t="s">
        <v>25</v>
      </c>
      <c r="E3467">
        <v>20182</v>
      </c>
      <c r="F3467">
        <v>723</v>
      </c>
      <c r="G3467">
        <v>39</v>
      </c>
      <c r="H3467">
        <v>682.94</v>
      </c>
      <c r="I3467">
        <v>4033.69</v>
      </c>
      <c r="J3467">
        <v>3.58</v>
      </c>
      <c r="K3467">
        <v>5.39</v>
      </c>
      <c r="L3467">
        <v>17.510000000000002</v>
      </c>
      <c r="M3467">
        <v>5.91</v>
      </c>
      <c r="N3467">
        <v>3350.75</v>
      </c>
    </row>
    <row r="3468" spans="1:14" x14ac:dyDescent="0.2">
      <c r="A3468" s="1">
        <v>45762</v>
      </c>
      <c r="B3468" s="2" t="s">
        <v>33</v>
      </c>
      <c r="C3468" s="2" t="s">
        <v>35</v>
      </c>
      <c r="D3468" s="2" t="s">
        <v>22</v>
      </c>
      <c r="E3468">
        <v>5055</v>
      </c>
      <c r="F3468">
        <v>256</v>
      </c>
      <c r="G3468">
        <v>30</v>
      </c>
      <c r="H3468">
        <v>303.02999999999997</v>
      </c>
      <c r="I3468">
        <v>4423.87</v>
      </c>
      <c r="J3468">
        <v>5.0599999999999996</v>
      </c>
      <c r="K3468">
        <v>11.72</v>
      </c>
      <c r="L3468">
        <v>10.1</v>
      </c>
      <c r="M3468">
        <v>14.6</v>
      </c>
      <c r="N3468">
        <v>4120.84</v>
      </c>
    </row>
    <row r="3469" spans="1:14" x14ac:dyDescent="0.2">
      <c r="A3469" s="1">
        <v>45762</v>
      </c>
      <c r="B3469" s="2" t="s">
        <v>34</v>
      </c>
      <c r="C3469" s="2" t="s">
        <v>18</v>
      </c>
      <c r="D3469" s="2" t="s">
        <v>19</v>
      </c>
      <c r="E3469">
        <v>4427</v>
      </c>
      <c r="F3469">
        <v>229</v>
      </c>
      <c r="G3469">
        <v>31</v>
      </c>
      <c r="H3469">
        <v>191.45</v>
      </c>
      <c r="I3469">
        <v>4326.2700000000004</v>
      </c>
      <c r="J3469">
        <v>5.17</v>
      </c>
      <c r="K3469">
        <v>13.54</v>
      </c>
      <c r="L3469">
        <v>6.18</v>
      </c>
      <c r="M3469">
        <v>22.6</v>
      </c>
      <c r="N3469">
        <v>4134.82</v>
      </c>
    </row>
    <row r="3470" spans="1:14" x14ac:dyDescent="0.2">
      <c r="A3470" s="1">
        <v>45763</v>
      </c>
      <c r="B3470" s="2" t="s">
        <v>14</v>
      </c>
      <c r="C3470" s="2" t="s">
        <v>18</v>
      </c>
      <c r="D3470" s="2" t="s">
        <v>22</v>
      </c>
      <c r="E3470">
        <v>8840</v>
      </c>
      <c r="F3470">
        <v>270</v>
      </c>
      <c r="G3470">
        <v>24</v>
      </c>
      <c r="H3470">
        <v>845.43</v>
      </c>
      <c r="I3470">
        <v>4092.63</v>
      </c>
      <c r="J3470">
        <v>3.05</v>
      </c>
      <c r="K3470">
        <v>8.89</v>
      </c>
      <c r="L3470">
        <v>35.229999999999997</v>
      </c>
      <c r="M3470">
        <v>4.84</v>
      </c>
      <c r="N3470">
        <v>3247.2</v>
      </c>
    </row>
    <row r="3471" spans="1:14" x14ac:dyDescent="0.2">
      <c r="A3471" s="1">
        <v>45763</v>
      </c>
      <c r="B3471" s="2" t="s">
        <v>17</v>
      </c>
      <c r="C3471" s="2" t="s">
        <v>18</v>
      </c>
      <c r="D3471" s="2" t="s">
        <v>36</v>
      </c>
      <c r="E3471">
        <v>14263</v>
      </c>
      <c r="F3471">
        <v>289</v>
      </c>
      <c r="G3471">
        <v>25</v>
      </c>
      <c r="H3471">
        <v>1074.07</v>
      </c>
      <c r="I3471">
        <v>2188.0100000000002</v>
      </c>
      <c r="J3471">
        <v>2.0299999999999998</v>
      </c>
      <c r="K3471">
        <v>8.65</v>
      </c>
      <c r="L3471">
        <v>42.96</v>
      </c>
      <c r="M3471">
        <v>2.04</v>
      </c>
      <c r="N3471">
        <v>1113.94</v>
      </c>
    </row>
    <row r="3472" spans="1:14" x14ac:dyDescent="0.2">
      <c r="A3472" s="1">
        <v>45763</v>
      </c>
      <c r="B3472" s="2" t="s">
        <v>20</v>
      </c>
      <c r="C3472" s="2" t="s">
        <v>32</v>
      </c>
      <c r="D3472" s="2" t="s">
        <v>16</v>
      </c>
      <c r="E3472">
        <v>11588</v>
      </c>
      <c r="F3472">
        <v>392</v>
      </c>
      <c r="G3472">
        <v>29</v>
      </c>
      <c r="H3472">
        <v>807.94</v>
      </c>
      <c r="I3472">
        <v>3523.39</v>
      </c>
      <c r="J3472">
        <v>3.38</v>
      </c>
      <c r="K3472">
        <v>7.4</v>
      </c>
      <c r="L3472">
        <v>27.86</v>
      </c>
      <c r="M3472">
        <v>4.3600000000000003</v>
      </c>
      <c r="N3472">
        <v>2715.45</v>
      </c>
    </row>
    <row r="3473" spans="1:14" x14ac:dyDescent="0.2">
      <c r="A3473" s="1">
        <v>45763</v>
      </c>
      <c r="B3473" s="2" t="s">
        <v>23</v>
      </c>
      <c r="C3473" s="2" t="s">
        <v>28</v>
      </c>
      <c r="D3473" s="2" t="s">
        <v>25</v>
      </c>
      <c r="E3473">
        <v>5971</v>
      </c>
      <c r="F3473">
        <v>138</v>
      </c>
      <c r="G3473">
        <v>16</v>
      </c>
      <c r="H3473">
        <v>1002.83</v>
      </c>
      <c r="I3473">
        <v>4639.96</v>
      </c>
      <c r="J3473">
        <v>2.31</v>
      </c>
      <c r="K3473">
        <v>11.59</v>
      </c>
      <c r="L3473">
        <v>62.68</v>
      </c>
      <c r="M3473">
        <v>4.63</v>
      </c>
      <c r="N3473">
        <v>3637.13</v>
      </c>
    </row>
    <row r="3474" spans="1:14" x14ac:dyDescent="0.2">
      <c r="A3474" s="1">
        <v>45763</v>
      </c>
      <c r="B3474" s="2" t="s">
        <v>24</v>
      </c>
      <c r="C3474" s="2" t="s">
        <v>21</v>
      </c>
      <c r="D3474" s="2" t="s">
        <v>22</v>
      </c>
      <c r="E3474">
        <v>16519</v>
      </c>
      <c r="F3474">
        <v>3073</v>
      </c>
      <c r="G3474">
        <v>252</v>
      </c>
      <c r="H3474">
        <v>193.9</v>
      </c>
      <c r="I3474">
        <v>27405.5</v>
      </c>
      <c r="J3474">
        <v>18.600000000000001</v>
      </c>
      <c r="K3474">
        <v>8.1999999999999993</v>
      </c>
      <c r="L3474">
        <v>0.77</v>
      </c>
      <c r="M3474">
        <v>141.34</v>
      </c>
      <c r="N3474">
        <v>27211.599999999999</v>
      </c>
    </row>
    <row r="3475" spans="1:14" x14ac:dyDescent="0.2">
      <c r="A3475" s="1">
        <v>45763</v>
      </c>
      <c r="B3475" s="2" t="s">
        <v>26</v>
      </c>
      <c r="C3475" s="2" t="s">
        <v>35</v>
      </c>
      <c r="D3475" s="2" t="s">
        <v>36</v>
      </c>
      <c r="E3475">
        <v>25922</v>
      </c>
      <c r="F3475">
        <v>1453</v>
      </c>
      <c r="G3475">
        <v>163</v>
      </c>
      <c r="H3475">
        <v>0</v>
      </c>
      <c r="I3475">
        <v>21752.71</v>
      </c>
      <c r="J3475">
        <v>5.61</v>
      </c>
      <c r="K3475">
        <v>11.22</v>
      </c>
      <c r="L3475">
        <v>0</v>
      </c>
      <c r="M3475">
        <v>0</v>
      </c>
      <c r="N3475">
        <v>21752.71</v>
      </c>
    </row>
    <row r="3476" spans="1:14" x14ac:dyDescent="0.2">
      <c r="A3476" s="1">
        <v>45763</v>
      </c>
      <c r="B3476" s="2" t="s">
        <v>27</v>
      </c>
      <c r="C3476" s="2" t="s">
        <v>15</v>
      </c>
      <c r="D3476" s="2" t="s">
        <v>25</v>
      </c>
      <c r="E3476">
        <v>27405</v>
      </c>
      <c r="F3476">
        <v>373</v>
      </c>
      <c r="G3476">
        <v>13</v>
      </c>
      <c r="H3476">
        <v>1081.5999999999999</v>
      </c>
      <c r="I3476">
        <v>1604.97</v>
      </c>
      <c r="J3476">
        <v>1.36</v>
      </c>
      <c r="K3476">
        <v>3.49</v>
      </c>
      <c r="L3476">
        <v>83.2</v>
      </c>
      <c r="M3476">
        <v>1.48</v>
      </c>
      <c r="N3476">
        <v>523.37</v>
      </c>
    </row>
    <row r="3477" spans="1:14" x14ac:dyDescent="0.2">
      <c r="A3477" s="1">
        <v>45763</v>
      </c>
      <c r="B3477" s="2" t="s">
        <v>29</v>
      </c>
      <c r="C3477" s="2" t="s">
        <v>35</v>
      </c>
      <c r="D3477" s="2" t="s">
        <v>19</v>
      </c>
      <c r="E3477">
        <v>23436</v>
      </c>
      <c r="F3477">
        <v>587</v>
      </c>
      <c r="G3477">
        <v>37</v>
      </c>
      <c r="H3477">
        <v>918.22</v>
      </c>
      <c r="I3477">
        <v>4823.8</v>
      </c>
      <c r="J3477">
        <v>2.5</v>
      </c>
      <c r="K3477">
        <v>6.3</v>
      </c>
      <c r="L3477">
        <v>24.82</v>
      </c>
      <c r="M3477">
        <v>5.25</v>
      </c>
      <c r="N3477">
        <v>3905.58</v>
      </c>
    </row>
    <row r="3478" spans="1:14" x14ac:dyDescent="0.2">
      <c r="A3478" s="1">
        <v>45763</v>
      </c>
      <c r="B3478" s="2" t="s">
        <v>30</v>
      </c>
      <c r="C3478" s="2" t="s">
        <v>21</v>
      </c>
      <c r="D3478" s="2" t="s">
        <v>16</v>
      </c>
      <c r="E3478">
        <v>8208</v>
      </c>
      <c r="F3478">
        <v>258</v>
      </c>
      <c r="G3478">
        <v>9</v>
      </c>
      <c r="H3478">
        <v>547.16</v>
      </c>
      <c r="I3478">
        <v>790.46</v>
      </c>
      <c r="J3478">
        <v>3.14</v>
      </c>
      <c r="K3478">
        <v>3.49</v>
      </c>
      <c r="L3478">
        <v>60.8</v>
      </c>
      <c r="M3478">
        <v>1.44</v>
      </c>
      <c r="N3478">
        <v>243.3</v>
      </c>
    </row>
    <row r="3479" spans="1:14" x14ac:dyDescent="0.2">
      <c r="A3479" s="1">
        <v>45763</v>
      </c>
      <c r="B3479" s="2" t="s">
        <v>31</v>
      </c>
      <c r="C3479" s="2" t="s">
        <v>32</v>
      </c>
      <c r="D3479" s="2" t="s">
        <v>22</v>
      </c>
      <c r="E3479">
        <v>25550</v>
      </c>
      <c r="F3479">
        <v>999</v>
      </c>
      <c r="G3479">
        <v>43</v>
      </c>
      <c r="H3479">
        <v>1054.53</v>
      </c>
      <c r="I3479">
        <v>3179.34</v>
      </c>
      <c r="J3479">
        <v>3.91</v>
      </c>
      <c r="K3479">
        <v>4.3</v>
      </c>
      <c r="L3479">
        <v>24.52</v>
      </c>
      <c r="M3479">
        <v>3.01</v>
      </c>
      <c r="N3479">
        <v>2124.81</v>
      </c>
    </row>
    <row r="3480" spans="1:14" x14ac:dyDescent="0.2">
      <c r="A3480" s="1">
        <v>45763</v>
      </c>
      <c r="B3480" s="2" t="s">
        <v>33</v>
      </c>
      <c r="C3480" s="2" t="s">
        <v>21</v>
      </c>
      <c r="D3480" s="2" t="s">
        <v>16</v>
      </c>
      <c r="E3480">
        <v>9334</v>
      </c>
      <c r="F3480">
        <v>460</v>
      </c>
      <c r="G3480">
        <v>51</v>
      </c>
      <c r="H3480">
        <v>612.54999999999995</v>
      </c>
      <c r="I3480">
        <v>5155.88</v>
      </c>
      <c r="J3480">
        <v>4.93</v>
      </c>
      <c r="K3480">
        <v>11.09</v>
      </c>
      <c r="L3480">
        <v>12.01</v>
      </c>
      <c r="M3480">
        <v>8.42</v>
      </c>
      <c r="N3480">
        <v>4543.33</v>
      </c>
    </row>
    <row r="3481" spans="1:14" x14ac:dyDescent="0.2">
      <c r="A3481" s="1">
        <v>45763</v>
      </c>
      <c r="B3481" s="2" t="s">
        <v>34</v>
      </c>
      <c r="C3481" s="2" t="s">
        <v>28</v>
      </c>
      <c r="D3481" s="2" t="s">
        <v>36</v>
      </c>
      <c r="E3481">
        <v>3091</v>
      </c>
      <c r="F3481">
        <v>305</v>
      </c>
      <c r="G3481">
        <v>53</v>
      </c>
      <c r="H3481">
        <v>144.19999999999999</v>
      </c>
      <c r="I3481">
        <v>7407.54</v>
      </c>
      <c r="J3481">
        <v>9.8699999999999992</v>
      </c>
      <c r="K3481">
        <v>17.38</v>
      </c>
      <c r="L3481">
        <v>2.72</v>
      </c>
      <c r="M3481">
        <v>51.37</v>
      </c>
      <c r="N3481">
        <v>7263.34</v>
      </c>
    </row>
    <row r="3482" spans="1:14" x14ac:dyDescent="0.2">
      <c r="A3482" s="1">
        <v>45764</v>
      </c>
      <c r="B3482" s="2" t="s">
        <v>14</v>
      </c>
      <c r="C3482" s="2" t="s">
        <v>15</v>
      </c>
      <c r="D3482" s="2" t="s">
        <v>25</v>
      </c>
      <c r="E3482">
        <v>12002</v>
      </c>
      <c r="F3482">
        <v>411</v>
      </c>
      <c r="G3482">
        <v>44</v>
      </c>
      <c r="H3482">
        <v>1226.6099999999999</v>
      </c>
      <c r="I3482">
        <v>6488.17</v>
      </c>
      <c r="J3482">
        <v>3.42</v>
      </c>
      <c r="K3482">
        <v>10.71</v>
      </c>
      <c r="L3482">
        <v>27.88</v>
      </c>
      <c r="M3482">
        <v>5.29</v>
      </c>
      <c r="N3482">
        <v>5261.56</v>
      </c>
    </row>
    <row r="3483" spans="1:14" x14ac:dyDescent="0.2">
      <c r="A3483" s="1">
        <v>45764</v>
      </c>
      <c r="B3483" s="2" t="s">
        <v>17</v>
      </c>
      <c r="C3483" s="2" t="s">
        <v>18</v>
      </c>
      <c r="D3483" s="2" t="s">
        <v>16</v>
      </c>
      <c r="E3483">
        <v>17575</v>
      </c>
      <c r="F3483">
        <v>403</v>
      </c>
      <c r="G3483">
        <v>30</v>
      </c>
      <c r="H3483">
        <v>1165.58</v>
      </c>
      <c r="I3483">
        <v>3647.25</v>
      </c>
      <c r="J3483">
        <v>2.29</v>
      </c>
      <c r="K3483">
        <v>7.44</v>
      </c>
      <c r="L3483">
        <v>38.85</v>
      </c>
      <c r="M3483">
        <v>3.13</v>
      </c>
      <c r="N3483">
        <v>2481.67</v>
      </c>
    </row>
    <row r="3484" spans="1:14" x14ac:dyDescent="0.2">
      <c r="A3484" s="1">
        <v>45764</v>
      </c>
      <c r="B3484" s="2" t="s">
        <v>20</v>
      </c>
      <c r="C3484" s="2" t="s">
        <v>35</v>
      </c>
      <c r="D3484" s="2" t="s">
        <v>16</v>
      </c>
      <c r="E3484">
        <v>12099</v>
      </c>
      <c r="F3484">
        <v>460</v>
      </c>
      <c r="G3484">
        <v>25</v>
      </c>
      <c r="H3484">
        <v>546.71</v>
      </c>
      <c r="I3484">
        <v>2678.95</v>
      </c>
      <c r="J3484">
        <v>3.8</v>
      </c>
      <c r="K3484">
        <v>5.43</v>
      </c>
      <c r="L3484">
        <v>21.87</v>
      </c>
      <c r="M3484">
        <v>4.9000000000000004</v>
      </c>
      <c r="N3484">
        <v>2132.2399999999998</v>
      </c>
    </row>
    <row r="3485" spans="1:14" x14ac:dyDescent="0.2">
      <c r="A3485" s="1">
        <v>45764</v>
      </c>
      <c r="B3485" s="2" t="s">
        <v>23</v>
      </c>
      <c r="C3485" s="2" t="s">
        <v>15</v>
      </c>
      <c r="D3485" s="2" t="s">
        <v>25</v>
      </c>
      <c r="E3485">
        <v>5996</v>
      </c>
      <c r="F3485">
        <v>112</v>
      </c>
      <c r="G3485">
        <v>13</v>
      </c>
      <c r="H3485">
        <v>1026.4000000000001</v>
      </c>
      <c r="I3485">
        <v>3780.01</v>
      </c>
      <c r="J3485">
        <v>1.87</v>
      </c>
      <c r="K3485">
        <v>11.61</v>
      </c>
      <c r="L3485">
        <v>78.95</v>
      </c>
      <c r="M3485">
        <v>3.68</v>
      </c>
      <c r="N3485">
        <v>2753.61</v>
      </c>
    </row>
    <row r="3486" spans="1:14" x14ac:dyDescent="0.2">
      <c r="A3486" s="1">
        <v>45764</v>
      </c>
      <c r="B3486" s="2" t="s">
        <v>24</v>
      </c>
      <c r="C3486" s="2" t="s">
        <v>18</v>
      </c>
      <c r="D3486" s="2" t="s">
        <v>19</v>
      </c>
      <c r="E3486">
        <v>21177</v>
      </c>
      <c r="F3486">
        <v>4367</v>
      </c>
      <c r="G3486">
        <v>421</v>
      </c>
      <c r="H3486">
        <v>236.62</v>
      </c>
      <c r="I3486">
        <v>50218.04</v>
      </c>
      <c r="J3486">
        <v>20.62</v>
      </c>
      <c r="K3486">
        <v>9.64</v>
      </c>
      <c r="L3486">
        <v>0.56000000000000005</v>
      </c>
      <c r="M3486">
        <v>212.23</v>
      </c>
      <c r="N3486">
        <v>49981.42</v>
      </c>
    </row>
    <row r="3487" spans="1:14" x14ac:dyDescent="0.2">
      <c r="A3487" s="1">
        <v>45764</v>
      </c>
      <c r="B3487" s="2" t="s">
        <v>26</v>
      </c>
      <c r="C3487" s="2" t="s">
        <v>28</v>
      </c>
      <c r="D3487" s="2" t="s">
        <v>16</v>
      </c>
      <c r="E3487">
        <v>21220</v>
      </c>
      <c r="F3487">
        <v>1372</v>
      </c>
      <c r="G3487">
        <v>214</v>
      </c>
      <c r="H3487">
        <v>0</v>
      </c>
      <c r="I3487">
        <v>31709.23</v>
      </c>
      <c r="J3487">
        <v>6.47</v>
      </c>
      <c r="K3487">
        <v>15.6</v>
      </c>
      <c r="L3487">
        <v>0</v>
      </c>
      <c r="M3487">
        <v>0</v>
      </c>
      <c r="N3487">
        <v>31709.23</v>
      </c>
    </row>
    <row r="3488" spans="1:14" x14ac:dyDescent="0.2">
      <c r="A3488" s="1">
        <v>45764</v>
      </c>
      <c r="B3488" s="2" t="s">
        <v>27</v>
      </c>
      <c r="C3488" s="2" t="s">
        <v>18</v>
      </c>
      <c r="D3488" s="2" t="s">
        <v>25</v>
      </c>
      <c r="E3488">
        <v>30005</v>
      </c>
      <c r="F3488">
        <v>372</v>
      </c>
      <c r="G3488">
        <v>17</v>
      </c>
      <c r="H3488">
        <v>929.74</v>
      </c>
      <c r="I3488">
        <v>1457.56</v>
      </c>
      <c r="J3488">
        <v>1.24</v>
      </c>
      <c r="K3488">
        <v>4.57</v>
      </c>
      <c r="L3488">
        <v>54.69</v>
      </c>
      <c r="M3488">
        <v>1.57</v>
      </c>
      <c r="N3488">
        <v>527.82000000000005</v>
      </c>
    </row>
    <row r="3489" spans="1:14" x14ac:dyDescent="0.2">
      <c r="A3489" s="1">
        <v>45764</v>
      </c>
      <c r="B3489" s="2" t="s">
        <v>29</v>
      </c>
      <c r="C3489" s="2" t="s">
        <v>15</v>
      </c>
      <c r="D3489" s="2" t="s">
        <v>19</v>
      </c>
      <c r="E3489">
        <v>19714</v>
      </c>
      <c r="F3489">
        <v>499</v>
      </c>
      <c r="G3489">
        <v>29</v>
      </c>
      <c r="H3489">
        <v>1397.62</v>
      </c>
      <c r="I3489">
        <v>3520.3</v>
      </c>
      <c r="J3489">
        <v>2.5299999999999998</v>
      </c>
      <c r="K3489">
        <v>5.81</v>
      </c>
      <c r="L3489">
        <v>48.19</v>
      </c>
      <c r="M3489">
        <v>2.52</v>
      </c>
      <c r="N3489">
        <v>2122.6799999999998</v>
      </c>
    </row>
    <row r="3490" spans="1:14" x14ac:dyDescent="0.2">
      <c r="A3490" s="1">
        <v>45764</v>
      </c>
      <c r="B3490" s="2" t="s">
        <v>30</v>
      </c>
      <c r="C3490" s="2" t="s">
        <v>18</v>
      </c>
      <c r="D3490" s="2" t="s">
        <v>25</v>
      </c>
      <c r="E3490">
        <v>13808</v>
      </c>
      <c r="F3490">
        <v>283</v>
      </c>
      <c r="G3490">
        <v>9</v>
      </c>
      <c r="H3490">
        <v>786.76</v>
      </c>
      <c r="I3490">
        <v>939.77</v>
      </c>
      <c r="J3490">
        <v>2.0499999999999998</v>
      </c>
      <c r="K3490">
        <v>3.18</v>
      </c>
      <c r="L3490">
        <v>87.42</v>
      </c>
      <c r="M3490">
        <v>1.19</v>
      </c>
      <c r="N3490">
        <v>153.01</v>
      </c>
    </row>
    <row r="3491" spans="1:14" x14ac:dyDescent="0.2">
      <c r="A3491" s="1">
        <v>45764</v>
      </c>
      <c r="B3491" s="2" t="s">
        <v>31</v>
      </c>
      <c r="C3491" s="2" t="s">
        <v>35</v>
      </c>
      <c r="D3491" s="2" t="s">
        <v>22</v>
      </c>
      <c r="E3491">
        <v>22316</v>
      </c>
      <c r="F3491">
        <v>591</v>
      </c>
      <c r="G3491">
        <v>23</v>
      </c>
      <c r="H3491">
        <v>947.48</v>
      </c>
      <c r="I3491">
        <v>2239.0100000000002</v>
      </c>
      <c r="J3491">
        <v>2.65</v>
      </c>
      <c r="K3491">
        <v>3.89</v>
      </c>
      <c r="L3491">
        <v>41.19</v>
      </c>
      <c r="M3491">
        <v>2.36</v>
      </c>
      <c r="N3491">
        <v>1291.53</v>
      </c>
    </row>
    <row r="3492" spans="1:14" x14ac:dyDescent="0.2">
      <c r="A3492" s="1">
        <v>45764</v>
      </c>
      <c r="B3492" s="2" t="s">
        <v>33</v>
      </c>
      <c r="C3492" s="2" t="s">
        <v>35</v>
      </c>
      <c r="D3492" s="2" t="s">
        <v>22</v>
      </c>
      <c r="E3492">
        <v>5554</v>
      </c>
      <c r="F3492">
        <v>245</v>
      </c>
      <c r="G3492">
        <v>25</v>
      </c>
      <c r="H3492">
        <v>590.13</v>
      </c>
      <c r="I3492">
        <v>2526.61</v>
      </c>
      <c r="J3492">
        <v>4.41</v>
      </c>
      <c r="K3492">
        <v>10.199999999999999</v>
      </c>
      <c r="L3492">
        <v>23.61</v>
      </c>
      <c r="M3492">
        <v>4.28</v>
      </c>
      <c r="N3492">
        <v>1936.48</v>
      </c>
    </row>
    <row r="3493" spans="1:14" x14ac:dyDescent="0.2">
      <c r="A3493" s="1">
        <v>45764</v>
      </c>
      <c r="B3493" s="2" t="s">
        <v>34</v>
      </c>
      <c r="C3493" s="2" t="s">
        <v>21</v>
      </c>
      <c r="D3493" s="2" t="s">
        <v>19</v>
      </c>
      <c r="E3493">
        <v>5946</v>
      </c>
      <c r="F3493">
        <v>340</v>
      </c>
      <c r="G3493">
        <v>49</v>
      </c>
      <c r="H3493">
        <v>124.59</v>
      </c>
      <c r="I3493">
        <v>7891.8</v>
      </c>
      <c r="J3493">
        <v>5.72</v>
      </c>
      <c r="K3493">
        <v>14.41</v>
      </c>
      <c r="L3493">
        <v>2.54</v>
      </c>
      <c r="M3493">
        <v>63.34</v>
      </c>
      <c r="N3493">
        <v>7767.21</v>
      </c>
    </row>
    <row r="3494" spans="1:14" x14ac:dyDescent="0.2">
      <c r="A3494" s="1">
        <v>45765</v>
      </c>
      <c r="B3494" s="2" t="s">
        <v>14</v>
      </c>
      <c r="C3494" s="2" t="s">
        <v>35</v>
      </c>
      <c r="D3494" s="2" t="s">
        <v>25</v>
      </c>
      <c r="E3494">
        <v>11402</v>
      </c>
      <c r="F3494">
        <v>550</v>
      </c>
      <c r="G3494">
        <v>64</v>
      </c>
      <c r="H3494">
        <v>1062.8599999999999</v>
      </c>
      <c r="I3494">
        <v>9648.44</v>
      </c>
      <c r="J3494">
        <v>4.82</v>
      </c>
      <c r="K3494">
        <v>11.64</v>
      </c>
      <c r="L3494">
        <v>16.61</v>
      </c>
      <c r="M3494">
        <v>9.08</v>
      </c>
      <c r="N3494">
        <v>8585.58</v>
      </c>
    </row>
    <row r="3495" spans="1:14" x14ac:dyDescent="0.2">
      <c r="A3495" s="1">
        <v>45765</v>
      </c>
      <c r="B3495" s="2" t="s">
        <v>17</v>
      </c>
      <c r="C3495" s="2" t="s">
        <v>35</v>
      </c>
      <c r="D3495" s="2" t="s">
        <v>36</v>
      </c>
      <c r="E3495">
        <v>12306</v>
      </c>
      <c r="F3495">
        <v>265</v>
      </c>
      <c r="G3495">
        <v>20</v>
      </c>
      <c r="H3495">
        <v>1148.7</v>
      </c>
      <c r="I3495">
        <v>2080.64</v>
      </c>
      <c r="J3495">
        <v>2.15</v>
      </c>
      <c r="K3495">
        <v>7.55</v>
      </c>
      <c r="L3495">
        <v>57.44</v>
      </c>
      <c r="M3495">
        <v>1.81</v>
      </c>
      <c r="N3495">
        <v>931.94</v>
      </c>
    </row>
    <row r="3496" spans="1:14" x14ac:dyDescent="0.2">
      <c r="A3496" s="1">
        <v>45765</v>
      </c>
      <c r="B3496" s="2" t="s">
        <v>20</v>
      </c>
      <c r="C3496" s="2" t="s">
        <v>15</v>
      </c>
      <c r="D3496" s="2" t="s">
        <v>16</v>
      </c>
      <c r="E3496">
        <v>11218</v>
      </c>
      <c r="F3496">
        <v>288</v>
      </c>
      <c r="G3496">
        <v>16</v>
      </c>
      <c r="H3496">
        <v>825.6</v>
      </c>
      <c r="I3496">
        <v>2071.5500000000002</v>
      </c>
      <c r="J3496">
        <v>2.57</v>
      </c>
      <c r="K3496">
        <v>5.56</v>
      </c>
      <c r="L3496">
        <v>51.6</v>
      </c>
      <c r="M3496">
        <v>2.5099999999999998</v>
      </c>
      <c r="N3496">
        <v>1245.95</v>
      </c>
    </row>
    <row r="3497" spans="1:14" x14ac:dyDescent="0.2">
      <c r="A3497" s="1">
        <v>45765</v>
      </c>
      <c r="B3497" s="2" t="s">
        <v>23</v>
      </c>
      <c r="C3497" s="2" t="s">
        <v>35</v>
      </c>
      <c r="D3497" s="2" t="s">
        <v>22</v>
      </c>
      <c r="E3497">
        <v>3904</v>
      </c>
      <c r="F3497">
        <v>94</v>
      </c>
      <c r="G3497">
        <v>14</v>
      </c>
      <c r="H3497">
        <v>920.51</v>
      </c>
      <c r="I3497">
        <v>3919.71</v>
      </c>
      <c r="J3497">
        <v>2.41</v>
      </c>
      <c r="K3497">
        <v>14.89</v>
      </c>
      <c r="L3497">
        <v>65.75</v>
      </c>
      <c r="M3497">
        <v>4.26</v>
      </c>
      <c r="N3497">
        <v>2999.2</v>
      </c>
    </row>
    <row r="3498" spans="1:14" x14ac:dyDescent="0.2">
      <c r="A3498" s="1">
        <v>45765</v>
      </c>
      <c r="B3498" s="2" t="s">
        <v>24</v>
      </c>
      <c r="C3498" s="2" t="s">
        <v>21</v>
      </c>
      <c r="D3498" s="2" t="s">
        <v>19</v>
      </c>
      <c r="E3498">
        <v>20845</v>
      </c>
      <c r="F3498">
        <v>3443</v>
      </c>
      <c r="G3498">
        <v>397</v>
      </c>
      <c r="H3498">
        <v>127.97</v>
      </c>
      <c r="I3498">
        <v>60135.02</v>
      </c>
      <c r="J3498">
        <v>16.52</v>
      </c>
      <c r="K3498">
        <v>11.53</v>
      </c>
      <c r="L3498">
        <v>0.32</v>
      </c>
      <c r="M3498">
        <v>469.91</v>
      </c>
      <c r="N3498">
        <v>60007.05</v>
      </c>
    </row>
    <row r="3499" spans="1:14" x14ac:dyDescent="0.2">
      <c r="A3499" s="1">
        <v>45765</v>
      </c>
      <c r="B3499" s="2" t="s">
        <v>26</v>
      </c>
      <c r="C3499" s="2" t="s">
        <v>18</v>
      </c>
      <c r="D3499" s="2" t="s">
        <v>16</v>
      </c>
      <c r="E3499">
        <v>28563</v>
      </c>
      <c r="F3499">
        <v>2046</v>
      </c>
      <c r="G3499">
        <v>236</v>
      </c>
      <c r="H3499">
        <v>0</v>
      </c>
      <c r="I3499">
        <v>26234.62</v>
      </c>
      <c r="J3499">
        <v>7.16</v>
      </c>
      <c r="K3499">
        <v>11.53</v>
      </c>
      <c r="L3499">
        <v>0</v>
      </c>
      <c r="M3499">
        <v>0</v>
      </c>
      <c r="N3499">
        <v>26234.62</v>
      </c>
    </row>
    <row r="3500" spans="1:14" x14ac:dyDescent="0.2">
      <c r="A3500" s="1">
        <v>45765</v>
      </c>
      <c r="B3500" s="2" t="s">
        <v>27</v>
      </c>
      <c r="C3500" s="2" t="s">
        <v>32</v>
      </c>
      <c r="D3500" s="2" t="s">
        <v>25</v>
      </c>
      <c r="E3500">
        <v>33611</v>
      </c>
      <c r="F3500">
        <v>447</v>
      </c>
      <c r="G3500">
        <v>14</v>
      </c>
      <c r="H3500">
        <v>702.6</v>
      </c>
      <c r="I3500">
        <v>1674.51</v>
      </c>
      <c r="J3500">
        <v>1.33</v>
      </c>
      <c r="K3500">
        <v>3.13</v>
      </c>
      <c r="L3500">
        <v>50.19</v>
      </c>
      <c r="M3500">
        <v>2.38</v>
      </c>
      <c r="N3500">
        <v>971.91</v>
      </c>
    </row>
    <row r="3501" spans="1:14" x14ac:dyDescent="0.2">
      <c r="A3501" s="1">
        <v>45765</v>
      </c>
      <c r="B3501" s="2" t="s">
        <v>29</v>
      </c>
      <c r="C3501" s="2" t="s">
        <v>32</v>
      </c>
      <c r="D3501" s="2" t="s">
        <v>16</v>
      </c>
      <c r="E3501">
        <v>21549</v>
      </c>
      <c r="F3501">
        <v>454</v>
      </c>
      <c r="G3501">
        <v>28</v>
      </c>
      <c r="H3501">
        <v>962.92</v>
      </c>
      <c r="I3501">
        <v>3579.86</v>
      </c>
      <c r="J3501">
        <v>2.11</v>
      </c>
      <c r="K3501">
        <v>6.17</v>
      </c>
      <c r="L3501">
        <v>34.39</v>
      </c>
      <c r="M3501">
        <v>3.72</v>
      </c>
      <c r="N3501">
        <v>2616.94</v>
      </c>
    </row>
    <row r="3502" spans="1:14" x14ac:dyDescent="0.2">
      <c r="A3502" s="1">
        <v>45765</v>
      </c>
      <c r="B3502" s="2" t="s">
        <v>30</v>
      </c>
      <c r="C3502" s="2" t="s">
        <v>21</v>
      </c>
      <c r="D3502" s="2" t="s">
        <v>25</v>
      </c>
      <c r="E3502">
        <v>8404</v>
      </c>
      <c r="F3502">
        <v>241</v>
      </c>
      <c r="G3502">
        <v>11</v>
      </c>
      <c r="H3502">
        <v>693.95</v>
      </c>
      <c r="I3502">
        <v>976.84</v>
      </c>
      <c r="J3502">
        <v>2.87</v>
      </c>
      <c r="K3502">
        <v>4.5599999999999996</v>
      </c>
      <c r="L3502">
        <v>63.09</v>
      </c>
      <c r="M3502">
        <v>1.41</v>
      </c>
      <c r="N3502">
        <v>282.89</v>
      </c>
    </row>
    <row r="3503" spans="1:14" x14ac:dyDescent="0.2">
      <c r="A3503" s="1">
        <v>45765</v>
      </c>
      <c r="B3503" s="2" t="s">
        <v>31</v>
      </c>
      <c r="C3503" s="2" t="s">
        <v>35</v>
      </c>
      <c r="D3503" s="2" t="s">
        <v>25</v>
      </c>
      <c r="E3503">
        <v>27438</v>
      </c>
      <c r="F3503">
        <v>708</v>
      </c>
      <c r="G3503">
        <v>22</v>
      </c>
      <c r="H3503">
        <v>964.55</v>
      </c>
      <c r="I3503">
        <v>2131.3200000000002</v>
      </c>
      <c r="J3503">
        <v>2.58</v>
      </c>
      <c r="K3503">
        <v>3.11</v>
      </c>
      <c r="L3503">
        <v>43.84</v>
      </c>
      <c r="M3503">
        <v>2.21</v>
      </c>
      <c r="N3503">
        <v>1166.77</v>
      </c>
    </row>
    <row r="3504" spans="1:14" x14ac:dyDescent="0.2">
      <c r="A3504" s="1">
        <v>45765</v>
      </c>
      <c r="B3504" s="2" t="s">
        <v>33</v>
      </c>
      <c r="C3504" s="2" t="s">
        <v>35</v>
      </c>
      <c r="D3504" s="2" t="s">
        <v>19</v>
      </c>
      <c r="E3504">
        <v>8049</v>
      </c>
      <c r="F3504">
        <v>361</v>
      </c>
      <c r="G3504">
        <v>44</v>
      </c>
      <c r="H3504">
        <v>613.22</v>
      </c>
      <c r="I3504">
        <v>6112.32</v>
      </c>
      <c r="J3504">
        <v>4.49</v>
      </c>
      <c r="K3504">
        <v>12.19</v>
      </c>
      <c r="L3504">
        <v>13.94</v>
      </c>
      <c r="M3504">
        <v>9.9700000000000006</v>
      </c>
      <c r="N3504">
        <v>5499.1</v>
      </c>
    </row>
    <row r="3505" spans="1:14" x14ac:dyDescent="0.2">
      <c r="A3505" s="1">
        <v>45765</v>
      </c>
      <c r="B3505" s="2" t="s">
        <v>34</v>
      </c>
      <c r="C3505" s="2" t="s">
        <v>21</v>
      </c>
      <c r="D3505" s="2" t="s">
        <v>19</v>
      </c>
      <c r="E3505">
        <v>4770</v>
      </c>
      <c r="F3505">
        <v>337</v>
      </c>
      <c r="G3505">
        <v>58</v>
      </c>
      <c r="H3505">
        <v>98.42</v>
      </c>
      <c r="I3505">
        <v>7010</v>
      </c>
      <c r="J3505">
        <v>7.06</v>
      </c>
      <c r="K3505">
        <v>17.21</v>
      </c>
      <c r="L3505">
        <v>1.7</v>
      </c>
      <c r="M3505">
        <v>71.23</v>
      </c>
      <c r="N3505">
        <v>6911.58</v>
      </c>
    </row>
    <row r="3506" spans="1:14" x14ac:dyDescent="0.2">
      <c r="A3506" s="1">
        <v>45766</v>
      </c>
      <c r="B3506" s="2" t="s">
        <v>14</v>
      </c>
      <c r="C3506" s="2" t="s">
        <v>32</v>
      </c>
      <c r="D3506" s="2" t="s">
        <v>22</v>
      </c>
      <c r="E3506">
        <v>7956</v>
      </c>
      <c r="F3506">
        <v>338</v>
      </c>
      <c r="G3506">
        <v>35</v>
      </c>
      <c r="H3506">
        <v>786.04</v>
      </c>
      <c r="I3506">
        <v>4618.18</v>
      </c>
      <c r="J3506">
        <v>4.25</v>
      </c>
      <c r="K3506">
        <v>10.36</v>
      </c>
      <c r="L3506">
        <v>22.46</v>
      </c>
      <c r="M3506">
        <v>5.88</v>
      </c>
      <c r="N3506">
        <v>3832.14</v>
      </c>
    </row>
    <row r="3507" spans="1:14" x14ac:dyDescent="0.2">
      <c r="A3507" s="1">
        <v>45766</v>
      </c>
      <c r="B3507" s="2" t="s">
        <v>17</v>
      </c>
      <c r="C3507" s="2" t="s">
        <v>21</v>
      </c>
      <c r="D3507" s="2" t="s">
        <v>16</v>
      </c>
      <c r="E3507">
        <v>13444</v>
      </c>
      <c r="F3507">
        <v>510</v>
      </c>
      <c r="G3507">
        <v>43</v>
      </c>
      <c r="H3507">
        <v>769.67</v>
      </c>
      <c r="I3507">
        <v>4898.37</v>
      </c>
      <c r="J3507">
        <v>3.79</v>
      </c>
      <c r="K3507">
        <v>8.43</v>
      </c>
      <c r="L3507">
        <v>17.899999999999999</v>
      </c>
      <c r="M3507">
        <v>6.36</v>
      </c>
      <c r="N3507">
        <v>4128.7</v>
      </c>
    </row>
    <row r="3508" spans="1:14" x14ac:dyDescent="0.2">
      <c r="A3508" s="1">
        <v>45766</v>
      </c>
      <c r="B3508" s="2" t="s">
        <v>20</v>
      </c>
      <c r="C3508" s="2" t="s">
        <v>35</v>
      </c>
      <c r="D3508" s="2" t="s">
        <v>25</v>
      </c>
      <c r="E3508">
        <v>9452</v>
      </c>
      <c r="F3508">
        <v>348</v>
      </c>
      <c r="G3508">
        <v>20</v>
      </c>
      <c r="H3508">
        <v>487.69</v>
      </c>
      <c r="I3508">
        <v>2101.9499999999998</v>
      </c>
      <c r="J3508">
        <v>3.68</v>
      </c>
      <c r="K3508">
        <v>5.75</v>
      </c>
      <c r="L3508">
        <v>24.38</v>
      </c>
      <c r="M3508">
        <v>4.3099999999999996</v>
      </c>
      <c r="N3508">
        <v>1614.26</v>
      </c>
    </row>
    <row r="3509" spans="1:14" x14ac:dyDescent="0.2">
      <c r="A3509" s="1">
        <v>45766</v>
      </c>
      <c r="B3509" s="2" t="s">
        <v>23</v>
      </c>
      <c r="C3509" s="2" t="s">
        <v>35</v>
      </c>
      <c r="D3509" s="2" t="s">
        <v>25</v>
      </c>
      <c r="E3509">
        <v>2366</v>
      </c>
      <c r="F3509">
        <v>54</v>
      </c>
      <c r="G3509">
        <v>5</v>
      </c>
      <c r="H3509">
        <v>671.05</v>
      </c>
      <c r="I3509">
        <v>1815.19</v>
      </c>
      <c r="J3509">
        <v>2.2799999999999998</v>
      </c>
      <c r="K3509">
        <v>9.26</v>
      </c>
      <c r="L3509">
        <v>134.21</v>
      </c>
      <c r="M3509">
        <v>2.7</v>
      </c>
      <c r="N3509">
        <v>1144.1400000000001</v>
      </c>
    </row>
    <row r="3510" spans="1:14" x14ac:dyDescent="0.2">
      <c r="A3510" s="1">
        <v>45766</v>
      </c>
      <c r="B3510" s="2" t="s">
        <v>24</v>
      </c>
      <c r="C3510" s="2" t="s">
        <v>28</v>
      </c>
      <c r="D3510" s="2" t="s">
        <v>16</v>
      </c>
      <c r="E3510">
        <v>11060</v>
      </c>
      <c r="F3510">
        <v>2566</v>
      </c>
      <c r="G3510">
        <v>281</v>
      </c>
      <c r="H3510">
        <v>209.94</v>
      </c>
      <c r="I3510">
        <v>37075.980000000003</v>
      </c>
      <c r="J3510">
        <v>23.2</v>
      </c>
      <c r="K3510">
        <v>10.95</v>
      </c>
      <c r="L3510">
        <v>0.75</v>
      </c>
      <c r="M3510">
        <v>176.6</v>
      </c>
      <c r="N3510">
        <v>36866.04</v>
      </c>
    </row>
    <row r="3511" spans="1:14" x14ac:dyDescent="0.2">
      <c r="A3511" s="1">
        <v>45766</v>
      </c>
      <c r="B3511" s="2" t="s">
        <v>26</v>
      </c>
      <c r="C3511" s="2" t="s">
        <v>21</v>
      </c>
      <c r="D3511" s="2" t="s">
        <v>16</v>
      </c>
      <c r="E3511">
        <v>15348</v>
      </c>
      <c r="F3511">
        <v>695</v>
      </c>
      <c r="G3511">
        <v>86</v>
      </c>
      <c r="H3511">
        <v>0</v>
      </c>
      <c r="I3511">
        <v>10295.290000000001</v>
      </c>
      <c r="J3511">
        <v>4.53</v>
      </c>
      <c r="K3511">
        <v>12.37</v>
      </c>
      <c r="L3511">
        <v>0</v>
      </c>
      <c r="M3511">
        <v>0</v>
      </c>
      <c r="N3511">
        <v>10295.290000000001</v>
      </c>
    </row>
    <row r="3512" spans="1:14" x14ac:dyDescent="0.2">
      <c r="A3512" s="1">
        <v>45766</v>
      </c>
      <c r="B3512" s="2" t="s">
        <v>27</v>
      </c>
      <c r="C3512" s="2" t="s">
        <v>28</v>
      </c>
      <c r="D3512" s="2" t="s">
        <v>16</v>
      </c>
      <c r="E3512">
        <v>24557</v>
      </c>
      <c r="F3512">
        <v>448</v>
      </c>
      <c r="G3512">
        <v>18</v>
      </c>
      <c r="H3512">
        <v>511.02</v>
      </c>
      <c r="I3512">
        <v>1616.11</v>
      </c>
      <c r="J3512">
        <v>1.82</v>
      </c>
      <c r="K3512">
        <v>4.0199999999999996</v>
      </c>
      <c r="L3512">
        <v>28.39</v>
      </c>
      <c r="M3512">
        <v>3.16</v>
      </c>
      <c r="N3512">
        <v>1105.0899999999999</v>
      </c>
    </row>
    <row r="3513" spans="1:14" x14ac:dyDescent="0.2">
      <c r="A3513" s="1">
        <v>45766</v>
      </c>
      <c r="B3513" s="2" t="s">
        <v>29</v>
      </c>
      <c r="C3513" s="2" t="s">
        <v>18</v>
      </c>
      <c r="D3513" s="2" t="s">
        <v>36</v>
      </c>
      <c r="E3513">
        <v>16031</v>
      </c>
      <c r="F3513">
        <v>243</v>
      </c>
      <c r="G3513">
        <v>15</v>
      </c>
      <c r="H3513">
        <v>730.92</v>
      </c>
      <c r="I3513">
        <v>1831.26</v>
      </c>
      <c r="J3513">
        <v>1.52</v>
      </c>
      <c r="K3513">
        <v>6.17</v>
      </c>
      <c r="L3513">
        <v>48.73</v>
      </c>
      <c r="M3513">
        <v>2.5099999999999998</v>
      </c>
      <c r="N3513">
        <v>1100.3399999999999</v>
      </c>
    </row>
    <row r="3514" spans="1:14" x14ac:dyDescent="0.2">
      <c r="A3514" s="1">
        <v>45766</v>
      </c>
      <c r="B3514" s="2" t="s">
        <v>30</v>
      </c>
      <c r="C3514" s="2" t="s">
        <v>18</v>
      </c>
      <c r="D3514" s="2" t="s">
        <v>16</v>
      </c>
      <c r="E3514">
        <v>6404</v>
      </c>
      <c r="F3514">
        <v>219</v>
      </c>
      <c r="G3514">
        <v>7</v>
      </c>
      <c r="H3514">
        <v>476.85</v>
      </c>
      <c r="I3514">
        <v>710.96</v>
      </c>
      <c r="J3514">
        <v>3.42</v>
      </c>
      <c r="K3514">
        <v>3.2</v>
      </c>
      <c r="L3514">
        <v>68.12</v>
      </c>
      <c r="M3514">
        <v>1.49</v>
      </c>
      <c r="N3514">
        <v>234.11</v>
      </c>
    </row>
    <row r="3515" spans="1:14" x14ac:dyDescent="0.2">
      <c r="A3515" s="1">
        <v>45766</v>
      </c>
      <c r="B3515" s="2" t="s">
        <v>31</v>
      </c>
      <c r="C3515" s="2" t="s">
        <v>28</v>
      </c>
      <c r="D3515" s="2" t="s">
        <v>36</v>
      </c>
      <c r="E3515">
        <v>13461</v>
      </c>
      <c r="F3515">
        <v>350</v>
      </c>
      <c r="G3515">
        <v>14</v>
      </c>
      <c r="H3515">
        <v>439.23</v>
      </c>
      <c r="I3515">
        <v>1464.65</v>
      </c>
      <c r="J3515">
        <v>2.6</v>
      </c>
      <c r="K3515">
        <v>4</v>
      </c>
      <c r="L3515">
        <v>31.37</v>
      </c>
      <c r="M3515">
        <v>3.33</v>
      </c>
      <c r="N3515">
        <v>1025.42</v>
      </c>
    </row>
    <row r="3516" spans="1:14" x14ac:dyDescent="0.2">
      <c r="A3516" s="1">
        <v>45766</v>
      </c>
      <c r="B3516" s="2" t="s">
        <v>33</v>
      </c>
      <c r="C3516" s="2" t="s">
        <v>21</v>
      </c>
      <c r="D3516" s="2" t="s">
        <v>25</v>
      </c>
      <c r="E3516">
        <v>5259</v>
      </c>
      <c r="F3516">
        <v>354</v>
      </c>
      <c r="G3516">
        <v>37</v>
      </c>
      <c r="H3516">
        <v>470.85</v>
      </c>
      <c r="I3516">
        <v>5244.95</v>
      </c>
      <c r="J3516">
        <v>6.73</v>
      </c>
      <c r="K3516">
        <v>10.45</v>
      </c>
      <c r="L3516">
        <v>12.73</v>
      </c>
      <c r="M3516">
        <v>11.14</v>
      </c>
      <c r="N3516">
        <v>4774.1000000000004</v>
      </c>
    </row>
    <row r="3517" spans="1:14" x14ac:dyDescent="0.2">
      <c r="A3517" s="1">
        <v>45766</v>
      </c>
      <c r="B3517" s="2" t="s">
        <v>34</v>
      </c>
      <c r="C3517" s="2" t="s">
        <v>32</v>
      </c>
      <c r="D3517" s="2" t="s">
        <v>36</v>
      </c>
      <c r="E3517">
        <v>3567</v>
      </c>
      <c r="F3517">
        <v>233</v>
      </c>
      <c r="G3517">
        <v>37</v>
      </c>
      <c r="H3517">
        <v>135.79</v>
      </c>
      <c r="I3517">
        <v>4148.7700000000004</v>
      </c>
      <c r="J3517">
        <v>6.53</v>
      </c>
      <c r="K3517">
        <v>15.88</v>
      </c>
      <c r="L3517">
        <v>3.67</v>
      </c>
      <c r="M3517">
        <v>30.55</v>
      </c>
      <c r="N3517">
        <v>4012.98</v>
      </c>
    </row>
    <row r="3518" spans="1:14" x14ac:dyDescent="0.2">
      <c r="A3518" s="1">
        <v>45767</v>
      </c>
      <c r="B3518" s="2" t="s">
        <v>14</v>
      </c>
      <c r="C3518" s="2" t="s">
        <v>32</v>
      </c>
      <c r="D3518" s="2" t="s">
        <v>19</v>
      </c>
      <c r="E3518">
        <v>8312</v>
      </c>
      <c r="F3518">
        <v>336</v>
      </c>
      <c r="G3518">
        <v>28</v>
      </c>
      <c r="H3518">
        <v>907</v>
      </c>
      <c r="I3518">
        <v>3772.63</v>
      </c>
      <c r="J3518">
        <v>4.04</v>
      </c>
      <c r="K3518">
        <v>8.33</v>
      </c>
      <c r="L3518">
        <v>32.39</v>
      </c>
      <c r="M3518">
        <v>4.16</v>
      </c>
      <c r="N3518">
        <v>2865.63</v>
      </c>
    </row>
    <row r="3519" spans="1:14" x14ac:dyDescent="0.2">
      <c r="A3519" s="1">
        <v>45767</v>
      </c>
      <c r="B3519" s="2" t="s">
        <v>17</v>
      </c>
      <c r="C3519" s="2" t="s">
        <v>35</v>
      </c>
      <c r="D3519" s="2" t="s">
        <v>19</v>
      </c>
      <c r="E3519">
        <v>13340</v>
      </c>
      <c r="F3519">
        <v>503</v>
      </c>
      <c r="G3519">
        <v>25</v>
      </c>
      <c r="H3519">
        <v>732.49</v>
      </c>
      <c r="I3519">
        <v>2869.72</v>
      </c>
      <c r="J3519">
        <v>3.77</v>
      </c>
      <c r="K3519">
        <v>4.97</v>
      </c>
      <c r="L3519">
        <v>29.3</v>
      </c>
      <c r="M3519">
        <v>3.92</v>
      </c>
      <c r="N3519">
        <v>2137.23</v>
      </c>
    </row>
    <row r="3520" spans="1:14" x14ac:dyDescent="0.2">
      <c r="A3520" s="1">
        <v>45767</v>
      </c>
      <c r="B3520" s="2" t="s">
        <v>20</v>
      </c>
      <c r="C3520" s="2" t="s">
        <v>21</v>
      </c>
      <c r="D3520" s="2" t="s">
        <v>25</v>
      </c>
      <c r="E3520">
        <v>10810</v>
      </c>
      <c r="F3520">
        <v>460</v>
      </c>
      <c r="G3520">
        <v>21</v>
      </c>
      <c r="H3520">
        <v>515.05999999999995</v>
      </c>
      <c r="I3520">
        <v>2109.1999999999998</v>
      </c>
      <c r="J3520">
        <v>4.26</v>
      </c>
      <c r="K3520">
        <v>4.57</v>
      </c>
      <c r="L3520">
        <v>24.53</v>
      </c>
      <c r="M3520">
        <v>4.0999999999999996</v>
      </c>
      <c r="N3520">
        <v>1594.14</v>
      </c>
    </row>
    <row r="3521" spans="1:14" x14ac:dyDescent="0.2">
      <c r="A3521" s="1">
        <v>45767</v>
      </c>
      <c r="B3521" s="2" t="s">
        <v>23</v>
      </c>
      <c r="C3521" s="2" t="s">
        <v>18</v>
      </c>
      <c r="D3521" s="2" t="s">
        <v>36</v>
      </c>
      <c r="E3521">
        <v>2965</v>
      </c>
      <c r="F3521">
        <v>54</v>
      </c>
      <c r="G3521">
        <v>7</v>
      </c>
      <c r="H3521">
        <v>996.27</v>
      </c>
      <c r="I3521">
        <v>1979.44</v>
      </c>
      <c r="J3521">
        <v>1.82</v>
      </c>
      <c r="K3521">
        <v>12.96</v>
      </c>
      <c r="L3521">
        <v>142.32</v>
      </c>
      <c r="M3521">
        <v>1.99</v>
      </c>
      <c r="N3521">
        <v>983.17</v>
      </c>
    </row>
    <row r="3522" spans="1:14" x14ac:dyDescent="0.2">
      <c r="A3522" s="1">
        <v>45767</v>
      </c>
      <c r="B3522" s="2" t="s">
        <v>24</v>
      </c>
      <c r="C3522" s="2" t="s">
        <v>32</v>
      </c>
      <c r="D3522" s="2" t="s">
        <v>22</v>
      </c>
      <c r="E3522">
        <v>12731</v>
      </c>
      <c r="F3522">
        <v>2947</v>
      </c>
      <c r="G3522">
        <v>284</v>
      </c>
      <c r="H3522">
        <v>140.69</v>
      </c>
      <c r="I3522">
        <v>44020.81</v>
      </c>
      <c r="J3522">
        <v>23.15</v>
      </c>
      <c r="K3522">
        <v>9.64</v>
      </c>
      <c r="L3522">
        <v>0.5</v>
      </c>
      <c r="M3522">
        <v>312.89</v>
      </c>
      <c r="N3522">
        <v>43880.12</v>
      </c>
    </row>
    <row r="3523" spans="1:14" x14ac:dyDescent="0.2">
      <c r="A3523" s="1">
        <v>45767</v>
      </c>
      <c r="B3523" s="2" t="s">
        <v>26</v>
      </c>
      <c r="C3523" s="2" t="s">
        <v>18</v>
      </c>
      <c r="D3523" s="2" t="s">
        <v>36</v>
      </c>
      <c r="E3523">
        <v>21674</v>
      </c>
      <c r="F3523">
        <v>1563</v>
      </c>
      <c r="G3523">
        <v>208</v>
      </c>
      <c r="H3523">
        <v>0</v>
      </c>
      <c r="I3523">
        <v>22584.1</v>
      </c>
      <c r="J3523">
        <v>7.21</v>
      </c>
      <c r="K3523">
        <v>13.31</v>
      </c>
      <c r="L3523">
        <v>0</v>
      </c>
      <c r="M3523">
        <v>0</v>
      </c>
      <c r="N3523">
        <v>22584.1</v>
      </c>
    </row>
    <row r="3524" spans="1:14" x14ac:dyDescent="0.2">
      <c r="A3524" s="1">
        <v>45767</v>
      </c>
      <c r="B3524" s="2" t="s">
        <v>27</v>
      </c>
      <c r="C3524" s="2" t="s">
        <v>18</v>
      </c>
      <c r="D3524" s="2" t="s">
        <v>36</v>
      </c>
      <c r="E3524">
        <v>18958</v>
      </c>
      <c r="F3524">
        <v>195</v>
      </c>
      <c r="G3524">
        <v>5</v>
      </c>
      <c r="H3524">
        <v>659.96</v>
      </c>
      <c r="I3524">
        <v>642.58000000000004</v>
      </c>
      <c r="J3524">
        <v>1.03</v>
      </c>
      <c r="K3524">
        <v>2.56</v>
      </c>
      <c r="L3524">
        <v>131.99</v>
      </c>
      <c r="M3524">
        <v>0.97</v>
      </c>
      <c r="N3524">
        <v>-17.38</v>
      </c>
    </row>
    <row r="3525" spans="1:14" x14ac:dyDescent="0.2">
      <c r="A3525" s="1">
        <v>45767</v>
      </c>
      <c r="B3525" s="2" t="s">
        <v>29</v>
      </c>
      <c r="C3525" s="2" t="s">
        <v>35</v>
      </c>
      <c r="D3525" s="2" t="s">
        <v>36</v>
      </c>
      <c r="E3525">
        <v>12967</v>
      </c>
      <c r="F3525">
        <v>355</v>
      </c>
      <c r="G3525">
        <v>23</v>
      </c>
      <c r="H3525">
        <v>925.54</v>
      </c>
      <c r="I3525">
        <v>3069.88</v>
      </c>
      <c r="J3525">
        <v>2.74</v>
      </c>
      <c r="K3525">
        <v>6.48</v>
      </c>
      <c r="L3525">
        <v>40.24</v>
      </c>
      <c r="M3525">
        <v>3.32</v>
      </c>
      <c r="N3525">
        <v>2144.34</v>
      </c>
    </row>
    <row r="3526" spans="1:14" x14ac:dyDescent="0.2">
      <c r="A3526" s="1">
        <v>45767</v>
      </c>
      <c r="B3526" s="2" t="s">
        <v>30</v>
      </c>
      <c r="C3526" s="2" t="s">
        <v>28</v>
      </c>
      <c r="D3526" s="2" t="s">
        <v>22</v>
      </c>
      <c r="E3526">
        <v>9723</v>
      </c>
      <c r="F3526">
        <v>242</v>
      </c>
      <c r="G3526">
        <v>13</v>
      </c>
      <c r="H3526">
        <v>325.86</v>
      </c>
      <c r="I3526">
        <v>1260.42</v>
      </c>
      <c r="J3526">
        <v>2.4900000000000002</v>
      </c>
      <c r="K3526">
        <v>5.37</v>
      </c>
      <c r="L3526">
        <v>25.07</v>
      </c>
      <c r="M3526">
        <v>3.87</v>
      </c>
      <c r="N3526">
        <v>934.56</v>
      </c>
    </row>
    <row r="3527" spans="1:14" x14ac:dyDescent="0.2">
      <c r="A3527" s="1">
        <v>45767</v>
      </c>
      <c r="B3527" s="2" t="s">
        <v>31</v>
      </c>
      <c r="C3527" s="2" t="s">
        <v>21</v>
      </c>
      <c r="D3527" s="2" t="s">
        <v>22</v>
      </c>
      <c r="E3527">
        <v>19516</v>
      </c>
      <c r="F3527">
        <v>649</v>
      </c>
      <c r="G3527">
        <v>26</v>
      </c>
      <c r="H3527">
        <v>694.95</v>
      </c>
      <c r="I3527">
        <v>1821.31</v>
      </c>
      <c r="J3527">
        <v>3.33</v>
      </c>
      <c r="K3527">
        <v>4.01</v>
      </c>
      <c r="L3527">
        <v>26.73</v>
      </c>
      <c r="M3527">
        <v>2.62</v>
      </c>
      <c r="N3527">
        <v>1126.3599999999999</v>
      </c>
    </row>
    <row r="3528" spans="1:14" x14ac:dyDescent="0.2">
      <c r="A3528" s="1">
        <v>45767</v>
      </c>
      <c r="B3528" s="2" t="s">
        <v>33</v>
      </c>
      <c r="C3528" s="2" t="s">
        <v>32</v>
      </c>
      <c r="D3528" s="2" t="s">
        <v>19</v>
      </c>
      <c r="E3528">
        <v>6668</v>
      </c>
      <c r="F3528">
        <v>309</v>
      </c>
      <c r="G3528">
        <v>37</v>
      </c>
      <c r="H3528">
        <v>359.2</v>
      </c>
      <c r="I3528">
        <v>4174.1899999999996</v>
      </c>
      <c r="J3528">
        <v>4.63</v>
      </c>
      <c r="K3528">
        <v>11.97</v>
      </c>
      <c r="L3528">
        <v>9.7100000000000009</v>
      </c>
      <c r="M3528">
        <v>11.62</v>
      </c>
      <c r="N3528">
        <v>3814.99</v>
      </c>
    </row>
    <row r="3529" spans="1:14" x14ac:dyDescent="0.2">
      <c r="A3529" s="1">
        <v>45767</v>
      </c>
      <c r="B3529" s="2" t="s">
        <v>34</v>
      </c>
      <c r="C3529" s="2" t="s">
        <v>35</v>
      </c>
      <c r="D3529" s="2" t="s">
        <v>36</v>
      </c>
      <c r="E3529">
        <v>2907</v>
      </c>
      <c r="F3529">
        <v>220</v>
      </c>
      <c r="G3529">
        <v>34</v>
      </c>
      <c r="H3529">
        <v>79.48</v>
      </c>
      <c r="I3529">
        <v>6472.26</v>
      </c>
      <c r="J3529">
        <v>7.57</v>
      </c>
      <c r="K3529">
        <v>15.45</v>
      </c>
      <c r="L3529">
        <v>2.34</v>
      </c>
      <c r="M3529">
        <v>81.430000000000007</v>
      </c>
      <c r="N3529">
        <v>6392.78</v>
      </c>
    </row>
    <row r="3530" spans="1:14" x14ac:dyDescent="0.2">
      <c r="A3530" s="1">
        <v>45768</v>
      </c>
      <c r="B3530" s="2" t="s">
        <v>14</v>
      </c>
      <c r="C3530" s="2" t="s">
        <v>21</v>
      </c>
      <c r="D3530" s="2" t="s">
        <v>19</v>
      </c>
      <c r="E3530">
        <v>8644</v>
      </c>
      <c r="F3530">
        <v>429</v>
      </c>
      <c r="G3530">
        <v>35</v>
      </c>
      <c r="H3530">
        <v>1081.2</v>
      </c>
      <c r="I3530">
        <v>5818.6</v>
      </c>
      <c r="J3530">
        <v>4.96</v>
      </c>
      <c r="K3530">
        <v>8.16</v>
      </c>
      <c r="L3530">
        <v>30.89</v>
      </c>
      <c r="M3530">
        <v>5.38</v>
      </c>
      <c r="N3530">
        <v>4737.3999999999996</v>
      </c>
    </row>
    <row r="3531" spans="1:14" x14ac:dyDescent="0.2">
      <c r="A3531" s="1">
        <v>45768</v>
      </c>
      <c r="B3531" s="2" t="s">
        <v>17</v>
      </c>
      <c r="C3531" s="2" t="s">
        <v>35</v>
      </c>
      <c r="D3531" s="2" t="s">
        <v>36</v>
      </c>
      <c r="E3531">
        <v>16348</v>
      </c>
      <c r="F3531">
        <v>595</v>
      </c>
      <c r="G3531">
        <v>48</v>
      </c>
      <c r="H3531">
        <v>770.14</v>
      </c>
      <c r="I3531">
        <v>5639.27</v>
      </c>
      <c r="J3531">
        <v>3.64</v>
      </c>
      <c r="K3531">
        <v>8.07</v>
      </c>
      <c r="L3531">
        <v>16.04</v>
      </c>
      <c r="M3531">
        <v>7.32</v>
      </c>
      <c r="N3531">
        <v>4869.13</v>
      </c>
    </row>
    <row r="3532" spans="1:14" x14ac:dyDescent="0.2">
      <c r="A3532" s="1">
        <v>45768</v>
      </c>
      <c r="B3532" s="2" t="s">
        <v>20</v>
      </c>
      <c r="C3532" s="2" t="s">
        <v>28</v>
      </c>
      <c r="D3532" s="2" t="s">
        <v>16</v>
      </c>
      <c r="E3532">
        <v>14757</v>
      </c>
      <c r="F3532">
        <v>396</v>
      </c>
      <c r="G3532">
        <v>18</v>
      </c>
      <c r="H3532">
        <v>641.62</v>
      </c>
      <c r="I3532">
        <v>1715.33</v>
      </c>
      <c r="J3532">
        <v>2.68</v>
      </c>
      <c r="K3532">
        <v>4.55</v>
      </c>
      <c r="L3532">
        <v>35.65</v>
      </c>
      <c r="M3532">
        <v>2.67</v>
      </c>
      <c r="N3532">
        <v>1073.71</v>
      </c>
    </row>
    <row r="3533" spans="1:14" x14ac:dyDescent="0.2">
      <c r="A3533" s="1">
        <v>45768</v>
      </c>
      <c r="B3533" s="2" t="s">
        <v>23</v>
      </c>
      <c r="C3533" s="2" t="s">
        <v>18</v>
      </c>
      <c r="D3533" s="2" t="s">
        <v>36</v>
      </c>
      <c r="E3533">
        <v>3454</v>
      </c>
      <c r="F3533">
        <v>95</v>
      </c>
      <c r="G3533">
        <v>11</v>
      </c>
      <c r="H3533">
        <v>1395.38</v>
      </c>
      <c r="I3533">
        <v>2575.42</v>
      </c>
      <c r="J3533">
        <v>2.75</v>
      </c>
      <c r="K3533">
        <v>11.58</v>
      </c>
      <c r="L3533">
        <v>126.85</v>
      </c>
      <c r="M3533">
        <v>1.85</v>
      </c>
      <c r="N3533">
        <v>1180.04</v>
      </c>
    </row>
    <row r="3534" spans="1:14" x14ac:dyDescent="0.2">
      <c r="A3534" s="1">
        <v>45768</v>
      </c>
      <c r="B3534" s="2" t="s">
        <v>24</v>
      </c>
      <c r="C3534" s="2" t="s">
        <v>18</v>
      </c>
      <c r="D3534" s="2" t="s">
        <v>19</v>
      </c>
      <c r="E3534">
        <v>18473</v>
      </c>
      <c r="F3534">
        <v>2819</v>
      </c>
      <c r="G3534">
        <v>369</v>
      </c>
      <c r="H3534">
        <v>129.97</v>
      </c>
      <c r="I3534">
        <v>58702.33</v>
      </c>
      <c r="J3534">
        <v>15.26</v>
      </c>
      <c r="K3534">
        <v>13.09</v>
      </c>
      <c r="L3534">
        <v>0.35</v>
      </c>
      <c r="M3534">
        <v>451.66</v>
      </c>
      <c r="N3534">
        <v>58572.36</v>
      </c>
    </row>
    <row r="3535" spans="1:14" x14ac:dyDescent="0.2">
      <c r="A3535" s="1">
        <v>45768</v>
      </c>
      <c r="B3535" s="2" t="s">
        <v>26</v>
      </c>
      <c r="C3535" s="2" t="s">
        <v>28</v>
      </c>
      <c r="D3535" s="2" t="s">
        <v>36</v>
      </c>
      <c r="E3535">
        <v>21835</v>
      </c>
      <c r="F3535">
        <v>1645</v>
      </c>
      <c r="G3535">
        <v>227</v>
      </c>
      <c r="H3535">
        <v>0</v>
      </c>
      <c r="I3535">
        <v>26681.52</v>
      </c>
      <c r="J3535">
        <v>7.53</v>
      </c>
      <c r="K3535">
        <v>13.8</v>
      </c>
      <c r="L3535">
        <v>0</v>
      </c>
      <c r="M3535">
        <v>0</v>
      </c>
      <c r="N3535">
        <v>26681.52</v>
      </c>
    </row>
    <row r="3536" spans="1:14" x14ac:dyDescent="0.2">
      <c r="A3536" s="1">
        <v>45768</v>
      </c>
      <c r="B3536" s="2" t="s">
        <v>27</v>
      </c>
      <c r="C3536" s="2" t="s">
        <v>21</v>
      </c>
      <c r="D3536" s="2" t="s">
        <v>19</v>
      </c>
      <c r="E3536">
        <v>35372</v>
      </c>
      <c r="F3536">
        <v>356</v>
      </c>
      <c r="G3536">
        <v>14</v>
      </c>
      <c r="H3536">
        <v>921.55</v>
      </c>
      <c r="I3536">
        <v>1335.99</v>
      </c>
      <c r="J3536">
        <v>1.01</v>
      </c>
      <c r="K3536">
        <v>3.93</v>
      </c>
      <c r="L3536">
        <v>65.819999999999993</v>
      </c>
      <c r="M3536">
        <v>1.45</v>
      </c>
      <c r="N3536">
        <v>414.44</v>
      </c>
    </row>
    <row r="3537" spans="1:14" x14ac:dyDescent="0.2">
      <c r="A3537" s="1">
        <v>45768</v>
      </c>
      <c r="B3537" s="2" t="s">
        <v>29</v>
      </c>
      <c r="C3537" s="2" t="s">
        <v>35</v>
      </c>
      <c r="D3537" s="2" t="s">
        <v>25</v>
      </c>
      <c r="E3537">
        <v>17983</v>
      </c>
      <c r="F3537">
        <v>392</v>
      </c>
      <c r="G3537">
        <v>18</v>
      </c>
      <c r="H3537">
        <v>1266.1600000000001</v>
      </c>
      <c r="I3537">
        <v>2291.02</v>
      </c>
      <c r="J3537">
        <v>2.1800000000000002</v>
      </c>
      <c r="K3537">
        <v>4.59</v>
      </c>
      <c r="L3537">
        <v>70.34</v>
      </c>
      <c r="M3537">
        <v>1.81</v>
      </c>
      <c r="N3537">
        <v>1024.8599999999999</v>
      </c>
    </row>
    <row r="3538" spans="1:14" x14ac:dyDescent="0.2">
      <c r="A3538" s="1">
        <v>45768</v>
      </c>
      <c r="B3538" s="2" t="s">
        <v>30</v>
      </c>
      <c r="C3538" s="2" t="s">
        <v>32</v>
      </c>
      <c r="D3538" s="2" t="s">
        <v>22</v>
      </c>
      <c r="E3538">
        <v>12081</v>
      </c>
      <c r="F3538">
        <v>281</v>
      </c>
      <c r="G3538">
        <v>16</v>
      </c>
      <c r="H3538">
        <v>412.8</v>
      </c>
      <c r="I3538">
        <v>1599.22</v>
      </c>
      <c r="J3538">
        <v>2.33</v>
      </c>
      <c r="K3538">
        <v>5.69</v>
      </c>
      <c r="L3538">
        <v>25.8</v>
      </c>
      <c r="M3538">
        <v>3.87</v>
      </c>
      <c r="N3538">
        <v>1186.42</v>
      </c>
    </row>
    <row r="3539" spans="1:14" x14ac:dyDescent="0.2">
      <c r="A3539" s="1">
        <v>45768</v>
      </c>
      <c r="B3539" s="2" t="s">
        <v>31</v>
      </c>
      <c r="C3539" s="2" t="s">
        <v>32</v>
      </c>
      <c r="D3539" s="2" t="s">
        <v>16</v>
      </c>
      <c r="E3539">
        <v>22913</v>
      </c>
      <c r="F3539">
        <v>757</v>
      </c>
      <c r="G3539">
        <v>28</v>
      </c>
      <c r="H3539">
        <v>687.47</v>
      </c>
      <c r="I3539">
        <v>2144.5500000000002</v>
      </c>
      <c r="J3539">
        <v>3.3</v>
      </c>
      <c r="K3539">
        <v>3.7</v>
      </c>
      <c r="L3539">
        <v>24.55</v>
      </c>
      <c r="M3539">
        <v>3.12</v>
      </c>
      <c r="N3539">
        <v>1457.08</v>
      </c>
    </row>
    <row r="3540" spans="1:14" x14ac:dyDescent="0.2">
      <c r="A3540" s="1">
        <v>45768</v>
      </c>
      <c r="B3540" s="2" t="s">
        <v>33</v>
      </c>
      <c r="C3540" s="2" t="s">
        <v>28</v>
      </c>
      <c r="D3540" s="2" t="s">
        <v>16</v>
      </c>
      <c r="E3540">
        <v>6700</v>
      </c>
      <c r="F3540">
        <v>461</v>
      </c>
      <c r="G3540">
        <v>39</v>
      </c>
      <c r="H3540">
        <v>540.39</v>
      </c>
      <c r="I3540">
        <v>4959.54</v>
      </c>
      <c r="J3540">
        <v>6.88</v>
      </c>
      <c r="K3540">
        <v>8.4600000000000009</v>
      </c>
      <c r="L3540">
        <v>13.86</v>
      </c>
      <c r="M3540">
        <v>9.18</v>
      </c>
      <c r="N3540">
        <v>4419.1499999999996</v>
      </c>
    </row>
    <row r="3541" spans="1:14" x14ac:dyDescent="0.2">
      <c r="A3541" s="1">
        <v>45768</v>
      </c>
      <c r="B3541" s="2" t="s">
        <v>34</v>
      </c>
      <c r="C3541" s="2" t="s">
        <v>35</v>
      </c>
      <c r="D3541" s="2" t="s">
        <v>25</v>
      </c>
      <c r="E3541">
        <v>5542</v>
      </c>
      <c r="F3541">
        <v>479</v>
      </c>
      <c r="G3541">
        <v>71</v>
      </c>
      <c r="H3541">
        <v>132.85</v>
      </c>
      <c r="I3541">
        <v>8066.73</v>
      </c>
      <c r="J3541">
        <v>8.64</v>
      </c>
      <c r="K3541">
        <v>14.82</v>
      </c>
      <c r="L3541">
        <v>1.87</v>
      </c>
      <c r="M3541">
        <v>60.72</v>
      </c>
      <c r="N3541">
        <v>7933.88</v>
      </c>
    </row>
    <row r="3542" spans="1:14" x14ac:dyDescent="0.2">
      <c r="A3542" s="1">
        <v>45769</v>
      </c>
      <c r="B3542" s="2" t="s">
        <v>14</v>
      </c>
      <c r="C3542" s="2" t="s">
        <v>15</v>
      </c>
      <c r="D3542" s="2" t="s">
        <v>16</v>
      </c>
      <c r="E3542">
        <v>9773</v>
      </c>
      <c r="F3542">
        <v>347</v>
      </c>
      <c r="G3542">
        <v>35</v>
      </c>
      <c r="H3542">
        <v>887.19</v>
      </c>
      <c r="I3542">
        <v>5494.71</v>
      </c>
      <c r="J3542">
        <v>3.55</v>
      </c>
      <c r="K3542">
        <v>10.09</v>
      </c>
      <c r="L3542">
        <v>25.35</v>
      </c>
      <c r="M3542">
        <v>6.19</v>
      </c>
      <c r="N3542">
        <v>4607.5200000000004</v>
      </c>
    </row>
    <row r="3543" spans="1:14" x14ac:dyDescent="0.2">
      <c r="A3543" s="1">
        <v>45769</v>
      </c>
      <c r="B3543" s="2" t="s">
        <v>17</v>
      </c>
      <c r="C3543" s="2" t="s">
        <v>35</v>
      </c>
      <c r="D3543" s="2" t="s">
        <v>25</v>
      </c>
      <c r="E3543">
        <v>18629</v>
      </c>
      <c r="F3543">
        <v>527</v>
      </c>
      <c r="G3543">
        <v>46</v>
      </c>
      <c r="H3543">
        <v>871.5</v>
      </c>
      <c r="I3543">
        <v>4345.46</v>
      </c>
      <c r="J3543">
        <v>2.83</v>
      </c>
      <c r="K3543">
        <v>8.73</v>
      </c>
      <c r="L3543">
        <v>18.95</v>
      </c>
      <c r="M3543">
        <v>4.99</v>
      </c>
      <c r="N3543">
        <v>3473.96</v>
      </c>
    </row>
    <row r="3544" spans="1:14" x14ac:dyDescent="0.2">
      <c r="A3544" s="1">
        <v>45769</v>
      </c>
      <c r="B3544" s="2" t="s">
        <v>20</v>
      </c>
      <c r="C3544" s="2" t="s">
        <v>28</v>
      </c>
      <c r="D3544" s="2" t="s">
        <v>36</v>
      </c>
      <c r="E3544">
        <v>17542</v>
      </c>
      <c r="F3544">
        <v>440</v>
      </c>
      <c r="G3544">
        <v>25</v>
      </c>
      <c r="H3544">
        <v>707.24</v>
      </c>
      <c r="I3544">
        <v>2366.19</v>
      </c>
      <c r="J3544">
        <v>2.5099999999999998</v>
      </c>
      <c r="K3544">
        <v>5.68</v>
      </c>
      <c r="L3544">
        <v>28.29</v>
      </c>
      <c r="M3544">
        <v>3.35</v>
      </c>
      <c r="N3544">
        <v>1658.95</v>
      </c>
    </row>
    <row r="3545" spans="1:14" x14ac:dyDescent="0.2">
      <c r="A3545" s="1">
        <v>45769</v>
      </c>
      <c r="B3545" s="2" t="s">
        <v>23</v>
      </c>
      <c r="C3545" s="2" t="s">
        <v>32</v>
      </c>
      <c r="D3545" s="2" t="s">
        <v>36</v>
      </c>
      <c r="E3545">
        <v>5751</v>
      </c>
      <c r="F3545">
        <v>107</v>
      </c>
      <c r="G3545">
        <v>12</v>
      </c>
      <c r="H3545">
        <v>1407.31</v>
      </c>
      <c r="I3545">
        <v>3754.76</v>
      </c>
      <c r="J3545">
        <v>1.86</v>
      </c>
      <c r="K3545">
        <v>11.21</v>
      </c>
      <c r="L3545">
        <v>117.28</v>
      </c>
      <c r="M3545">
        <v>2.67</v>
      </c>
      <c r="N3545">
        <v>2347.4499999999998</v>
      </c>
    </row>
    <row r="3546" spans="1:14" x14ac:dyDescent="0.2">
      <c r="A3546" s="1">
        <v>45769</v>
      </c>
      <c r="B3546" s="2" t="s">
        <v>24</v>
      </c>
      <c r="C3546" s="2" t="s">
        <v>21</v>
      </c>
      <c r="D3546" s="2" t="s">
        <v>25</v>
      </c>
      <c r="E3546">
        <v>21709</v>
      </c>
      <c r="F3546">
        <v>4975</v>
      </c>
      <c r="G3546">
        <v>633</v>
      </c>
      <c r="H3546">
        <v>120.82</v>
      </c>
      <c r="I3546">
        <v>86528.12</v>
      </c>
      <c r="J3546">
        <v>22.92</v>
      </c>
      <c r="K3546">
        <v>12.72</v>
      </c>
      <c r="L3546">
        <v>0.19</v>
      </c>
      <c r="M3546">
        <v>716.17</v>
      </c>
      <c r="N3546">
        <v>86407.3</v>
      </c>
    </row>
    <row r="3547" spans="1:14" x14ac:dyDescent="0.2">
      <c r="A3547" s="1">
        <v>45769</v>
      </c>
      <c r="B3547" s="2" t="s">
        <v>26</v>
      </c>
      <c r="C3547" s="2" t="s">
        <v>21</v>
      </c>
      <c r="D3547" s="2" t="s">
        <v>25</v>
      </c>
      <c r="E3547">
        <v>33736</v>
      </c>
      <c r="F3547">
        <v>1454</v>
      </c>
      <c r="G3547">
        <v>189</v>
      </c>
      <c r="H3547">
        <v>0</v>
      </c>
      <c r="I3547">
        <v>21238.560000000001</v>
      </c>
      <c r="J3547">
        <v>4.3099999999999996</v>
      </c>
      <c r="K3547">
        <v>13</v>
      </c>
      <c r="L3547">
        <v>0</v>
      </c>
      <c r="M3547">
        <v>0</v>
      </c>
      <c r="N3547">
        <v>21238.560000000001</v>
      </c>
    </row>
    <row r="3548" spans="1:14" x14ac:dyDescent="0.2">
      <c r="A3548" s="1">
        <v>45769</v>
      </c>
      <c r="B3548" s="2" t="s">
        <v>27</v>
      </c>
      <c r="C3548" s="2" t="s">
        <v>21</v>
      </c>
      <c r="D3548" s="2" t="s">
        <v>36</v>
      </c>
      <c r="E3548">
        <v>35537</v>
      </c>
      <c r="F3548">
        <v>532</v>
      </c>
      <c r="G3548">
        <v>10</v>
      </c>
      <c r="H3548">
        <v>821.29</v>
      </c>
      <c r="I3548">
        <v>1233.08</v>
      </c>
      <c r="J3548">
        <v>1.5</v>
      </c>
      <c r="K3548">
        <v>1.88</v>
      </c>
      <c r="L3548">
        <v>82.13</v>
      </c>
      <c r="M3548">
        <v>1.5</v>
      </c>
      <c r="N3548">
        <v>411.79</v>
      </c>
    </row>
    <row r="3549" spans="1:14" x14ac:dyDescent="0.2">
      <c r="A3549" s="1">
        <v>45769</v>
      </c>
      <c r="B3549" s="2" t="s">
        <v>29</v>
      </c>
      <c r="C3549" s="2" t="s">
        <v>28</v>
      </c>
      <c r="D3549" s="2" t="s">
        <v>16</v>
      </c>
      <c r="E3549">
        <v>15528</v>
      </c>
      <c r="F3549">
        <v>308</v>
      </c>
      <c r="G3549">
        <v>17</v>
      </c>
      <c r="H3549">
        <v>825.81</v>
      </c>
      <c r="I3549">
        <v>1663.01</v>
      </c>
      <c r="J3549">
        <v>1.98</v>
      </c>
      <c r="K3549">
        <v>5.52</v>
      </c>
      <c r="L3549">
        <v>48.58</v>
      </c>
      <c r="M3549">
        <v>2.0099999999999998</v>
      </c>
      <c r="N3549">
        <v>837.2</v>
      </c>
    </row>
    <row r="3550" spans="1:14" x14ac:dyDescent="0.2">
      <c r="A3550" s="1">
        <v>45769</v>
      </c>
      <c r="B3550" s="2" t="s">
        <v>30</v>
      </c>
      <c r="C3550" s="2" t="s">
        <v>35</v>
      </c>
      <c r="D3550" s="2" t="s">
        <v>22</v>
      </c>
      <c r="E3550">
        <v>11070</v>
      </c>
      <c r="F3550">
        <v>335</v>
      </c>
      <c r="G3550">
        <v>10</v>
      </c>
      <c r="H3550">
        <v>737.64</v>
      </c>
      <c r="I3550">
        <v>958.01</v>
      </c>
      <c r="J3550">
        <v>3.03</v>
      </c>
      <c r="K3550">
        <v>2.99</v>
      </c>
      <c r="L3550">
        <v>73.760000000000005</v>
      </c>
      <c r="M3550">
        <v>1.3</v>
      </c>
      <c r="N3550">
        <v>220.37</v>
      </c>
    </row>
    <row r="3551" spans="1:14" x14ac:dyDescent="0.2">
      <c r="A3551" s="1">
        <v>45769</v>
      </c>
      <c r="B3551" s="2" t="s">
        <v>31</v>
      </c>
      <c r="C3551" s="2" t="s">
        <v>15</v>
      </c>
      <c r="D3551" s="2" t="s">
        <v>25</v>
      </c>
      <c r="E3551">
        <v>21835</v>
      </c>
      <c r="F3551">
        <v>633</v>
      </c>
      <c r="G3551">
        <v>41</v>
      </c>
      <c r="H3551">
        <v>741.9</v>
      </c>
      <c r="I3551">
        <v>3206.45</v>
      </c>
      <c r="J3551">
        <v>2.9</v>
      </c>
      <c r="K3551">
        <v>6.48</v>
      </c>
      <c r="L3551">
        <v>18.100000000000001</v>
      </c>
      <c r="M3551">
        <v>4.32</v>
      </c>
      <c r="N3551">
        <v>2464.5500000000002</v>
      </c>
    </row>
    <row r="3552" spans="1:14" x14ac:dyDescent="0.2">
      <c r="A3552" s="1">
        <v>45769</v>
      </c>
      <c r="B3552" s="2" t="s">
        <v>33</v>
      </c>
      <c r="C3552" s="2" t="s">
        <v>28</v>
      </c>
      <c r="D3552" s="2" t="s">
        <v>36</v>
      </c>
      <c r="E3552">
        <v>8070</v>
      </c>
      <c r="F3552">
        <v>461</v>
      </c>
      <c r="G3552">
        <v>38</v>
      </c>
      <c r="H3552">
        <v>643.17999999999995</v>
      </c>
      <c r="I3552">
        <v>4847.4799999999996</v>
      </c>
      <c r="J3552">
        <v>5.71</v>
      </c>
      <c r="K3552">
        <v>8.24</v>
      </c>
      <c r="L3552">
        <v>16.93</v>
      </c>
      <c r="M3552">
        <v>7.54</v>
      </c>
      <c r="N3552">
        <v>4204.3</v>
      </c>
    </row>
    <row r="3553" spans="1:14" x14ac:dyDescent="0.2">
      <c r="A3553" s="1">
        <v>45769</v>
      </c>
      <c r="B3553" s="2" t="s">
        <v>34</v>
      </c>
      <c r="C3553" s="2" t="s">
        <v>32</v>
      </c>
      <c r="D3553" s="2" t="s">
        <v>19</v>
      </c>
      <c r="E3553">
        <v>6387</v>
      </c>
      <c r="F3553">
        <v>420</v>
      </c>
      <c r="G3553">
        <v>52</v>
      </c>
      <c r="H3553">
        <v>119</v>
      </c>
      <c r="I3553">
        <v>6415.2</v>
      </c>
      <c r="J3553">
        <v>6.58</v>
      </c>
      <c r="K3553">
        <v>12.38</v>
      </c>
      <c r="L3553">
        <v>2.29</v>
      </c>
      <c r="M3553">
        <v>53.91</v>
      </c>
      <c r="N3553">
        <v>6296.2</v>
      </c>
    </row>
    <row r="3554" spans="1:14" x14ac:dyDescent="0.2">
      <c r="A3554" s="1">
        <v>45770</v>
      </c>
      <c r="B3554" s="2" t="s">
        <v>14</v>
      </c>
      <c r="C3554" s="2" t="s">
        <v>32</v>
      </c>
      <c r="D3554" s="2" t="s">
        <v>22</v>
      </c>
      <c r="E3554">
        <v>13805</v>
      </c>
      <c r="F3554">
        <v>515</v>
      </c>
      <c r="G3554">
        <v>54</v>
      </c>
      <c r="H3554">
        <v>1268.6199999999999</v>
      </c>
      <c r="I3554">
        <v>7525.81</v>
      </c>
      <c r="J3554">
        <v>3.73</v>
      </c>
      <c r="K3554">
        <v>10.49</v>
      </c>
      <c r="L3554">
        <v>23.49</v>
      </c>
      <c r="M3554">
        <v>5.93</v>
      </c>
      <c r="N3554">
        <v>6257.19</v>
      </c>
    </row>
    <row r="3555" spans="1:14" x14ac:dyDescent="0.2">
      <c r="A3555" s="1">
        <v>45770</v>
      </c>
      <c r="B3555" s="2" t="s">
        <v>17</v>
      </c>
      <c r="C3555" s="2" t="s">
        <v>21</v>
      </c>
      <c r="D3555" s="2" t="s">
        <v>16</v>
      </c>
      <c r="E3555">
        <v>12101</v>
      </c>
      <c r="F3555">
        <v>364</v>
      </c>
      <c r="G3555">
        <v>25</v>
      </c>
      <c r="H3555">
        <v>1168.25</v>
      </c>
      <c r="I3555">
        <v>3508.36</v>
      </c>
      <c r="J3555">
        <v>3.01</v>
      </c>
      <c r="K3555">
        <v>6.87</v>
      </c>
      <c r="L3555">
        <v>46.73</v>
      </c>
      <c r="M3555">
        <v>3</v>
      </c>
      <c r="N3555">
        <v>2340.11</v>
      </c>
    </row>
    <row r="3556" spans="1:14" x14ac:dyDescent="0.2">
      <c r="A3556" s="1">
        <v>45770</v>
      </c>
      <c r="B3556" s="2" t="s">
        <v>20</v>
      </c>
      <c r="C3556" s="2" t="s">
        <v>15</v>
      </c>
      <c r="D3556" s="2" t="s">
        <v>25</v>
      </c>
      <c r="E3556">
        <v>13941</v>
      </c>
      <c r="F3556">
        <v>429</v>
      </c>
      <c r="G3556">
        <v>18</v>
      </c>
      <c r="H3556">
        <v>548.58000000000004</v>
      </c>
      <c r="I3556">
        <v>1998.12</v>
      </c>
      <c r="J3556">
        <v>3.08</v>
      </c>
      <c r="K3556">
        <v>4.2</v>
      </c>
      <c r="L3556">
        <v>30.48</v>
      </c>
      <c r="M3556">
        <v>3.64</v>
      </c>
      <c r="N3556">
        <v>1449.54</v>
      </c>
    </row>
    <row r="3557" spans="1:14" x14ac:dyDescent="0.2">
      <c r="A3557" s="1">
        <v>45770</v>
      </c>
      <c r="B3557" s="2" t="s">
        <v>23</v>
      </c>
      <c r="C3557" s="2" t="s">
        <v>28</v>
      </c>
      <c r="D3557" s="2" t="s">
        <v>16</v>
      </c>
      <c r="E3557">
        <v>3531</v>
      </c>
      <c r="F3557">
        <v>75</v>
      </c>
      <c r="G3557">
        <v>9</v>
      </c>
      <c r="H3557">
        <v>1033.8599999999999</v>
      </c>
      <c r="I3557">
        <v>2042.6</v>
      </c>
      <c r="J3557">
        <v>2.12</v>
      </c>
      <c r="K3557">
        <v>12</v>
      </c>
      <c r="L3557">
        <v>114.87</v>
      </c>
      <c r="M3557">
        <v>1.98</v>
      </c>
      <c r="N3557">
        <v>1008.74</v>
      </c>
    </row>
    <row r="3558" spans="1:14" x14ac:dyDescent="0.2">
      <c r="A3558" s="1">
        <v>45770</v>
      </c>
      <c r="B3558" s="2" t="s">
        <v>24</v>
      </c>
      <c r="C3558" s="2" t="s">
        <v>32</v>
      </c>
      <c r="D3558" s="2" t="s">
        <v>25</v>
      </c>
      <c r="E3558">
        <v>17408</v>
      </c>
      <c r="F3558">
        <v>2614</v>
      </c>
      <c r="G3558">
        <v>252</v>
      </c>
      <c r="H3558">
        <v>125.54</v>
      </c>
      <c r="I3558">
        <v>31687.75</v>
      </c>
      <c r="J3558">
        <v>15.02</v>
      </c>
      <c r="K3558">
        <v>9.64</v>
      </c>
      <c r="L3558">
        <v>0.5</v>
      </c>
      <c r="M3558">
        <v>252.41</v>
      </c>
      <c r="N3558">
        <v>31562.21</v>
      </c>
    </row>
    <row r="3559" spans="1:14" x14ac:dyDescent="0.2">
      <c r="A3559" s="1">
        <v>45770</v>
      </c>
      <c r="B3559" s="2" t="s">
        <v>26</v>
      </c>
      <c r="C3559" s="2" t="s">
        <v>28</v>
      </c>
      <c r="D3559" s="2" t="s">
        <v>19</v>
      </c>
      <c r="E3559">
        <v>30031</v>
      </c>
      <c r="F3559">
        <v>1942</v>
      </c>
      <c r="G3559">
        <v>254</v>
      </c>
      <c r="H3559">
        <v>0</v>
      </c>
      <c r="I3559">
        <v>32213.43</v>
      </c>
      <c r="J3559">
        <v>6.47</v>
      </c>
      <c r="K3559">
        <v>13.08</v>
      </c>
      <c r="L3559">
        <v>0</v>
      </c>
      <c r="M3559">
        <v>0</v>
      </c>
      <c r="N3559">
        <v>32213.43</v>
      </c>
    </row>
    <row r="3560" spans="1:14" x14ac:dyDescent="0.2">
      <c r="A3560" s="1">
        <v>45770</v>
      </c>
      <c r="B3560" s="2" t="s">
        <v>27</v>
      </c>
      <c r="C3560" s="2" t="s">
        <v>32</v>
      </c>
      <c r="D3560" s="2" t="s">
        <v>16</v>
      </c>
      <c r="E3560">
        <v>38577</v>
      </c>
      <c r="F3560">
        <v>476</v>
      </c>
      <c r="G3560">
        <v>10</v>
      </c>
      <c r="H3560">
        <v>1113.07</v>
      </c>
      <c r="I3560">
        <v>853.93</v>
      </c>
      <c r="J3560">
        <v>1.23</v>
      </c>
      <c r="K3560">
        <v>2.1</v>
      </c>
      <c r="L3560">
        <v>111.31</v>
      </c>
      <c r="M3560">
        <v>0.77</v>
      </c>
      <c r="N3560">
        <v>-259.14</v>
      </c>
    </row>
    <row r="3561" spans="1:14" x14ac:dyDescent="0.2">
      <c r="A3561" s="1">
        <v>45770</v>
      </c>
      <c r="B3561" s="2" t="s">
        <v>29</v>
      </c>
      <c r="C3561" s="2" t="s">
        <v>28</v>
      </c>
      <c r="D3561" s="2" t="s">
        <v>22</v>
      </c>
      <c r="E3561">
        <v>16445</v>
      </c>
      <c r="F3561">
        <v>447</v>
      </c>
      <c r="G3561">
        <v>33</v>
      </c>
      <c r="H3561">
        <v>1097.24</v>
      </c>
      <c r="I3561">
        <v>2918.38</v>
      </c>
      <c r="J3561">
        <v>2.72</v>
      </c>
      <c r="K3561">
        <v>7.38</v>
      </c>
      <c r="L3561">
        <v>33.25</v>
      </c>
      <c r="M3561">
        <v>2.66</v>
      </c>
      <c r="N3561">
        <v>1821.14</v>
      </c>
    </row>
    <row r="3562" spans="1:14" x14ac:dyDescent="0.2">
      <c r="A3562" s="1">
        <v>45770</v>
      </c>
      <c r="B3562" s="2" t="s">
        <v>30</v>
      </c>
      <c r="C3562" s="2" t="s">
        <v>35</v>
      </c>
      <c r="D3562" s="2" t="s">
        <v>36</v>
      </c>
      <c r="E3562">
        <v>13728</v>
      </c>
      <c r="F3562">
        <v>437</v>
      </c>
      <c r="G3562">
        <v>18</v>
      </c>
      <c r="H3562">
        <v>588.45000000000005</v>
      </c>
      <c r="I3562">
        <v>1921.69</v>
      </c>
      <c r="J3562">
        <v>3.18</v>
      </c>
      <c r="K3562">
        <v>4.12</v>
      </c>
      <c r="L3562">
        <v>32.69</v>
      </c>
      <c r="M3562">
        <v>3.27</v>
      </c>
      <c r="N3562">
        <v>1333.24</v>
      </c>
    </row>
    <row r="3563" spans="1:14" x14ac:dyDescent="0.2">
      <c r="A3563" s="1">
        <v>45770</v>
      </c>
      <c r="B3563" s="2" t="s">
        <v>31</v>
      </c>
      <c r="C3563" s="2" t="s">
        <v>18</v>
      </c>
      <c r="D3563" s="2" t="s">
        <v>25</v>
      </c>
      <c r="E3563">
        <v>29505</v>
      </c>
      <c r="F3563">
        <v>1019</v>
      </c>
      <c r="G3563">
        <v>63</v>
      </c>
      <c r="H3563">
        <v>800.17</v>
      </c>
      <c r="I3563">
        <v>5221.66</v>
      </c>
      <c r="J3563">
        <v>3.45</v>
      </c>
      <c r="K3563">
        <v>6.18</v>
      </c>
      <c r="L3563">
        <v>12.7</v>
      </c>
      <c r="M3563">
        <v>6.53</v>
      </c>
      <c r="N3563">
        <v>4421.49</v>
      </c>
    </row>
    <row r="3564" spans="1:14" x14ac:dyDescent="0.2">
      <c r="A3564" s="1">
        <v>45770</v>
      </c>
      <c r="B3564" s="2" t="s">
        <v>33</v>
      </c>
      <c r="C3564" s="2" t="s">
        <v>18</v>
      </c>
      <c r="D3564" s="2" t="s">
        <v>25</v>
      </c>
      <c r="E3564">
        <v>5375</v>
      </c>
      <c r="F3564">
        <v>312</v>
      </c>
      <c r="G3564">
        <v>34</v>
      </c>
      <c r="H3564">
        <v>521.25</v>
      </c>
      <c r="I3564">
        <v>5018.87</v>
      </c>
      <c r="J3564">
        <v>5.8</v>
      </c>
      <c r="K3564">
        <v>10.9</v>
      </c>
      <c r="L3564">
        <v>15.33</v>
      </c>
      <c r="M3564">
        <v>9.6300000000000008</v>
      </c>
      <c r="N3564">
        <v>4497.62</v>
      </c>
    </row>
    <row r="3565" spans="1:14" x14ac:dyDescent="0.2">
      <c r="A3565" s="1">
        <v>45770</v>
      </c>
      <c r="B3565" s="2" t="s">
        <v>34</v>
      </c>
      <c r="C3565" s="2" t="s">
        <v>28</v>
      </c>
      <c r="D3565" s="2" t="s">
        <v>19</v>
      </c>
      <c r="E3565">
        <v>4490</v>
      </c>
      <c r="F3565">
        <v>272</v>
      </c>
      <c r="G3565">
        <v>35</v>
      </c>
      <c r="H3565">
        <v>182.48</v>
      </c>
      <c r="I3565">
        <v>5359.3</v>
      </c>
      <c r="J3565">
        <v>6.06</v>
      </c>
      <c r="K3565">
        <v>12.87</v>
      </c>
      <c r="L3565">
        <v>5.21</v>
      </c>
      <c r="M3565">
        <v>29.37</v>
      </c>
      <c r="N3565">
        <v>5176.82</v>
      </c>
    </row>
    <row r="3566" spans="1:14" x14ac:dyDescent="0.2">
      <c r="A3566" s="1">
        <v>45771</v>
      </c>
      <c r="B3566" s="2" t="s">
        <v>14</v>
      </c>
      <c r="C3566" s="2" t="s">
        <v>28</v>
      </c>
      <c r="D3566" s="2" t="s">
        <v>16</v>
      </c>
      <c r="E3566">
        <v>11335</v>
      </c>
      <c r="F3566">
        <v>532</v>
      </c>
      <c r="G3566">
        <v>53</v>
      </c>
      <c r="H3566">
        <v>1092.49</v>
      </c>
      <c r="I3566">
        <v>9094.41</v>
      </c>
      <c r="J3566">
        <v>4.6900000000000004</v>
      </c>
      <c r="K3566">
        <v>9.9600000000000009</v>
      </c>
      <c r="L3566">
        <v>20.61</v>
      </c>
      <c r="M3566">
        <v>8.32</v>
      </c>
      <c r="N3566">
        <v>8001.92</v>
      </c>
    </row>
    <row r="3567" spans="1:14" x14ac:dyDescent="0.2">
      <c r="A3567" s="1">
        <v>45771</v>
      </c>
      <c r="B3567" s="2" t="s">
        <v>17</v>
      </c>
      <c r="C3567" s="2" t="s">
        <v>18</v>
      </c>
      <c r="D3567" s="2" t="s">
        <v>22</v>
      </c>
      <c r="E3567">
        <v>14470</v>
      </c>
      <c r="F3567">
        <v>519</v>
      </c>
      <c r="G3567">
        <v>36</v>
      </c>
      <c r="H3567">
        <v>886.57</v>
      </c>
      <c r="I3567">
        <v>3434.02</v>
      </c>
      <c r="J3567">
        <v>3.59</v>
      </c>
      <c r="K3567">
        <v>6.94</v>
      </c>
      <c r="L3567">
        <v>24.63</v>
      </c>
      <c r="M3567">
        <v>3.87</v>
      </c>
      <c r="N3567">
        <v>2547.4499999999998</v>
      </c>
    </row>
    <row r="3568" spans="1:14" x14ac:dyDescent="0.2">
      <c r="A3568" s="1">
        <v>45771</v>
      </c>
      <c r="B3568" s="2" t="s">
        <v>20</v>
      </c>
      <c r="C3568" s="2" t="s">
        <v>21</v>
      </c>
      <c r="D3568" s="2" t="s">
        <v>25</v>
      </c>
      <c r="E3568">
        <v>17140</v>
      </c>
      <c r="F3568">
        <v>689</v>
      </c>
      <c r="G3568">
        <v>42</v>
      </c>
      <c r="H3568">
        <v>932.65</v>
      </c>
      <c r="I3568">
        <v>4633.34</v>
      </c>
      <c r="J3568">
        <v>4.0199999999999996</v>
      </c>
      <c r="K3568">
        <v>6.1</v>
      </c>
      <c r="L3568">
        <v>22.21</v>
      </c>
      <c r="M3568">
        <v>4.97</v>
      </c>
      <c r="N3568">
        <v>3700.69</v>
      </c>
    </row>
    <row r="3569" spans="1:14" x14ac:dyDescent="0.2">
      <c r="A3569" s="1">
        <v>45771</v>
      </c>
      <c r="B3569" s="2" t="s">
        <v>23</v>
      </c>
      <c r="C3569" s="2" t="s">
        <v>15</v>
      </c>
      <c r="D3569" s="2" t="s">
        <v>16</v>
      </c>
      <c r="E3569">
        <v>5133</v>
      </c>
      <c r="F3569">
        <v>78</v>
      </c>
      <c r="G3569">
        <v>9</v>
      </c>
      <c r="H3569">
        <v>1045.18</v>
      </c>
      <c r="I3569">
        <v>2866.38</v>
      </c>
      <c r="J3569">
        <v>1.52</v>
      </c>
      <c r="K3569">
        <v>11.54</v>
      </c>
      <c r="L3569">
        <v>116.13</v>
      </c>
      <c r="M3569">
        <v>2.74</v>
      </c>
      <c r="N3569">
        <v>1821.2</v>
      </c>
    </row>
    <row r="3570" spans="1:14" x14ac:dyDescent="0.2">
      <c r="A3570" s="1">
        <v>45771</v>
      </c>
      <c r="B3570" s="2" t="s">
        <v>24</v>
      </c>
      <c r="C3570" s="2" t="s">
        <v>21</v>
      </c>
      <c r="D3570" s="2" t="s">
        <v>22</v>
      </c>
      <c r="E3570">
        <v>23163</v>
      </c>
      <c r="F3570">
        <v>3679</v>
      </c>
      <c r="G3570">
        <v>338</v>
      </c>
      <c r="H3570">
        <v>227.85</v>
      </c>
      <c r="I3570">
        <v>36556.17</v>
      </c>
      <c r="J3570">
        <v>15.88</v>
      </c>
      <c r="K3570">
        <v>9.19</v>
      </c>
      <c r="L3570">
        <v>0.67</v>
      </c>
      <c r="M3570">
        <v>160.44</v>
      </c>
      <c r="N3570">
        <v>36328.32</v>
      </c>
    </row>
    <row r="3571" spans="1:14" x14ac:dyDescent="0.2">
      <c r="A3571" s="1">
        <v>45771</v>
      </c>
      <c r="B3571" s="2" t="s">
        <v>26</v>
      </c>
      <c r="C3571" s="2" t="s">
        <v>28</v>
      </c>
      <c r="D3571" s="2" t="s">
        <v>25</v>
      </c>
      <c r="E3571">
        <v>30830</v>
      </c>
      <c r="F3571">
        <v>2179</v>
      </c>
      <c r="G3571">
        <v>303</v>
      </c>
      <c r="H3571">
        <v>0</v>
      </c>
      <c r="I3571">
        <v>41339.93</v>
      </c>
      <c r="J3571">
        <v>7.07</v>
      </c>
      <c r="K3571">
        <v>13.91</v>
      </c>
      <c r="L3571">
        <v>0</v>
      </c>
      <c r="M3571">
        <v>0</v>
      </c>
      <c r="N3571">
        <v>41339.93</v>
      </c>
    </row>
    <row r="3572" spans="1:14" x14ac:dyDescent="0.2">
      <c r="A3572" s="1">
        <v>45771</v>
      </c>
      <c r="B3572" s="2" t="s">
        <v>27</v>
      </c>
      <c r="C3572" s="2" t="s">
        <v>35</v>
      </c>
      <c r="D3572" s="2" t="s">
        <v>36</v>
      </c>
      <c r="E3572">
        <v>30508</v>
      </c>
      <c r="F3572">
        <v>589</v>
      </c>
      <c r="G3572">
        <v>26</v>
      </c>
      <c r="H3572">
        <v>1021.89</v>
      </c>
      <c r="I3572">
        <v>2211.4699999999998</v>
      </c>
      <c r="J3572">
        <v>1.93</v>
      </c>
      <c r="K3572">
        <v>4.41</v>
      </c>
      <c r="L3572">
        <v>39.299999999999997</v>
      </c>
      <c r="M3572">
        <v>2.16</v>
      </c>
      <c r="N3572">
        <v>1189.58</v>
      </c>
    </row>
    <row r="3573" spans="1:14" x14ac:dyDescent="0.2">
      <c r="A3573" s="1">
        <v>45771</v>
      </c>
      <c r="B3573" s="2" t="s">
        <v>29</v>
      </c>
      <c r="C3573" s="2" t="s">
        <v>32</v>
      </c>
      <c r="D3573" s="2" t="s">
        <v>25</v>
      </c>
      <c r="E3573">
        <v>22533</v>
      </c>
      <c r="F3573">
        <v>620</v>
      </c>
      <c r="G3573">
        <v>43</v>
      </c>
      <c r="H3573">
        <v>904.8</v>
      </c>
      <c r="I3573">
        <v>5561.53</v>
      </c>
      <c r="J3573">
        <v>2.75</v>
      </c>
      <c r="K3573">
        <v>6.94</v>
      </c>
      <c r="L3573">
        <v>21.04</v>
      </c>
      <c r="M3573">
        <v>6.15</v>
      </c>
      <c r="N3573">
        <v>4656.7299999999996</v>
      </c>
    </row>
    <row r="3574" spans="1:14" x14ac:dyDescent="0.2">
      <c r="A3574" s="1">
        <v>45771</v>
      </c>
      <c r="B3574" s="2" t="s">
        <v>30</v>
      </c>
      <c r="C3574" s="2" t="s">
        <v>28</v>
      </c>
      <c r="D3574" s="2" t="s">
        <v>22</v>
      </c>
      <c r="E3574">
        <v>13403</v>
      </c>
      <c r="F3574">
        <v>427</v>
      </c>
      <c r="G3574">
        <v>24</v>
      </c>
      <c r="H3574">
        <v>764.88</v>
      </c>
      <c r="I3574">
        <v>2638.38</v>
      </c>
      <c r="J3574">
        <v>3.19</v>
      </c>
      <c r="K3574">
        <v>5.62</v>
      </c>
      <c r="L3574">
        <v>31.87</v>
      </c>
      <c r="M3574">
        <v>3.45</v>
      </c>
      <c r="N3574">
        <v>1873.5</v>
      </c>
    </row>
    <row r="3575" spans="1:14" x14ac:dyDescent="0.2">
      <c r="A3575" s="1">
        <v>45771</v>
      </c>
      <c r="B3575" s="2" t="s">
        <v>31</v>
      </c>
      <c r="C3575" s="2" t="s">
        <v>21</v>
      </c>
      <c r="D3575" s="2" t="s">
        <v>19</v>
      </c>
      <c r="E3575">
        <v>23225</v>
      </c>
      <c r="F3575">
        <v>807</v>
      </c>
      <c r="G3575">
        <v>45</v>
      </c>
      <c r="H3575">
        <v>715.06</v>
      </c>
      <c r="I3575">
        <v>4756.28</v>
      </c>
      <c r="J3575">
        <v>3.47</v>
      </c>
      <c r="K3575">
        <v>5.58</v>
      </c>
      <c r="L3575">
        <v>15.89</v>
      </c>
      <c r="M3575">
        <v>6.65</v>
      </c>
      <c r="N3575">
        <v>4041.22</v>
      </c>
    </row>
    <row r="3576" spans="1:14" x14ac:dyDescent="0.2">
      <c r="A3576" s="1">
        <v>45771</v>
      </c>
      <c r="B3576" s="2" t="s">
        <v>33</v>
      </c>
      <c r="C3576" s="2" t="s">
        <v>35</v>
      </c>
      <c r="D3576" s="2" t="s">
        <v>25</v>
      </c>
      <c r="E3576">
        <v>7480</v>
      </c>
      <c r="F3576">
        <v>428</v>
      </c>
      <c r="G3576">
        <v>52</v>
      </c>
      <c r="H3576">
        <v>683.8</v>
      </c>
      <c r="I3576">
        <v>5212.47</v>
      </c>
      <c r="J3576">
        <v>5.72</v>
      </c>
      <c r="K3576">
        <v>12.15</v>
      </c>
      <c r="L3576">
        <v>13.15</v>
      </c>
      <c r="M3576">
        <v>7.62</v>
      </c>
      <c r="N3576">
        <v>4528.67</v>
      </c>
    </row>
    <row r="3577" spans="1:14" x14ac:dyDescent="0.2">
      <c r="A3577" s="1">
        <v>45771</v>
      </c>
      <c r="B3577" s="2" t="s">
        <v>34</v>
      </c>
      <c r="C3577" s="2" t="s">
        <v>15</v>
      </c>
      <c r="D3577" s="2" t="s">
        <v>19</v>
      </c>
      <c r="E3577">
        <v>5118</v>
      </c>
      <c r="F3577">
        <v>457</v>
      </c>
      <c r="G3577">
        <v>79</v>
      </c>
      <c r="H3577">
        <v>146.09</v>
      </c>
      <c r="I3577">
        <v>11394.84</v>
      </c>
      <c r="J3577">
        <v>8.93</v>
      </c>
      <c r="K3577">
        <v>17.29</v>
      </c>
      <c r="L3577">
        <v>1.85</v>
      </c>
      <c r="M3577">
        <v>78</v>
      </c>
      <c r="N3577">
        <v>11248.75</v>
      </c>
    </row>
    <row r="3578" spans="1:14" x14ac:dyDescent="0.2">
      <c r="A3578" s="1">
        <v>45772</v>
      </c>
      <c r="B3578" s="2" t="s">
        <v>14</v>
      </c>
      <c r="C3578" s="2" t="s">
        <v>28</v>
      </c>
      <c r="D3578" s="2" t="s">
        <v>19</v>
      </c>
      <c r="E3578">
        <v>14384</v>
      </c>
      <c r="F3578">
        <v>533</v>
      </c>
      <c r="G3578">
        <v>61</v>
      </c>
      <c r="H3578">
        <v>965.65</v>
      </c>
      <c r="I3578">
        <v>11181.44</v>
      </c>
      <c r="J3578">
        <v>3.71</v>
      </c>
      <c r="K3578">
        <v>11.44</v>
      </c>
      <c r="L3578">
        <v>15.83</v>
      </c>
      <c r="M3578">
        <v>11.58</v>
      </c>
      <c r="N3578">
        <v>10215.790000000001</v>
      </c>
    </row>
    <row r="3579" spans="1:14" x14ac:dyDescent="0.2">
      <c r="A3579" s="1">
        <v>45772</v>
      </c>
      <c r="B3579" s="2" t="s">
        <v>17</v>
      </c>
      <c r="C3579" s="2" t="s">
        <v>18</v>
      </c>
      <c r="D3579" s="2" t="s">
        <v>25</v>
      </c>
      <c r="E3579">
        <v>17803</v>
      </c>
      <c r="F3579">
        <v>596</v>
      </c>
      <c r="G3579">
        <v>30</v>
      </c>
      <c r="H3579">
        <v>862.86</v>
      </c>
      <c r="I3579">
        <v>3325.66</v>
      </c>
      <c r="J3579">
        <v>3.35</v>
      </c>
      <c r="K3579">
        <v>5.03</v>
      </c>
      <c r="L3579">
        <v>28.76</v>
      </c>
      <c r="M3579">
        <v>3.85</v>
      </c>
      <c r="N3579">
        <v>2462.8000000000002</v>
      </c>
    </row>
    <row r="3580" spans="1:14" x14ac:dyDescent="0.2">
      <c r="A3580" s="1">
        <v>45772</v>
      </c>
      <c r="B3580" s="2" t="s">
        <v>20</v>
      </c>
      <c r="C3580" s="2" t="s">
        <v>18</v>
      </c>
      <c r="D3580" s="2" t="s">
        <v>25</v>
      </c>
      <c r="E3580">
        <v>12458</v>
      </c>
      <c r="F3580">
        <v>518</v>
      </c>
      <c r="G3580">
        <v>33</v>
      </c>
      <c r="H3580">
        <v>873.65</v>
      </c>
      <c r="I3580">
        <v>3908.62</v>
      </c>
      <c r="J3580">
        <v>4.16</v>
      </c>
      <c r="K3580">
        <v>6.37</v>
      </c>
      <c r="L3580">
        <v>26.47</v>
      </c>
      <c r="M3580">
        <v>4.47</v>
      </c>
      <c r="N3580">
        <v>3034.97</v>
      </c>
    </row>
    <row r="3581" spans="1:14" x14ac:dyDescent="0.2">
      <c r="A3581" s="1">
        <v>45772</v>
      </c>
      <c r="B3581" s="2" t="s">
        <v>23</v>
      </c>
      <c r="C3581" s="2" t="s">
        <v>32</v>
      </c>
      <c r="D3581" s="2" t="s">
        <v>36</v>
      </c>
      <c r="E3581">
        <v>5316</v>
      </c>
      <c r="F3581">
        <v>81</v>
      </c>
      <c r="G3581">
        <v>11</v>
      </c>
      <c r="H3581">
        <v>1353.81</v>
      </c>
      <c r="I3581">
        <v>2437.46</v>
      </c>
      <c r="J3581">
        <v>1.52</v>
      </c>
      <c r="K3581">
        <v>13.58</v>
      </c>
      <c r="L3581">
        <v>123.07</v>
      </c>
      <c r="M3581">
        <v>1.8</v>
      </c>
      <c r="N3581">
        <v>1083.6500000000001</v>
      </c>
    </row>
    <row r="3582" spans="1:14" x14ac:dyDescent="0.2">
      <c r="A3582" s="1">
        <v>45772</v>
      </c>
      <c r="B3582" s="2" t="s">
        <v>24</v>
      </c>
      <c r="C3582" s="2" t="s">
        <v>21</v>
      </c>
      <c r="D3582" s="2" t="s">
        <v>19</v>
      </c>
      <c r="E3582">
        <v>20796</v>
      </c>
      <c r="F3582">
        <v>3330</v>
      </c>
      <c r="G3582">
        <v>378</v>
      </c>
      <c r="H3582">
        <v>215.63</v>
      </c>
      <c r="I3582">
        <v>58776.37</v>
      </c>
      <c r="J3582">
        <v>16.010000000000002</v>
      </c>
      <c r="K3582">
        <v>11.35</v>
      </c>
      <c r="L3582">
        <v>0.56999999999999995</v>
      </c>
      <c r="M3582">
        <v>272.58</v>
      </c>
      <c r="N3582">
        <v>58560.74</v>
      </c>
    </row>
    <row r="3583" spans="1:14" x14ac:dyDescent="0.2">
      <c r="A3583" s="1">
        <v>45772</v>
      </c>
      <c r="B3583" s="2" t="s">
        <v>26</v>
      </c>
      <c r="C3583" s="2" t="s">
        <v>18</v>
      </c>
      <c r="D3583" s="2" t="s">
        <v>19</v>
      </c>
      <c r="E3583">
        <v>21172</v>
      </c>
      <c r="F3583">
        <v>1148</v>
      </c>
      <c r="G3583">
        <v>154</v>
      </c>
      <c r="H3583">
        <v>0</v>
      </c>
      <c r="I3583">
        <v>16897.080000000002</v>
      </c>
      <c r="J3583">
        <v>5.42</v>
      </c>
      <c r="K3583">
        <v>13.41</v>
      </c>
      <c r="L3583">
        <v>0</v>
      </c>
      <c r="M3583">
        <v>0</v>
      </c>
      <c r="N3583">
        <v>16897.080000000002</v>
      </c>
    </row>
    <row r="3584" spans="1:14" x14ac:dyDescent="0.2">
      <c r="A3584" s="1">
        <v>45772</v>
      </c>
      <c r="B3584" s="2" t="s">
        <v>27</v>
      </c>
      <c r="C3584" s="2" t="s">
        <v>32</v>
      </c>
      <c r="D3584" s="2" t="s">
        <v>16</v>
      </c>
      <c r="E3584">
        <v>31305</v>
      </c>
      <c r="F3584">
        <v>581</v>
      </c>
      <c r="G3584">
        <v>12</v>
      </c>
      <c r="H3584">
        <v>863.77</v>
      </c>
      <c r="I3584">
        <v>1165.4100000000001</v>
      </c>
      <c r="J3584">
        <v>1.86</v>
      </c>
      <c r="K3584">
        <v>2.0699999999999998</v>
      </c>
      <c r="L3584">
        <v>71.98</v>
      </c>
      <c r="M3584">
        <v>1.35</v>
      </c>
      <c r="N3584">
        <v>301.64</v>
      </c>
    </row>
    <row r="3585" spans="1:14" x14ac:dyDescent="0.2">
      <c r="A3585" s="1">
        <v>45772</v>
      </c>
      <c r="B3585" s="2" t="s">
        <v>29</v>
      </c>
      <c r="C3585" s="2" t="s">
        <v>18</v>
      </c>
      <c r="D3585" s="2" t="s">
        <v>25</v>
      </c>
      <c r="E3585">
        <v>16190</v>
      </c>
      <c r="F3585">
        <v>304</v>
      </c>
      <c r="G3585">
        <v>18</v>
      </c>
      <c r="H3585">
        <v>1156.82</v>
      </c>
      <c r="I3585">
        <v>2377.64</v>
      </c>
      <c r="J3585">
        <v>1.88</v>
      </c>
      <c r="K3585">
        <v>5.92</v>
      </c>
      <c r="L3585">
        <v>64.27</v>
      </c>
      <c r="M3585">
        <v>2.06</v>
      </c>
      <c r="N3585">
        <v>1220.82</v>
      </c>
    </row>
    <row r="3586" spans="1:14" x14ac:dyDescent="0.2">
      <c r="A3586" s="1">
        <v>45772</v>
      </c>
      <c r="B3586" s="2" t="s">
        <v>30</v>
      </c>
      <c r="C3586" s="2" t="s">
        <v>35</v>
      </c>
      <c r="D3586" s="2" t="s">
        <v>16</v>
      </c>
      <c r="E3586">
        <v>13235</v>
      </c>
      <c r="F3586">
        <v>267</v>
      </c>
      <c r="G3586">
        <v>11</v>
      </c>
      <c r="H3586">
        <v>624.78</v>
      </c>
      <c r="I3586">
        <v>1343.85</v>
      </c>
      <c r="J3586">
        <v>2.02</v>
      </c>
      <c r="K3586">
        <v>4.12</v>
      </c>
      <c r="L3586">
        <v>56.8</v>
      </c>
      <c r="M3586">
        <v>2.15</v>
      </c>
      <c r="N3586">
        <v>719.07</v>
      </c>
    </row>
    <row r="3587" spans="1:14" x14ac:dyDescent="0.2">
      <c r="A3587" s="1">
        <v>45772</v>
      </c>
      <c r="B3587" s="2" t="s">
        <v>31</v>
      </c>
      <c r="C3587" s="2" t="s">
        <v>35</v>
      </c>
      <c r="D3587" s="2" t="s">
        <v>16</v>
      </c>
      <c r="E3587">
        <v>19950</v>
      </c>
      <c r="F3587">
        <v>547</v>
      </c>
      <c r="G3587">
        <v>17</v>
      </c>
      <c r="H3587">
        <v>1096.7</v>
      </c>
      <c r="I3587">
        <v>1535.63</v>
      </c>
      <c r="J3587">
        <v>2.74</v>
      </c>
      <c r="K3587">
        <v>3.11</v>
      </c>
      <c r="L3587">
        <v>64.510000000000005</v>
      </c>
      <c r="M3587">
        <v>1.4</v>
      </c>
      <c r="N3587">
        <v>438.93</v>
      </c>
    </row>
    <row r="3588" spans="1:14" x14ac:dyDescent="0.2">
      <c r="A3588" s="1">
        <v>45772</v>
      </c>
      <c r="B3588" s="2" t="s">
        <v>33</v>
      </c>
      <c r="C3588" s="2" t="s">
        <v>21</v>
      </c>
      <c r="D3588" s="2" t="s">
        <v>36</v>
      </c>
      <c r="E3588">
        <v>6448</v>
      </c>
      <c r="F3588">
        <v>384</v>
      </c>
      <c r="G3588">
        <v>40</v>
      </c>
      <c r="H3588">
        <v>671.6</v>
      </c>
      <c r="I3588">
        <v>5019.47</v>
      </c>
      <c r="J3588">
        <v>5.96</v>
      </c>
      <c r="K3588">
        <v>10.42</v>
      </c>
      <c r="L3588">
        <v>16.79</v>
      </c>
      <c r="M3588">
        <v>7.47</v>
      </c>
      <c r="N3588">
        <v>4347.87</v>
      </c>
    </row>
    <row r="3589" spans="1:14" x14ac:dyDescent="0.2">
      <c r="A3589" s="1">
        <v>45772</v>
      </c>
      <c r="B3589" s="2" t="s">
        <v>34</v>
      </c>
      <c r="C3589" s="2" t="s">
        <v>15</v>
      </c>
      <c r="D3589" s="2" t="s">
        <v>25</v>
      </c>
      <c r="E3589">
        <v>3953</v>
      </c>
      <c r="F3589">
        <v>275</v>
      </c>
      <c r="G3589">
        <v>48</v>
      </c>
      <c r="H3589">
        <v>99.84</v>
      </c>
      <c r="I3589">
        <v>8332.5300000000007</v>
      </c>
      <c r="J3589">
        <v>6.96</v>
      </c>
      <c r="K3589">
        <v>17.45</v>
      </c>
      <c r="L3589">
        <v>2.08</v>
      </c>
      <c r="M3589">
        <v>83.46</v>
      </c>
      <c r="N3589">
        <v>8232.69</v>
      </c>
    </row>
    <row r="3590" spans="1:14" x14ac:dyDescent="0.2">
      <c r="A3590" s="1">
        <v>45773</v>
      </c>
      <c r="B3590" s="2" t="s">
        <v>14</v>
      </c>
      <c r="C3590" s="2" t="s">
        <v>28</v>
      </c>
      <c r="D3590" s="2" t="s">
        <v>19</v>
      </c>
      <c r="E3590">
        <v>9246</v>
      </c>
      <c r="F3590">
        <v>345</v>
      </c>
      <c r="G3590">
        <v>30</v>
      </c>
      <c r="H3590">
        <v>762.69</v>
      </c>
      <c r="I3590">
        <v>5433.07</v>
      </c>
      <c r="J3590">
        <v>3.73</v>
      </c>
      <c r="K3590">
        <v>8.6999999999999993</v>
      </c>
      <c r="L3590">
        <v>25.42</v>
      </c>
      <c r="M3590">
        <v>7.12</v>
      </c>
      <c r="N3590">
        <v>4670.38</v>
      </c>
    </row>
    <row r="3591" spans="1:14" x14ac:dyDescent="0.2">
      <c r="A3591" s="1">
        <v>45773</v>
      </c>
      <c r="B3591" s="2" t="s">
        <v>17</v>
      </c>
      <c r="C3591" s="2" t="s">
        <v>15</v>
      </c>
      <c r="D3591" s="2" t="s">
        <v>36</v>
      </c>
      <c r="E3591">
        <v>13277</v>
      </c>
      <c r="F3591">
        <v>321</v>
      </c>
      <c r="G3591">
        <v>24</v>
      </c>
      <c r="H3591">
        <v>780.61</v>
      </c>
      <c r="I3591">
        <v>2841.68</v>
      </c>
      <c r="J3591">
        <v>2.42</v>
      </c>
      <c r="K3591">
        <v>7.48</v>
      </c>
      <c r="L3591">
        <v>32.53</v>
      </c>
      <c r="M3591">
        <v>3.64</v>
      </c>
      <c r="N3591">
        <v>2061.0700000000002</v>
      </c>
    </row>
    <row r="3592" spans="1:14" x14ac:dyDescent="0.2">
      <c r="A3592" s="1">
        <v>45773</v>
      </c>
      <c r="B3592" s="2" t="s">
        <v>20</v>
      </c>
      <c r="C3592" s="2" t="s">
        <v>28</v>
      </c>
      <c r="D3592" s="2" t="s">
        <v>36</v>
      </c>
      <c r="E3592">
        <v>11693</v>
      </c>
      <c r="F3592">
        <v>499</v>
      </c>
      <c r="G3592">
        <v>30</v>
      </c>
      <c r="H3592">
        <v>681.2</v>
      </c>
      <c r="I3592">
        <v>2981.35</v>
      </c>
      <c r="J3592">
        <v>4.2699999999999996</v>
      </c>
      <c r="K3592">
        <v>6.01</v>
      </c>
      <c r="L3592">
        <v>22.71</v>
      </c>
      <c r="M3592">
        <v>4.38</v>
      </c>
      <c r="N3592">
        <v>2300.15</v>
      </c>
    </row>
    <row r="3593" spans="1:14" x14ac:dyDescent="0.2">
      <c r="A3593" s="1">
        <v>45773</v>
      </c>
      <c r="B3593" s="2" t="s">
        <v>23</v>
      </c>
      <c r="C3593" s="2" t="s">
        <v>28</v>
      </c>
      <c r="D3593" s="2" t="s">
        <v>25</v>
      </c>
      <c r="E3593">
        <v>2777</v>
      </c>
      <c r="F3593">
        <v>74</v>
      </c>
      <c r="G3593">
        <v>9</v>
      </c>
      <c r="H3593">
        <v>1166.97</v>
      </c>
      <c r="I3593">
        <v>2552.38</v>
      </c>
      <c r="J3593">
        <v>2.66</v>
      </c>
      <c r="K3593">
        <v>12.16</v>
      </c>
      <c r="L3593">
        <v>129.66</v>
      </c>
      <c r="M3593">
        <v>2.19</v>
      </c>
      <c r="N3593">
        <v>1385.41</v>
      </c>
    </row>
    <row r="3594" spans="1:14" x14ac:dyDescent="0.2">
      <c r="A3594" s="1">
        <v>45773</v>
      </c>
      <c r="B3594" s="2" t="s">
        <v>24</v>
      </c>
      <c r="C3594" s="2" t="s">
        <v>21</v>
      </c>
      <c r="D3594" s="2" t="s">
        <v>22</v>
      </c>
      <c r="E3594">
        <v>16408</v>
      </c>
      <c r="F3594">
        <v>2778</v>
      </c>
      <c r="G3594">
        <v>244</v>
      </c>
      <c r="H3594">
        <v>174.5</v>
      </c>
      <c r="I3594">
        <v>31718.84</v>
      </c>
      <c r="J3594">
        <v>16.93</v>
      </c>
      <c r="K3594">
        <v>8.7799999999999994</v>
      </c>
      <c r="L3594">
        <v>0.72</v>
      </c>
      <c r="M3594">
        <v>181.77</v>
      </c>
      <c r="N3594">
        <v>31544.34</v>
      </c>
    </row>
    <row r="3595" spans="1:14" x14ac:dyDescent="0.2">
      <c r="A3595" s="1">
        <v>45773</v>
      </c>
      <c r="B3595" s="2" t="s">
        <v>26</v>
      </c>
      <c r="C3595" s="2" t="s">
        <v>28</v>
      </c>
      <c r="D3595" s="2" t="s">
        <v>22</v>
      </c>
      <c r="E3595">
        <v>20022</v>
      </c>
      <c r="F3595">
        <v>1031</v>
      </c>
      <c r="G3595">
        <v>116</v>
      </c>
      <c r="H3595">
        <v>0</v>
      </c>
      <c r="I3595">
        <v>14404.15</v>
      </c>
      <c r="J3595">
        <v>5.15</v>
      </c>
      <c r="K3595">
        <v>11.25</v>
      </c>
      <c r="L3595">
        <v>0</v>
      </c>
      <c r="M3595">
        <v>0</v>
      </c>
      <c r="N3595">
        <v>14404.15</v>
      </c>
    </row>
    <row r="3596" spans="1:14" x14ac:dyDescent="0.2">
      <c r="A3596" s="1">
        <v>45773</v>
      </c>
      <c r="B3596" s="2" t="s">
        <v>27</v>
      </c>
      <c r="C3596" s="2" t="s">
        <v>21</v>
      </c>
      <c r="D3596" s="2" t="s">
        <v>25</v>
      </c>
      <c r="E3596">
        <v>18544</v>
      </c>
      <c r="F3596">
        <v>345</v>
      </c>
      <c r="G3596">
        <v>8</v>
      </c>
      <c r="H3596">
        <v>720.69</v>
      </c>
      <c r="I3596">
        <v>952.56</v>
      </c>
      <c r="J3596">
        <v>1.86</v>
      </c>
      <c r="K3596">
        <v>2.3199999999999998</v>
      </c>
      <c r="L3596">
        <v>90.09</v>
      </c>
      <c r="M3596">
        <v>1.32</v>
      </c>
      <c r="N3596">
        <v>231.87</v>
      </c>
    </row>
    <row r="3597" spans="1:14" x14ac:dyDescent="0.2">
      <c r="A3597" s="1">
        <v>45773</v>
      </c>
      <c r="B3597" s="2" t="s">
        <v>29</v>
      </c>
      <c r="C3597" s="2" t="s">
        <v>28</v>
      </c>
      <c r="D3597" s="2" t="s">
        <v>19</v>
      </c>
      <c r="E3597">
        <v>15668</v>
      </c>
      <c r="F3597">
        <v>340</v>
      </c>
      <c r="G3597">
        <v>23</v>
      </c>
      <c r="H3597">
        <v>892.63</v>
      </c>
      <c r="I3597">
        <v>2064.48</v>
      </c>
      <c r="J3597">
        <v>2.17</v>
      </c>
      <c r="K3597">
        <v>6.76</v>
      </c>
      <c r="L3597">
        <v>38.81</v>
      </c>
      <c r="M3597">
        <v>2.31</v>
      </c>
      <c r="N3597">
        <v>1171.8499999999999</v>
      </c>
    </row>
    <row r="3598" spans="1:14" x14ac:dyDescent="0.2">
      <c r="A3598" s="1">
        <v>45773</v>
      </c>
      <c r="B3598" s="2" t="s">
        <v>30</v>
      </c>
      <c r="C3598" s="2" t="s">
        <v>28</v>
      </c>
      <c r="D3598" s="2" t="s">
        <v>22</v>
      </c>
      <c r="E3598">
        <v>7003</v>
      </c>
      <c r="F3598">
        <v>162</v>
      </c>
      <c r="G3598">
        <v>9</v>
      </c>
      <c r="H3598">
        <v>452.41</v>
      </c>
      <c r="I3598">
        <v>988.36</v>
      </c>
      <c r="J3598">
        <v>2.31</v>
      </c>
      <c r="K3598">
        <v>5.56</v>
      </c>
      <c r="L3598">
        <v>50.27</v>
      </c>
      <c r="M3598">
        <v>2.1800000000000002</v>
      </c>
      <c r="N3598">
        <v>535.95000000000005</v>
      </c>
    </row>
    <row r="3599" spans="1:14" x14ac:dyDescent="0.2">
      <c r="A3599" s="1">
        <v>45773</v>
      </c>
      <c r="B3599" s="2" t="s">
        <v>31</v>
      </c>
      <c r="C3599" s="2" t="s">
        <v>35</v>
      </c>
      <c r="D3599" s="2" t="s">
        <v>22</v>
      </c>
      <c r="E3599">
        <v>19210</v>
      </c>
      <c r="F3599">
        <v>718</v>
      </c>
      <c r="G3599">
        <v>48</v>
      </c>
      <c r="H3599">
        <v>435.55</v>
      </c>
      <c r="I3599">
        <v>4824.28</v>
      </c>
      <c r="J3599">
        <v>3.74</v>
      </c>
      <c r="K3599">
        <v>6.69</v>
      </c>
      <c r="L3599">
        <v>9.07</v>
      </c>
      <c r="M3599">
        <v>11.08</v>
      </c>
      <c r="N3599">
        <v>4388.7299999999996</v>
      </c>
    </row>
    <row r="3600" spans="1:14" x14ac:dyDescent="0.2">
      <c r="A3600" s="1">
        <v>45773</v>
      </c>
      <c r="B3600" s="2" t="s">
        <v>33</v>
      </c>
      <c r="C3600" s="2" t="s">
        <v>21</v>
      </c>
      <c r="D3600" s="2" t="s">
        <v>16</v>
      </c>
      <c r="E3600">
        <v>6799</v>
      </c>
      <c r="F3600">
        <v>319</v>
      </c>
      <c r="G3600">
        <v>30</v>
      </c>
      <c r="H3600">
        <v>303.54000000000002</v>
      </c>
      <c r="I3600">
        <v>4031.41</v>
      </c>
      <c r="J3600">
        <v>4.6900000000000004</v>
      </c>
      <c r="K3600">
        <v>9.4</v>
      </c>
      <c r="L3600">
        <v>10.119999999999999</v>
      </c>
      <c r="M3600">
        <v>13.28</v>
      </c>
      <c r="N3600">
        <v>3727.87</v>
      </c>
    </row>
    <row r="3601" spans="1:14" x14ac:dyDescent="0.2">
      <c r="A3601" s="1">
        <v>45773</v>
      </c>
      <c r="B3601" s="2" t="s">
        <v>34</v>
      </c>
      <c r="C3601" s="2" t="s">
        <v>18</v>
      </c>
      <c r="D3601" s="2" t="s">
        <v>16</v>
      </c>
      <c r="E3601">
        <v>4292</v>
      </c>
      <c r="F3601">
        <v>282</v>
      </c>
      <c r="G3601">
        <v>40</v>
      </c>
      <c r="H3601">
        <v>103.55</v>
      </c>
      <c r="I3601">
        <v>7043.89</v>
      </c>
      <c r="J3601">
        <v>6.57</v>
      </c>
      <c r="K3601">
        <v>14.18</v>
      </c>
      <c r="L3601">
        <v>2.59</v>
      </c>
      <c r="M3601">
        <v>68.02</v>
      </c>
      <c r="N3601">
        <v>6940.34</v>
      </c>
    </row>
    <row r="3602" spans="1:14" x14ac:dyDescent="0.2">
      <c r="A3602" s="1">
        <v>45774</v>
      </c>
      <c r="B3602" s="2" t="s">
        <v>14</v>
      </c>
      <c r="C3602" s="2" t="s">
        <v>21</v>
      </c>
      <c r="D3602" s="2" t="s">
        <v>36</v>
      </c>
      <c r="E3602">
        <v>8682</v>
      </c>
      <c r="F3602">
        <v>415</v>
      </c>
      <c r="G3602">
        <v>47</v>
      </c>
      <c r="H3602">
        <v>783.58</v>
      </c>
      <c r="I3602">
        <v>6515.88</v>
      </c>
      <c r="J3602">
        <v>4.78</v>
      </c>
      <c r="K3602">
        <v>11.33</v>
      </c>
      <c r="L3602">
        <v>16.670000000000002</v>
      </c>
      <c r="M3602">
        <v>8.32</v>
      </c>
      <c r="N3602">
        <v>5732.3</v>
      </c>
    </row>
    <row r="3603" spans="1:14" x14ac:dyDescent="0.2">
      <c r="A3603" s="1">
        <v>45774</v>
      </c>
      <c r="B3603" s="2" t="s">
        <v>17</v>
      </c>
      <c r="C3603" s="2" t="s">
        <v>15</v>
      </c>
      <c r="D3603" s="2" t="s">
        <v>36</v>
      </c>
      <c r="E3603">
        <v>8769</v>
      </c>
      <c r="F3603">
        <v>343</v>
      </c>
      <c r="G3603">
        <v>30</v>
      </c>
      <c r="H3603">
        <v>729.06</v>
      </c>
      <c r="I3603">
        <v>2676.19</v>
      </c>
      <c r="J3603">
        <v>3.91</v>
      </c>
      <c r="K3603">
        <v>8.75</v>
      </c>
      <c r="L3603">
        <v>24.3</v>
      </c>
      <c r="M3603">
        <v>3.67</v>
      </c>
      <c r="N3603">
        <v>1947.13</v>
      </c>
    </row>
    <row r="3604" spans="1:14" x14ac:dyDescent="0.2">
      <c r="A3604" s="1">
        <v>45774</v>
      </c>
      <c r="B3604" s="2" t="s">
        <v>20</v>
      </c>
      <c r="C3604" s="2" t="s">
        <v>21</v>
      </c>
      <c r="D3604" s="2" t="s">
        <v>16</v>
      </c>
      <c r="E3604">
        <v>8915</v>
      </c>
      <c r="F3604">
        <v>378</v>
      </c>
      <c r="G3604">
        <v>21</v>
      </c>
      <c r="H3604">
        <v>528.79</v>
      </c>
      <c r="I3604">
        <v>1869.61</v>
      </c>
      <c r="J3604">
        <v>4.24</v>
      </c>
      <c r="K3604">
        <v>5.56</v>
      </c>
      <c r="L3604">
        <v>25.18</v>
      </c>
      <c r="M3604">
        <v>3.54</v>
      </c>
      <c r="N3604">
        <v>1340.82</v>
      </c>
    </row>
    <row r="3605" spans="1:14" x14ac:dyDescent="0.2">
      <c r="A3605" s="1">
        <v>45774</v>
      </c>
      <c r="B3605" s="2" t="s">
        <v>23</v>
      </c>
      <c r="C3605" s="2" t="s">
        <v>21</v>
      </c>
      <c r="D3605" s="2" t="s">
        <v>36</v>
      </c>
      <c r="E3605">
        <v>2480</v>
      </c>
      <c r="F3605">
        <v>44</v>
      </c>
      <c r="G3605">
        <v>4</v>
      </c>
      <c r="H3605">
        <v>918.29</v>
      </c>
      <c r="I3605">
        <v>974.69</v>
      </c>
      <c r="J3605">
        <v>1.77</v>
      </c>
      <c r="K3605">
        <v>9.09</v>
      </c>
      <c r="L3605">
        <v>229.57</v>
      </c>
      <c r="M3605">
        <v>1.06</v>
      </c>
      <c r="N3605">
        <v>56.4</v>
      </c>
    </row>
    <row r="3606" spans="1:14" x14ac:dyDescent="0.2">
      <c r="A3606" s="1">
        <v>45774</v>
      </c>
      <c r="B3606" s="2" t="s">
        <v>24</v>
      </c>
      <c r="C3606" s="2" t="s">
        <v>28</v>
      </c>
      <c r="D3606" s="2" t="s">
        <v>25</v>
      </c>
      <c r="E3606">
        <v>12475</v>
      </c>
      <c r="F3606">
        <v>1966</v>
      </c>
      <c r="G3606">
        <v>190</v>
      </c>
      <c r="H3606">
        <v>101.1</v>
      </c>
      <c r="I3606">
        <v>21431.24</v>
      </c>
      <c r="J3606">
        <v>15.76</v>
      </c>
      <c r="K3606">
        <v>9.66</v>
      </c>
      <c r="L3606">
        <v>0.53</v>
      </c>
      <c r="M3606">
        <v>211.98</v>
      </c>
      <c r="N3606">
        <v>21330.14</v>
      </c>
    </row>
    <row r="3607" spans="1:14" x14ac:dyDescent="0.2">
      <c r="A3607" s="1">
        <v>45774</v>
      </c>
      <c r="B3607" s="2" t="s">
        <v>26</v>
      </c>
      <c r="C3607" s="2" t="s">
        <v>28</v>
      </c>
      <c r="D3607" s="2" t="s">
        <v>25</v>
      </c>
      <c r="E3607">
        <v>21576</v>
      </c>
      <c r="F3607">
        <v>1059</v>
      </c>
      <c r="G3607">
        <v>162</v>
      </c>
      <c r="H3607">
        <v>0</v>
      </c>
      <c r="I3607">
        <v>21342.03</v>
      </c>
      <c r="J3607">
        <v>4.91</v>
      </c>
      <c r="K3607">
        <v>15.3</v>
      </c>
      <c r="L3607">
        <v>0</v>
      </c>
      <c r="M3607">
        <v>0</v>
      </c>
      <c r="N3607">
        <v>21342.03</v>
      </c>
    </row>
    <row r="3608" spans="1:14" x14ac:dyDescent="0.2">
      <c r="A3608" s="1">
        <v>45774</v>
      </c>
      <c r="B3608" s="2" t="s">
        <v>27</v>
      </c>
      <c r="C3608" s="2" t="s">
        <v>21</v>
      </c>
      <c r="D3608" s="2" t="s">
        <v>36</v>
      </c>
      <c r="E3608">
        <v>20821</v>
      </c>
      <c r="F3608">
        <v>345</v>
      </c>
      <c r="G3608">
        <v>11</v>
      </c>
      <c r="H3608">
        <v>694.1</v>
      </c>
      <c r="I3608">
        <v>1335.77</v>
      </c>
      <c r="J3608">
        <v>1.66</v>
      </c>
      <c r="K3608">
        <v>3.19</v>
      </c>
      <c r="L3608">
        <v>63.1</v>
      </c>
      <c r="M3608">
        <v>1.92</v>
      </c>
      <c r="N3608">
        <v>641.66999999999996</v>
      </c>
    </row>
    <row r="3609" spans="1:14" x14ac:dyDescent="0.2">
      <c r="A3609" s="1">
        <v>45774</v>
      </c>
      <c r="B3609" s="2" t="s">
        <v>29</v>
      </c>
      <c r="C3609" s="2" t="s">
        <v>32</v>
      </c>
      <c r="D3609" s="2" t="s">
        <v>36</v>
      </c>
      <c r="E3609">
        <v>15826</v>
      </c>
      <c r="F3609">
        <v>253</v>
      </c>
      <c r="G3609">
        <v>10</v>
      </c>
      <c r="H3609">
        <v>782.4</v>
      </c>
      <c r="I3609">
        <v>1337.09</v>
      </c>
      <c r="J3609">
        <v>1.6</v>
      </c>
      <c r="K3609">
        <v>3.95</v>
      </c>
      <c r="L3609">
        <v>78.239999999999995</v>
      </c>
      <c r="M3609">
        <v>1.71</v>
      </c>
      <c r="N3609">
        <v>554.69000000000005</v>
      </c>
    </row>
    <row r="3610" spans="1:14" x14ac:dyDescent="0.2">
      <c r="A3610" s="1">
        <v>45774</v>
      </c>
      <c r="B3610" s="2" t="s">
        <v>30</v>
      </c>
      <c r="C3610" s="2" t="s">
        <v>32</v>
      </c>
      <c r="D3610" s="2" t="s">
        <v>36</v>
      </c>
      <c r="E3610">
        <v>6939</v>
      </c>
      <c r="F3610">
        <v>182</v>
      </c>
      <c r="G3610">
        <v>9</v>
      </c>
      <c r="H3610">
        <v>422.55</v>
      </c>
      <c r="I3610">
        <v>852.35</v>
      </c>
      <c r="J3610">
        <v>2.62</v>
      </c>
      <c r="K3610">
        <v>4.95</v>
      </c>
      <c r="L3610">
        <v>46.95</v>
      </c>
      <c r="M3610">
        <v>2.02</v>
      </c>
      <c r="N3610">
        <v>429.8</v>
      </c>
    </row>
    <row r="3611" spans="1:14" x14ac:dyDescent="0.2">
      <c r="A3611" s="1">
        <v>45774</v>
      </c>
      <c r="B3611" s="2" t="s">
        <v>31</v>
      </c>
      <c r="C3611" s="2" t="s">
        <v>28</v>
      </c>
      <c r="D3611" s="2" t="s">
        <v>19</v>
      </c>
      <c r="E3611">
        <v>13139</v>
      </c>
      <c r="F3611">
        <v>435</v>
      </c>
      <c r="G3611">
        <v>28</v>
      </c>
      <c r="H3611">
        <v>442.1</v>
      </c>
      <c r="I3611">
        <v>2678.85</v>
      </c>
      <c r="J3611">
        <v>3.31</v>
      </c>
      <c r="K3611">
        <v>6.44</v>
      </c>
      <c r="L3611">
        <v>15.79</v>
      </c>
      <c r="M3611">
        <v>6.06</v>
      </c>
      <c r="N3611">
        <v>2236.75</v>
      </c>
    </row>
    <row r="3612" spans="1:14" x14ac:dyDescent="0.2">
      <c r="A3612" s="1">
        <v>45774</v>
      </c>
      <c r="B3612" s="2" t="s">
        <v>33</v>
      </c>
      <c r="C3612" s="2" t="s">
        <v>21</v>
      </c>
      <c r="D3612" s="2" t="s">
        <v>22</v>
      </c>
      <c r="E3612">
        <v>4692</v>
      </c>
      <c r="F3612">
        <v>196</v>
      </c>
      <c r="G3612">
        <v>22</v>
      </c>
      <c r="H3612">
        <v>469.52</v>
      </c>
      <c r="I3612">
        <v>2954.03</v>
      </c>
      <c r="J3612">
        <v>4.18</v>
      </c>
      <c r="K3612">
        <v>11.22</v>
      </c>
      <c r="L3612">
        <v>21.34</v>
      </c>
      <c r="M3612">
        <v>6.29</v>
      </c>
      <c r="N3612">
        <v>2484.5100000000002</v>
      </c>
    </row>
    <row r="3613" spans="1:14" x14ac:dyDescent="0.2">
      <c r="A3613" s="1">
        <v>45774</v>
      </c>
      <c r="B3613" s="2" t="s">
        <v>34</v>
      </c>
      <c r="C3613" s="2" t="s">
        <v>28</v>
      </c>
      <c r="D3613" s="2" t="s">
        <v>25</v>
      </c>
      <c r="E3613">
        <v>4144</v>
      </c>
      <c r="F3613">
        <v>228</v>
      </c>
      <c r="G3613">
        <v>28</v>
      </c>
      <c r="H3613">
        <v>36.25</v>
      </c>
      <c r="I3613">
        <v>3827.64</v>
      </c>
      <c r="J3613">
        <v>5.5</v>
      </c>
      <c r="K3613">
        <v>12.28</v>
      </c>
      <c r="L3613">
        <v>1.29</v>
      </c>
      <c r="M3613">
        <v>105.59</v>
      </c>
      <c r="N3613">
        <v>3791.39</v>
      </c>
    </row>
    <row r="3614" spans="1:14" x14ac:dyDescent="0.2">
      <c r="A3614" s="1">
        <v>45775</v>
      </c>
      <c r="B3614" s="2" t="s">
        <v>14</v>
      </c>
      <c r="C3614" s="2" t="s">
        <v>18</v>
      </c>
      <c r="D3614" s="2" t="s">
        <v>25</v>
      </c>
      <c r="E3614">
        <v>10552</v>
      </c>
      <c r="F3614">
        <v>331</v>
      </c>
      <c r="G3614">
        <v>32</v>
      </c>
      <c r="H3614">
        <v>930.55</v>
      </c>
      <c r="I3614">
        <v>4553.04</v>
      </c>
      <c r="J3614">
        <v>3.14</v>
      </c>
      <c r="K3614">
        <v>9.67</v>
      </c>
      <c r="L3614">
        <v>29.08</v>
      </c>
      <c r="M3614">
        <v>4.8899999999999997</v>
      </c>
      <c r="N3614">
        <v>3622.49</v>
      </c>
    </row>
    <row r="3615" spans="1:14" x14ac:dyDescent="0.2">
      <c r="A3615" s="1">
        <v>45775</v>
      </c>
      <c r="B3615" s="2" t="s">
        <v>17</v>
      </c>
      <c r="C3615" s="2" t="s">
        <v>28</v>
      </c>
      <c r="D3615" s="2" t="s">
        <v>22</v>
      </c>
      <c r="E3615">
        <v>17648</v>
      </c>
      <c r="F3615">
        <v>394</v>
      </c>
      <c r="G3615">
        <v>34</v>
      </c>
      <c r="H3615">
        <v>913.56</v>
      </c>
      <c r="I3615">
        <v>3411.54</v>
      </c>
      <c r="J3615">
        <v>2.23</v>
      </c>
      <c r="K3615">
        <v>8.6300000000000008</v>
      </c>
      <c r="L3615">
        <v>26.87</v>
      </c>
      <c r="M3615">
        <v>3.73</v>
      </c>
      <c r="N3615">
        <v>2497.98</v>
      </c>
    </row>
    <row r="3616" spans="1:14" x14ac:dyDescent="0.2">
      <c r="A3616" s="1">
        <v>45775</v>
      </c>
      <c r="B3616" s="2" t="s">
        <v>20</v>
      </c>
      <c r="C3616" s="2" t="s">
        <v>15</v>
      </c>
      <c r="D3616" s="2" t="s">
        <v>25</v>
      </c>
      <c r="E3616">
        <v>14839</v>
      </c>
      <c r="F3616">
        <v>604</v>
      </c>
      <c r="G3616">
        <v>27</v>
      </c>
      <c r="H3616">
        <v>790.54</v>
      </c>
      <c r="I3616">
        <v>2271.73</v>
      </c>
      <c r="J3616">
        <v>4.07</v>
      </c>
      <c r="K3616">
        <v>4.47</v>
      </c>
      <c r="L3616">
        <v>29.28</v>
      </c>
      <c r="M3616">
        <v>2.87</v>
      </c>
      <c r="N3616">
        <v>1481.19</v>
      </c>
    </row>
    <row r="3617" spans="1:14" x14ac:dyDescent="0.2">
      <c r="A3617" s="1">
        <v>45775</v>
      </c>
      <c r="B3617" s="2" t="s">
        <v>23</v>
      </c>
      <c r="C3617" s="2" t="s">
        <v>35</v>
      </c>
      <c r="D3617" s="2" t="s">
        <v>36</v>
      </c>
      <c r="E3617">
        <v>5545</v>
      </c>
      <c r="F3617">
        <v>97</v>
      </c>
      <c r="G3617">
        <v>12</v>
      </c>
      <c r="H3617">
        <v>1524.5</v>
      </c>
      <c r="I3617">
        <v>3086.42</v>
      </c>
      <c r="J3617">
        <v>1.75</v>
      </c>
      <c r="K3617">
        <v>12.37</v>
      </c>
      <c r="L3617">
        <v>127.04</v>
      </c>
      <c r="M3617">
        <v>2.02</v>
      </c>
      <c r="N3617">
        <v>1561.92</v>
      </c>
    </row>
    <row r="3618" spans="1:14" x14ac:dyDescent="0.2">
      <c r="A3618" s="1">
        <v>45775</v>
      </c>
      <c r="B3618" s="2" t="s">
        <v>24</v>
      </c>
      <c r="C3618" s="2" t="s">
        <v>32</v>
      </c>
      <c r="D3618" s="2" t="s">
        <v>25</v>
      </c>
      <c r="E3618">
        <v>24617</v>
      </c>
      <c r="F3618">
        <v>3962</v>
      </c>
      <c r="G3618">
        <v>381</v>
      </c>
      <c r="H3618">
        <v>271.42</v>
      </c>
      <c r="I3618">
        <v>45079.15</v>
      </c>
      <c r="J3618">
        <v>16.09</v>
      </c>
      <c r="K3618">
        <v>9.6199999999999992</v>
      </c>
      <c r="L3618">
        <v>0.71</v>
      </c>
      <c r="M3618">
        <v>166.09</v>
      </c>
      <c r="N3618">
        <v>44807.73</v>
      </c>
    </row>
    <row r="3619" spans="1:14" x14ac:dyDescent="0.2">
      <c r="A3619" s="1">
        <v>45775</v>
      </c>
      <c r="B3619" s="2" t="s">
        <v>26</v>
      </c>
      <c r="C3619" s="2" t="s">
        <v>35</v>
      </c>
      <c r="D3619" s="2" t="s">
        <v>16</v>
      </c>
      <c r="E3619">
        <v>20902</v>
      </c>
      <c r="F3619">
        <v>1498</v>
      </c>
      <c r="G3619">
        <v>162</v>
      </c>
      <c r="H3619">
        <v>0</v>
      </c>
      <c r="I3619">
        <v>22627.59</v>
      </c>
      <c r="J3619">
        <v>7.17</v>
      </c>
      <c r="K3619">
        <v>10.81</v>
      </c>
      <c r="L3619">
        <v>0</v>
      </c>
      <c r="M3619">
        <v>0</v>
      </c>
      <c r="N3619">
        <v>22627.59</v>
      </c>
    </row>
    <row r="3620" spans="1:14" x14ac:dyDescent="0.2">
      <c r="A3620" s="1">
        <v>45775</v>
      </c>
      <c r="B3620" s="2" t="s">
        <v>27</v>
      </c>
      <c r="C3620" s="2" t="s">
        <v>18</v>
      </c>
      <c r="D3620" s="2" t="s">
        <v>25</v>
      </c>
      <c r="E3620">
        <v>30624</v>
      </c>
      <c r="F3620">
        <v>516</v>
      </c>
      <c r="G3620">
        <v>10</v>
      </c>
      <c r="H3620">
        <v>1222.5</v>
      </c>
      <c r="I3620">
        <v>1123.57</v>
      </c>
      <c r="J3620">
        <v>1.68</v>
      </c>
      <c r="K3620">
        <v>1.94</v>
      </c>
      <c r="L3620">
        <v>122.25</v>
      </c>
      <c r="M3620">
        <v>0.92</v>
      </c>
      <c r="N3620">
        <v>-98.93</v>
      </c>
    </row>
    <row r="3621" spans="1:14" x14ac:dyDescent="0.2">
      <c r="A3621" s="1">
        <v>45775</v>
      </c>
      <c r="B3621" s="2" t="s">
        <v>29</v>
      </c>
      <c r="C3621" s="2" t="s">
        <v>28</v>
      </c>
      <c r="D3621" s="2" t="s">
        <v>19</v>
      </c>
      <c r="E3621">
        <v>18650</v>
      </c>
      <c r="F3621">
        <v>489</v>
      </c>
      <c r="G3621">
        <v>22</v>
      </c>
      <c r="H3621">
        <v>811.78</v>
      </c>
      <c r="I3621">
        <v>2870.85</v>
      </c>
      <c r="J3621">
        <v>2.62</v>
      </c>
      <c r="K3621">
        <v>4.5</v>
      </c>
      <c r="L3621">
        <v>36.9</v>
      </c>
      <c r="M3621">
        <v>3.54</v>
      </c>
      <c r="N3621">
        <v>2059.0700000000002</v>
      </c>
    </row>
    <row r="3622" spans="1:14" x14ac:dyDescent="0.2">
      <c r="A3622" s="1">
        <v>45775</v>
      </c>
      <c r="B3622" s="2" t="s">
        <v>30</v>
      </c>
      <c r="C3622" s="2" t="s">
        <v>18</v>
      </c>
      <c r="D3622" s="2" t="s">
        <v>25</v>
      </c>
      <c r="E3622">
        <v>11331</v>
      </c>
      <c r="F3622">
        <v>320</v>
      </c>
      <c r="G3622">
        <v>13</v>
      </c>
      <c r="H3622">
        <v>796.41</v>
      </c>
      <c r="I3622">
        <v>1392.03</v>
      </c>
      <c r="J3622">
        <v>2.82</v>
      </c>
      <c r="K3622">
        <v>4.0599999999999996</v>
      </c>
      <c r="L3622">
        <v>61.26</v>
      </c>
      <c r="M3622">
        <v>1.75</v>
      </c>
      <c r="N3622">
        <v>595.62</v>
      </c>
    </row>
    <row r="3623" spans="1:14" x14ac:dyDescent="0.2">
      <c r="A3623" s="1">
        <v>45775</v>
      </c>
      <c r="B3623" s="2" t="s">
        <v>31</v>
      </c>
      <c r="C3623" s="2" t="s">
        <v>28</v>
      </c>
      <c r="D3623" s="2" t="s">
        <v>16</v>
      </c>
      <c r="E3623">
        <v>28440</v>
      </c>
      <c r="F3623">
        <v>788</v>
      </c>
      <c r="G3623">
        <v>50</v>
      </c>
      <c r="H3623">
        <v>1024.18</v>
      </c>
      <c r="I3623">
        <v>4037.9</v>
      </c>
      <c r="J3623">
        <v>2.77</v>
      </c>
      <c r="K3623">
        <v>6.35</v>
      </c>
      <c r="L3623">
        <v>20.48</v>
      </c>
      <c r="M3623">
        <v>3.94</v>
      </c>
      <c r="N3623">
        <v>3013.72</v>
      </c>
    </row>
    <row r="3624" spans="1:14" x14ac:dyDescent="0.2">
      <c r="A3624" s="1">
        <v>45775</v>
      </c>
      <c r="B3624" s="2" t="s">
        <v>33</v>
      </c>
      <c r="C3624" s="2" t="s">
        <v>21</v>
      </c>
      <c r="D3624" s="2" t="s">
        <v>25</v>
      </c>
      <c r="E3624">
        <v>9636</v>
      </c>
      <c r="F3624">
        <v>611</v>
      </c>
      <c r="G3624">
        <v>72</v>
      </c>
      <c r="H3624">
        <v>500.85</v>
      </c>
      <c r="I3624">
        <v>9220</v>
      </c>
      <c r="J3624">
        <v>6.34</v>
      </c>
      <c r="K3624">
        <v>11.78</v>
      </c>
      <c r="L3624">
        <v>6.96</v>
      </c>
      <c r="M3624">
        <v>18.41</v>
      </c>
      <c r="N3624">
        <v>8719.15</v>
      </c>
    </row>
    <row r="3625" spans="1:14" x14ac:dyDescent="0.2">
      <c r="A3625" s="1">
        <v>45775</v>
      </c>
      <c r="B3625" s="2" t="s">
        <v>34</v>
      </c>
      <c r="C3625" s="2" t="s">
        <v>35</v>
      </c>
      <c r="D3625" s="2" t="s">
        <v>36</v>
      </c>
      <c r="E3625">
        <v>6055</v>
      </c>
      <c r="F3625">
        <v>489</v>
      </c>
      <c r="G3625">
        <v>71</v>
      </c>
      <c r="H3625">
        <v>57.04</v>
      </c>
      <c r="I3625">
        <v>11894.58</v>
      </c>
      <c r="J3625">
        <v>8.08</v>
      </c>
      <c r="K3625">
        <v>14.52</v>
      </c>
      <c r="L3625">
        <v>0.8</v>
      </c>
      <c r="M3625">
        <v>208.53</v>
      </c>
      <c r="N3625">
        <v>11837.54</v>
      </c>
    </row>
    <row r="3626" spans="1:14" x14ac:dyDescent="0.2">
      <c r="A3626" s="1">
        <v>45776</v>
      </c>
      <c r="B3626" s="2" t="s">
        <v>14</v>
      </c>
      <c r="C3626" s="2" t="s">
        <v>32</v>
      </c>
      <c r="D3626" s="2" t="s">
        <v>16</v>
      </c>
      <c r="E3626">
        <v>12345</v>
      </c>
      <c r="F3626">
        <v>572</v>
      </c>
      <c r="G3626">
        <v>49</v>
      </c>
      <c r="H3626">
        <v>1204.57</v>
      </c>
      <c r="I3626">
        <v>6511.01</v>
      </c>
      <c r="J3626">
        <v>4.63</v>
      </c>
      <c r="K3626">
        <v>8.57</v>
      </c>
      <c r="L3626">
        <v>24.58</v>
      </c>
      <c r="M3626">
        <v>5.41</v>
      </c>
      <c r="N3626">
        <v>5306.44</v>
      </c>
    </row>
    <row r="3627" spans="1:14" x14ac:dyDescent="0.2">
      <c r="A3627" s="1">
        <v>45776</v>
      </c>
      <c r="B3627" s="2" t="s">
        <v>17</v>
      </c>
      <c r="C3627" s="2" t="s">
        <v>32</v>
      </c>
      <c r="D3627" s="2" t="s">
        <v>25</v>
      </c>
      <c r="E3627">
        <v>16493</v>
      </c>
      <c r="F3627">
        <v>411</v>
      </c>
      <c r="G3627">
        <v>33</v>
      </c>
      <c r="H3627">
        <v>689.78</v>
      </c>
      <c r="I3627">
        <v>3519.98</v>
      </c>
      <c r="J3627">
        <v>2.4900000000000002</v>
      </c>
      <c r="K3627">
        <v>8.0299999999999994</v>
      </c>
      <c r="L3627">
        <v>20.9</v>
      </c>
      <c r="M3627">
        <v>5.0999999999999996</v>
      </c>
      <c r="N3627">
        <v>2830.2</v>
      </c>
    </row>
    <row r="3628" spans="1:14" x14ac:dyDescent="0.2">
      <c r="A3628" s="1">
        <v>45776</v>
      </c>
      <c r="B3628" s="2" t="s">
        <v>20</v>
      </c>
      <c r="C3628" s="2" t="s">
        <v>18</v>
      </c>
      <c r="D3628" s="2" t="s">
        <v>22</v>
      </c>
      <c r="E3628">
        <v>15998</v>
      </c>
      <c r="F3628">
        <v>621</v>
      </c>
      <c r="G3628">
        <v>48</v>
      </c>
      <c r="H3628">
        <v>647.25</v>
      </c>
      <c r="I3628">
        <v>5715.14</v>
      </c>
      <c r="J3628">
        <v>3.88</v>
      </c>
      <c r="K3628">
        <v>7.73</v>
      </c>
      <c r="L3628">
        <v>13.48</v>
      </c>
      <c r="M3628">
        <v>8.83</v>
      </c>
      <c r="N3628">
        <v>5067.8900000000003</v>
      </c>
    </row>
    <row r="3629" spans="1:14" x14ac:dyDescent="0.2">
      <c r="A3629" s="1">
        <v>45776</v>
      </c>
      <c r="B3629" s="2" t="s">
        <v>23</v>
      </c>
      <c r="C3629" s="2" t="s">
        <v>28</v>
      </c>
      <c r="D3629" s="2" t="s">
        <v>16</v>
      </c>
      <c r="E3629">
        <v>4758</v>
      </c>
      <c r="F3629">
        <v>138</v>
      </c>
      <c r="G3629">
        <v>18</v>
      </c>
      <c r="H3629">
        <v>1003.81</v>
      </c>
      <c r="I3629">
        <v>3979.55</v>
      </c>
      <c r="J3629">
        <v>2.9</v>
      </c>
      <c r="K3629">
        <v>13.04</v>
      </c>
      <c r="L3629">
        <v>55.77</v>
      </c>
      <c r="M3629">
        <v>3.96</v>
      </c>
      <c r="N3629">
        <v>2975.74</v>
      </c>
    </row>
    <row r="3630" spans="1:14" x14ac:dyDescent="0.2">
      <c r="A3630" s="1">
        <v>45776</v>
      </c>
      <c r="B3630" s="2" t="s">
        <v>24</v>
      </c>
      <c r="C3630" s="2" t="s">
        <v>15</v>
      </c>
      <c r="D3630" s="2" t="s">
        <v>25</v>
      </c>
      <c r="E3630">
        <v>21728</v>
      </c>
      <c r="F3630">
        <v>5016</v>
      </c>
      <c r="G3630">
        <v>408</v>
      </c>
      <c r="H3630">
        <v>191.75</v>
      </c>
      <c r="I3630">
        <v>55770.43</v>
      </c>
      <c r="J3630">
        <v>23.09</v>
      </c>
      <c r="K3630">
        <v>8.1300000000000008</v>
      </c>
      <c r="L3630">
        <v>0.47</v>
      </c>
      <c r="M3630">
        <v>290.85000000000002</v>
      </c>
      <c r="N3630">
        <v>55578.68</v>
      </c>
    </row>
    <row r="3631" spans="1:14" x14ac:dyDescent="0.2">
      <c r="A3631" s="1">
        <v>45776</v>
      </c>
      <c r="B3631" s="2" t="s">
        <v>26</v>
      </c>
      <c r="C3631" s="2" t="s">
        <v>32</v>
      </c>
      <c r="D3631" s="2" t="s">
        <v>19</v>
      </c>
      <c r="E3631">
        <v>32593</v>
      </c>
      <c r="F3631">
        <v>1472</v>
      </c>
      <c r="G3631">
        <v>215</v>
      </c>
      <c r="H3631">
        <v>0</v>
      </c>
      <c r="I3631">
        <v>26291.32</v>
      </c>
      <c r="J3631">
        <v>4.5199999999999996</v>
      </c>
      <c r="K3631">
        <v>14.61</v>
      </c>
      <c r="L3631">
        <v>0</v>
      </c>
      <c r="M3631">
        <v>0</v>
      </c>
      <c r="N3631">
        <v>26291.32</v>
      </c>
    </row>
    <row r="3632" spans="1:14" x14ac:dyDescent="0.2">
      <c r="A3632" s="1">
        <v>45776</v>
      </c>
      <c r="B3632" s="2" t="s">
        <v>27</v>
      </c>
      <c r="C3632" s="2" t="s">
        <v>32</v>
      </c>
      <c r="D3632" s="2" t="s">
        <v>16</v>
      </c>
      <c r="E3632">
        <v>32640</v>
      </c>
      <c r="F3632">
        <v>593</v>
      </c>
      <c r="G3632">
        <v>20</v>
      </c>
      <c r="H3632">
        <v>1054.24</v>
      </c>
      <c r="I3632">
        <v>1623.83</v>
      </c>
      <c r="J3632">
        <v>1.82</v>
      </c>
      <c r="K3632">
        <v>3.37</v>
      </c>
      <c r="L3632">
        <v>52.71</v>
      </c>
      <c r="M3632">
        <v>1.54</v>
      </c>
      <c r="N3632">
        <v>569.59</v>
      </c>
    </row>
    <row r="3633" spans="1:14" x14ac:dyDescent="0.2">
      <c r="A3633" s="1">
        <v>45776</v>
      </c>
      <c r="B3633" s="2" t="s">
        <v>29</v>
      </c>
      <c r="C3633" s="2" t="s">
        <v>35</v>
      </c>
      <c r="D3633" s="2" t="s">
        <v>25</v>
      </c>
      <c r="E3633">
        <v>16318</v>
      </c>
      <c r="F3633">
        <v>487</v>
      </c>
      <c r="G3633">
        <v>19</v>
      </c>
      <c r="H3633">
        <v>1195.3699999999999</v>
      </c>
      <c r="I3633">
        <v>2082.75</v>
      </c>
      <c r="J3633">
        <v>2.98</v>
      </c>
      <c r="K3633">
        <v>3.9</v>
      </c>
      <c r="L3633">
        <v>62.91</v>
      </c>
      <c r="M3633">
        <v>1.74</v>
      </c>
      <c r="N3633">
        <v>887.38</v>
      </c>
    </row>
    <row r="3634" spans="1:14" x14ac:dyDescent="0.2">
      <c r="A3634" s="1">
        <v>45776</v>
      </c>
      <c r="B3634" s="2" t="s">
        <v>30</v>
      </c>
      <c r="C3634" s="2" t="s">
        <v>18</v>
      </c>
      <c r="D3634" s="2" t="s">
        <v>36</v>
      </c>
      <c r="E3634">
        <v>12379</v>
      </c>
      <c r="F3634">
        <v>334</v>
      </c>
      <c r="G3634">
        <v>16</v>
      </c>
      <c r="H3634">
        <v>474.86</v>
      </c>
      <c r="I3634">
        <v>1733.64</v>
      </c>
      <c r="J3634">
        <v>2.7</v>
      </c>
      <c r="K3634">
        <v>4.79</v>
      </c>
      <c r="L3634">
        <v>29.68</v>
      </c>
      <c r="M3634">
        <v>3.65</v>
      </c>
      <c r="N3634">
        <v>1258.78</v>
      </c>
    </row>
    <row r="3635" spans="1:14" x14ac:dyDescent="0.2">
      <c r="A3635" s="1">
        <v>45776</v>
      </c>
      <c r="B3635" s="2" t="s">
        <v>31</v>
      </c>
      <c r="C3635" s="2" t="s">
        <v>28</v>
      </c>
      <c r="D3635" s="2" t="s">
        <v>25</v>
      </c>
      <c r="E3635">
        <v>22045</v>
      </c>
      <c r="F3635">
        <v>983</v>
      </c>
      <c r="G3635">
        <v>53</v>
      </c>
      <c r="H3635">
        <v>1091.6300000000001</v>
      </c>
      <c r="I3635">
        <v>4143.37</v>
      </c>
      <c r="J3635">
        <v>4.46</v>
      </c>
      <c r="K3635">
        <v>5.39</v>
      </c>
      <c r="L3635">
        <v>20.6</v>
      </c>
      <c r="M3635">
        <v>3.8</v>
      </c>
      <c r="N3635">
        <v>3051.74</v>
      </c>
    </row>
    <row r="3636" spans="1:14" x14ac:dyDescent="0.2">
      <c r="A3636" s="1">
        <v>45776</v>
      </c>
      <c r="B3636" s="2" t="s">
        <v>33</v>
      </c>
      <c r="C3636" s="2" t="s">
        <v>28</v>
      </c>
      <c r="D3636" s="2" t="s">
        <v>25</v>
      </c>
      <c r="E3636">
        <v>8630</v>
      </c>
      <c r="F3636">
        <v>565</v>
      </c>
      <c r="G3636">
        <v>61</v>
      </c>
      <c r="H3636">
        <v>422.48</v>
      </c>
      <c r="I3636">
        <v>7028.73</v>
      </c>
      <c r="J3636">
        <v>6.55</v>
      </c>
      <c r="K3636">
        <v>10.8</v>
      </c>
      <c r="L3636">
        <v>6.93</v>
      </c>
      <c r="M3636">
        <v>16.64</v>
      </c>
      <c r="N3636">
        <v>6606.25</v>
      </c>
    </row>
    <row r="3637" spans="1:14" x14ac:dyDescent="0.2">
      <c r="A3637" s="1">
        <v>45776</v>
      </c>
      <c r="B3637" s="2" t="s">
        <v>34</v>
      </c>
      <c r="C3637" s="2" t="s">
        <v>15</v>
      </c>
      <c r="D3637" s="2" t="s">
        <v>19</v>
      </c>
      <c r="E3637">
        <v>4739</v>
      </c>
      <c r="F3637">
        <v>416</v>
      </c>
      <c r="G3637">
        <v>71</v>
      </c>
      <c r="H3637">
        <v>159.24</v>
      </c>
      <c r="I3637">
        <v>8786.1200000000008</v>
      </c>
      <c r="J3637">
        <v>8.7799999999999994</v>
      </c>
      <c r="K3637">
        <v>17.07</v>
      </c>
      <c r="L3637">
        <v>2.2400000000000002</v>
      </c>
      <c r="M3637">
        <v>55.18</v>
      </c>
      <c r="N3637">
        <v>8626.8799999999992</v>
      </c>
    </row>
    <row r="3638" spans="1:14" x14ac:dyDescent="0.2">
      <c r="A3638" s="1">
        <v>45777</v>
      </c>
      <c r="B3638" s="2" t="s">
        <v>14</v>
      </c>
      <c r="C3638" s="2" t="s">
        <v>28</v>
      </c>
      <c r="D3638" s="2" t="s">
        <v>19</v>
      </c>
      <c r="E3638">
        <v>8670</v>
      </c>
      <c r="F3638">
        <v>411</v>
      </c>
      <c r="G3638">
        <v>37</v>
      </c>
      <c r="H3638">
        <v>982.98</v>
      </c>
      <c r="I3638">
        <v>5838.23</v>
      </c>
      <c r="J3638">
        <v>4.74</v>
      </c>
      <c r="K3638">
        <v>9</v>
      </c>
      <c r="L3638">
        <v>26.57</v>
      </c>
      <c r="M3638">
        <v>5.94</v>
      </c>
      <c r="N3638">
        <v>4855.25</v>
      </c>
    </row>
    <row r="3639" spans="1:14" x14ac:dyDescent="0.2">
      <c r="A3639" s="1">
        <v>45777</v>
      </c>
      <c r="B3639" s="2" t="s">
        <v>17</v>
      </c>
      <c r="C3639" s="2" t="s">
        <v>35</v>
      </c>
      <c r="D3639" s="2" t="s">
        <v>19</v>
      </c>
      <c r="E3639">
        <v>12010</v>
      </c>
      <c r="F3639">
        <v>329</v>
      </c>
      <c r="G3639">
        <v>16</v>
      </c>
      <c r="H3639">
        <v>684.31</v>
      </c>
      <c r="I3639">
        <v>1799.25</v>
      </c>
      <c r="J3639">
        <v>2.74</v>
      </c>
      <c r="K3639">
        <v>4.8600000000000003</v>
      </c>
      <c r="L3639">
        <v>42.77</v>
      </c>
      <c r="M3639">
        <v>2.63</v>
      </c>
      <c r="N3639">
        <v>1114.94</v>
      </c>
    </row>
    <row r="3640" spans="1:14" x14ac:dyDescent="0.2">
      <c r="A3640" s="1">
        <v>45777</v>
      </c>
      <c r="B3640" s="2" t="s">
        <v>20</v>
      </c>
      <c r="C3640" s="2" t="s">
        <v>21</v>
      </c>
      <c r="D3640" s="2" t="s">
        <v>16</v>
      </c>
      <c r="E3640">
        <v>15352</v>
      </c>
      <c r="F3640">
        <v>420</v>
      </c>
      <c r="G3640">
        <v>17</v>
      </c>
      <c r="H3640">
        <v>518.12</v>
      </c>
      <c r="I3640">
        <v>1808.45</v>
      </c>
      <c r="J3640">
        <v>2.74</v>
      </c>
      <c r="K3640">
        <v>4.05</v>
      </c>
      <c r="L3640">
        <v>30.48</v>
      </c>
      <c r="M3640">
        <v>3.49</v>
      </c>
      <c r="N3640">
        <v>1290.33</v>
      </c>
    </row>
    <row r="3641" spans="1:14" x14ac:dyDescent="0.2">
      <c r="A3641" s="1">
        <v>45777</v>
      </c>
      <c r="B3641" s="2" t="s">
        <v>23</v>
      </c>
      <c r="C3641" s="2" t="s">
        <v>15</v>
      </c>
      <c r="D3641" s="2" t="s">
        <v>25</v>
      </c>
      <c r="E3641">
        <v>4856</v>
      </c>
      <c r="F3641">
        <v>140</v>
      </c>
      <c r="G3641">
        <v>14</v>
      </c>
      <c r="H3641">
        <v>909.75</v>
      </c>
      <c r="I3641">
        <v>4252.17</v>
      </c>
      <c r="J3641">
        <v>2.88</v>
      </c>
      <c r="K3641">
        <v>10</v>
      </c>
      <c r="L3641">
        <v>64.98</v>
      </c>
      <c r="M3641">
        <v>4.67</v>
      </c>
      <c r="N3641">
        <v>3342.42</v>
      </c>
    </row>
    <row r="3642" spans="1:14" x14ac:dyDescent="0.2">
      <c r="A3642" s="1">
        <v>45777</v>
      </c>
      <c r="B3642" s="2" t="s">
        <v>24</v>
      </c>
      <c r="C3642" s="2" t="s">
        <v>15</v>
      </c>
      <c r="D3642" s="2" t="s">
        <v>19</v>
      </c>
      <c r="E3642">
        <v>15701</v>
      </c>
      <c r="F3642">
        <v>3825</v>
      </c>
      <c r="G3642">
        <v>448</v>
      </c>
      <c r="H3642">
        <v>117.66</v>
      </c>
      <c r="I3642">
        <v>68087.070000000007</v>
      </c>
      <c r="J3642">
        <v>24.36</v>
      </c>
      <c r="K3642">
        <v>11.71</v>
      </c>
      <c r="L3642">
        <v>0.26</v>
      </c>
      <c r="M3642">
        <v>578.67999999999995</v>
      </c>
      <c r="N3642">
        <v>67969.41</v>
      </c>
    </row>
    <row r="3643" spans="1:14" x14ac:dyDescent="0.2">
      <c r="A3643" s="1">
        <v>45777</v>
      </c>
      <c r="B3643" s="2" t="s">
        <v>26</v>
      </c>
      <c r="C3643" s="2" t="s">
        <v>15</v>
      </c>
      <c r="D3643" s="2" t="s">
        <v>25</v>
      </c>
      <c r="E3643">
        <v>23175</v>
      </c>
      <c r="F3643">
        <v>997</v>
      </c>
      <c r="G3643">
        <v>99</v>
      </c>
      <c r="H3643">
        <v>0</v>
      </c>
      <c r="I3643">
        <v>12856</v>
      </c>
      <c r="J3643">
        <v>4.3</v>
      </c>
      <c r="K3643">
        <v>9.93</v>
      </c>
      <c r="L3643">
        <v>0</v>
      </c>
      <c r="M3643">
        <v>0</v>
      </c>
      <c r="N3643">
        <v>12856</v>
      </c>
    </row>
    <row r="3644" spans="1:14" x14ac:dyDescent="0.2">
      <c r="A3644" s="1">
        <v>45777</v>
      </c>
      <c r="B3644" s="2" t="s">
        <v>27</v>
      </c>
      <c r="C3644" s="2" t="s">
        <v>35</v>
      </c>
      <c r="D3644" s="2" t="s">
        <v>16</v>
      </c>
      <c r="E3644">
        <v>39922</v>
      </c>
      <c r="F3644">
        <v>549</v>
      </c>
      <c r="G3644">
        <v>15</v>
      </c>
      <c r="H3644">
        <v>1111.8599999999999</v>
      </c>
      <c r="I3644">
        <v>1979.88</v>
      </c>
      <c r="J3644">
        <v>1.38</v>
      </c>
      <c r="K3644">
        <v>2.73</v>
      </c>
      <c r="L3644">
        <v>74.12</v>
      </c>
      <c r="M3644">
        <v>1.78</v>
      </c>
      <c r="N3644">
        <v>868.02</v>
      </c>
    </row>
    <row r="3645" spans="1:14" x14ac:dyDescent="0.2">
      <c r="A3645" s="1">
        <v>45777</v>
      </c>
      <c r="B3645" s="2" t="s">
        <v>29</v>
      </c>
      <c r="C3645" s="2" t="s">
        <v>15</v>
      </c>
      <c r="D3645" s="2" t="s">
        <v>36</v>
      </c>
      <c r="E3645">
        <v>23044</v>
      </c>
      <c r="F3645">
        <v>559</v>
      </c>
      <c r="G3645">
        <v>32</v>
      </c>
      <c r="H3645">
        <v>1290.78</v>
      </c>
      <c r="I3645">
        <v>2850.93</v>
      </c>
      <c r="J3645">
        <v>2.4300000000000002</v>
      </c>
      <c r="K3645">
        <v>5.72</v>
      </c>
      <c r="L3645">
        <v>40.340000000000003</v>
      </c>
      <c r="M3645">
        <v>2.21</v>
      </c>
      <c r="N3645">
        <v>1560.15</v>
      </c>
    </row>
    <row r="3646" spans="1:14" x14ac:dyDescent="0.2">
      <c r="A3646" s="1">
        <v>45777</v>
      </c>
      <c r="B3646" s="2" t="s">
        <v>30</v>
      </c>
      <c r="C3646" s="2" t="s">
        <v>32</v>
      </c>
      <c r="D3646" s="2" t="s">
        <v>22</v>
      </c>
      <c r="E3646">
        <v>13185</v>
      </c>
      <c r="F3646">
        <v>382</v>
      </c>
      <c r="G3646">
        <v>17</v>
      </c>
      <c r="H3646">
        <v>535.27</v>
      </c>
      <c r="I3646">
        <v>1592.84</v>
      </c>
      <c r="J3646">
        <v>2.9</v>
      </c>
      <c r="K3646">
        <v>4.45</v>
      </c>
      <c r="L3646">
        <v>31.49</v>
      </c>
      <c r="M3646">
        <v>2.98</v>
      </c>
      <c r="N3646">
        <v>1057.57</v>
      </c>
    </row>
    <row r="3647" spans="1:14" x14ac:dyDescent="0.2">
      <c r="A3647" s="1">
        <v>45777</v>
      </c>
      <c r="B3647" s="2" t="s">
        <v>31</v>
      </c>
      <c r="C3647" s="2" t="s">
        <v>32</v>
      </c>
      <c r="D3647" s="2" t="s">
        <v>16</v>
      </c>
      <c r="E3647">
        <v>26510</v>
      </c>
      <c r="F3647">
        <v>1122</v>
      </c>
      <c r="G3647">
        <v>47</v>
      </c>
      <c r="H3647">
        <v>797.42</v>
      </c>
      <c r="I3647">
        <v>3731.08</v>
      </c>
      <c r="J3647">
        <v>4.2300000000000004</v>
      </c>
      <c r="K3647">
        <v>4.1900000000000004</v>
      </c>
      <c r="L3647">
        <v>16.97</v>
      </c>
      <c r="M3647">
        <v>4.68</v>
      </c>
      <c r="N3647">
        <v>2933.66</v>
      </c>
    </row>
    <row r="3648" spans="1:14" x14ac:dyDescent="0.2">
      <c r="A3648" s="1">
        <v>45777</v>
      </c>
      <c r="B3648" s="2" t="s">
        <v>33</v>
      </c>
      <c r="C3648" s="2" t="s">
        <v>15</v>
      </c>
      <c r="D3648" s="2" t="s">
        <v>19</v>
      </c>
      <c r="E3648">
        <v>5312</v>
      </c>
      <c r="F3648">
        <v>284</v>
      </c>
      <c r="G3648">
        <v>28</v>
      </c>
      <c r="H3648">
        <v>683.3</v>
      </c>
      <c r="I3648">
        <v>3590.91</v>
      </c>
      <c r="J3648">
        <v>5.35</v>
      </c>
      <c r="K3648">
        <v>9.86</v>
      </c>
      <c r="L3648">
        <v>24.4</v>
      </c>
      <c r="M3648">
        <v>5.26</v>
      </c>
      <c r="N3648">
        <v>2907.61</v>
      </c>
    </row>
    <row r="3649" spans="1:14" x14ac:dyDescent="0.2">
      <c r="A3649" s="1">
        <v>45777</v>
      </c>
      <c r="B3649" s="2" t="s">
        <v>34</v>
      </c>
      <c r="C3649" s="2" t="s">
        <v>15</v>
      </c>
      <c r="D3649" s="2" t="s">
        <v>25</v>
      </c>
      <c r="E3649">
        <v>5840</v>
      </c>
      <c r="F3649">
        <v>314</v>
      </c>
      <c r="G3649">
        <v>43</v>
      </c>
      <c r="H3649">
        <v>64.209999999999994</v>
      </c>
      <c r="I3649">
        <v>5494.6</v>
      </c>
      <c r="J3649">
        <v>5.38</v>
      </c>
      <c r="K3649">
        <v>13.69</v>
      </c>
      <c r="L3649">
        <v>1.49</v>
      </c>
      <c r="M3649">
        <v>85.57</v>
      </c>
      <c r="N3649">
        <v>5430.39</v>
      </c>
    </row>
    <row r="3650" spans="1:14" x14ac:dyDescent="0.2">
      <c r="A3650" s="1">
        <v>45778</v>
      </c>
      <c r="B3650" s="2" t="s">
        <v>14</v>
      </c>
      <c r="C3650" s="2" t="s">
        <v>18</v>
      </c>
      <c r="D3650" s="2" t="s">
        <v>19</v>
      </c>
      <c r="E3650">
        <v>12487</v>
      </c>
      <c r="F3650">
        <v>448</v>
      </c>
      <c r="G3650">
        <v>44</v>
      </c>
      <c r="H3650">
        <v>1247.98</v>
      </c>
      <c r="I3650">
        <v>5907.65</v>
      </c>
      <c r="J3650">
        <v>3.59</v>
      </c>
      <c r="K3650">
        <v>9.82</v>
      </c>
      <c r="L3650">
        <v>28.36</v>
      </c>
      <c r="M3650">
        <v>4.7300000000000004</v>
      </c>
      <c r="N3650">
        <v>4659.67</v>
      </c>
    </row>
    <row r="3651" spans="1:14" x14ac:dyDescent="0.2">
      <c r="A3651" s="1">
        <v>45778</v>
      </c>
      <c r="B3651" s="2" t="s">
        <v>17</v>
      </c>
      <c r="C3651" s="2" t="s">
        <v>28</v>
      </c>
      <c r="D3651" s="2" t="s">
        <v>16</v>
      </c>
      <c r="E3651">
        <v>18612</v>
      </c>
      <c r="F3651">
        <v>673</v>
      </c>
      <c r="G3651">
        <v>53</v>
      </c>
      <c r="H3651">
        <v>769.82</v>
      </c>
      <c r="I3651">
        <v>4867.1000000000004</v>
      </c>
      <c r="J3651">
        <v>3.62</v>
      </c>
      <c r="K3651">
        <v>7.88</v>
      </c>
      <c r="L3651">
        <v>14.52</v>
      </c>
      <c r="M3651">
        <v>6.32</v>
      </c>
      <c r="N3651">
        <v>4097.28</v>
      </c>
    </row>
    <row r="3652" spans="1:14" x14ac:dyDescent="0.2">
      <c r="A3652" s="1">
        <v>45778</v>
      </c>
      <c r="B3652" s="2" t="s">
        <v>20</v>
      </c>
      <c r="C3652" s="2" t="s">
        <v>21</v>
      </c>
      <c r="D3652" s="2" t="s">
        <v>25</v>
      </c>
      <c r="E3652">
        <v>10053</v>
      </c>
      <c r="F3652">
        <v>413</v>
      </c>
      <c r="G3652">
        <v>30</v>
      </c>
      <c r="H3652">
        <v>620.92999999999995</v>
      </c>
      <c r="I3652">
        <v>3528.09</v>
      </c>
      <c r="J3652">
        <v>4.1100000000000003</v>
      </c>
      <c r="K3652">
        <v>7.26</v>
      </c>
      <c r="L3652">
        <v>20.7</v>
      </c>
      <c r="M3652">
        <v>5.68</v>
      </c>
      <c r="N3652">
        <v>2907.16</v>
      </c>
    </row>
    <row r="3653" spans="1:14" x14ac:dyDescent="0.2">
      <c r="A3653" s="1">
        <v>45778</v>
      </c>
      <c r="B3653" s="2" t="s">
        <v>23</v>
      </c>
      <c r="C3653" s="2" t="s">
        <v>18</v>
      </c>
      <c r="D3653" s="2" t="s">
        <v>19</v>
      </c>
      <c r="E3653">
        <v>3704</v>
      </c>
      <c r="F3653">
        <v>98</v>
      </c>
      <c r="G3653">
        <v>9</v>
      </c>
      <c r="H3653">
        <v>1450.55</v>
      </c>
      <c r="I3653">
        <v>2449.12</v>
      </c>
      <c r="J3653">
        <v>2.65</v>
      </c>
      <c r="K3653">
        <v>9.18</v>
      </c>
      <c r="L3653">
        <v>161.16999999999999</v>
      </c>
      <c r="M3653">
        <v>1.69</v>
      </c>
      <c r="N3653">
        <v>998.57</v>
      </c>
    </row>
    <row r="3654" spans="1:14" x14ac:dyDescent="0.2">
      <c r="A3654" s="1">
        <v>45778</v>
      </c>
      <c r="B3654" s="2" t="s">
        <v>24</v>
      </c>
      <c r="C3654" s="2" t="s">
        <v>35</v>
      </c>
      <c r="D3654" s="2" t="s">
        <v>22</v>
      </c>
      <c r="E3654">
        <v>18582</v>
      </c>
      <c r="F3654">
        <v>2983</v>
      </c>
      <c r="G3654">
        <v>300</v>
      </c>
      <c r="H3654">
        <v>194.57</v>
      </c>
      <c r="I3654">
        <v>30867.360000000001</v>
      </c>
      <c r="J3654">
        <v>16.05</v>
      </c>
      <c r="K3654">
        <v>10.06</v>
      </c>
      <c r="L3654">
        <v>0.65</v>
      </c>
      <c r="M3654">
        <v>158.63999999999999</v>
      </c>
      <c r="N3654">
        <v>30672.79</v>
      </c>
    </row>
    <row r="3655" spans="1:14" x14ac:dyDescent="0.2">
      <c r="A3655" s="1">
        <v>45778</v>
      </c>
      <c r="B3655" s="2" t="s">
        <v>26</v>
      </c>
      <c r="C3655" s="2" t="s">
        <v>32</v>
      </c>
      <c r="D3655" s="2" t="s">
        <v>19</v>
      </c>
      <c r="E3655">
        <v>29962</v>
      </c>
      <c r="F3655">
        <v>1315</v>
      </c>
      <c r="G3655">
        <v>169</v>
      </c>
      <c r="H3655">
        <v>0</v>
      </c>
      <c r="I3655">
        <v>25520.89</v>
      </c>
      <c r="J3655">
        <v>4.3899999999999997</v>
      </c>
      <c r="K3655">
        <v>12.85</v>
      </c>
      <c r="L3655">
        <v>0</v>
      </c>
      <c r="M3655">
        <v>0</v>
      </c>
      <c r="N3655">
        <v>25520.89</v>
      </c>
    </row>
    <row r="3656" spans="1:14" x14ac:dyDescent="0.2">
      <c r="A3656" s="1">
        <v>45778</v>
      </c>
      <c r="B3656" s="2" t="s">
        <v>27</v>
      </c>
      <c r="C3656" s="2" t="s">
        <v>35</v>
      </c>
      <c r="D3656" s="2" t="s">
        <v>19</v>
      </c>
      <c r="E3656">
        <v>31950</v>
      </c>
      <c r="F3656">
        <v>356</v>
      </c>
      <c r="G3656">
        <v>9</v>
      </c>
      <c r="H3656">
        <v>859</v>
      </c>
      <c r="I3656">
        <v>1016.11</v>
      </c>
      <c r="J3656">
        <v>1.1100000000000001</v>
      </c>
      <c r="K3656">
        <v>2.5299999999999998</v>
      </c>
      <c r="L3656">
        <v>95.44</v>
      </c>
      <c r="M3656">
        <v>1.18</v>
      </c>
      <c r="N3656">
        <v>157.11000000000001</v>
      </c>
    </row>
    <row r="3657" spans="1:14" x14ac:dyDescent="0.2">
      <c r="A3657" s="1">
        <v>45778</v>
      </c>
      <c r="B3657" s="2" t="s">
        <v>29</v>
      </c>
      <c r="C3657" s="2" t="s">
        <v>18</v>
      </c>
      <c r="D3657" s="2" t="s">
        <v>16</v>
      </c>
      <c r="E3657">
        <v>21200</v>
      </c>
      <c r="F3657">
        <v>323</v>
      </c>
      <c r="G3657">
        <v>22</v>
      </c>
      <c r="H3657">
        <v>1155.8599999999999</v>
      </c>
      <c r="I3657">
        <v>3072.46</v>
      </c>
      <c r="J3657">
        <v>1.52</v>
      </c>
      <c r="K3657">
        <v>6.81</v>
      </c>
      <c r="L3657">
        <v>52.54</v>
      </c>
      <c r="M3657">
        <v>2.66</v>
      </c>
      <c r="N3657">
        <v>1916.6</v>
      </c>
    </row>
    <row r="3658" spans="1:14" x14ac:dyDescent="0.2">
      <c r="A3658" s="1">
        <v>45778</v>
      </c>
      <c r="B3658" s="2" t="s">
        <v>30</v>
      </c>
      <c r="C3658" s="2" t="s">
        <v>32</v>
      </c>
      <c r="D3658" s="2" t="s">
        <v>22</v>
      </c>
      <c r="E3658">
        <v>13363</v>
      </c>
      <c r="F3658">
        <v>331</v>
      </c>
      <c r="G3658">
        <v>10</v>
      </c>
      <c r="H3658">
        <v>526.67999999999995</v>
      </c>
      <c r="I3658">
        <v>1203.3499999999999</v>
      </c>
      <c r="J3658">
        <v>2.48</v>
      </c>
      <c r="K3658">
        <v>3.02</v>
      </c>
      <c r="L3658">
        <v>52.67</v>
      </c>
      <c r="M3658">
        <v>2.2799999999999998</v>
      </c>
      <c r="N3658">
        <v>676.67</v>
      </c>
    </row>
    <row r="3659" spans="1:14" x14ac:dyDescent="0.2">
      <c r="A3659" s="1">
        <v>45778</v>
      </c>
      <c r="B3659" s="2" t="s">
        <v>31</v>
      </c>
      <c r="C3659" s="2" t="s">
        <v>32</v>
      </c>
      <c r="D3659" s="2" t="s">
        <v>22</v>
      </c>
      <c r="E3659">
        <v>20053</v>
      </c>
      <c r="F3659">
        <v>784</v>
      </c>
      <c r="G3659">
        <v>39</v>
      </c>
      <c r="H3659">
        <v>658.46</v>
      </c>
      <c r="I3659">
        <v>3539.62</v>
      </c>
      <c r="J3659">
        <v>3.91</v>
      </c>
      <c r="K3659">
        <v>4.97</v>
      </c>
      <c r="L3659">
        <v>16.88</v>
      </c>
      <c r="M3659">
        <v>5.38</v>
      </c>
      <c r="N3659">
        <v>2881.16</v>
      </c>
    </row>
    <row r="3660" spans="1:14" x14ac:dyDescent="0.2">
      <c r="A3660" s="1">
        <v>45778</v>
      </c>
      <c r="B3660" s="2" t="s">
        <v>33</v>
      </c>
      <c r="C3660" s="2" t="s">
        <v>15</v>
      </c>
      <c r="D3660" s="2" t="s">
        <v>36</v>
      </c>
      <c r="E3660">
        <v>6847</v>
      </c>
      <c r="F3660">
        <v>472</v>
      </c>
      <c r="G3660">
        <v>50</v>
      </c>
      <c r="H3660">
        <v>485.17</v>
      </c>
      <c r="I3660">
        <v>5487.9</v>
      </c>
      <c r="J3660">
        <v>6.89</v>
      </c>
      <c r="K3660">
        <v>10.59</v>
      </c>
      <c r="L3660">
        <v>9.6999999999999993</v>
      </c>
      <c r="M3660">
        <v>11.31</v>
      </c>
      <c r="N3660">
        <v>5002.7299999999996</v>
      </c>
    </row>
    <row r="3661" spans="1:14" x14ac:dyDescent="0.2">
      <c r="A3661" s="1">
        <v>45778</v>
      </c>
      <c r="B3661" s="2" t="s">
        <v>34</v>
      </c>
      <c r="C3661" s="2" t="s">
        <v>35</v>
      </c>
      <c r="D3661" s="2" t="s">
        <v>22</v>
      </c>
      <c r="E3661">
        <v>6118</v>
      </c>
      <c r="F3661">
        <v>498</v>
      </c>
      <c r="G3661">
        <v>78</v>
      </c>
      <c r="H3661">
        <v>124</v>
      </c>
      <c r="I3661">
        <v>12281.75</v>
      </c>
      <c r="J3661">
        <v>8.14</v>
      </c>
      <c r="K3661">
        <v>15.66</v>
      </c>
      <c r="L3661">
        <v>1.59</v>
      </c>
      <c r="M3661">
        <v>99.05</v>
      </c>
      <c r="N3661">
        <v>12157.75</v>
      </c>
    </row>
    <row r="3662" spans="1:14" x14ac:dyDescent="0.2">
      <c r="A3662" s="1">
        <v>45779</v>
      </c>
      <c r="B3662" s="2" t="s">
        <v>14</v>
      </c>
      <c r="C3662" s="2" t="s">
        <v>35</v>
      </c>
      <c r="D3662" s="2" t="s">
        <v>22</v>
      </c>
      <c r="E3662">
        <v>13991</v>
      </c>
      <c r="F3662">
        <v>560</v>
      </c>
      <c r="G3662">
        <v>50</v>
      </c>
      <c r="H3662">
        <v>881.95</v>
      </c>
      <c r="I3662">
        <v>6273.06</v>
      </c>
      <c r="J3662">
        <v>4</v>
      </c>
      <c r="K3662">
        <v>8.93</v>
      </c>
      <c r="L3662">
        <v>17.64</v>
      </c>
      <c r="M3662">
        <v>7.11</v>
      </c>
      <c r="N3662">
        <v>5391.11</v>
      </c>
    </row>
    <row r="3663" spans="1:14" x14ac:dyDescent="0.2">
      <c r="A3663" s="1">
        <v>45779</v>
      </c>
      <c r="B3663" s="2" t="s">
        <v>17</v>
      </c>
      <c r="C3663" s="2" t="s">
        <v>28</v>
      </c>
      <c r="D3663" s="2" t="s">
        <v>22</v>
      </c>
      <c r="E3663">
        <v>12916</v>
      </c>
      <c r="F3663">
        <v>291</v>
      </c>
      <c r="G3663">
        <v>16</v>
      </c>
      <c r="H3663">
        <v>1043.3</v>
      </c>
      <c r="I3663">
        <v>2258.19</v>
      </c>
      <c r="J3663">
        <v>2.25</v>
      </c>
      <c r="K3663">
        <v>5.5</v>
      </c>
      <c r="L3663">
        <v>65.209999999999994</v>
      </c>
      <c r="M3663">
        <v>2.16</v>
      </c>
      <c r="N3663">
        <v>1214.8900000000001</v>
      </c>
    </row>
    <row r="3664" spans="1:14" x14ac:dyDescent="0.2">
      <c r="A3664" s="1">
        <v>45779</v>
      </c>
      <c r="B3664" s="2" t="s">
        <v>20</v>
      </c>
      <c r="C3664" s="2" t="s">
        <v>32</v>
      </c>
      <c r="D3664" s="2" t="s">
        <v>16</v>
      </c>
      <c r="E3664">
        <v>11390</v>
      </c>
      <c r="F3664">
        <v>507</v>
      </c>
      <c r="G3664">
        <v>36</v>
      </c>
      <c r="H3664">
        <v>917.63</v>
      </c>
      <c r="I3664">
        <v>3771.7</v>
      </c>
      <c r="J3664">
        <v>4.45</v>
      </c>
      <c r="K3664">
        <v>7.1</v>
      </c>
      <c r="L3664">
        <v>25.49</v>
      </c>
      <c r="M3664">
        <v>4.1100000000000003</v>
      </c>
      <c r="N3664">
        <v>2854.07</v>
      </c>
    </row>
    <row r="3665" spans="1:14" x14ac:dyDescent="0.2">
      <c r="A3665" s="1">
        <v>45779</v>
      </c>
      <c r="B3665" s="2" t="s">
        <v>23</v>
      </c>
      <c r="C3665" s="2" t="s">
        <v>35</v>
      </c>
      <c r="D3665" s="2" t="s">
        <v>16</v>
      </c>
      <c r="E3665">
        <v>4431</v>
      </c>
      <c r="F3665">
        <v>118</v>
      </c>
      <c r="G3665">
        <v>16</v>
      </c>
      <c r="H3665">
        <v>1478.37</v>
      </c>
      <c r="I3665">
        <v>5502.32</v>
      </c>
      <c r="J3665">
        <v>2.66</v>
      </c>
      <c r="K3665">
        <v>13.56</v>
      </c>
      <c r="L3665">
        <v>92.4</v>
      </c>
      <c r="M3665">
        <v>3.72</v>
      </c>
      <c r="N3665">
        <v>4023.95</v>
      </c>
    </row>
    <row r="3666" spans="1:14" x14ac:dyDescent="0.2">
      <c r="A3666" s="1">
        <v>45779</v>
      </c>
      <c r="B3666" s="2" t="s">
        <v>24</v>
      </c>
      <c r="C3666" s="2" t="s">
        <v>21</v>
      </c>
      <c r="D3666" s="2" t="s">
        <v>25</v>
      </c>
      <c r="E3666">
        <v>21504</v>
      </c>
      <c r="F3666">
        <v>4661</v>
      </c>
      <c r="G3666">
        <v>545</v>
      </c>
      <c r="H3666">
        <v>293.20999999999998</v>
      </c>
      <c r="I3666">
        <v>84452.13</v>
      </c>
      <c r="J3666">
        <v>21.68</v>
      </c>
      <c r="K3666">
        <v>11.69</v>
      </c>
      <c r="L3666">
        <v>0.54</v>
      </c>
      <c r="M3666">
        <v>288.02999999999997</v>
      </c>
      <c r="N3666">
        <v>84158.92</v>
      </c>
    </row>
    <row r="3667" spans="1:14" x14ac:dyDescent="0.2">
      <c r="A3667" s="1">
        <v>45779</v>
      </c>
      <c r="B3667" s="2" t="s">
        <v>26</v>
      </c>
      <c r="C3667" s="2" t="s">
        <v>21</v>
      </c>
      <c r="D3667" s="2" t="s">
        <v>36</v>
      </c>
      <c r="E3667">
        <v>30003</v>
      </c>
      <c r="F3667">
        <v>1483</v>
      </c>
      <c r="G3667">
        <v>214</v>
      </c>
      <c r="H3667">
        <v>0</v>
      </c>
      <c r="I3667">
        <v>26012.37</v>
      </c>
      <c r="J3667">
        <v>4.9400000000000004</v>
      </c>
      <c r="K3667">
        <v>14.43</v>
      </c>
      <c r="L3667">
        <v>0</v>
      </c>
      <c r="M3667">
        <v>0</v>
      </c>
      <c r="N3667">
        <v>26012.37</v>
      </c>
    </row>
    <row r="3668" spans="1:14" x14ac:dyDescent="0.2">
      <c r="A3668" s="1">
        <v>45779</v>
      </c>
      <c r="B3668" s="2" t="s">
        <v>27</v>
      </c>
      <c r="C3668" s="2" t="s">
        <v>28</v>
      </c>
      <c r="D3668" s="2" t="s">
        <v>36</v>
      </c>
      <c r="E3668">
        <v>28148</v>
      </c>
      <c r="F3668">
        <v>372</v>
      </c>
      <c r="G3668">
        <v>7</v>
      </c>
      <c r="H3668">
        <v>951.81</v>
      </c>
      <c r="I3668">
        <v>789.82</v>
      </c>
      <c r="J3668">
        <v>1.32</v>
      </c>
      <c r="K3668">
        <v>1.88</v>
      </c>
      <c r="L3668">
        <v>135.97</v>
      </c>
      <c r="M3668">
        <v>0.83</v>
      </c>
      <c r="N3668">
        <v>-161.99</v>
      </c>
    </row>
    <row r="3669" spans="1:14" x14ac:dyDescent="0.2">
      <c r="A3669" s="1">
        <v>45779</v>
      </c>
      <c r="B3669" s="2" t="s">
        <v>29</v>
      </c>
      <c r="C3669" s="2" t="s">
        <v>21</v>
      </c>
      <c r="D3669" s="2" t="s">
        <v>36</v>
      </c>
      <c r="E3669">
        <v>18975</v>
      </c>
      <c r="F3669">
        <v>310</v>
      </c>
      <c r="G3669">
        <v>21</v>
      </c>
      <c r="H3669">
        <v>1030.0899999999999</v>
      </c>
      <c r="I3669">
        <v>2547.7800000000002</v>
      </c>
      <c r="J3669">
        <v>1.63</v>
      </c>
      <c r="K3669">
        <v>6.77</v>
      </c>
      <c r="L3669">
        <v>49.05</v>
      </c>
      <c r="M3669">
        <v>2.4700000000000002</v>
      </c>
      <c r="N3669">
        <v>1517.69</v>
      </c>
    </row>
    <row r="3670" spans="1:14" x14ac:dyDescent="0.2">
      <c r="A3670" s="1">
        <v>45779</v>
      </c>
      <c r="B3670" s="2" t="s">
        <v>30</v>
      </c>
      <c r="C3670" s="2" t="s">
        <v>15</v>
      </c>
      <c r="D3670" s="2" t="s">
        <v>22</v>
      </c>
      <c r="E3670">
        <v>8387</v>
      </c>
      <c r="F3670">
        <v>185</v>
      </c>
      <c r="G3670">
        <v>8</v>
      </c>
      <c r="H3670">
        <v>668.88</v>
      </c>
      <c r="I3670">
        <v>848.49</v>
      </c>
      <c r="J3670">
        <v>2.21</v>
      </c>
      <c r="K3670">
        <v>4.32</v>
      </c>
      <c r="L3670">
        <v>83.61</v>
      </c>
      <c r="M3670">
        <v>1.27</v>
      </c>
      <c r="N3670">
        <v>179.61</v>
      </c>
    </row>
    <row r="3671" spans="1:14" x14ac:dyDescent="0.2">
      <c r="A3671" s="1">
        <v>45779</v>
      </c>
      <c r="B3671" s="2" t="s">
        <v>31</v>
      </c>
      <c r="C3671" s="2" t="s">
        <v>21</v>
      </c>
      <c r="D3671" s="2" t="s">
        <v>25</v>
      </c>
      <c r="E3671">
        <v>20307</v>
      </c>
      <c r="F3671">
        <v>563</v>
      </c>
      <c r="G3671">
        <v>28</v>
      </c>
      <c r="H3671">
        <v>783.2</v>
      </c>
      <c r="I3671">
        <v>3121.13</v>
      </c>
      <c r="J3671">
        <v>2.77</v>
      </c>
      <c r="K3671">
        <v>4.97</v>
      </c>
      <c r="L3671">
        <v>27.97</v>
      </c>
      <c r="M3671">
        <v>3.99</v>
      </c>
      <c r="N3671">
        <v>2337.9299999999998</v>
      </c>
    </row>
    <row r="3672" spans="1:14" x14ac:dyDescent="0.2">
      <c r="A3672" s="1">
        <v>45779</v>
      </c>
      <c r="B3672" s="2" t="s">
        <v>33</v>
      </c>
      <c r="C3672" s="2" t="s">
        <v>15</v>
      </c>
      <c r="D3672" s="2" t="s">
        <v>19</v>
      </c>
      <c r="E3672">
        <v>7049</v>
      </c>
      <c r="F3672">
        <v>341</v>
      </c>
      <c r="G3672">
        <v>29</v>
      </c>
      <c r="H3672">
        <v>500.99</v>
      </c>
      <c r="I3672">
        <v>4033.61</v>
      </c>
      <c r="J3672">
        <v>4.84</v>
      </c>
      <c r="K3672">
        <v>8.5</v>
      </c>
      <c r="L3672">
        <v>17.28</v>
      </c>
      <c r="M3672">
        <v>8.0500000000000007</v>
      </c>
      <c r="N3672">
        <v>3532.62</v>
      </c>
    </row>
    <row r="3673" spans="1:14" x14ac:dyDescent="0.2">
      <c r="A3673" s="1">
        <v>45779</v>
      </c>
      <c r="B3673" s="2" t="s">
        <v>34</v>
      </c>
      <c r="C3673" s="2" t="s">
        <v>18</v>
      </c>
      <c r="D3673" s="2" t="s">
        <v>19</v>
      </c>
      <c r="E3673">
        <v>3500</v>
      </c>
      <c r="F3673">
        <v>185</v>
      </c>
      <c r="G3673">
        <v>29</v>
      </c>
      <c r="H3673">
        <v>137.44</v>
      </c>
      <c r="I3673">
        <v>3703.34</v>
      </c>
      <c r="J3673">
        <v>5.29</v>
      </c>
      <c r="K3673">
        <v>15.68</v>
      </c>
      <c r="L3673">
        <v>4.74</v>
      </c>
      <c r="M3673">
        <v>26.95</v>
      </c>
      <c r="N3673">
        <v>3565.9</v>
      </c>
    </row>
    <row r="3674" spans="1:14" x14ac:dyDescent="0.2">
      <c r="A3674" s="1">
        <v>45780</v>
      </c>
      <c r="B3674" s="2" t="s">
        <v>14</v>
      </c>
      <c r="C3674" s="2" t="s">
        <v>18</v>
      </c>
      <c r="D3674" s="2" t="s">
        <v>16</v>
      </c>
      <c r="E3674">
        <v>5660</v>
      </c>
      <c r="F3674">
        <v>254</v>
      </c>
      <c r="G3674">
        <v>22</v>
      </c>
      <c r="H3674">
        <v>887.58</v>
      </c>
      <c r="I3674">
        <v>3232.57</v>
      </c>
      <c r="J3674">
        <v>4.49</v>
      </c>
      <c r="K3674">
        <v>8.66</v>
      </c>
      <c r="L3674">
        <v>40.340000000000003</v>
      </c>
      <c r="M3674">
        <v>3.64</v>
      </c>
      <c r="N3674">
        <v>2344.9899999999998</v>
      </c>
    </row>
    <row r="3675" spans="1:14" x14ac:dyDescent="0.2">
      <c r="A3675" s="1">
        <v>45780</v>
      </c>
      <c r="B3675" s="2" t="s">
        <v>17</v>
      </c>
      <c r="C3675" s="2" t="s">
        <v>21</v>
      </c>
      <c r="D3675" s="2" t="s">
        <v>36</v>
      </c>
      <c r="E3675">
        <v>12416</v>
      </c>
      <c r="F3675">
        <v>270</v>
      </c>
      <c r="G3675">
        <v>14</v>
      </c>
      <c r="H3675">
        <v>511.68</v>
      </c>
      <c r="I3675">
        <v>1993.07</v>
      </c>
      <c r="J3675">
        <v>2.17</v>
      </c>
      <c r="K3675">
        <v>5.19</v>
      </c>
      <c r="L3675">
        <v>36.549999999999997</v>
      </c>
      <c r="M3675">
        <v>3.9</v>
      </c>
      <c r="N3675">
        <v>1481.39</v>
      </c>
    </row>
    <row r="3676" spans="1:14" x14ac:dyDescent="0.2">
      <c r="A3676" s="1">
        <v>45780</v>
      </c>
      <c r="B3676" s="2" t="s">
        <v>20</v>
      </c>
      <c r="C3676" s="2" t="s">
        <v>28</v>
      </c>
      <c r="D3676" s="2" t="s">
        <v>36</v>
      </c>
      <c r="E3676">
        <v>11961</v>
      </c>
      <c r="F3676">
        <v>445</v>
      </c>
      <c r="G3676">
        <v>20</v>
      </c>
      <c r="H3676">
        <v>543.33000000000004</v>
      </c>
      <c r="I3676">
        <v>2013.73</v>
      </c>
      <c r="J3676">
        <v>3.72</v>
      </c>
      <c r="K3676">
        <v>4.49</v>
      </c>
      <c r="L3676">
        <v>27.17</v>
      </c>
      <c r="M3676">
        <v>3.71</v>
      </c>
      <c r="N3676">
        <v>1470.4</v>
      </c>
    </row>
    <row r="3677" spans="1:14" x14ac:dyDescent="0.2">
      <c r="A3677" s="1">
        <v>45780</v>
      </c>
      <c r="B3677" s="2" t="s">
        <v>23</v>
      </c>
      <c r="C3677" s="2" t="s">
        <v>35</v>
      </c>
      <c r="D3677" s="2" t="s">
        <v>36</v>
      </c>
      <c r="E3677">
        <v>3135</v>
      </c>
      <c r="F3677">
        <v>47</v>
      </c>
      <c r="G3677">
        <v>5</v>
      </c>
      <c r="H3677">
        <v>867.74</v>
      </c>
      <c r="I3677">
        <v>1086.58</v>
      </c>
      <c r="J3677">
        <v>1.5</v>
      </c>
      <c r="K3677">
        <v>10.64</v>
      </c>
      <c r="L3677">
        <v>173.55</v>
      </c>
      <c r="M3677">
        <v>1.25</v>
      </c>
      <c r="N3677">
        <v>218.84</v>
      </c>
    </row>
    <row r="3678" spans="1:14" x14ac:dyDescent="0.2">
      <c r="A3678" s="1">
        <v>45780</v>
      </c>
      <c r="B3678" s="2" t="s">
        <v>24</v>
      </c>
      <c r="C3678" s="2" t="s">
        <v>15</v>
      </c>
      <c r="D3678" s="2" t="s">
        <v>25</v>
      </c>
      <c r="E3678">
        <v>10707</v>
      </c>
      <c r="F3678">
        <v>1693</v>
      </c>
      <c r="G3678">
        <v>138</v>
      </c>
      <c r="H3678">
        <v>196.17</v>
      </c>
      <c r="I3678">
        <v>15935.16</v>
      </c>
      <c r="J3678">
        <v>15.81</v>
      </c>
      <c r="K3678">
        <v>8.15</v>
      </c>
      <c r="L3678">
        <v>1.42</v>
      </c>
      <c r="M3678">
        <v>81.23</v>
      </c>
      <c r="N3678">
        <v>15738.99</v>
      </c>
    </row>
    <row r="3679" spans="1:14" x14ac:dyDescent="0.2">
      <c r="A3679" s="1">
        <v>45780</v>
      </c>
      <c r="B3679" s="2" t="s">
        <v>26</v>
      </c>
      <c r="C3679" s="2" t="s">
        <v>21</v>
      </c>
      <c r="D3679" s="2" t="s">
        <v>36</v>
      </c>
      <c r="E3679">
        <v>20487</v>
      </c>
      <c r="F3679">
        <v>835</v>
      </c>
      <c r="G3679">
        <v>133</v>
      </c>
      <c r="H3679">
        <v>0</v>
      </c>
      <c r="I3679">
        <v>14228.17</v>
      </c>
      <c r="J3679">
        <v>4.08</v>
      </c>
      <c r="K3679">
        <v>15.93</v>
      </c>
      <c r="L3679">
        <v>0</v>
      </c>
      <c r="M3679">
        <v>0</v>
      </c>
      <c r="N3679">
        <v>14228.17</v>
      </c>
    </row>
    <row r="3680" spans="1:14" x14ac:dyDescent="0.2">
      <c r="A3680" s="1">
        <v>45780</v>
      </c>
      <c r="B3680" s="2" t="s">
        <v>27</v>
      </c>
      <c r="C3680" s="2" t="s">
        <v>15</v>
      </c>
      <c r="D3680" s="2" t="s">
        <v>36</v>
      </c>
      <c r="E3680">
        <v>24301</v>
      </c>
      <c r="F3680">
        <v>421</v>
      </c>
      <c r="G3680">
        <v>17</v>
      </c>
      <c r="H3680">
        <v>674.81</v>
      </c>
      <c r="I3680">
        <v>1594.63</v>
      </c>
      <c r="J3680">
        <v>1.73</v>
      </c>
      <c r="K3680">
        <v>4.04</v>
      </c>
      <c r="L3680">
        <v>39.69</v>
      </c>
      <c r="M3680">
        <v>2.36</v>
      </c>
      <c r="N3680">
        <v>919.82</v>
      </c>
    </row>
    <row r="3681" spans="1:14" x14ac:dyDescent="0.2">
      <c r="A3681" s="1">
        <v>45780</v>
      </c>
      <c r="B3681" s="2" t="s">
        <v>29</v>
      </c>
      <c r="C3681" s="2" t="s">
        <v>28</v>
      </c>
      <c r="D3681" s="2" t="s">
        <v>19</v>
      </c>
      <c r="E3681">
        <v>12667</v>
      </c>
      <c r="F3681">
        <v>207</v>
      </c>
      <c r="G3681">
        <v>15</v>
      </c>
      <c r="H3681">
        <v>863.28</v>
      </c>
      <c r="I3681">
        <v>2215.31</v>
      </c>
      <c r="J3681">
        <v>1.63</v>
      </c>
      <c r="K3681">
        <v>7.25</v>
      </c>
      <c r="L3681">
        <v>57.55</v>
      </c>
      <c r="M3681">
        <v>2.57</v>
      </c>
      <c r="N3681">
        <v>1352.03</v>
      </c>
    </row>
    <row r="3682" spans="1:14" x14ac:dyDescent="0.2">
      <c r="A3682" s="1">
        <v>45780</v>
      </c>
      <c r="B3682" s="2" t="s">
        <v>30</v>
      </c>
      <c r="C3682" s="2" t="s">
        <v>21</v>
      </c>
      <c r="D3682" s="2" t="s">
        <v>25</v>
      </c>
      <c r="E3682">
        <v>8500</v>
      </c>
      <c r="F3682">
        <v>239</v>
      </c>
      <c r="G3682">
        <v>7</v>
      </c>
      <c r="H3682">
        <v>419.46</v>
      </c>
      <c r="I3682">
        <v>598.19000000000005</v>
      </c>
      <c r="J3682">
        <v>2.81</v>
      </c>
      <c r="K3682">
        <v>2.93</v>
      </c>
      <c r="L3682">
        <v>59.92</v>
      </c>
      <c r="M3682">
        <v>1.43</v>
      </c>
      <c r="N3682">
        <v>178.73</v>
      </c>
    </row>
    <row r="3683" spans="1:14" x14ac:dyDescent="0.2">
      <c r="A3683" s="1">
        <v>45780</v>
      </c>
      <c r="B3683" s="2" t="s">
        <v>31</v>
      </c>
      <c r="C3683" s="2" t="s">
        <v>28</v>
      </c>
      <c r="D3683" s="2" t="s">
        <v>16</v>
      </c>
      <c r="E3683">
        <v>20752</v>
      </c>
      <c r="F3683">
        <v>819</v>
      </c>
      <c r="G3683">
        <v>40</v>
      </c>
      <c r="H3683">
        <v>756.67</v>
      </c>
      <c r="I3683">
        <v>4608.0200000000004</v>
      </c>
      <c r="J3683">
        <v>3.95</v>
      </c>
      <c r="K3683">
        <v>4.88</v>
      </c>
      <c r="L3683">
        <v>18.920000000000002</v>
      </c>
      <c r="M3683">
        <v>6.09</v>
      </c>
      <c r="N3683">
        <v>3851.35</v>
      </c>
    </row>
    <row r="3684" spans="1:14" x14ac:dyDescent="0.2">
      <c r="A3684" s="1">
        <v>45780</v>
      </c>
      <c r="B3684" s="2" t="s">
        <v>33</v>
      </c>
      <c r="C3684" s="2" t="s">
        <v>35</v>
      </c>
      <c r="D3684" s="2" t="s">
        <v>36</v>
      </c>
      <c r="E3684">
        <v>4496</v>
      </c>
      <c r="F3684">
        <v>223</v>
      </c>
      <c r="G3684">
        <v>22</v>
      </c>
      <c r="H3684">
        <v>279.31</v>
      </c>
      <c r="I3684">
        <v>3008.83</v>
      </c>
      <c r="J3684">
        <v>4.96</v>
      </c>
      <c r="K3684">
        <v>9.8699999999999992</v>
      </c>
      <c r="L3684">
        <v>12.7</v>
      </c>
      <c r="M3684">
        <v>10.77</v>
      </c>
      <c r="N3684">
        <v>2729.52</v>
      </c>
    </row>
    <row r="3685" spans="1:14" x14ac:dyDescent="0.2">
      <c r="A3685" s="1">
        <v>45780</v>
      </c>
      <c r="B3685" s="2" t="s">
        <v>34</v>
      </c>
      <c r="C3685" s="2" t="s">
        <v>28</v>
      </c>
      <c r="D3685" s="2" t="s">
        <v>19</v>
      </c>
      <c r="E3685">
        <v>3268</v>
      </c>
      <c r="F3685">
        <v>221</v>
      </c>
      <c r="G3685">
        <v>32</v>
      </c>
      <c r="H3685">
        <v>70.209999999999994</v>
      </c>
      <c r="I3685">
        <v>4578.75</v>
      </c>
      <c r="J3685">
        <v>6.76</v>
      </c>
      <c r="K3685">
        <v>14.48</v>
      </c>
      <c r="L3685">
        <v>2.19</v>
      </c>
      <c r="M3685">
        <v>65.22</v>
      </c>
      <c r="N3685">
        <v>4508.54</v>
      </c>
    </row>
    <row r="3686" spans="1:14" x14ac:dyDescent="0.2">
      <c r="A3686" s="1">
        <v>45781</v>
      </c>
      <c r="B3686" s="2" t="s">
        <v>14</v>
      </c>
      <c r="C3686" s="2" t="s">
        <v>32</v>
      </c>
      <c r="D3686" s="2" t="s">
        <v>16</v>
      </c>
      <c r="E3686">
        <v>7409</v>
      </c>
      <c r="F3686">
        <v>239</v>
      </c>
      <c r="G3686">
        <v>22</v>
      </c>
      <c r="H3686">
        <v>609.04</v>
      </c>
      <c r="I3686">
        <v>2884.08</v>
      </c>
      <c r="J3686">
        <v>3.23</v>
      </c>
      <c r="K3686">
        <v>9.2100000000000009</v>
      </c>
      <c r="L3686">
        <v>27.68</v>
      </c>
      <c r="M3686">
        <v>4.74</v>
      </c>
      <c r="N3686">
        <v>2275.04</v>
      </c>
    </row>
    <row r="3687" spans="1:14" x14ac:dyDescent="0.2">
      <c r="A3687" s="1">
        <v>45781</v>
      </c>
      <c r="B3687" s="2" t="s">
        <v>17</v>
      </c>
      <c r="C3687" s="2" t="s">
        <v>18</v>
      </c>
      <c r="D3687" s="2" t="s">
        <v>25</v>
      </c>
      <c r="E3687">
        <v>9118</v>
      </c>
      <c r="F3687">
        <v>225</v>
      </c>
      <c r="G3687">
        <v>16</v>
      </c>
      <c r="H3687">
        <v>643.96</v>
      </c>
      <c r="I3687">
        <v>1400.27</v>
      </c>
      <c r="J3687">
        <v>2.4700000000000002</v>
      </c>
      <c r="K3687">
        <v>7.11</v>
      </c>
      <c r="L3687">
        <v>40.25</v>
      </c>
      <c r="M3687">
        <v>2.17</v>
      </c>
      <c r="N3687">
        <v>756.31</v>
      </c>
    </row>
    <row r="3688" spans="1:14" x14ac:dyDescent="0.2">
      <c r="A3688" s="1">
        <v>45781</v>
      </c>
      <c r="B3688" s="2" t="s">
        <v>20</v>
      </c>
      <c r="C3688" s="2" t="s">
        <v>15</v>
      </c>
      <c r="D3688" s="2" t="s">
        <v>19</v>
      </c>
      <c r="E3688">
        <v>9804</v>
      </c>
      <c r="F3688">
        <v>384</v>
      </c>
      <c r="G3688">
        <v>16</v>
      </c>
      <c r="H3688">
        <v>400.76</v>
      </c>
      <c r="I3688">
        <v>1667.8</v>
      </c>
      <c r="J3688">
        <v>3.92</v>
      </c>
      <c r="K3688">
        <v>4.17</v>
      </c>
      <c r="L3688">
        <v>25.05</v>
      </c>
      <c r="M3688">
        <v>4.16</v>
      </c>
      <c r="N3688">
        <v>1267.04</v>
      </c>
    </row>
    <row r="3689" spans="1:14" x14ac:dyDescent="0.2">
      <c r="A3689" s="1">
        <v>45781</v>
      </c>
      <c r="B3689" s="2" t="s">
        <v>23</v>
      </c>
      <c r="C3689" s="2" t="s">
        <v>28</v>
      </c>
      <c r="D3689" s="2" t="s">
        <v>25</v>
      </c>
      <c r="E3689">
        <v>2946</v>
      </c>
      <c r="F3689">
        <v>58</v>
      </c>
      <c r="G3689">
        <v>7</v>
      </c>
      <c r="H3689">
        <v>1210</v>
      </c>
      <c r="I3689">
        <v>2584.63</v>
      </c>
      <c r="J3689">
        <v>1.97</v>
      </c>
      <c r="K3689">
        <v>12.07</v>
      </c>
      <c r="L3689">
        <v>172.86</v>
      </c>
      <c r="M3689">
        <v>2.14</v>
      </c>
      <c r="N3689">
        <v>1374.63</v>
      </c>
    </row>
    <row r="3690" spans="1:14" x14ac:dyDescent="0.2">
      <c r="A3690" s="1">
        <v>45781</v>
      </c>
      <c r="B3690" s="2" t="s">
        <v>24</v>
      </c>
      <c r="C3690" s="2" t="s">
        <v>15</v>
      </c>
      <c r="D3690" s="2" t="s">
        <v>19</v>
      </c>
      <c r="E3690">
        <v>14998</v>
      </c>
      <c r="F3690">
        <v>3115</v>
      </c>
      <c r="G3690">
        <v>259</v>
      </c>
      <c r="H3690">
        <v>157.04</v>
      </c>
      <c r="I3690">
        <v>42623.86</v>
      </c>
      <c r="J3690">
        <v>20.77</v>
      </c>
      <c r="K3690">
        <v>8.31</v>
      </c>
      <c r="L3690">
        <v>0.61</v>
      </c>
      <c r="M3690">
        <v>271.42</v>
      </c>
      <c r="N3690">
        <v>42466.82</v>
      </c>
    </row>
    <row r="3691" spans="1:14" x14ac:dyDescent="0.2">
      <c r="A3691" s="1">
        <v>45781</v>
      </c>
      <c r="B3691" s="2" t="s">
        <v>26</v>
      </c>
      <c r="C3691" s="2" t="s">
        <v>35</v>
      </c>
      <c r="D3691" s="2" t="s">
        <v>19</v>
      </c>
      <c r="E3691">
        <v>17523</v>
      </c>
      <c r="F3691">
        <v>1213</v>
      </c>
      <c r="G3691">
        <v>165</v>
      </c>
      <c r="H3691">
        <v>0</v>
      </c>
      <c r="I3691">
        <v>23512.36</v>
      </c>
      <c r="J3691">
        <v>6.92</v>
      </c>
      <c r="K3691">
        <v>13.6</v>
      </c>
      <c r="L3691">
        <v>0</v>
      </c>
      <c r="M3691">
        <v>0</v>
      </c>
      <c r="N3691">
        <v>23512.36</v>
      </c>
    </row>
    <row r="3692" spans="1:14" x14ac:dyDescent="0.2">
      <c r="A3692" s="1">
        <v>45781</v>
      </c>
      <c r="B3692" s="2" t="s">
        <v>27</v>
      </c>
      <c r="C3692" s="2" t="s">
        <v>35</v>
      </c>
      <c r="D3692" s="2" t="s">
        <v>16</v>
      </c>
      <c r="E3692">
        <v>27691</v>
      </c>
      <c r="F3692">
        <v>305</v>
      </c>
      <c r="G3692">
        <v>11</v>
      </c>
      <c r="H3692">
        <v>901.97</v>
      </c>
      <c r="I3692">
        <v>1164.31</v>
      </c>
      <c r="J3692">
        <v>1.1000000000000001</v>
      </c>
      <c r="K3692">
        <v>3.61</v>
      </c>
      <c r="L3692">
        <v>82</v>
      </c>
      <c r="M3692">
        <v>1.29</v>
      </c>
      <c r="N3692">
        <v>262.33999999999997</v>
      </c>
    </row>
    <row r="3693" spans="1:14" x14ac:dyDescent="0.2">
      <c r="A3693" s="1">
        <v>45781</v>
      </c>
      <c r="B3693" s="2" t="s">
        <v>29</v>
      </c>
      <c r="C3693" s="2" t="s">
        <v>35</v>
      </c>
      <c r="D3693" s="2" t="s">
        <v>25</v>
      </c>
      <c r="E3693">
        <v>11620</v>
      </c>
      <c r="F3693">
        <v>214</v>
      </c>
      <c r="G3693">
        <v>14</v>
      </c>
      <c r="H3693">
        <v>592.41</v>
      </c>
      <c r="I3693">
        <v>2140.2399999999998</v>
      </c>
      <c r="J3693">
        <v>1.84</v>
      </c>
      <c r="K3693">
        <v>6.54</v>
      </c>
      <c r="L3693">
        <v>42.32</v>
      </c>
      <c r="M3693">
        <v>3.61</v>
      </c>
      <c r="N3693">
        <v>1547.83</v>
      </c>
    </row>
    <row r="3694" spans="1:14" x14ac:dyDescent="0.2">
      <c r="A3694" s="1">
        <v>45781</v>
      </c>
      <c r="B3694" s="2" t="s">
        <v>30</v>
      </c>
      <c r="C3694" s="2" t="s">
        <v>28</v>
      </c>
      <c r="D3694" s="2" t="s">
        <v>36</v>
      </c>
      <c r="E3694">
        <v>7815</v>
      </c>
      <c r="F3694">
        <v>263</v>
      </c>
      <c r="G3694">
        <v>13</v>
      </c>
      <c r="H3694">
        <v>335.89</v>
      </c>
      <c r="I3694">
        <v>1542.44</v>
      </c>
      <c r="J3694">
        <v>3.37</v>
      </c>
      <c r="K3694">
        <v>4.9400000000000004</v>
      </c>
      <c r="L3694">
        <v>25.84</v>
      </c>
      <c r="M3694">
        <v>4.59</v>
      </c>
      <c r="N3694">
        <v>1206.55</v>
      </c>
    </row>
    <row r="3695" spans="1:14" x14ac:dyDescent="0.2">
      <c r="A3695" s="1">
        <v>45781</v>
      </c>
      <c r="B3695" s="2" t="s">
        <v>31</v>
      </c>
      <c r="C3695" s="2" t="s">
        <v>15</v>
      </c>
      <c r="D3695" s="2" t="s">
        <v>22</v>
      </c>
      <c r="E3695">
        <v>16417</v>
      </c>
      <c r="F3695">
        <v>488</v>
      </c>
      <c r="G3695">
        <v>29</v>
      </c>
      <c r="H3695">
        <v>479.02</v>
      </c>
      <c r="I3695">
        <v>2258.62</v>
      </c>
      <c r="J3695">
        <v>2.97</v>
      </c>
      <c r="K3695">
        <v>5.94</v>
      </c>
      <c r="L3695">
        <v>16.52</v>
      </c>
      <c r="M3695">
        <v>4.72</v>
      </c>
      <c r="N3695">
        <v>1779.6</v>
      </c>
    </row>
    <row r="3696" spans="1:14" x14ac:dyDescent="0.2">
      <c r="A3696" s="1">
        <v>45781</v>
      </c>
      <c r="B3696" s="2" t="s">
        <v>33</v>
      </c>
      <c r="C3696" s="2" t="s">
        <v>15</v>
      </c>
      <c r="D3696" s="2" t="s">
        <v>25</v>
      </c>
      <c r="E3696">
        <v>6020</v>
      </c>
      <c r="F3696">
        <v>359</v>
      </c>
      <c r="G3696">
        <v>37</v>
      </c>
      <c r="H3696">
        <v>331.17</v>
      </c>
      <c r="I3696">
        <v>4534.9399999999996</v>
      </c>
      <c r="J3696">
        <v>5.96</v>
      </c>
      <c r="K3696">
        <v>10.31</v>
      </c>
      <c r="L3696">
        <v>8.9499999999999993</v>
      </c>
      <c r="M3696">
        <v>13.69</v>
      </c>
      <c r="N3696">
        <v>4203.7700000000004</v>
      </c>
    </row>
    <row r="3697" spans="1:14" x14ac:dyDescent="0.2">
      <c r="A3697" s="1">
        <v>45781</v>
      </c>
      <c r="B3697" s="2" t="s">
        <v>34</v>
      </c>
      <c r="C3697" s="2" t="s">
        <v>21</v>
      </c>
      <c r="D3697" s="2" t="s">
        <v>25</v>
      </c>
      <c r="E3697">
        <v>2768</v>
      </c>
      <c r="F3697">
        <v>161</v>
      </c>
      <c r="G3697">
        <v>20</v>
      </c>
      <c r="H3697">
        <v>59.22</v>
      </c>
      <c r="I3697">
        <v>3144.8</v>
      </c>
      <c r="J3697">
        <v>5.82</v>
      </c>
      <c r="K3697">
        <v>12.42</v>
      </c>
      <c r="L3697">
        <v>2.96</v>
      </c>
      <c r="M3697">
        <v>53.1</v>
      </c>
      <c r="N3697">
        <v>3085.58</v>
      </c>
    </row>
    <row r="3698" spans="1:14" x14ac:dyDescent="0.2">
      <c r="A3698" s="1">
        <v>45782</v>
      </c>
      <c r="B3698" s="2" t="s">
        <v>14</v>
      </c>
      <c r="C3698" s="2" t="s">
        <v>35</v>
      </c>
      <c r="D3698" s="2" t="s">
        <v>22</v>
      </c>
      <c r="E3698">
        <v>13053</v>
      </c>
      <c r="F3698">
        <v>530</v>
      </c>
      <c r="G3698">
        <v>62</v>
      </c>
      <c r="H3698">
        <v>910.85</v>
      </c>
      <c r="I3698">
        <v>9911.48</v>
      </c>
      <c r="J3698">
        <v>4.0599999999999996</v>
      </c>
      <c r="K3698">
        <v>11.7</v>
      </c>
      <c r="L3698">
        <v>14.69</v>
      </c>
      <c r="M3698">
        <v>10.88</v>
      </c>
      <c r="N3698">
        <v>9000.6299999999992</v>
      </c>
    </row>
    <row r="3699" spans="1:14" x14ac:dyDescent="0.2">
      <c r="A3699" s="1">
        <v>45782</v>
      </c>
      <c r="B3699" s="2" t="s">
        <v>17</v>
      </c>
      <c r="C3699" s="2" t="s">
        <v>35</v>
      </c>
      <c r="D3699" s="2" t="s">
        <v>25</v>
      </c>
      <c r="E3699">
        <v>13813</v>
      </c>
      <c r="F3699">
        <v>421</v>
      </c>
      <c r="G3699">
        <v>26</v>
      </c>
      <c r="H3699">
        <v>938.31</v>
      </c>
      <c r="I3699">
        <v>3219.32</v>
      </c>
      <c r="J3699">
        <v>3.05</v>
      </c>
      <c r="K3699">
        <v>6.18</v>
      </c>
      <c r="L3699">
        <v>36.090000000000003</v>
      </c>
      <c r="M3699">
        <v>3.43</v>
      </c>
      <c r="N3699">
        <v>2281.0100000000002</v>
      </c>
    </row>
    <row r="3700" spans="1:14" x14ac:dyDescent="0.2">
      <c r="A3700" s="1">
        <v>45782</v>
      </c>
      <c r="B3700" s="2" t="s">
        <v>20</v>
      </c>
      <c r="C3700" s="2" t="s">
        <v>18</v>
      </c>
      <c r="D3700" s="2" t="s">
        <v>16</v>
      </c>
      <c r="E3700">
        <v>16018</v>
      </c>
      <c r="F3700">
        <v>646</v>
      </c>
      <c r="G3700">
        <v>38</v>
      </c>
      <c r="H3700">
        <v>801.33</v>
      </c>
      <c r="I3700">
        <v>3436.29</v>
      </c>
      <c r="J3700">
        <v>4.03</v>
      </c>
      <c r="K3700">
        <v>5.88</v>
      </c>
      <c r="L3700">
        <v>21.09</v>
      </c>
      <c r="M3700">
        <v>4.29</v>
      </c>
      <c r="N3700">
        <v>2634.96</v>
      </c>
    </row>
    <row r="3701" spans="1:14" x14ac:dyDescent="0.2">
      <c r="A3701" s="1">
        <v>45782</v>
      </c>
      <c r="B3701" s="2" t="s">
        <v>23</v>
      </c>
      <c r="C3701" s="2" t="s">
        <v>18</v>
      </c>
      <c r="D3701" s="2" t="s">
        <v>16</v>
      </c>
      <c r="E3701">
        <v>4485</v>
      </c>
      <c r="F3701">
        <v>113</v>
      </c>
      <c r="G3701">
        <v>12</v>
      </c>
      <c r="H3701">
        <v>947.68</v>
      </c>
      <c r="I3701">
        <v>2928.4</v>
      </c>
      <c r="J3701">
        <v>2.52</v>
      </c>
      <c r="K3701">
        <v>10.62</v>
      </c>
      <c r="L3701">
        <v>78.97</v>
      </c>
      <c r="M3701">
        <v>3.09</v>
      </c>
      <c r="N3701">
        <v>1980.72</v>
      </c>
    </row>
    <row r="3702" spans="1:14" x14ac:dyDescent="0.2">
      <c r="A3702" s="1">
        <v>45782</v>
      </c>
      <c r="B3702" s="2" t="s">
        <v>24</v>
      </c>
      <c r="C3702" s="2" t="s">
        <v>28</v>
      </c>
      <c r="D3702" s="2" t="s">
        <v>16</v>
      </c>
      <c r="E3702">
        <v>19177</v>
      </c>
      <c r="F3702">
        <v>4634</v>
      </c>
      <c r="G3702">
        <v>502</v>
      </c>
      <c r="H3702">
        <v>148.53</v>
      </c>
      <c r="I3702">
        <v>68121.78</v>
      </c>
      <c r="J3702">
        <v>24.16</v>
      </c>
      <c r="K3702">
        <v>10.83</v>
      </c>
      <c r="L3702">
        <v>0.3</v>
      </c>
      <c r="M3702">
        <v>458.64</v>
      </c>
      <c r="N3702">
        <v>67973.25</v>
      </c>
    </row>
    <row r="3703" spans="1:14" x14ac:dyDescent="0.2">
      <c r="A3703" s="1">
        <v>45782</v>
      </c>
      <c r="B3703" s="2" t="s">
        <v>26</v>
      </c>
      <c r="C3703" s="2" t="s">
        <v>32</v>
      </c>
      <c r="D3703" s="2" t="s">
        <v>16</v>
      </c>
      <c r="E3703">
        <v>34188</v>
      </c>
      <c r="F3703">
        <v>2518</v>
      </c>
      <c r="G3703">
        <v>317</v>
      </c>
      <c r="H3703">
        <v>0</v>
      </c>
      <c r="I3703">
        <v>31830.65</v>
      </c>
      <c r="J3703">
        <v>7.37</v>
      </c>
      <c r="K3703">
        <v>12.59</v>
      </c>
      <c r="L3703">
        <v>0</v>
      </c>
      <c r="M3703">
        <v>0</v>
      </c>
      <c r="N3703">
        <v>31830.65</v>
      </c>
    </row>
    <row r="3704" spans="1:14" x14ac:dyDescent="0.2">
      <c r="A3704" s="1">
        <v>45782</v>
      </c>
      <c r="B3704" s="2" t="s">
        <v>27</v>
      </c>
      <c r="C3704" s="2" t="s">
        <v>15</v>
      </c>
      <c r="D3704" s="2" t="s">
        <v>36</v>
      </c>
      <c r="E3704">
        <v>25114</v>
      </c>
      <c r="F3704">
        <v>312</v>
      </c>
      <c r="G3704">
        <v>6</v>
      </c>
      <c r="H3704">
        <v>1025.26</v>
      </c>
      <c r="I3704">
        <v>579.44000000000005</v>
      </c>
      <c r="J3704">
        <v>1.24</v>
      </c>
      <c r="K3704">
        <v>1.92</v>
      </c>
      <c r="L3704">
        <v>170.88</v>
      </c>
      <c r="M3704">
        <v>0.56999999999999995</v>
      </c>
      <c r="N3704">
        <v>-445.82</v>
      </c>
    </row>
    <row r="3705" spans="1:14" x14ac:dyDescent="0.2">
      <c r="A3705" s="1">
        <v>45782</v>
      </c>
      <c r="B3705" s="2" t="s">
        <v>29</v>
      </c>
      <c r="C3705" s="2" t="s">
        <v>35</v>
      </c>
      <c r="D3705" s="2" t="s">
        <v>22</v>
      </c>
      <c r="E3705">
        <v>16799</v>
      </c>
      <c r="F3705">
        <v>316</v>
      </c>
      <c r="G3705">
        <v>22</v>
      </c>
      <c r="H3705">
        <v>947.3</v>
      </c>
      <c r="I3705">
        <v>2232.83</v>
      </c>
      <c r="J3705">
        <v>1.88</v>
      </c>
      <c r="K3705">
        <v>6.96</v>
      </c>
      <c r="L3705">
        <v>43.06</v>
      </c>
      <c r="M3705">
        <v>2.36</v>
      </c>
      <c r="N3705">
        <v>1285.53</v>
      </c>
    </row>
    <row r="3706" spans="1:14" x14ac:dyDescent="0.2">
      <c r="A3706" s="1">
        <v>45782</v>
      </c>
      <c r="B3706" s="2" t="s">
        <v>30</v>
      </c>
      <c r="C3706" s="2" t="s">
        <v>15</v>
      </c>
      <c r="D3706" s="2" t="s">
        <v>19</v>
      </c>
      <c r="E3706">
        <v>9490</v>
      </c>
      <c r="F3706">
        <v>287</v>
      </c>
      <c r="G3706">
        <v>13</v>
      </c>
      <c r="H3706">
        <v>466.19</v>
      </c>
      <c r="I3706">
        <v>1153.6400000000001</v>
      </c>
      <c r="J3706">
        <v>3.02</v>
      </c>
      <c r="K3706">
        <v>4.53</v>
      </c>
      <c r="L3706">
        <v>35.86</v>
      </c>
      <c r="M3706">
        <v>2.4700000000000002</v>
      </c>
      <c r="N3706">
        <v>687.45</v>
      </c>
    </row>
    <row r="3707" spans="1:14" x14ac:dyDescent="0.2">
      <c r="A3707" s="1">
        <v>45782</v>
      </c>
      <c r="B3707" s="2" t="s">
        <v>31</v>
      </c>
      <c r="C3707" s="2" t="s">
        <v>35</v>
      </c>
      <c r="D3707" s="2" t="s">
        <v>22</v>
      </c>
      <c r="E3707">
        <v>23255</v>
      </c>
      <c r="F3707">
        <v>633</v>
      </c>
      <c r="G3707">
        <v>24</v>
      </c>
      <c r="H3707">
        <v>873.16</v>
      </c>
      <c r="I3707">
        <v>2004.46</v>
      </c>
      <c r="J3707">
        <v>2.72</v>
      </c>
      <c r="K3707">
        <v>3.79</v>
      </c>
      <c r="L3707">
        <v>36.380000000000003</v>
      </c>
      <c r="M3707">
        <v>2.2999999999999998</v>
      </c>
      <c r="N3707">
        <v>1131.3</v>
      </c>
    </row>
    <row r="3708" spans="1:14" x14ac:dyDescent="0.2">
      <c r="A3708" s="1">
        <v>45782</v>
      </c>
      <c r="B3708" s="2" t="s">
        <v>33</v>
      </c>
      <c r="C3708" s="2" t="s">
        <v>18</v>
      </c>
      <c r="D3708" s="2" t="s">
        <v>16</v>
      </c>
      <c r="E3708">
        <v>7337</v>
      </c>
      <c r="F3708">
        <v>441</v>
      </c>
      <c r="G3708">
        <v>47</v>
      </c>
      <c r="H3708">
        <v>534.73</v>
      </c>
      <c r="I3708">
        <v>6066.02</v>
      </c>
      <c r="J3708">
        <v>6.01</v>
      </c>
      <c r="K3708">
        <v>10.66</v>
      </c>
      <c r="L3708">
        <v>11.38</v>
      </c>
      <c r="M3708">
        <v>11.34</v>
      </c>
      <c r="N3708">
        <v>5531.29</v>
      </c>
    </row>
    <row r="3709" spans="1:14" x14ac:dyDescent="0.2">
      <c r="A3709" s="1">
        <v>45782</v>
      </c>
      <c r="B3709" s="2" t="s">
        <v>34</v>
      </c>
      <c r="C3709" s="2" t="s">
        <v>32</v>
      </c>
      <c r="D3709" s="2" t="s">
        <v>16</v>
      </c>
      <c r="E3709">
        <v>3534</v>
      </c>
      <c r="F3709">
        <v>176</v>
      </c>
      <c r="G3709">
        <v>21</v>
      </c>
      <c r="H3709">
        <v>51.6</v>
      </c>
      <c r="I3709">
        <v>3326.65</v>
      </c>
      <c r="J3709">
        <v>4.9800000000000004</v>
      </c>
      <c r="K3709">
        <v>11.93</v>
      </c>
      <c r="L3709">
        <v>2.46</v>
      </c>
      <c r="M3709">
        <v>64.47</v>
      </c>
      <c r="N3709">
        <v>3275.05</v>
      </c>
    </row>
    <row r="3710" spans="1:14" x14ac:dyDescent="0.2">
      <c r="A3710" s="1">
        <v>45783</v>
      </c>
      <c r="B3710" s="2" t="s">
        <v>14</v>
      </c>
      <c r="C3710" s="2" t="s">
        <v>18</v>
      </c>
      <c r="D3710" s="2" t="s">
        <v>25</v>
      </c>
      <c r="E3710">
        <v>10456</v>
      </c>
      <c r="F3710">
        <v>339</v>
      </c>
      <c r="G3710">
        <v>37</v>
      </c>
      <c r="H3710">
        <v>1254.42</v>
      </c>
      <c r="I3710">
        <v>5262.29</v>
      </c>
      <c r="J3710">
        <v>3.24</v>
      </c>
      <c r="K3710">
        <v>10.91</v>
      </c>
      <c r="L3710">
        <v>33.9</v>
      </c>
      <c r="M3710">
        <v>4.1900000000000004</v>
      </c>
      <c r="N3710">
        <v>4007.87</v>
      </c>
    </row>
    <row r="3711" spans="1:14" x14ac:dyDescent="0.2">
      <c r="A3711" s="1">
        <v>45783</v>
      </c>
      <c r="B3711" s="2" t="s">
        <v>17</v>
      </c>
      <c r="C3711" s="2" t="s">
        <v>15</v>
      </c>
      <c r="D3711" s="2" t="s">
        <v>22</v>
      </c>
      <c r="E3711">
        <v>13602</v>
      </c>
      <c r="F3711">
        <v>351</v>
      </c>
      <c r="G3711">
        <v>18</v>
      </c>
      <c r="H3711">
        <v>724.84</v>
      </c>
      <c r="I3711">
        <v>1808.62</v>
      </c>
      <c r="J3711">
        <v>2.58</v>
      </c>
      <c r="K3711">
        <v>5.13</v>
      </c>
      <c r="L3711">
        <v>40.270000000000003</v>
      </c>
      <c r="M3711">
        <v>2.5</v>
      </c>
      <c r="N3711">
        <v>1083.78</v>
      </c>
    </row>
    <row r="3712" spans="1:14" x14ac:dyDescent="0.2">
      <c r="A3712" s="1">
        <v>45783</v>
      </c>
      <c r="B3712" s="2" t="s">
        <v>20</v>
      </c>
      <c r="C3712" s="2" t="s">
        <v>32</v>
      </c>
      <c r="D3712" s="2" t="s">
        <v>16</v>
      </c>
      <c r="E3712">
        <v>13112</v>
      </c>
      <c r="F3712">
        <v>586</v>
      </c>
      <c r="G3712">
        <v>35</v>
      </c>
      <c r="H3712">
        <v>993.67</v>
      </c>
      <c r="I3712">
        <v>3455.76</v>
      </c>
      <c r="J3712">
        <v>4.47</v>
      </c>
      <c r="K3712">
        <v>5.97</v>
      </c>
      <c r="L3712">
        <v>28.39</v>
      </c>
      <c r="M3712">
        <v>3.48</v>
      </c>
      <c r="N3712">
        <v>2462.09</v>
      </c>
    </row>
    <row r="3713" spans="1:14" x14ac:dyDescent="0.2">
      <c r="A3713" s="1">
        <v>45783</v>
      </c>
      <c r="B3713" s="2" t="s">
        <v>23</v>
      </c>
      <c r="C3713" s="2" t="s">
        <v>15</v>
      </c>
      <c r="D3713" s="2" t="s">
        <v>16</v>
      </c>
      <c r="E3713">
        <v>3182</v>
      </c>
      <c r="F3713">
        <v>86</v>
      </c>
      <c r="G3713">
        <v>12</v>
      </c>
      <c r="H3713">
        <v>1307.9000000000001</v>
      </c>
      <c r="I3713">
        <v>2656.66</v>
      </c>
      <c r="J3713">
        <v>2.7</v>
      </c>
      <c r="K3713">
        <v>13.95</v>
      </c>
      <c r="L3713">
        <v>108.99</v>
      </c>
      <c r="M3713">
        <v>2.0299999999999998</v>
      </c>
      <c r="N3713">
        <v>1348.76</v>
      </c>
    </row>
    <row r="3714" spans="1:14" x14ac:dyDescent="0.2">
      <c r="A3714" s="1">
        <v>45783</v>
      </c>
      <c r="B3714" s="2" t="s">
        <v>24</v>
      </c>
      <c r="C3714" s="2" t="s">
        <v>18</v>
      </c>
      <c r="D3714" s="2" t="s">
        <v>25</v>
      </c>
      <c r="E3714">
        <v>15008</v>
      </c>
      <c r="F3714">
        <v>3695</v>
      </c>
      <c r="G3714">
        <v>495</v>
      </c>
      <c r="H3714">
        <v>293.64999999999998</v>
      </c>
      <c r="I3714">
        <v>83450.8</v>
      </c>
      <c r="J3714">
        <v>24.62</v>
      </c>
      <c r="K3714">
        <v>13.4</v>
      </c>
      <c r="L3714">
        <v>0.59</v>
      </c>
      <c r="M3714">
        <v>284.18</v>
      </c>
      <c r="N3714">
        <v>83157.149999999994</v>
      </c>
    </row>
    <row r="3715" spans="1:14" x14ac:dyDescent="0.2">
      <c r="A3715" s="1">
        <v>45783</v>
      </c>
      <c r="B3715" s="2" t="s">
        <v>26</v>
      </c>
      <c r="C3715" s="2" t="s">
        <v>21</v>
      </c>
      <c r="D3715" s="2" t="s">
        <v>36</v>
      </c>
      <c r="E3715">
        <v>21551</v>
      </c>
      <c r="F3715">
        <v>1626</v>
      </c>
      <c r="G3715">
        <v>183</v>
      </c>
      <c r="H3715">
        <v>0</v>
      </c>
      <c r="I3715">
        <v>27245.49</v>
      </c>
      <c r="J3715">
        <v>7.54</v>
      </c>
      <c r="K3715">
        <v>11.25</v>
      </c>
      <c r="L3715">
        <v>0</v>
      </c>
      <c r="M3715">
        <v>0</v>
      </c>
      <c r="N3715">
        <v>27245.49</v>
      </c>
    </row>
    <row r="3716" spans="1:14" x14ac:dyDescent="0.2">
      <c r="A3716" s="1">
        <v>45783</v>
      </c>
      <c r="B3716" s="2" t="s">
        <v>27</v>
      </c>
      <c r="C3716" s="2" t="s">
        <v>15</v>
      </c>
      <c r="D3716" s="2" t="s">
        <v>25</v>
      </c>
      <c r="E3716">
        <v>34242</v>
      </c>
      <c r="F3716">
        <v>523</v>
      </c>
      <c r="G3716">
        <v>15</v>
      </c>
      <c r="H3716">
        <v>764.78</v>
      </c>
      <c r="I3716">
        <v>1321.98</v>
      </c>
      <c r="J3716">
        <v>1.53</v>
      </c>
      <c r="K3716">
        <v>2.87</v>
      </c>
      <c r="L3716">
        <v>50.99</v>
      </c>
      <c r="M3716">
        <v>1.73</v>
      </c>
      <c r="N3716">
        <v>557.20000000000005</v>
      </c>
    </row>
    <row r="3717" spans="1:14" x14ac:dyDescent="0.2">
      <c r="A3717" s="1">
        <v>45783</v>
      </c>
      <c r="B3717" s="2" t="s">
        <v>29</v>
      </c>
      <c r="C3717" s="2" t="s">
        <v>21</v>
      </c>
      <c r="D3717" s="2" t="s">
        <v>16</v>
      </c>
      <c r="E3717">
        <v>22363</v>
      </c>
      <c r="F3717">
        <v>500</v>
      </c>
      <c r="G3717">
        <v>32</v>
      </c>
      <c r="H3717">
        <v>1321.58</v>
      </c>
      <c r="I3717">
        <v>4206.7</v>
      </c>
      <c r="J3717">
        <v>2.2400000000000002</v>
      </c>
      <c r="K3717">
        <v>6.4</v>
      </c>
      <c r="L3717">
        <v>41.3</v>
      </c>
      <c r="M3717">
        <v>3.18</v>
      </c>
      <c r="N3717">
        <v>2885.12</v>
      </c>
    </row>
    <row r="3718" spans="1:14" x14ac:dyDescent="0.2">
      <c r="A3718" s="1">
        <v>45783</v>
      </c>
      <c r="B3718" s="2" t="s">
        <v>30</v>
      </c>
      <c r="C3718" s="2" t="s">
        <v>15</v>
      </c>
      <c r="D3718" s="2" t="s">
        <v>22</v>
      </c>
      <c r="E3718">
        <v>10575</v>
      </c>
      <c r="F3718">
        <v>258</v>
      </c>
      <c r="G3718">
        <v>9</v>
      </c>
      <c r="H3718">
        <v>557.29999999999995</v>
      </c>
      <c r="I3718">
        <v>840.27</v>
      </c>
      <c r="J3718">
        <v>2.44</v>
      </c>
      <c r="K3718">
        <v>3.49</v>
      </c>
      <c r="L3718">
        <v>61.92</v>
      </c>
      <c r="M3718">
        <v>1.51</v>
      </c>
      <c r="N3718">
        <v>282.97000000000003</v>
      </c>
    </row>
    <row r="3719" spans="1:14" x14ac:dyDescent="0.2">
      <c r="A3719" s="1">
        <v>45783</v>
      </c>
      <c r="B3719" s="2" t="s">
        <v>31</v>
      </c>
      <c r="C3719" s="2" t="s">
        <v>35</v>
      </c>
      <c r="D3719" s="2" t="s">
        <v>19</v>
      </c>
      <c r="E3719">
        <v>19577</v>
      </c>
      <c r="F3719">
        <v>819</v>
      </c>
      <c r="G3719">
        <v>38</v>
      </c>
      <c r="H3719">
        <v>1038.3699999999999</v>
      </c>
      <c r="I3719">
        <v>3287.62</v>
      </c>
      <c r="J3719">
        <v>4.18</v>
      </c>
      <c r="K3719">
        <v>4.6399999999999997</v>
      </c>
      <c r="L3719">
        <v>27.33</v>
      </c>
      <c r="M3719">
        <v>3.17</v>
      </c>
      <c r="N3719">
        <v>2249.25</v>
      </c>
    </row>
    <row r="3720" spans="1:14" x14ac:dyDescent="0.2">
      <c r="A3720" s="1">
        <v>45783</v>
      </c>
      <c r="B3720" s="2" t="s">
        <v>33</v>
      </c>
      <c r="C3720" s="2" t="s">
        <v>28</v>
      </c>
      <c r="D3720" s="2" t="s">
        <v>16</v>
      </c>
      <c r="E3720">
        <v>7188</v>
      </c>
      <c r="F3720">
        <v>329</v>
      </c>
      <c r="G3720">
        <v>26</v>
      </c>
      <c r="H3720">
        <v>378.17</v>
      </c>
      <c r="I3720">
        <v>2882.51</v>
      </c>
      <c r="J3720">
        <v>4.58</v>
      </c>
      <c r="K3720">
        <v>7.9</v>
      </c>
      <c r="L3720">
        <v>14.54</v>
      </c>
      <c r="M3720">
        <v>7.62</v>
      </c>
      <c r="N3720">
        <v>2504.34</v>
      </c>
    </row>
    <row r="3721" spans="1:14" x14ac:dyDescent="0.2">
      <c r="A3721" s="1">
        <v>45783</v>
      </c>
      <c r="B3721" s="2" t="s">
        <v>34</v>
      </c>
      <c r="C3721" s="2" t="s">
        <v>15</v>
      </c>
      <c r="D3721" s="2" t="s">
        <v>36</v>
      </c>
      <c r="E3721">
        <v>3115</v>
      </c>
      <c r="F3721">
        <v>201</v>
      </c>
      <c r="G3721">
        <v>32</v>
      </c>
      <c r="H3721">
        <v>150.22</v>
      </c>
      <c r="I3721">
        <v>4600.53</v>
      </c>
      <c r="J3721">
        <v>6.45</v>
      </c>
      <c r="K3721">
        <v>15.92</v>
      </c>
      <c r="L3721">
        <v>4.6900000000000004</v>
      </c>
      <c r="M3721">
        <v>30.63</v>
      </c>
      <c r="N3721">
        <v>4450.3100000000004</v>
      </c>
    </row>
    <row r="3722" spans="1:14" x14ac:dyDescent="0.2">
      <c r="A3722" s="1">
        <v>45784</v>
      </c>
      <c r="B3722" s="2" t="s">
        <v>14</v>
      </c>
      <c r="C3722" s="2" t="s">
        <v>35</v>
      </c>
      <c r="D3722" s="2" t="s">
        <v>36</v>
      </c>
      <c r="E3722">
        <v>14589</v>
      </c>
      <c r="F3722">
        <v>645</v>
      </c>
      <c r="G3722">
        <v>71</v>
      </c>
      <c r="H3722">
        <v>1408.87</v>
      </c>
      <c r="I3722">
        <v>10823.93</v>
      </c>
      <c r="J3722">
        <v>4.42</v>
      </c>
      <c r="K3722">
        <v>11.01</v>
      </c>
      <c r="L3722">
        <v>19.84</v>
      </c>
      <c r="M3722">
        <v>7.68</v>
      </c>
      <c r="N3722">
        <v>9415.06</v>
      </c>
    </row>
    <row r="3723" spans="1:14" x14ac:dyDescent="0.2">
      <c r="A3723" s="1">
        <v>45784</v>
      </c>
      <c r="B3723" s="2" t="s">
        <v>17</v>
      </c>
      <c r="C3723" s="2" t="s">
        <v>15</v>
      </c>
      <c r="D3723" s="2" t="s">
        <v>19</v>
      </c>
      <c r="E3723">
        <v>15776</v>
      </c>
      <c r="F3723">
        <v>582</v>
      </c>
      <c r="G3723">
        <v>51</v>
      </c>
      <c r="H3723">
        <v>1171.4100000000001</v>
      </c>
      <c r="I3723">
        <v>6073.98</v>
      </c>
      <c r="J3723">
        <v>3.69</v>
      </c>
      <c r="K3723">
        <v>8.76</v>
      </c>
      <c r="L3723">
        <v>22.97</v>
      </c>
      <c r="M3723">
        <v>5.19</v>
      </c>
      <c r="N3723">
        <v>4902.57</v>
      </c>
    </row>
    <row r="3724" spans="1:14" x14ac:dyDescent="0.2">
      <c r="A3724" s="1">
        <v>45784</v>
      </c>
      <c r="B3724" s="2" t="s">
        <v>20</v>
      </c>
      <c r="C3724" s="2" t="s">
        <v>35</v>
      </c>
      <c r="D3724" s="2" t="s">
        <v>22</v>
      </c>
      <c r="E3724">
        <v>13571</v>
      </c>
      <c r="F3724">
        <v>606</v>
      </c>
      <c r="G3724">
        <v>46</v>
      </c>
      <c r="H3724">
        <v>793.38</v>
      </c>
      <c r="I3724">
        <v>4210.24</v>
      </c>
      <c r="J3724">
        <v>4.47</v>
      </c>
      <c r="K3724">
        <v>7.59</v>
      </c>
      <c r="L3724">
        <v>17.25</v>
      </c>
      <c r="M3724">
        <v>5.31</v>
      </c>
      <c r="N3724">
        <v>3416.86</v>
      </c>
    </row>
    <row r="3725" spans="1:14" x14ac:dyDescent="0.2">
      <c r="A3725" s="1">
        <v>45784</v>
      </c>
      <c r="B3725" s="2" t="s">
        <v>23</v>
      </c>
      <c r="C3725" s="2" t="s">
        <v>18</v>
      </c>
      <c r="D3725" s="2" t="s">
        <v>19</v>
      </c>
      <c r="E3725">
        <v>4916</v>
      </c>
      <c r="F3725">
        <v>99</v>
      </c>
      <c r="G3725">
        <v>11</v>
      </c>
      <c r="H3725">
        <v>1704.05</v>
      </c>
      <c r="I3725">
        <v>2292.5300000000002</v>
      </c>
      <c r="J3725">
        <v>2.0099999999999998</v>
      </c>
      <c r="K3725">
        <v>11.11</v>
      </c>
      <c r="L3725">
        <v>154.91</v>
      </c>
      <c r="M3725">
        <v>1.35</v>
      </c>
      <c r="N3725">
        <v>588.48</v>
      </c>
    </row>
    <row r="3726" spans="1:14" x14ac:dyDescent="0.2">
      <c r="A3726" s="1">
        <v>45784</v>
      </c>
      <c r="B3726" s="2" t="s">
        <v>24</v>
      </c>
      <c r="C3726" s="2" t="s">
        <v>18</v>
      </c>
      <c r="D3726" s="2" t="s">
        <v>36</v>
      </c>
      <c r="E3726">
        <v>21505</v>
      </c>
      <c r="F3726">
        <v>4946</v>
      </c>
      <c r="G3726">
        <v>611</v>
      </c>
      <c r="H3726">
        <v>285.20999999999998</v>
      </c>
      <c r="I3726">
        <v>77411.520000000004</v>
      </c>
      <c r="J3726">
        <v>23</v>
      </c>
      <c r="K3726">
        <v>12.35</v>
      </c>
      <c r="L3726">
        <v>0.47</v>
      </c>
      <c r="M3726">
        <v>271.42</v>
      </c>
      <c r="N3726">
        <v>77126.31</v>
      </c>
    </row>
    <row r="3727" spans="1:14" x14ac:dyDescent="0.2">
      <c r="A3727" s="1">
        <v>45784</v>
      </c>
      <c r="B3727" s="2" t="s">
        <v>26</v>
      </c>
      <c r="C3727" s="2" t="s">
        <v>28</v>
      </c>
      <c r="D3727" s="2" t="s">
        <v>19</v>
      </c>
      <c r="E3727">
        <v>32203</v>
      </c>
      <c r="F3727">
        <v>2392</v>
      </c>
      <c r="G3727">
        <v>380</v>
      </c>
      <c r="H3727">
        <v>0</v>
      </c>
      <c r="I3727">
        <v>60263.66</v>
      </c>
      <c r="J3727">
        <v>7.43</v>
      </c>
      <c r="K3727">
        <v>15.89</v>
      </c>
      <c r="L3727">
        <v>0</v>
      </c>
      <c r="M3727">
        <v>0</v>
      </c>
      <c r="N3727">
        <v>60263.66</v>
      </c>
    </row>
    <row r="3728" spans="1:14" x14ac:dyDescent="0.2">
      <c r="A3728" s="1">
        <v>45784</v>
      </c>
      <c r="B3728" s="2" t="s">
        <v>27</v>
      </c>
      <c r="C3728" s="2" t="s">
        <v>18</v>
      </c>
      <c r="D3728" s="2" t="s">
        <v>19</v>
      </c>
      <c r="E3728">
        <v>33652</v>
      </c>
      <c r="F3728">
        <v>466</v>
      </c>
      <c r="G3728">
        <v>14</v>
      </c>
      <c r="H3728">
        <v>717.43</v>
      </c>
      <c r="I3728">
        <v>1131.74</v>
      </c>
      <c r="J3728">
        <v>1.38</v>
      </c>
      <c r="K3728">
        <v>3</v>
      </c>
      <c r="L3728">
        <v>51.24</v>
      </c>
      <c r="M3728">
        <v>1.58</v>
      </c>
      <c r="N3728">
        <v>414.31</v>
      </c>
    </row>
    <row r="3729" spans="1:14" x14ac:dyDescent="0.2">
      <c r="A3729" s="1">
        <v>45784</v>
      </c>
      <c r="B3729" s="2" t="s">
        <v>29</v>
      </c>
      <c r="C3729" s="2" t="s">
        <v>35</v>
      </c>
      <c r="D3729" s="2" t="s">
        <v>22</v>
      </c>
      <c r="E3729">
        <v>16899</v>
      </c>
      <c r="F3729">
        <v>381</v>
      </c>
      <c r="G3729">
        <v>20</v>
      </c>
      <c r="H3729">
        <v>1202.71</v>
      </c>
      <c r="I3729">
        <v>2698.71</v>
      </c>
      <c r="J3729">
        <v>2.25</v>
      </c>
      <c r="K3729">
        <v>5.25</v>
      </c>
      <c r="L3729">
        <v>60.14</v>
      </c>
      <c r="M3729">
        <v>2.2400000000000002</v>
      </c>
      <c r="N3729">
        <v>1496</v>
      </c>
    </row>
    <row r="3730" spans="1:14" x14ac:dyDescent="0.2">
      <c r="A3730" s="1">
        <v>45784</v>
      </c>
      <c r="B3730" s="2" t="s">
        <v>30</v>
      </c>
      <c r="C3730" s="2" t="s">
        <v>28</v>
      </c>
      <c r="D3730" s="2" t="s">
        <v>16</v>
      </c>
      <c r="E3730">
        <v>12782</v>
      </c>
      <c r="F3730">
        <v>333</v>
      </c>
      <c r="G3730">
        <v>14</v>
      </c>
      <c r="H3730">
        <v>594.87</v>
      </c>
      <c r="I3730">
        <v>1611.2</v>
      </c>
      <c r="J3730">
        <v>2.61</v>
      </c>
      <c r="K3730">
        <v>4.2</v>
      </c>
      <c r="L3730">
        <v>42.49</v>
      </c>
      <c r="M3730">
        <v>2.71</v>
      </c>
      <c r="N3730">
        <v>1016.33</v>
      </c>
    </row>
    <row r="3731" spans="1:14" x14ac:dyDescent="0.2">
      <c r="A3731" s="1">
        <v>45784</v>
      </c>
      <c r="B3731" s="2" t="s">
        <v>31</v>
      </c>
      <c r="C3731" s="2" t="s">
        <v>28</v>
      </c>
      <c r="D3731" s="2" t="s">
        <v>22</v>
      </c>
      <c r="E3731">
        <v>18953</v>
      </c>
      <c r="F3731">
        <v>592</v>
      </c>
      <c r="G3731">
        <v>25</v>
      </c>
      <c r="H3731">
        <v>1087.57</v>
      </c>
      <c r="I3731">
        <v>2854.55</v>
      </c>
      <c r="J3731">
        <v>3.12</v>
      </c>
      <c r="K3731">
        <v>4.22</v>
      </c>
      <c r="L3731">
        <v>43.5</v>
      </c>
      <c r="M3731">
        <v>2.62</v>
      </c>
      <c r="N3731">
        <v>1766.98</v>
      </c>
    </row>
    <row r="3732" spans="1:14" x14ac:dyDescent="0.2">
      <c r="A3732" s="1">
        <v>45784</v>
      </c>
      <c r="B3732" s="2" t="s">
        <v>33</v>
      </c>
      <c r="C3732" s="2" t="s">
        <v>32</v>
      </c>
      <c r="D3732" s="2" t="s">
        <v>36</v>
      </c>
      <c r="E3732">
        <v>9714</v>
      </c>
      <c r="F3732">
        <v>490</v>
      </c>
      <c r="G3732">
        <v>47</v>
      </c>
      <c r="H3732">
        <v>445.32</v>
      </c>
      <c r="I3732">
        <v>5654.93</v>
      </c>
      <c r="J3732">
        <v>5.04</v>
      </c>
      <c r="K3732">
        <v>9.59</v>
      </c>
      <c r="L3732">
        <v>9.4700000000000006</v>
      </c>
      <c r="M3732">
        <v>12.7</v>
      </c>
      <c r="N3732">
        <v>5209.6099999999997</v>
      </c>
    </row>
    <row r="3733" spans="1:14" x14ac:dyDescent="0.2">
      <c r="A3733" s="1">
        <v>45784</v>
      </c>
      <c r="B3733" s="2" t="s">
        <v>34</v>
      </c>
      <c r="C3733" s="2" t="s">
        <v>21</v>
      </c>
      <c r="D3733" s="2" t="s">
        <v>36</v>
      </c>
      <c r="E3733">
        <v>3528</v>
      </c>
      <c r="F3733">
        <v>192</v>
      </c>
      <c r="G3733">
        <v>28</v>
      </c>
      <c r="H3733">
        <v>80.48</v>
      </c>
      <c r="I3733">
        <v>3611.37</v>
      </c>
      <c r="J3733">
        <v>5.44</v>
      </c>
      <c r="K3733">
        <v>14.58</v>
      </c>
      <c r="L3733">
        <v>2.87</v>
      </c>
      <c r="M3733">
        <v>44.87</v>
      </c>
      <c r="N3733">
        <v>3530.89</v>
      </c>
    </row>
    <row r="3734" spans="1:14" x14ac:dyDescent="0.2">
      <c r="A3734" s="1">
        <v>45785</v>
      </c>
      <c r="B3734" s="2" t="s">
        <v>14</v>
      </c>
      <c r="C3734" s="2" t="s">
        <v>18</v>
      </c>
      <c r="D3734" s="2" t="s">
        <v>22</v>
      </c>
      <c r="E3734">
        <v>9545</v>
      </c>
      <c r="F3734">
        <v>441</v>
      </c>
      <c r="G3734">
        <v>45</v>
      </c>
      <c r="H3734">
        <v>1044.48</v>
      </c>
      <c r="I3734">
        <v>7592.74</v>
      </c>
      <c r="J3734">
        <v>4.62</v>
      </c>
      <c r="K3734">
        <v>10.199999999999999</v>
      </c>
      <c r="L3734">
        <v>23.21</v>
      </c>
      <c r="M3734">
        <v>7.27</v>
      </c>
      <c r="N3734">
        <v>6548.26</v>
      </c>
    </row>
    <row r="3735" spans="1:14" x14ac:dyDescent="0.2">
      <c r="A3735" s="1">
        <v>45785</v>
      </c>
      <c r="B3735" s="2" t="s">
        <v>17</v>
      </c>
      <c r="C3735" s="2" t="s">
        <v>32</v>
      </c>
      <c r="D3735" s="2" t="s">
        <v>36</v>
      </c>
      <c r="E3735">
        <v>17740</v>
      </c>
      <c r="F3735">
        <v>587</v>
      </c>
      <c r="G3735">
        <v>50</v>
      </c>
      <c r="H3735">
        <v>1148.8499999999999</v>
      </c>
      <c r="I3735">
        <v>5127.34</v>
      </c>
      <c r="J3735">
        <v>3.31</v>
      </c>
      <c r="K3735">
        <v>8.52</v>
      </c>
      <c r="L3735">
        <v>22.98</v>
      </c>
      <c r="M3735">
        <v>4.46</v>
      </c>
      <c r="N3735">
        <v>3978.49</v>
      </c>
    </row>
    <row r="3736" spans="1:14" x14ac:dyDescent="0.2">
      <c r="A3736" s="1">
        <v>45785</v>
      </c>
      <c r="B3736" s="2" t="s">
        <v>20</v>
      </c>
      <c r="C3736" s="2" t="s">
        <v>21</v>
      </c>
      <c r="D3736" s="2" t="s">
        <v>25</v>
      </c>
      <c r="E3736">
        <v>10594</v>
      </c>
      <c r="F3736">
        <v>308</v>
      </c>
      <c r="G3736">
        <v>23</v>
      </c>
      <c r="H3736">
        <v>873.69</v>
      </c>
      <c r="I3736">
        <v>2428.2199999999998</v>
      </c>
      <c r="J3736">
        <v>2.91</v>
      </c>
      <c r="K3736">
        <v>7.47</v>
      </c>
      <c r="L3736">
        <v>37.99</v>
      </c>
      <c r="M3736">
        <v>2.78</v>
      </c>
      <c r="N3736">
        <v>1554.53</v>
      </c>
    </row>
    <row r="3737" spans="1:14" x14ac:dyDescent="0.2">
      <c r="A3737" s="1">
        <v>45785</v>
      </c>
      <c r="B3737" s="2" t="s">
        <v>23</v>
      </c>
      <c r="C3737" s="2" t="s">
        <v>15</v>
      </c>
      <c r="D3737" s="2" t="s">
        <v>16</v>
      </c>
      <c r="E3737">
        <v>3599</v>
      </c>
      <c r="F3737">
        <v>54</v>
      </c>
      <c r="G3737">
        <v>6</v>
      </c>
      <c r="H3737">
        <v>1704.37</v>
      </c>
      <c r="I3737">
        <v>1671.42</v>
      </c>
      <c r="J3737">
        <v>1.5</v>
      </c>
      <c r="K3737">
        <v>11.11</v>
      </c>
      <c r="L3737">
        <v>284.06</v>
      </c>
      <c r="M3737">
        <v>0.98</v>
      </c>
      <c r="N3737">
        <v>-32.950000000000003</v>
      </c>
    </row>
    <row r="3738" spans="1:14" x14ac:dyDescent="0.2">
      <c r="A3738" s="1">
        <v>45785</v>
      </c>
      <c r="B3738" s="2" t="s">
        <v>24</v>
      </c>
      <c r="C3738" s="2" t="s">
        <v>28</v>
      </c>
      <c r="D3738" s="2" t="s">
        <v>19</v>
      </c>
      <c r="E3738">
        <v>21536</v>
      </c>
      <c r="F3738">
        <v>4942</v>
      </c>
      <c r="G3738">
        <v>473</v>
      </c>
      <c r="H3738">
        <v>271.43</v>
      </c>
      <c r="I3738">
        <v>61379.37</v>
      </c>
      <c r="J3738">
        <v>22.95</v>
      </c>
      <c r="K3738">
        <v>9.57</v>
      </c>
      <c r="L3738">
        <v>0.56999999999999995</v>
      </c>
      <c r="M3738">
        <v>226.13</v>
      </c>
      <c r="N3738">
        <v>61107.94</v>
      </c>
    </row>
    <row r="3739" spans="1:14" x14ac:dyDescent="0.2">
      <c r="A3739" s="1">
        <v>45785</v>
      </c>
      <c r="B3739" s="2" t="s">
        <v>26</v>
      </c>
      <c r="C3739" s="2" t="s">
        <v>18</v>
      </c>
      <c r="D3739" s="2" t="s">
        <v>16</v>
      </c>
      <c r="E3739">
        <v>21704</v>
      </c>
      <c r="F3739">
        <v>879</v>
      </c>
      <c r="G3739">
        <v>91</v>
      </c>
      <c r="H3739">
        <v>0</v>
      </c>
      <c r="I3739">
        <v>11929.96</v>
      </c>
      <c r="J3739">
        <v>4.05</v>
      </c>
      <c r="K3739">
        <v>10.35</v>
      </c>
      <c r="L3739">
        <v>0</v>
      </c>
      <c r="M3739">
        <v>0</v>
      </c>
      <c r="N3739">
        <v>11929.96</v>
      </c>
    </row>
    <row r="3740" spans="1:14" x14ac:dyDescent="0.2">
      <c r="A3740" s="1">
        <v>45785</v>
      </c>
      <c r="B3740" s="2" t="s">
        <v>27</v>
      </c>
      <c r="C3740" s="2" t="s">
        <v>18</v>
      </c>
      <c r="D3740" s="2" t="s">
        <v>16</v>
      </c>
      <c r="E3740">
        <v>25916</v>
      </c>
      <c r="F3740">
        <v>309</v>
      </c>
      <c r="G3740">
        <v>12</v>
      </c>
      <c r="H3740">
        <v>1055.53</v>
      </c>
      <c r="I3740">
        <v>1299.29</v>
      </c>
      <c r="J3740">
        <v>1.19</v>
      </c>
      <c r="K3740">
        <v>3.88</v>
      </c>
      <c r="L3740">
        <v>87.96</v>
      </c>
      <c r="M3740">
        <v>1.23</v>
      </c>
      <c r="N3740">
        <v>243.76</v>
      </c>
    </row>
    <row r="3741" spans="1:14" x14ac:dyDescent="0.2">
      <c r="A3741" s="1">
        <v>45785</v>
      </c>
      <c r="B3741" s="2" t="s">
        <v>29</v>
      </c>
      <c r="C3741" s="2" t="s">
        <v>32</v>
      </c>
      <c r="D3741" s="2" t="s">
        <v>19</v>
      </c>
      <c r="E3741">
        <v>21812</v>
      </c>
      <c r="F3741">
        <v>518</v>
      </c>
      <c r="G3741">
        <v>32</v>
      </c>
      <c r="H3741">
        <v>867.48</v>
      </c>
      <c r="I3741">
        <v>3681.88</v>
      </c>
      <c r="J3741">
        <v>2.37</v>
      </c>
      <c r="K3741">
        <v>6.18</v>
      </c>
      <c r="L3741">
        <v>27.11</v>
      </c>
      <c r="M3741">
        <v>4.24</v>
      </c>
      <c r="N3741">
        <v>2814.4</v>
      </c>
    </row>
    <row r="3742" spans="1:14" x14ac:dyDescent="0.2">
      <c r="A3742" s="1">
        <v>45785</v>
      </c>
      <c r="B3742" s="2" t="s">
        <v>30</v>
      </c>
      <c r="C3742" s="2" t="s">
        <v>28</v>
      </c>
      <c r="D3742" s="2" t="s">
        <v>16</v>
      </c>
      <c r="E3742">
        <v>8696</v>
      </c>
      <c r="F3742">
        <v>209</v>
      </c>
      <c r="G3742">
        <v>8</v>
      </c>
      <c r="H3742">
        <v>407.96</v>
      </c>
      <c r="I3742">
        <v>775.36</v>
      </c>
      <c r="J3742">
        <v>2.4</v>
      </c>
      <c r="K3742">
        <v>3.83</v>
      </c>
      <c r="L3742">
        <v>51</v>
      </c>
      <c r="M3742">
        <v>1.9</v>
      </c>
      <c r="N3742">
        <v>367.4</v>
      </c>
    </row>
    <row r="3743" spans="1:14" x14ac:dyDescent="0.2">
      <c r="A3743" s="1">
        <v>45785</v>
      </c>
      <c r="B3743" s="2" t="s">
        <v>31</v>
      </c>
      <c r="C3743" s="2" t="s">
        <v>28</v>
      </c>
      <c r="D3743" s="2" t="s">
        <v>22</v>
      </c>
      <c r="E3743">
        <v>19824</v>
      </c>
      <c r="F3743">
        <v>730</v>
      </c>
      <c r="G3743">
        <v>39</v>
      </c>
      <c r="H3743">
        <v>1013.26</v>
      </c>
      <c r="I3743">
        <v>3320.48</v>
      </c>
      <c r="J3743">
        <v>3.68</v>
      </c>
      <c r="K3743">
        <v>5.34</v>
      </c>
      <c r="L3743">
        <v>25.98</v>
      </c>
      <c r="M3743">
        <v>3.28</v>
      </c>
      <c r="N3743">
        <v>2307.2199999999998</v>
      </c>
    </row>
    <row r="3744" spans="1:14" x14ac:dyDescent="0.2">
      <c r="A3744" s="1">
        <v>45785</v>
      </c>
      <c r="B3744" s="2" t="s">
        <v>33</v>
      </c>
      <c r="C3744" s="2" t="s">
        <v>15</v>
      </c>
      <c r="D3744" s="2" t="s">
        <v>16</v>
      </c>
      <c r="E3744">
        <v>7375</v>
      </c>
      <c r="F3744">
        <v>384</v>
      </c>
      <c r="G3744">
        <v>40</v>
      </c>
      <c r="H3744">
        <v>312.39</v>
      </c>
      <c r="I3744">
        <v>5195.93</v>
      </c>
      <c r="J3744">
        <v>5.21</v>
      </c>
      <c r="K3744">
        <v>10.42</v>
      </c>
      <c r="L3744">
        <v>7.81</v>
      </c>
      <c r="M3744">
        <v>16.63</v>
      </c>
      <c r="N3744">
        <v>4883.54</v>
      </c>
    </row>
    <row r="3745" spans="1:14" x14ac:dyDescent="0.2">
      <c r="A3745" s="1">
        <v>45785</v>
      </c>
      <c r="B3745" s="2" t="s">
        <v>34</v>
      </c>
      <c r="C3745" s="2" t="s">
        <v>18</v>
      </c>
      <c r="D3745" s="2" t="s">
        <v>36</v>
      </c>
      <c r="E3745">
        <v>4172</v>
      </c>
      <c r="F3745">
        <v>320</v>
      </c>
      <c r="G3745">
        <v>49</v>
      </c>
      <c r="H3745">
        <v>167.52</v>
      </c>
      <c r="I3745">
        <v>8617.69</v>
      </c>
      <c r="J3745">
        <v>7.67</v>
      </c>
      <c r="K3745">
        <v>15.31</v>
      </c>
      <c r="L3745">
        <v>3.42</v>
      </c>
      <c r="M3745">
        <v>51.44</v>
      </c>
      <c r="N3745">
        <v>8450.17</v>
      </c>
    </row>
    <row r="3746" spans="1:14" x14ac:dyDescent="0.2">
      <c r="A3746" s="1">
        <v>45786</v>
      </c>
      <c r="B3746" s="2" t="s">
        <v>14</v>
      </c>
      <c r="C3746" s="2" t="s">
        <v>35</v>
      </c>
      <c r="D3746" s="2" t="s">
        <v>22</v>
      </c>
      <c r="E3746">
        <v>12474</v>
      </c>
      <c r="F3746">
        <v>527</v>
      </c>
      <c r="G3746">
        <v>45</v>
      </c>
      <c r="H3746">
        <v>1104.8900000000001</v>
      </c>
      <c r="I3746">
        <v>8378.94</v>
      </c>
      <c r="J3746">
        <v>4.22</v>
      </c>
      <c r="K3746">
        <v>8.5399999999999991</v>
      </c>
      <c r="L3746">
        <v>24.55</v>
      </c>
      <c r="M3746">
        <v>7.58</v>
      </c>
      <c r="N3746">
        <v>7274.05</v>
      </c>
    </row>
    <row r="3747" spans="1:14" x14ac:dyDescent="0.2">
      <c r="A3747" s="1">
        <v>45786</v>
      </c>
      <c r="B3747" s="2" t="s">
        <v>17</v>
      </c>
      <c r="C3747" s="2" t="s">
        <v>15</v>
      </c>
      <c r="D3747" s="2" t="s">
        <v>19</v>
      </c>
      <c r="E3747">
        <v>17732</v>
      </c>
      <c r="F3747">
        <v>431</v>
      </c>
      <c r="G3747">
        <v>26</v>
      </c>
      <c r="H3747">
        <v>762.22</v>
      </c>
      <c r="I3747">
        <v>2411.56</v>
      </c>
      <c r="J3747">
        <v>2.4300000000000002</v>
      </c>
      <c r="K3747">
        <v>6.03</v>
      </c>
      <c r="L3747">
        <v>29.32</v>
      </c>
      <c r="M3747">
        <v>3.16</v>
      </c>
      <c r="N3747">
        <v>1649.34</v>
      </c>
    </row>
    <row r="3748" spans="1:14" x14ac:dyDescent="0.2">
      <c r="A3748" s="1">
        <v>45786</v>
      </c>
      <c r="B3748" s="2" t="s">
        <v>20</v>
      </c>
      <c r="C3748" s="2" t="s">
        <v>28</v>
      </c>
      <c r="D3748" s="2" t="s">
        <v>25</v>
      </c>
      <c r="E3748">
        <v>14368</v>
      </c>
      <c r="F3748">
        <v>621</v>
      </c>
      <c r="G3748">
        <v>35</v>
      </c>
      <c r="H3748">
        <v>543.77</v>
      </c>
      <c r="I3748">
        <v>3340.66</v>
      </c>
      <c r="J3748">
        <v>4.32</v>
      </c>
      <c r="K3748">
        <v>5.64</v>
      </c>
      <c r="L3748">
        <v>15.54</v>
      </c>
      <c r="M3748">
        <v>6.14</v>
      </c>
      <c r="N3748">
        <v>2796.89</v>
      </c>
    </row>
    <row r="3749" spans="1:14" x14ac:dyDescent="0.2">
      <c r="A3749" s="1">
        <v>45786</v>
      </c>
      <c r="B3749" s="2" t="s">
        <v>23</v>
      </c>
      <c r="C3749" s="2" t="s">
        <v>18</v>
      </c>
      <c r="D3749" s="2" t="s">
        <v>25</v>
      </c>
      <c r="E3749">
        <v>5383</v>
      </c>
      <c r="F3749">
        <v>103</v>
      </c>
      <c r="G3749">
        <v>13</v>
      </c>
      <c r="H3749">
        <v>1642.32</v>
      </c>
      <c r="I3749">
        <v>4214.7700000000004</v>
      </c>
      <c r="J3749">
        <v>1.91</v>
      </c>
      <c r="K3749">
        <v>12.62</v>
      </c>
      <c r="L3749">
        <v>126.33</v>
      </c>
      <c r="M3749">
        <v>2.57</v>
      </c>
      <c r="N3749">
        <v>2572.4499999999998</v>
      </c>
    </row>
    <row r="3750" spans="1:14" x14ac:dyDescent="0.2">
      <c r="A3750" s="1">
        <v>45786</v>
      </c>
      <c r="B3750" s="2" t="s">
        <v>24</v>
      </c>
      <c r="C3750" s="2" t="s">
        <v>15</v>
      </c>
      <c r="D3750" s="2" t="s">
        <v>36</v>
      </c>
      <c r="E3750">
        <v>19039</v>
      </c>
      <c r="F3750">
        <v>3301</v>
      </c>
      <c r="G3750">
        <v>353</v>
      </c>
      <c r="H3750">
        <v>159.02000000000001</v>
      </c>
      <c r="I3750">
        <v>55242.26</v>
      </c>
      <c r="J3750">
        <v>17.34</v>
      </c>
      <c r="K3750">
        <v>10.69</v>
      </c>
      <c r="L3750">
        <v>0.45</v>
      </c>
      <c r="M3750">
        <v>347.39</v>
      </c>
      <c r="N3750">
        <v>55083.24</v>
      </c>
    </row>
    <row r="3751" spans="1:14" x14ac:dyDescent="0.2">
      <c r="A3751" s="1">
        <v>45786</v>
      </c>
      <c r="B3751" s="2" t="s">
        <v>26</v>
      </c>
      <c r="C3751" s="2" t="s">
        <v>28</v>
      </c>
      <c r="D3751" s="2" t="s">
        <v>36</v>
      </c>
      <c r="E3751">
        <v>30442</v>
      </c>
      <c r="F3751">
        <v>1378</v>
      </c>
      <c r="G3751">
        <v>182</v>
      </c>
      <c r="H3751">
        <v>0</v>
      </c>
      <c r="I3751">
        <v>16512.47</v>
      </c>
      <c r="J3751">
        <v>4.53</v>
      </c>
      <c r="K3751">
        <v>13.21</v>
      </c>
      <c r="L3751">
        <v>0</v>
      </c>
      <c r="M3751">
        <v>0</v>
      </c>
      <c r="N3751">
        <v>16512.47</v>
      </c>
    </row>
    <row r="3752" spans="1:14" x14ac:dyDescent="0.2">
      <c r="A3752" s="1">
        <v>45786</v>
      </c>
      <c r="B3752" s="2" t="s">
        <v>27</v>
      </c>
      <c r="C3752" s="2" t="s">
        <v>28</v>
      </c>
      <c r="D3752" s="2" t="s">
        <v>16</v>
      </c>
      <c r="E3752">
        <v>30218</v>
      </c>
      <c r="F3752">
        <v>568</v>
      </c>
      <c r="G3752">
        <v>19</v>
      </c>
      <c r="H3752">
        <v>1149.9100000000001</v>
      </c>
      <c r="I3752">
        <v>2215.1999999999998</v>
      </c>
      <c r="J3752">
        <v>1.88</v>
      </c>
      <c r="K3752">
        <v>3.35</v>
      </c>
      <c r="L3752">
        <v>60.52</v>
      </c>
      <c r="M3752">
        <v>1.93</v>
      </c>
      <c r="N3752">
        <v>1065.29</v>
      </c>
    </row>
    <row r="3753" spans="1:14" x14ac:dyDescent="0.2">
      <c r="A3753" s="1">
        <v>45786</v>
      </c>
      <c r="B3753" s="2" t="s">
        <v>29</v>
      </c>
      <c r="C3753" s="2" t="s">
        <v>32</v>
      </c>
      <c r="D3753" s="2" t="s">
        <v>22</v>
      </c>
      <c r="E3753">
        <v>20200</v>
      </c>
      <c r="F3753">
        <v>372</v>
      </c>
      <c r="G3753">
        <v>24</v>
      </c>
      <c r="H3753">
        <v>1169.0999999999999</v>
      </c>
      <c r="I3753">
        <v>2794.56</v>
      </c>
      <c r="J3753">
        <v>1.84</v>
      </c>
      <c r="K3753">
        <v>6.45</v>
      </c>
      <c r="L3753">
        <v>48.71</v>
      </c>
      <c r="M3753">
        <v>2.39</v>
      </c>
      <c r="N3753">
        <v>1625.46</v>
      </c>
    </row>
    <row r="3754" spans="1:14" x14ac:dyDescent="0.2">
      <c r="A3754" s="1">
        <v>45786</v>
      </c>
      <c r="B3754" s="2" t="s">
        <v>30</v>
      </c>
      <c r="C3754" s="2" t="s">
        <v>18</v>
      </c>
      <c r="D3754" s="2" t="s">
        <v>36</v>
      </c>
      <c r="E3754">
        <v>8043</v>
      </c>
      <c r="F3754">
        <v>274</v>
      </c>
      <c r="G3754">
        <v>15</v>
      </c>
      <c r="H3754">
        <v>449.29</v>
      </c>
      <c r="I3754">
        <v>1668.14</v>
      </c>
      <c r="J3754">
        <v>3.41</v>
      </c>
      <c r="K3754">
        <v>5.47</v>
      </c>
      <c r="L3754">
        <v>29.95</v>
      </c>
      <c r="M3754">
        <v>3.71</v>
      </c>
      <c r="N3754">
        <v>1218.8499999999999</v>
      </c>
    </row>
    <row r="3755" spans="1:14" x14ac:dyDescent="0.2">
      <c r="A3755" s="1">
        <v>45786</v>
      </c>
      <c r="B3755" s="2" t="s">
        <v>31</v>
      </c>
      <c r="C3755" s="2" t="s">
        <v>15</v>
      </c>
      <c r="D3755" s="2" t="s">
        <v>36</v>
      </c>
      <c r="E3755">
        <v>24792</v>
      </c>
      <c r="F3755">
        <v>873</v>
      </c>
      <c r="G3755">
        <v>38</v>
      </c>
      <c r="H3755">
        <v>630.79</v>
      </c>
      <c r="I3755">
        <v>4335.07</v>
      </c>
      <c r="J3755">
        <v>3.52</v>
      </c>
      <c r="K3755">
        <v>4.3499999999999996</v>
      </c>
      <c r="L3755">
        <v>16.600000000000001</v>
      </c>
      <c r="M3755">
        <v>6.87</v>
      </c>
      <c r="N3755">
        <v>3704.28</v>
      </c>
    </row>
    <row r="3756" spans="1:14" x14ac:dyDescent="0.2">
      <c r="A3756" s="1">
        <v>45786</v>
      </c>
      <c r="B3756" s="2" t="s">
        <v>33</v>
      </c>
      <c r="C3756" s="2" t="s">
        <v>18</v>
      </c>
      <c r="D3756" s="2" t="s">
        <v>25</v>
      </c>
      <c r="E3756">
        <v>6603</v>
      </c>
      <c r="F3756">
        <v>368</v>
      </c>
      <c r="G3756">
        <v>29</v>
      </c>
      <c r="H3756">
        <v>588.75</v>
      </c>
      <c r="I3756">
        <v>4481.1899999999996</v>
      </c>
      <c r="J3756">
        <v>5.57</v>
      </c>
      <c r="K3756">
        <v>7.88</v>
      </c>
      <c r="L3756">
        <v>20.3</v>
      </c>
      <c r="M3756">
        <v>7.61</v>
      </c>
      <c r="N3756">
        <v>3892.44</v>
      </c>
    </row>
    <row r="3757" spans="1:14" x14ac:dyDescent="0.2">
      <c r="A3757" s="1">
        <v>45786</v>
      </c>
      <c r="B3757" s="2" t="s">
        <v>34</v>
      </c>
      <c r="C3757" s="2" t="s">
        <v>32</v>
      </c>
      <c r="D3757" s="2" t="s">
        <v>19</v>
      </c>
      <c r="E3757">
        <v>6014</v>
      </c>
      <c r="F3757">
        <v>388</v>
      </c>
      <c r="G3757">
        <v>67</v>
      </c>
      <c r="H3757">
        <v>174.12</v>
      </c>
      <c r="I3757">
        <v>8720.7000000000007</v>
      </c>
      <c r="J3757">
        <v>6.45</v>
      </c>
      <c r="K3757">
        <v>17.27</v>
      </c>
      <c r="L3757">
        <v>2.6</v>
      </c>
      <c r="M3757">
        <v>50.08</v>
      </c>
      <c r="N3757">
        <v>8546.58</v>
      </c>
    </row>
    <row r="3758" spans="1:14" x14ac:dyDescent="0.2">
      <c r="A3758" s="1">
        <v>45787</v>
      </c>
      <c r="B3758" s="2" t="s">
        <v>14</v>
      </c>
      <c r="C3758" s="2" t="s">
        <v>35</v>
      </c>
      <c r="D3758" s="2" t="s">
        <v>19</v>
      </c>
      <c r="E3758">
        <v>7056</v>
      </c>
      <c r="F3758">
        <v>273</v>
      </c>
      <c r="G3758">
        <v>24</v>
      </c>
      <c r="H3758">
        <v>654.84</v>
      </c>
      <c r="I3758">
        <v>4209.93</v>
      </c>
      <c r="J3758">
        <v>3.87</v>
      </c>
      <c r="K3758">
        <v>8.7899999999999991</v>
      </c>
      <c r="L3758">
        <v>27.28</v>
      </c>
      <c r="M3758">
        <v>6.43</v>
      </c>
      <c r="N3758">
        <v>3555.09</v>
      </c>
    </row>
    <row r="3759" spans="1:14" x14ac:dyDescent="0.2">
      <c r="A3759" s="1">
        <v>45787</v>
      </c>
      <c r="B3759" s="2" t="s">
        <v>17</v>
      </c>
      <c r="C3759" s="2" t="s">
        <v>28</v>
      </c>
      <c r="D3759" s="2" t="s">
        <v>16</v>
      </c>
      <c r="E3759">
        <v>10799</v>
      </c>
      <c r="F3759">
        <v>236</v>
      </c>
      <c r="G3759">
        <v>16</v>
      </c>
      <c r="H3759">
        <v>464.62</v>
      </c>
      <c r="I3759">
        <v>1971.74</v>
      </c>
      <c r="J3759">
        <v>2.19</v>
      </c>
      <c r="K3759">
        <v>6.78</v>
      </c>
      <c r="L3759">
        <v>29.04</v>
      </c>
      <c r="M3759">
        <v>4.24</v>
      </c>
      <c r="N3759">
        <v>1507.12</v>
      </c>
    </row>
    <row r="3760" spans="1:14" x14ac:dyDescent="0.2">
      <c r="A3760" s="1">
        <v>45787</v>
      </c>
      <c r="B3760" s="2" t="s">
        <v>20</v>
      </c>
      <c r="C3760" s="2" t="s">
        <v>15</v>
      </c>
      <c r="D3760" s="2" t="s">
        <v>16</v>
      </c>
      <c r="E3760">
        <v>11930</v>
      </c>
      <c r="F3760">
        <v>356</v>
      </c>
      <c r="G3760">
        <v>22</v>
      </c>
      <c r="H3760">
        <v>576.22</v>
      </c>
      <c r="I3760">
        <v>2674.71</v>
      </c>
      <c r="J3760">
        <v>2.98</v>
      </c>
      <c r="K3760">
        <v>6.18</v>
      </c>
      <c r="L3760">
        <v>26.19</v>
      </c>
      <c r="M3760">
        <v>4.6399999999999997</v>
      </c>
      <c r="N3760">
        <v>2098.4899999999998</v>
      </c>
    </row>
    <row r="3761" spans="1:14" x14ac:dyDescent="0.2">
      <c r="A3761" s="1">
        <v>45787</v>
      </c>
      <c r="B3761" s="2" t="s">
        <v>23</v>
      </c>
      <c r="C3761" s="2" t="s">
        <v>35</v>
      </c>
      <c r="D3761" s="2" t="s">
        <v>25</v>
      </c>
      <c r="E3761">
        <v>3265</v>
      </c>
      <c r="F3761">
        <v>89</v>
      </c>
      <c r="G3761">
        <v>11</v>
      </c>
      <c r="H3761">
        <v>980.82</v>
      </c>
      <c r="I3761">
        <v>2999.78</v>
      </c>
      <c r="J3761">
        <v>2.73</v>
      </c>
      <c r="K3761">
        <v>12.36</v>
      </c>
      <c r="L3761">
        <v>89.17</v>
      </c>
      <c r="M3761">
        <v>3.06</v>
      </c>
      <c r="N3761">
        <v>2018.96</v>
      </c>
    </row>
    <row r="3762" spans="1:14" x14ac:dyDescent="0.2">
      <c r="A3762" s="1">
        <v>45787</v>
      </c>
      <c r="B3762" s="2" t="s">
        <v>24</v>
      </c>
      <c r="C3762" s="2" t="s">
        <v>35</v>
      </c>
      <c r="D3762" s="2" t="s">
        <v>16</v>
      </c>
      <c r="E3762">
        <v>11989</v>
      </c>
      <c r="F3762">
        <v>2305</v>
      </c>
      <c r="G3762">
        <v>220</v>
      </c>
      <c r="H3762">
        <v>148.30000000000001</v>
      </c>
      <c r="I3762">
        <v>32975.31</v>
      </c>
      <c r="J3762">
        <v>19.23</v>
      </c>
      <c r="K3762">
        <v>9.5399999999999991</v>
      </c>
      <c r="L3762">
        <v>0.67</v>
      </c>
      <c r="M3762">
        <v>222.36</v>
      </c>
      <c r="N3762">
        <v>32827.01</v>
      </c>
    </row>
    <row r="3763" spans="1:14" x14ac:dyDescent="0.2">
      <c r="A3763" s="1">
        <v>45787</v>
      </c>
      <c r="B3763" s="2" t="s">
        <v>26</v>
      </c>
      <c r="C3763" s="2" t="s">
        <v>28</v>
      </c>
      <c r="D3763" s="2" t="s">
        <v>19</v>
      </c>
      <c r="E3763">
        <v>19774</v>
      </c>
      <c r="F3763">
        <v>1445</v>
      </c>
      <c r="G3763">
        <v>158</v>
      </c>
      <c r="H3763">
        <v>0</v>
      </c>
      <c r="I3763">
        <v>21446.75</v>
      </c>
      <c r="J3763">
        <v>7.31</v>
      </c>
      <c r="K3763">
        <v>10.93</v>
      </c>
      <c r="L3763">
        <v>0</v>
      </c>
      <c r="M3763">
        <v>0</v>
      </c>
      <c r="N3763">
        <v>21446.75</v>
      </c>
    </row>
    <row r="3764" spans="1:14" x14ac:dyDescent="0.2">
      <c r="A3764" s="1">
        <v>45787</v>
      </c>
      <c r="B3764" s="2" t="s">
        <v>27</v>
      </c>
      <c r="C3764" s="2" t="s">
        <v>15</v>
      </c>
      <c r="D3764" s="2" t="s">
        <v>22</v>
      </c>
      <c r="E3764">
        <v>25596</v>
      </c>
      <c r="F3764">
        <v>439</v>
      </c>
      <c r="G3764">
        <v>18</v>
      </c>
      <c r="H3764">
        <v>521.49</v>
      </c>
      <c r="I3764">
        <v>1777.39</v>
      </c>
      <c r="J3764">
        <v>1.72</v>
      </c>
      <c r="K3764">
        <v>4.0999999999999996</v>
      </c>
      <c r="L3764">
        <v>28.97</v>
      </c>
      <c r="M3764">
        <v>3.41</v>
      </c>
      <c r="N3764">
        <v>1255.9000000000001</v>
      </c>
    </row>
    <row r="3765" spans="1:14" x14ac:dyDescent="0.2">
      <c r="A3765" s="1">
        <v>45787</v>
      </c>
      <c r="B3765" s="2" t="s">
        <v>29</v>
      </c>
      <c r="C3765" s="2" t="s">
        <v>21</v>
      </c>
      <c r="D3765" s="2" t="s">
        <v>25</v>
      </c>
      <c r="E3765">
        <v>14640</v>
      </c>
      <c r="F3765">
        <v>270</v>
      </c>
      <c r="G3765">
        <v>16</v>
      </c>
      <c r="H3765">
        <v>654.39</v>
      </c>
      <c r="I3765">
        <v>1546.33</v>
      </c>
      <c r="J3765">
        <v>1.84</v>
      </c>
      <c r="K3765">
        <v>5.93</v>
      </c>
      <c r="L3765">
        <v>40.9</v>
      </c>
      <c r="M3765">
        <v>2.36</v>
      </c>
      <c r="N3765">
        <v>891.94</v>
      </c>
    </row>
    <row r="3766" spans="1:14" x14ac:dyDescent="0.2">
      <c r="A3766" s="1">
        <v>45787</v>
      </c>
      <c r="B3766" s="2" t="s">
        <v>30</v>
      </c>
      <c r="C3766" s="2" t="s">
        <v>18</v>
      </c>
      <c r="D3766" s="2" t="s">
        <v>36</v>
      </c>
      <c r="E3766">
        <v>5660</v>
      </c>
      <c r="F3766">
        <v>180</v>
      </c>
      <c r="G3766">
        <v>9</v>
      </c>
      <c r="H3766">
        <v>424.19</v>
      </c>
      <c r="I3766">
        <v>752.46</v>
      </c>
      <c r="J3766">
        <v>3.18</v>
      </c>
      <c r="K3766">
        <v>5</v>
      </c>
      <c r="L3766">
        <v>47.13</v>
      </c>
      <c r="M3766">
        <v>1.77</v>
      </c>
      <c r="N3766">
        <v>328.27</v>
      </c>
    </row>
    <row r="3767" spans="1:14" x14ac:dyDescent="0.2">
      <c r="A3767" s="1">
        <v>45787</v>
      </c>
      <c r="B3767" s="2" t="s">
        <v>31</v>
      </c>
      <c r="C3767" s="2" t="s">
        <v>15</v>
      </c>
      <c r="D3767" s="2" t="s">
        <v>22</v>
      </c>
      <c r="E3767">
        <v>19201</v>
      </c>
      <c r="F3767">
        <v>667</v>
      </c>
      <c r="G3767">
        <v>44</v>
      </c>
      <c r="H3767">
        <v>765.84</v>
      </c>
      <c r="I3767">
        <v>3361.14</v>
      </c>
      <c r="J3767">
        <v>3.47</v>
      </c>
      <c r="K3767">
        <v>6.6</v>
      </c>
      <c r="L3767">
        <v>17.41</v>
      </c>
      <c r="M3767">
        <v>4.3899999999999997</v>
      </c>
      <c r="N3767">
        <v>2595.3000000000002</v>
      </c>
    </row>
    <row r="3768" spans="1:14" x14ac:dyDescent="0.2">
      <c r="A3768" s="1">
        <v>45787</v>
      </c>
      <c r="B3768" s="2" t="s">
        <v>33</v>
      </c>
      <c r="C3768" s="2" t="s">
        <v>35</v>
      </c>
      <c r="D3768" s="2" t="s">
        <v>36</v>
      </c>
      <c r="E3768">
        <v>5373</v>
      </c>
      <c r="F3768">
        <v>267</v>
      </c>
      <c r="G3768">
        <v>32</v>
      </c>
      <c r="H3768">
        <v>397.25</v>
      </c>
      <c r="I3768">
        <v>4196.97</v>
      </c>
      <c r="J3768">
        <v>4.97</v>
      </c>
      <c r="K3768">
        <v>11.99</v>
      </c>
      <c r="L3768">
        <v>12.41</v>
      </c>
      <c r="M3768">
        <v>10.57</v>
      </c>
      <c r="N3768">
        <v>3799.72</v>
      </c>
    </row>
    <row r="3769" spans="1:14" x14ac:dyDescent="0.2">
      <c r="A3769" s="1">
        <v>45787</v>
      </c>
      <c r="B3769" s="2" t="s">
        <v>34</v>
      </c>
      <c r="C3769" s="2" t="s">
        <v>18</v>
      </c>
      <c r="D3769" s="2" t="s">
        <v>19</v>
      </c>
      <c r="E3769">
        <v>4477</v>
      </c>
      <c r="F3769">
        <v>437</v>
      </c>
      <c r="G3769">
        <v>58</v>
      </c>
      <c r="H3769">
        <v>61.05</v>
      </c>
      <c r="I3769">
        <v>7879.94</v>
      </c>
      <c r="J3769">
        <v>9.76</v>
      </c>
      <c r="K3769">
        <v>13.27</v>
      </c>
      <c r="L3769">
        <v>1.05</v>
      </c>
      <c r="M3769">
        <v>129.07</v>
      </c>
      <c r="N3769">
        <v>7818.89</v>
      </c>
    </row>
    <row r="3770" spans="1:14" x14ac:dyDescent="0.2">
      <c r="A3770" s="1">
        <v>45788</v>
      </c>
      <c r="B3770" s="2" t="s">
        <v>14</v>
      </c>
      <c r="C3770" s="2" t="s">
        <v>28</v>
      </c>
      <c r="D3770" s="2" t="s">
        <v>16</v>
      </c>
      <c r="E3770">
        <v>8701</v>
      </c>
      <c r="F3770">
        <v>312</v>
      </c>
      <c r="G3770">
        <v>32</v>
      </c>
      <c r="H3770">
        <v>654.37</v>
      </c>
      <c r="I3770">
        <v>4294.59</v>
      </c>
      <c r="J3770">
        <v>3.59</v>
      </c>
      <c r="K3770">
        <v>10.26</v>
      </c>
      <c r="L3770">
        <v>20.45</v>
      </c>
      <c r="M3770">
        <v>6.56</v>
      </c>
      <c r="N3770">
        <v>3640.22</v>
      </c>
    </row>
    <row r="3771" spans="1:14" x14ac:dyDescent="0.2">
      <c r="A3771" s="1">
        <v>45788</v>
      </c>
      <c r="B3771" s="2" t="s">
        <v>17</v>
      </c>
      <c r="C3771" s="2" t="s">
        <v>15</v>
      </c>
      <c r="D3771" s="2" t="s">
        <v>36</v>
      </c>
      <c r="E3771">
        <v>8689</v>
      </c>
      <c r="F3771">
        <v>338</v>
      </c>
      <c r="G3771">
        <v>28</v>
      </c>
      <c r="H3771">
        <v>464.23</v>
      </c>
      <c r="I3771">
        <v>3666.72</v>
      </c>
      <c r="J3771">
        <v>3.89</v>
      </c>
      <c r="K3771">
        <v>8.2799999999999994</v>
      </c>
      <c r="L3771">
        <v>16.579999999999998</v>
      </c>
      <c r="M3771">
        <v>7.9</v>
      </c>
      <c r="N3771">
        <v>3202.49</v>
      </c>
    </row>
    <row r="3772" spans="1:14" x14ac:dyDescent="0.2">
      <c r="A3772" s="1">
        <v>45788</v>
      </c>
      <c r="B3772" s="2" t="s">
        <v>20</v>
      </c>
      <c r="C3772" s="2" t="s">
        <v>15</v>
      </c>
      <c r="D3772" s="2" t="s">
        <v>22</v>
      </c>
      <c r="E3772">
        <v>11804</v>
      </c>
      <c r="F3772">
        <v>503</v>
      </c>
      <c r="G3772">
        <v>37</v>
      </c>
      <c r="H3772">
        <v>506.94</v>
      </c>
      <c r="I3772">
        <v>3401.84</v>
      </c>
      <c r="J3772">
        <v>4.26</v>
      </c>
      <c r="K3772">
        <v>7.36</v>
      </c>
      <c r="L3772">
        <v>13.7</v>
      </c>
      <c r="M3772">
        <v>6.71</v>
      </c>
      <c r="N3772">
        <v>2894.9</v>
      </c>
    </row>
    <row r="3773" spans="1:14" x14ac:dyDescent="0.2">
      <c r="A3773" s="1">
        <v>45788</v>
      </c>
      <c r="B3773" s="2" t="s">
        <v>23</v>
      </c>
      <c r="C3773" s="2" t="s">
        <v>21</v>
      </c>
      <c r="D3773" s="2" t="s">
        <v>16</v>
      </c>
      <c r="E3773">
        <v>2867</v>
      </c>
      <c r="F3773">
        <v>65</v>
      </c>
      <c r="G3773">
        <v>7</v>
      </c>
      <c r="H3773">
        <v>897.56</v>
      </c>
      <c r="I3773">
        <v>1874.31</v>
      </c>
      <c r="J3773">
        <v>2.27</v>
      </c>
      <c r="K3773">
        <v>10.77</v>
      </c>
      <c r="L3773">
        <v>128.22</v>
      </c>
      <c r="M3773">
        <v>2.09</v>
      </c>
      <c r="N3773">
        <v>976.75</v>
      </c>
    </row>
    <row r="3774" spans="1:14" x14ac:dyDescent="0.2">
      <c r="A3774" s="1">
        <v>45788</v>
      </c>
      <c r="B3774" s="2" t="s">
        <v>24</v>
      </c>
      <c r="C3774" s="2" t="s">
        <v>21</v>
      </c>
      <c r="D3774" s="2" t="s">
        <v>16</v>
      </c>
      <c r="E3774">
        <v>14571</v>
      </c>
      <c r="F3774">
        <v>2636</v>
      </c>
      <c r="G3774">
        <v>260</v>
      </c>
      <c r="H3774">
        <v>119.08</v>
      </c>
      <c r="I3774">
        <v>28598.89</v>
      </c>
      <c r="J3774">
        <v>18.09</v>
      </c>
      <c r="K3774">
        <v>9.86</v>
      </c>
      <c r="L3774">
        <v>0.46</v>
      </c>
      <c r="M3774">
        <v>240.17</v>
      </c>
      <c r="N3774">
        <v>28479.81</v>
      </c>
    </row>
    <row r="3775" spans="1:14" x14ac:dyDescent="0.2">
      <c r="A3775" s="1">
        <v>45788</v>
      </c>
      <c r="B3775" s="2" t="s">
        <v>26</v>
      </c>
      <c r="C3775" s="2" t="s">
        <v>15</v>
      </c>
      <c r="D3775" s="2" t="s">
        <v>25</v>
      </c>
      <c r="E3775">
        <v>17863</v>
      </c>
      <c r="F3775">
        <v>1243</v>
      </c>
      <c r="G3775">
        <v>182</v>
      </c>
      <c r="H3775">
        <v>0</v>
      </c>
      <c r="I3775">
        <v>24031.11</v>
      </c>
      <c r="J3775">
        <v>6.96</v>
      </c>
      <c r="K3775">
        <v>14.64</v>
      </c>
      <c r="L3775">
        <v>0</v>
      </c>
      <c r="M3775">
        <v>0</v>
      </c>
      <c r="N3775">
        <v>24031.11</v>
      </c>
    </row>
    <row r="3776" spans="1:14" x14ac:dyDescent="0.2">
      <c r="A3776" s="1">
        <v>45788</v>
      </c>
      <c r="B3776" s="2" t="s">
        <v>27</v>
      </c>
      <c r="C3776" s="2" t="s">
        <v>21</v>
      </c>
      <c r="D3776" s="2" t="s">
        <v>36</v>
      </c>
      <c r="E3776">
        <v>20965</v>
      </c>
      <c r="F3776">
        <v>214</v>
      </c>
      <c r="G3776">
        <v>4</v>
      </c>
      <c r="H3776">
        <v>790.14</v>
      </c>
      <c r="I3776">
        <v>397.82</v>
      </c>
      <c r="J3776">
        <v>1.02</v>
      </c>
      <c r="K3776">
        <v>1.87</v>
      </c>
      <c r="L3776">
        <v>197.54</v>
      </c>
      <c r="M3776">
        <v>0.5</v>
      </c>
      <c r="N3776">
        <v>-392.32</v>
      </c>
    </row>
    <row r="3777" spans="1:14" x14ac:dyDescent="0.2">
      <c r="A3777" s="1">
        <v>45788</v>
      </c>
      <c r="B3777" s="2" t="s">
        <v>29</v>
      </c>
      <c r="C3777" s="2" t="s">
        <v>28</v>
      </c>
      <c r="D3777" s="2" t="s">
        <v>16</v>
      </c>
      <c r="E3777">
        <v>15059</v>
      </c>
      <c r="F3777">
        <v>319</v>
      </c>
      <c r="G3777">
        <v>13</v>
      </c>
      <c r="H3777">
        <v>738.89</v>
      </c>
      <c r="I3777">
        <v>1744.22</v>
      </c>
      <c r="J3777">
        <v>2.12</v>
      </c>
      <c r="K3777">
        <v>4.08</v>
      </c>
      <c r="L3777">
        <v>56.84</v>
      </c>
      <c r="M3777">
        <v>2.36</v>
      </c>
      <c r="N3777">
        <v>1005.33</v>
      </c>
    </row>
    <row r="3778" spans="1:14" x14ac:dyDescent="0.2">
      <c r="A3778" s="1">
        <v>45788</v>
      </c>
      <c r="B3778" s="2" t="s">
        <v>30</v>
      </c>
      <c r="C3778" s="2" t="s">
        <v>32</v>
      </c>
      <c r="D3778" s="2" t="s">
        <v>19</v>
      </c>
      <c r="E3778">
        <v>9364</v>
      </c>
      <c r="F3778">
        <v>278</v>
      </c>
      <c r="G3778">
        <v>8</v>
      </c>
      <c r="H3778">
        <v>447.82</v>
      </c>
      <c r="I3778">
        <v>700.33</v>
      </c>
      <c r="J3778">
        <v>2.97</v>
      </c>
      <c r="K3778">
        <v>2.88</v>
      </c>
      <c r="L3778">
        <v>55.98</v>
      </c>
      <c r="M3778">
        <v>1.56</v>
      </c>
      <c r="N3778">
        <v>252.51</v>
      </c>
    </row>
    <row r="3779" spans="1:14" x14ac:dyDescent="0.2">
      <c r="A3779" s="1">
        <v>45788</v>
      </c>
      <c r="B3779" s="2" t="s">
        <v>31</v>
      </c>
      <c r="C3779" s="2" t="s">
        <v>28</v>
      </c>
      <c r="D3779" s="2" t="s">
        <v>25</v>
      </c>
      <c r="E3779">
        <v>17240</v>
      </c>
      <c r="F3779">
        <v>609</v>
      </c>
      <c r="G3779">
        <v>20</v>
      </c>
      <c r="H3779">
        <v>545.69000000000005</v>
      </c>
      <c r="I3779">
        <v>2218.5</v>
      </c>
      <c r="J3779">
        <v>3.53</v>
      </c>
      <c r="K3779">
        <v>3.28</v>
      </c>
      <c r="L3779">
        <v>27.28</v>
      </c>
      <c r="M3779">
        <v>4.07</v>
      </c>
      <c r="N3779">
        <v>1672.81</v>
      </c>
    </row>
    <row r="3780" spans="1:14" x14ac:dyDescent="0.2">
      <c r="A3780" s="1">
        <v>45788</v>
      </c>
      <c r="B3780" s="2" t="s">
        <v>33</v>
      </c>
      <c r="C3780" s="2" t="s">
        <v>28</v>
      </c>
      <c r="D3780" s="2" t="s">
        <v>16</v>
      </c>
      <c r="E3780">
        <v>6293</v>
      </c>
      <c r="F3780">
        <v>287</v>
      </c>
      <c r="G3780">
        <v>24</v>
      </c>
      <c r="H3780">
        <v>373.1</v>
      </c>
      <c r="I3780">
        <v>3499.55</v>
      </c>
      <c r="J3780">
        <v>4.5599999999999996</v>
      </c>
      <c r="K3780">
        <v>8.36</v>
      </c>
      <c r="L3780">
        <v>15.55</v>
      </c>
      <c r="M3780">
        <v>9.3800000000000008</v>
      </c>
      <c r="N3780">
        <v>3126.45</v>
      </c>
    </row>
    <row r="3781" spans="1:14" x14ac:dyDescent="0.2">
      <c r="A3781" s="1">
        <v>45788</v>
      </c>
      <c r="B3781" s="2" t="s">
        <v>34</v>
      </c>
      <c r="C3781" s="2" t="s">
        <v>18</v>
      </c>
      <c r="D3781" s="2" t="s">
        <v>19</v>
      </c>
      <c r="E3781">
        <v>4102</v>
      </c>
      <c r="F3781">
        <v>250</v>
      </c>
      <c r="G3781">
        <v>39</v>
      </c>
      <c r="H3781">
        <v>116.97</v>
      </c>
      <c r="I3781">
        <v>4418.84</v>
      </c>
      <c r="J3781">
        <v>6.09</v>
      </c>
      <c r="K3781">
        <v>15.6</v>
      </c>
      <c r="L3781">
        <v>3</v>
      </c>
      <c r="M3781">
        <v>37.78</v>
      </c>
      <c r="N3781">
        <v>4301.87</v>
      </c>
    </row>
    <row r="3782" spans="1:14" x14ac:dyDescent="0.2">
      <c r="A3782" s="1">
        <v>45789</v>
      </c>
      <c r="B3782" s="2" t="s">
        <v>14</v>
      </c>
      <c r="C3782" s="2" t="s">
        <v>18</v>
      </c>
      <c r="D3782" s="2" t="s">
        <v>19</v>
      </c>
      <c r="E3782">
        <v>11316</v>
      </c>
      <c r="F3782">
        <v>355</v>
      </c>
      <c r="G3782">
        <v>32</v>
      </c>
      <c r="H3782">
        <v>937.84</v>
      </c>
      <c r="I3782">
        <v>5208.4399999999996</v>
      </c>
      <c r="J3782">
        <v>3.14</v>
      </c>
      <c r="K3782">
        <v>9.01</v>
      </c>
      <c r="L3782">
        <v>29.31</v>
      </c>
      <c r="M3782">
        <v>5.55</v>
      </c>
      <c r="N3782">
        <v>4270.6000000000004</v>
      </c>
    </row>
    <row r="3783" spans="1:14" x14ac:dyDescent="0.2">
      <c r="A3783" s="1">
        <v>45789</v>
      </c>
      <c r="B3783" s="2" t="s">
        <v>17</v>
      </c>
      <c r="C3783" s="2" t="s">
        <v>15</v>
      </c>
      <c r="D3783" s="2" t="s">
        <v>16</v>
      </c>
      <c r="E3783">
        <v>17440</v>
      </c>
      <c r="F3783">
        <v>401</v>
      </c>
      <c r="G3783">
        <v>26</v>
      </c>
      <c r="H3783">
        <v>1192.8900000000001</v>
      </c>
      <c r="I3783">
        <v>3735.8</v>
      </c>
      <c r="J3783">
        <v>2.2999999999999998</v>
      </c>
      <c r="K3783">
        <v>6.48</v>
      </c>
      <c r="L3783">
        <v>45.88</v>
      </c>
      <c r="M3783">
        <v>3.13</v>
      </c>
      <c r="N3783">
        <v>2542.91</v>
      </c>
    </row>
    <row r="3784" spans="1:14" x14ac:dyDescent="0.2">
      <c r="A3784" s="1">
        <v>45789</v>
      </c>
      <c r="B3784" s="2" t="s">
        <v>20</v>
      </c>
      <c r="C3784" s="2" t="s">
        <v>28</v>
      </c>
      <c r="D3784" s="2" t="s">
        <v>16</v>
      </c>
      <c r="E3784">
        <v>15495</v>
      </c>
      <c r="F3784">
        <v>482</v>
      </c>
      <c r="G3784">
        <v>33</v>
      </c>
      <c r="H3784">
        <v>580.75</v>
      </c>
      <c r="I3784">
        <v>4171.16</v>
      </c>
      <c r="J3784">
        <v>3.11</v>
      </c>
      <c r="K3784">
        <v>6.85</v>
      </c>
      <c r="L3784">
        <v>17.600000000000001</v>
      </c>
      <c r="M3784">
        <v>7.18</v>
      </c>
      <c r="N3784">
        <v>3590.41</v>
      </c>
    </row>
    <row r="3785" spans="1:14" x14ac:dyDescent="0.2">
      <c r="A3785" s="1">
        <v>45789</v>
      </c>
      <c r="B3785" s="2" t="s">
        <v>23</v>
      </c>
      <c r="C3785" s="2" t="s">
        <v>21</v>
      </c>
      <c r="D3785" s="2" t="s">
        <v>25</v>
      </c>
      <c r="E3785">
        <v>5028</v>
      </c>
      <c r="F3785">
        <v>134</v>
      </c>
      <c r="G3785">
        <v>17</v>
      </c>
      <c r="H3785">
        <v>1186.01</v>
      </c>
      <c r="I3785">
        <v>4539.62</v>
      </c>
      <c r="J3785">
        <v>2.67</v>
      </c>
      <c r="K3785">
        <v>12.69</v>
      </c>
      <c r="L3785">
        <v>69.77</v>
      </c>
      <c r="M3785">
        <v>3.83</v>
      </c>
      <c r="N3785">
        <v>3353.61</v>
      </c>
    </row>
    <row r="3786" spans="1:14" x14ac:dyDescent="0.2">
      <c r="A3786" s="1">
        <v>45789</v>
      </c>
      <c r="B3786" s="2" t="s">
        <v>24</v>
      </c>
      <c r="C3786" s="2" t="s">
        <v>28</v>
      </c>
      <c r="D3786" s="2" t="s">
        <v>25</v>
      </c>
      <c r="E3786">
        <v>24264</v>
      </c>
      <c r="F3786">
        <v>4948</v>
      </c>
      <c r="G3786">
        <v>580</v>
      </c>
      <c r="H3786">
        <v>297.86</v>
      </c>
      <c r="I3786">
        <v>72602.89</v>
      </c>
      <c r="J3786">
        <v>20.39</v>
      </c>
      <c r="K3786">
        <v>11.72</v>
      </c>
      <c r="L3786">
        <v>0.51</v>
      </c>
      <c r="M3786">
        <v>243.75</v>
      </c>
      <c r="N3786">
        <v>72305.03</v>
      </c>
    </row>
    <row r="3787" spans="1:14" x14ac:dyDescent="0.2">
      <c r="A3787" s="1">
        <v>45789</v>
      </c>
      <c r="B3787" s="2" t="s">
        <v>26</v>
      </c>
      <c r="C3787" s="2" t="s">
        <v>21</v>
      </c>
      <c r="D3787" s="2" t="s">
        <v>25</v>
      </c>
      <c r="E3787">
        <v>33418</v>
      </c>
      <c r="F3787">
        <v>2534</v>
      </c>
      <c r="G3787">
        <v>366</v>
      </c>
      <c r="H3787">
        <v>0</v>
      </c>
      <c r="I3787">
        <v>37619.4</v>
      </c>
      <c r="J3787">
        <v>7.58</v>
      </c>
      <c r="K3787">
        <v>14.44</v>
      </c>
      <c r="L3787">
        <v>0</v>
      </c>
      <c r="M3787">
        <v>0</v>
      </c>
      <c r="N3787">
        <v>37619.4</v>
      </c>
    </row>
    <row r="3788" spans="1:14" x14ac:dyDescent="0.2">
      <c r="A3788" s="1">
        <v>45789</v>
      </c>
      <c r="B3788" s="2" t="s">
        <v>27</v>
      </c>
      <c r="C3788" s="2" t="s">
        <v>21</v>
      </c>
      <c r="D3788" s="2" t="s">
        <v>16</v>
      </c>
      <c r="E3788">
        <v>38526</v>
      </c>
      <c r="F3788">
        <v>721</v>
      </c>
      <c r="G3788">
        <v>17</v>
      </c>
      <c r="H3788">
        <v>1033.49</v>
      </c>
      <c r="I3788">
        <v>1700.27</v>
      </c>
      <c r="J3788">
        <v>1.87</v>
      </c>
      <c r="K3788">
        <v>2.36</v>
      </c>
      <c r="L3788">
        <v>60.79</v>
      </c>
      <c r="M3788">
        <v>1.65</v>
      </c>
      <c r="N3788">
        <v>666.78</v>
      </c>
    </row>
    <row r="3789" spans="1:14" x14ac:dyDescent="0.2">
      <c r="A3789" s="1">
        <v>45789</v>
      </c>
      <c r="B3789" s="2" t="s">
        <v>29</v>
      </c>
      <c r="C3789" s="2" t="s">
        <v>18</v>
      </c>
      <c r="D3789" s="2" t="s">
        <v>22</v>
      </c>
      <c r="E3789">
        <v>20500</v>
      </c>
      <c r="F3789">
        <v>348</v>
      </c>
      <c r="G3789">
        <v>22</v>
      </c>
      <c r="H3789">
        <v>1362.61</v>
      </c>
      <c r="I3789">
        <v>2735.44</v>
      </c>
      <c r="J3789">
        <v>1.7</v>
      </c>
      <c r="K3789">
        <v>6.32</v>
      </c>
      <c r="L3789">
        <v>61.94</v>
      </c>
      <c r="M3789">
        <v>2.0099999999999998</v>
      </c>
      <c r="N3789">
        <v>1372.83</v>
      </c>
    </row>
    <row r="3790" spans="1:14" x14ac:dyDescent="0.2">
      <c r="A3790" s="1">
        <v>45789</v>
      </c>
      <c r="B3790" s="2" t="s">
        <v>30</v>
      </c>
      <c r="C3790" s="2" t="s">
        <v>28</v>
      </c>
      <c r="D3790" s="2" t="s">
        <v>16</v>
      </c>
      <c r="E3790">
        <v>9713</v>
      </c>
      <c r="F3790">
        <v>300</v>
      </c>
      <c r="G3790">
        <v>10</v>
      </c>
      <c r="H3790">
        <v>474.02</v>
      </c>
      <c r="I3790">
        <v>960.92</v>
      </c>
      <c r="J3790">
        <v>3.09</v>
      </c>
      <c r="K3790">
        <v>3.33</v>
      </c>
      <c r="L3790">
        <v>47.4</v>
      </c>
      <c r="M3790">
        <v>2.0299999999999998</v>
      </c>
      <c r="N3790">
        <v>486.9</v>
      </c>
    </row>
    <row r="3791" spans="1:14" x14ac:dyDescent="0.2">
      <c r="A3791" s="1">
        <v>45789</v>
      </c>
      <c r="B3791" s="2" t="s">
        <v>31</v>
      </c>
      <c r="C3791" s="2" t="s">
        <v>28</v>
      </c>
      <c r="D3791" s="2" t="s">
        <v>25</v>
      </c>
      <c r="E3791">
        <v>24711</v>
      </c>
      <c r="F3791">
        <v>740</v>
      </c>
      <c r="G3791">
        <v>36</v>
      </c>
      <c r="H3791">
        <v>916.64</v>
      </c>
      <c r="I3791">
        <v>3202.91</v>
      </c>
      <c r="J3791">
        <v>2.99</v>
      </c>
      <c r="K3791">
        <v>4.8600000000000003</v>
      </c>
      <c r="L3791">
        <v>25.46</v>
      </c>
      <c r="M3791">
        <v>3.49</v>
      </c>
      <c r="N3791">
        <v>2286.27</v>
      </c>
    </row>
    <row r="3792" spans="1:14" x14ac:dyDescent="0.2">
      <c r="A3792" s="1">
        <v>45789</v>
      </c>
      <c r="B3792" s="2" t="s">
        <v>33</v>
      </c>
      <c r="C3792" s="2" t="s">
        <v>18</v>
      </c>
      <c r="D3792" s="2" t="s">
        <v>22</v>
      </c>
      <c r="E3792">
        <v>9666</v>
      </c>
      <c r="F3792">
        <v>578</v>
      </c>
      <c r="G3792">
        <v>54</v>
      </c>
      <c r="H3792">
        <v>309.47000000000003</v>
      </c>
      <c r="I3792">
        <v>7485.94</v>
      </c>
      <c r="J3792">
        <v>5.98</v>
      </c>
      <c r="K3792">
        <v>9.34</v>
      </c>
      <c r="L3792">
        <v>5.73</v>
      </c>
      <c r="M3792">
        <v>24.19</v>
      </c>
      <c r="N3792">
        <v>7176.47</v>
      </c>
    </row>
    <row r="3793" spans="1:14" x14ac:dyDescent="0.2">
      <c r="A3793" s="1">
        <v>45789</v>
      </c>
      <c r="B3793" s="2" t="s">
        <v>34</v>
      </c>
      <c r="C3793" s="2" t="s">
        <v>15</v>
      </c>
      <c r="D3793" s="2" t="s">
        <v>22</v>
      </c>
      <c r="E3793">
        <v>6970</v>
      </c>
      <c r="F3793">
        <v>476</v>
      </c>
      <c r="G3793">
        <v>72</v>
      </c>
      <c r="H3793">
        <v>191.14</v>
      </c>
      <c r="I3793">
        <v>13105.7</v>
      </c>
      <c r="J3793">
        <v>6.83</v>
      </c>
      <c r="K3793">
        <v>15.13</v>
      </c>
      <c r="L3793">
        <v>2.65</v>
      </c>
      <c r="M3793">
        <v>68.569999999999993</v>
      </c>
      <c r="N3793">
        <v>12914.56</v>
      </c>
    </row>
    <row r="3794" spans="1:14" x14ac:dyDescent="0.2">
      <c r="A3794" s="1">
        <v>45790</v>
      </c>
      <c r="B3794" s="2" t="s">
        <v>14</v>
      </c>
      <c r="C3794" s="2" t="s">
        <v>18</v>
      </c>
      <c r="D3794" s="2" t="s">
        <v>22</v>
      </c>
      <c r="E3794">
        <v>12765</v>
      </c>
      <c r="F3794">
        <v>407</v>
      </c>
      <c r="G3794">
        <v>35</v>
      </c>
      <c r="H3794">
        <v>1252.51</v>
      </c>
      <c r="I3794">
        <v>5147.5</v>
      </c>
      <c r="J3794">
        <v>3.19</v>
      </c>
      <c r="K3794">
        <v>8.6</v>
      </c>
      <c r="L3794">
        <v>35.79</v>
      </c>
      <c r="M3794">
        <v>4.1100000000000003</v>
      </c>
      <c r="N3794">
        <v>3894.99</v>
      </c>
    </row>
    <row r="3795" spans="1:14" x14ac:dyDescent="0.2">
      <c r="A3795" s="1">
        <v>45790</v>
      </c>
      <c r="B3795" s="2" t="s">
        <v>17</v>
      </c>
      <c r="C3795" s="2" t="s">
        <v>15</v>
      </c>
      <c r="D3795" s="2" t="s">
        <v>16</v>
      </c>
      <c r="E3795">
        <v>18679</v>
      </c>
      <c r="F3795">
        <v>519</v>
      </c>
      <c r="G3795">
        <v>34</v>
      </c>
      <c r="H3795">
        <v>946.26</v>
      </c>
      <c r="I3795">
        <v>4259.8100000000004</v>
      </c>
      <c r="J3795">
        <v>2.78</v>
      </c>
      <c r="K3795">
        <v>6.55</v>
      </c>
      <c r="L3795">
        <v>27.83</v>
      </c>
      <c r="M3795">
        <v>4.5</v>
      </c>
      <c r="N3795">
        <v>3313.55</v>
      </c>
    </row>
    <row r="3796" spans="1:14" x14ac:dyDescent="0.2">
      <c r="A3796" s="1">
        <v>45790</v>
      </c>
      <c r="B3796" s="2" t="s">
        <v>20</v>
      </c>
      <c r="C3796" s="2" t="s">
        <v>35</v>
      </c>
      <c r="D3796" s="2" t="s">
        <v>16</v>
      </c>
      <c r="E3796">
        <v>11828</v>
      </c>
      <c r="F3796">
        <v>462</v>
      </c>
      <c r="G3796">
        <v>23</v>
      </c>
      <c r="H3796">
        <v>756.58</v>
      </c>
      <c r="I3796">
        <v>2568.5</v>
      </c>
      <c r="J3796">
        <v>3.91</v>
      </c>
      <c r="K3796">
        <v>4.9800000000000004</v>
      </c>
      <c r="L3796">
        <v>32.89</v>
      </c>
      <c r="M3796">
        <v>3.39</v>
      </c>
      <c r="N3796">
        <v>1811.92</v>
      </c>
    </row>
    <row r="3797" spans="1:14" x14ac:dyDescent="0.2">
      <c r="A3797" s="1">
        <v>45790</v>
      </c>
      <c r="B3797" s="2" t="s">
        <v>23</v>
      </c>
      <c r="C3797" s="2" t="s">
        <v>28</v>
      </c>
      <c r="D3797" s="2" t="s">
        <v>25</v>
      </c>
      <c r="E3797">
        <v>5218</v>
      </c>
      <c r="F3797">
        <v>122</v>
      </c>
      <c r="G3797">
        <v>14</v>
      </c>
      <c r="H3797">
        <v>1657.48</v>
      </c>
      <c r="I3797">
        <v>4184.33</v>
      </c>
      <c r="J3797">
        <v>2.34</v>
      </c>
      <c r="K3797">
        <v>11.48</v>
      </c>
      <c r="L3797">
        <v>118.39</v>
      </c>
      <c r="M3797">
        <v>2.52</v>
      </c>
      <c r="N3797">
        <v>2526.85</v>
      </c>
    </row>
    <row r="3798" spans="1:14" x14ac:dyDescent="0.2">
      <c r="A3798" s="1">
        <v>45790</v>
      </c>
      <c r="B3798" s="2" t="s">
        <v>24</v>
      </c>
      <c r="C3798" s="2" t="s">
        <v>21</v>
      </c>
      <c r="D3798" s="2" t="s">
        <v>25</v>
      </c>
      <c r="E3798">
        <v>22295</v>
      </c>
      <c r="F3798">
        <v>3492</v>
      </c>
      <c r="G3798">
        <v>372</v>
      </c>
      <c r="H3798">
        <v>256</v>
      </c>
      <c r="I3798">
        <v>62578.01</v>
      </c>
      <c r="J3798">
        <v>15.66</v>
      </c>
      <c r="K3798">
        <v>10.65</v>
      </c>
      <c r="L3798">
        <v>0.69</v>
      </c>
      <c r="M3798">
        <v>244.45</v>
      </c>
      <c r="N3798">
        <v>62322.01</v>
      </c>
    </row>
    <row r="3799" spans="1:14" x14ac:dyDescent="0.2">
      <c r="A3799" s="1">
        <v>45790</v>
      </c>
      <c r="B3799" s="2" t="s">
        <v>26</v>
      </c>
      <c r="C3799" s="2" t="s">
        <v>18</v>
      </c>
      <c r="D3799" s="2" t="s">
        <v>16</v>
      </c>
      <c r="E3799">
        <v>24417</v>
      </c>
      <c r="F3799">
        <v>989</v>
      </c>
      <c r="G3799">
        <v>140</v>
      </c>
      <c r="H3799">
        <v>0</v>
      </c>
      <c r="I3799">
        <v>22062.240000000002</v>
      </c>
      <c r="J3799">
        <v>4.05</v>
      </c>
      <c r="K3799">
        <v>14.16</v>
      </c>
      <c r="L3799">
        <v>0</v>
      </c>
      <c r="M3799">
        <v>0</v>
      </c>
      <c r="N3799">
        <v>22062.240000000002</v>
      </c>
    </row>
    <row r="3800" spans="1:14" x14ac:dyDescent="0.2">
      <c r="A3800" s="1">
        <v>45790</v>
      </c>
      <c r="B3800" s="2" t="s">
        <v>27</v>
      </c>
      <c r="C3800" s="2" t="s">
        <v>18</v>
      </c>
      <c r="D3800" s="2" t="s">
        <v>36</v>
      </c>
      <c r="E3800">
        <v>25628</v>
      </c>
      <c r="F3800">
        <v>509</v>
      </c>
      <c r="G3800">
        <v>19</v>
      </c>
      <c r="H3800">
        <v>1233.53</v>
      </c>
      <c r="I3800">
        <v>1805.01</v>
      </c>
      <c r="J3800">
        <v>1.99</v>
      </c>
      <c r="K3800">
        <v>3.73</v>
      </c>
      <c r="L3800">
        <v>64.92</v>
      </c>
      <c r="M3800">
        <v>1.46</v>
      </c>
      <c r="N3800">
        <v>571.48</v>
      </c>
    </row>
    <row r="3801" spans="1:14" x14ac:dyDescent="0.2">
      <c r="A3801" s="1">
        <v>45790</v>
      </c>
      <c r="B3801" s="2" t="s">
        <v>29</v>
      </c>
      <c r="C3801" s="2" t="s">
        <v>32</v>
      </c>
      <c r="D3801" s="2" t="s">
        <v>25</v>
      </c>
      <c r="E3801">
        <v>21701</v>
      </c>
      <c r="F3801">
        <v>395</v>
      </c>
      <c r="G3801">
        <v>29</v>
      </c>
      <c r="H3801">
        <v>995.59</v>
      </c>
      <c r="I3801">
        <v>3693.7</v>
      </c>
      <c r="J3801">
        <v>1.82</v>
      </c>
      <c r="K3801">
        <v>7.34</v>
      </c>
      <c r="L3801">
        <v>34.33</v>
      </c>
      <c r="M3801">
        <v>3.71</v>
      </c>
      <c r="N3801">
        <v>2698.11</v>
      </c>
    </row>
    <row r="3802" spans="1:14" x14ac:dyDescent="0.2">
      <c r="A3802" s="1">
        <v>45790</v>
      </c>
      <c r="B3802" s="2" t="s">
        <v>30</v>
      </c>
      <c r="C3802" s="2" t="s">
        <v>21</v>
      </c>
      <c r="D3802" s="2" t="s">
        <v>16</v>
      </c>
      <c r="E3802">
        <v>12016</v>
      </c>
      <c r="F3802">
        <v>296</v>
      </c>
      <c r="G3802">
        <v>14</v>
      </c>
      <c r="H3802">
        <v>436.9</v>
      </c>
      <c r="I3802">
        <v>1398.97</v>
      </c>
      <c r="J3802">
        <v>2.46</v>
      </c>
      <c r="K3802">
        <v>4.7300000000000004</v>
      </c>
      <c r="L3802">
        <v>31.21</v>
      </c>
      <c r="M3802">
        <v>3.2</v>
      </c>
      <c r="N3802">
        <v>962.07</v>
      </c>
    </row>
    <row r="3803" spans="1:14" x14ac:dyDescent="0.2">
      <c r="A3803" s="1">
        <v>45790</v>
      </c>
      <c r="B3803" s="2" t="s">
        <v>31</v>
      </c>
      <c r="C3803" s="2" t="s">
        <v>21</v>
      </c>
      <c r="D3803" s="2" t="s">
        <v>36</v>
      </c>
      <c r="E3803">
        <v>29941</v>
      </c>
      <c r="F3803">
        <v>902</v>
      </c>
      <c r="G3803">
        <v>62</v>
      </c>
      <c r="H3803">
        <v>807.7</v>
      </c>
      <c r="I3803">
        <v>4946.1000000000004</v>
      </c>
      <c r="J3803">
        <v>3.01</v>
      </c>
      <c r="K3803">
        <v>6.87</v>
      </c>
      <c r="L3803">
        <v>13.03</v>
      </c>
      <c r="M3803">
        <v>6.12</v>
      </c>
      <c r="N3803">
        <v>4138.3999999999996</v>
      </c>
    </row>
    <row r="3804" spans="1:14" x14ac:dyDescent="0.2">
      <c r="A3804" s="1">
        <v>45790</v>
      </c>
      <c r="B3804" s="2" t="s">
        <v>33</v>
      </c>
      <c r="C3804" s="2" t="s">
        <v>35</v>
      </c>
      <c r="D3804" s="2" t="s">
        <v>36</v>
      </c>
      <c r="E3804">
        <v>7123</v>
      </c>
      <c r="F3804">
        <v>387</v>
      </c>
      <c r="G3804">
        <v>46</v>
      </c>
      <c r="H3804">
        <v>348.17</v>
      </c>
      <c r="I3804">
        <v>4415.5</v>
      </c>
      <c r="J3804">
        <v>5.43</v>
      </c>
      <c r="K3804">
        <v>11.89</v>
      </c>
      <c r="L3804">
        <v>7.57</v>
      </c>
      <c r="M3804">
        <v>12.68</v>
      </c>
      <c r="N3804">
        <v>4067.33</v>
      </c>
    </row>
    <row r="3805" spans="1:14" x14ac:dyDescent="0.2">
      <c r="A3805" s="1">
        <v>45790</v>
      </c>
      <c r="B3805" s="2" t="s">
        <v>34</v>
      </c>
      <c r="C3805" s="2" t="s">
        <v>35</v>
      </c>
      <c r="D3805" s="2" t="s">
        <v>16</v>
      </c>
      <c r="E3805">
        <v>6873</v>
      </c>
      <c r="F3805">
        <v>655</v>
      </c>
      <c r="G3805">
        <v>109</v>
      </c>
      <c r="H3805">
        <v>143.47</v>
      </c>
      <c r="I3805">
        <v>17553.990000000002</v>
      </c>
      <c r="J3805">
        <v>9.5299999999999994</v>
      </c>
      <c r="K3805">
        <v>16.64</v>
      </c>
      <c r="L3805">
        <v>1.32</v>
      </c>
      <c r="M3805">
        <v>122.35</v>
      </c>
      <c r="N3805">
        <v>17410.52</v>
      </c>
    </row>
    <row r="3806" spans="1:14" x14ac:dyDescent="0.2">
      <c r="A3806" s="1">
        <v>45791</v>
      </c>
      <c r="B3806" s="2" t="s">
        <v>14</v>
      </c>
      <c r="C3806" s="2" t="s">
        <v>15</v>
      </c>
      <c r="D3806" s="2" t="s">
        <v>25</v>
      </c>
      <c r="E3806">
        <v>14734</v>
      </c>
      <c r="F3806">
        <v>635</v>
      </c>
      <c r="G3806">
        <v>65</v>
      </c>
      <c r="H3806">
        <v>1385.72</v>
      </c>
      <c r="I3806">
        <v>7839.1</v>
      </c>
      <c r="J3806">
        <v>4.3099999999999996</v>
      </c>
      <c r="K3806">
        <v>10.24</v>
      </c>
      <c r="L3806">
        <v>21.32</v>
      </c>
      <c r="M3806">
        <v>5.66</v>
      </c>
      <c r="N3806">
        <v>6453.38</v>
      </c>
    </row>
    <row r="3807" spans="1:14" x14ac:dyDescent="0.2">
      <c r="A3807" s="1">
        <v>45791</v>
      </c>
      <c r="B3807" s="2" t="s">
        <v>17</v>
      </c>
      <c r="C3807" s="2" t="s">
        <v>32</v>
      </c>
      <c r="D3807" s="2" t="s">
        <v>22</v>
      </c>
      <c r="E3807">
        <v>14960</v>
      </c>
      <c r="F3807">
        <v>329</v>
      </c>
      <c r="G3807">
        <v>20</v>
      </c>
      <c r="H3807">
        <v>1100.57</v>
      </c>
      <c r="I3807">
        <v>2432.96</v>
      </c>
      <c r="J3807">
        <v>2.2000000000000002</v>
      </c>
      <c r="K3807">
        <v>6.08</v>
      </c>
      <c r="L3807">
        <v>55.03</v>
      </c>
      <c r="M3807">
        <v>2.21</v>
      </c>
      <c r="N3807">
        <v>1332.39</v>
      </c>
    </row>
    <row r="3808" spans="1:14" x14ac:dyDescent="0.2">
      <c r="A3808" s="1">
        <v>45791</v>
      </c>
      <c r="B3808" s="2" t="s">
        <v>20</v>
      </c>
      <c r="C3808" s="2" t="s">
        <v>35</v>
      </c>
      <c r="D3808" s="2" t="s">
        <v>22</v>
      </c>
      <c r="E3808">
        <v>16123</v>
      </c>
      <c r="F3808">
        <v>447</v>
      </c>
      <c r="G3808">
        <v>25</v>
      </c>
      <c r="H3808">
        <v>509.83</v>
      </c>
      <c r="I3808">
        <v>2365.0500000000002</v>
      </c>
      <c r="J3808">
        <v>2.77</v>
      </c>
      <c r="K3808">
        <v>5.59</v>
      </c>
      <c r="L3808">
        <v>20.39</v>
      </c>
      <c r="M3808">
        <v>4.6399999999999997</v>
      </c>
      <c r="N3808">
        <v>1855.22</v>
      </c>
    </row>
    <row r="3809" spans="1:14" x14ac:dyDescent="0.2">
      <c r="A3809" s="1">
        <v>45791</v>
      </c>
      <c r="B3809" s="2" t="s">
        <v>23</v>
      </c>
      <c r="C3809" s="2" t="s">
        <v>18</v>
      </c>
      <c r="D3809" s="2" t="s">
        <v>25</v>
      </c>
      <c r="E3809">
        <v>3407</v>
      </c>
      <c r="F3809">
        <v>71</v>
      </c>
      <c r="G3809">
        <v>7</v>
      </c>
      <c r="H3809">
        <v>948.12</v>
      </c>
      <c r="I3809">
        <v>1914.27</v>
      </c>
      <c r="J3809">
        <v>2.08</v>
      </c>
      <c r="K3809">
        <v>9.86</v>
      </c>
      <c r="L3809">
        <v>135.44999999999999</v>
      </c>
      <c r="M3809">
        <v>2.02</v>
      </c>
      <c r="N3809">
        <v>966.15</v>
      </c>
    </row>
    <row r="3810" spans="1:14" x14ac:dyDescent="0.2">
      <c r="A3810" s="1">
        <v>45791</v>
      </c>
      <c r="B3810" s="2" t="s">
        <v>24</v>
      </c>
      <c r="C3810" s="2" t="s">
        <v>21</v>
      </c>
      <c r="D3810" s="2" t="s">
        <v>19</v>
      </c>
      <c r="E3810">
        <v>23445</v>
      </c>
      <c r="F3810">
        <v>4567</v>
      </c>
      <c r="G3810">
        <v>475</v>
      </c>
      <c r="H3810">
        <v>175.58</v>
      </c>
      <c r="I3810">
        <v>60185.41</v>
      </c>
      <c r="J3810">
        <v>19.48</v>
      </c>
      <c r="K3810">
        <v>10.4</v>
      </c>
      <c r="L3810">
        <v>0.37</v>
      </c>
      <c r="M3810">
        <v>342.78</v>
      </c>
      <c r="N3810">
        <v>60009.83</v>
      </c>
    </row>
    <row r="3811" spans="1:14" x14ac:dyDescent="0.2">
      <c r="A3811" s="1">
        <v>45791</v>
      </c>
      <c r="B3811" s="2" t="s">
        <v>26</v>
      </c>
      <c r="C3811" s="2" t="s">
        <v>18</v>
      </c>
      <c r="D3811" s="2" t="s">
        <v>16</v>
      </c>
      <c r="E3811">
        <v>20829</v>
      </c>
      <c r="F3811">
        <v>1239</v>
      </c>
      <c r="G3811">
        <v>189</v>
      </c>
      <c r="H3811">
        <v>0</v>
      </c>
      <c r="I3811">
        <v>24556.61</v>
      </c>
      <c r="J3811">
        <v>5.95</v>
      </c>
      <c r="K3811">
        <v>15.25</v>
      </c>
      <c r="L3811">
        <v>0</v>
      </c>
      <c r="M3811">
        <v>0</v>
      </c>
      <c r="N3811">
        <v>24556.61</v>
      </c>
    </row>
    <row r="3812" spans="1:14" x14ac:dyDescent="0.2">
      <c r="A3812" s="1">
        <v>45791</v>
      </c>
      <c r="B3812" s="2" t="s">
        <v>27</v>
      </c>
      <c r="C3812" s="2" t="s">
        <v>35</v>
      </c>
      <c r="D3812" s="2" t="s">
        <v>22</v>
      </c>
      <c r="E3812">
        <v>26205</v>
      </c>
      <c r="F3812">
        <v>458</v>
      </c>
      <c r="G3812">
        <v>18</v>
      </c>
      <c r="H3812">
        <v>717.16</v>
      </c>
      <c r="I3812">
        <v>1772.55</v>
      </c>
      <c r="J3812">
        <v>1.75</v>
      </c>
      <c r="K3812">
        <v>3.93</v>
      </c>
      <c r="L3812">
        <v>39.840000000000003</v>
      </c>
      <c r="M3812">
        <v>2.4700000000000002</v>
      </c>
      <c r="N3812">
        <v>1055.3900000000001</v>
      </c>
    </row>
    <row r="3813" spans="1:14" x14ac:dyDescent="0.2">
      <c r="A3813" s="1">
        <v>45791</v>
      </c>
      <c r="B3813" s="2" t="s">
        <v>29</v>
      </c>
      <c r="C3813" s="2" t="s">
        <v>28</v>
      </c>
      <c r="D3813" s="2" t="s">
        <v>22</v>
      </c>
      <c r="E3813">
        <v>21286</v>
      </c>
      <c r="F3813">
        <v>596</v>
      </c>
      <c r="G3813">
        <v>39</v>
      </c>
      <c r="H3813">
        <v>947.28</v>
      </c>
      <c r="I3813">
        <v>4887.4399999999996</v>
      </c>
      <c r="J3813">
        <v>2.8</v>
      </c>
      <c r="K3813">
        <v>6.54</v>
      </c>
      <c r="L3813">
        <v>24.29</v>
      </c>
      <c r="M3813">
        <v>5.16</v>
      </c>
      <c r="N3813">
        <v>3940.16</v>
      </c>
    </row>
    <row r="3814" spans="1:14" x14ac:dyDescent="0.2">
      <c r="A3814" s="1">
        <v>45791</v>
      </c>
      <c r="B3814" s="2" t="s">
        <v>30</v>
      </c>
      <c r="C3814" s="2" t="s">
        <v>15</v>
      </c>
      <c r="D3814" s="2" t="s">
        <v>19</v>
      </c>
      <c r="E3814">
        <v>12715</v>
      </c>
      <c r="F3814">
        <v>402</v>
      </c>
      <c r="G3814">
        <v>15</v>
      </c>
      <c r="H3814">
        <v>742.71</v>
      </c>
      <c r="I3814">
        <v>1227.32</v>
      </c>
      <c r="J3814">
        <v>3.16</v>
      </c>
      <c r="K3814">
        <v>3.73</v>
      </c>
      <c r="L3814">
        <v>49.51</v>
      </c>
      <c r="M3814">
        <v>1.65</v>
      </c>
      <c r="N3814">
        <v>484.61</v>
      </c>
    </row>
    <row r="3815" spans="1:14" x14ac:dyDescent="0.2">
      <c r="A3815" s="1">
        <v>45791</v>
      </c>
      <c r="B3815" s="2" t="s">
        <v>31</v>
      </c>
      <c r="C3815" s="2" t="s">
        <v>32</v>
      </c>
      <c r="D3815" s="2" t="s">
        <v>22</v>
      </c>
      <c r="E3815">
        <v>21719</v>
      </c>
      <c r="F3815">
        <v>758</v>
      </c>
      <c r="G3815">
        <v>48</v>
      </c>
      <c r="H3815">
        <v>714.43</v>
      </c>
      <c r="I3815">
        <v>4308.33</v>
      </c>
      <c r="J3815">
        <v>3.49</v>
      </c>
      <c r="K3815">
        <v>6.33</v>
      </c>
      <c r="L3815">
        <v>14.88</v>
      </c>
      <c r="M3815">
        <v>6.03</v>
      </c>
      <c r="N3815">
        <v>3593.9</v>
      </c>
    </row>
    <row r="3816" spans="1:14" x14ac:dyDescent="0.2">
      <c r="A3816" s="1">
        <v>45791</v>
      </c>
      <c r="B3816" s="2" t="s">
        <v>33</v>
      </c>
      <c r="C3816" s="2" t="s">
        <v>28</v>
      </c>
      <c r="D3816" s="2" t="s">
        <v>22</v>
      </c>
      <c r="E3816">
        <v>8720</v>
      </c>
      <c r="F3816">
        <v>416</v>
      </c>
      <c r="G3816">
        <v>36</v>
      </c>
      <c r="H3816">
        <v>646.37</v>
      </c>
      <c r="I3816">
        <v>5464.43</v>
      </c>
      <c r="J3816">
        <v>4.7699999999999996</v>
      </c>
      <c r="K3816">
        <v>8.65</v>
      </c>
      <c r="L3816">
        <v>17.95</v>
      </c>
      <c r="M3816">
        <v>8.4499999999999993</v>
      </c>
      <c r="N3816">
        <v>4818.0600000000004</v>
      </c>
    </row>
    <row r="3817" spans="1:14" x14ac:dyDescent="0.2">
      <c r="A3817" s="1">
        <v>45791</v>
      </c>
      <c r="B3817" s="2" t="s">
        <v>34</v>
      </c>
      <c r="C3817" s="2" t="s">
        <v>32</v>
      </c>
      <c r="D3817" s="2" t="s">
        <v>16</v>
      </c>
      <c r="E3817">
        <v>3432</v>
      </c>
      <c r="F3817">
        <v>264</v>
      </c>
      <c r="G3817">
        <v>47</v>
      </c>
      <c r="H3817">
        <v>53.77</v>
      </c>
      <c r="I3817">
        <v>6798.44</v>
      </c>
      <c r="J3817">
        <v>7.69</v>
      </c>
      <c r="K3817">
        <v>17.8</v>
      </c>
      <c r="L3817">
        <v>1.1399999999999999</v>
      </c>
      <c r="M3817">
        <v>126.44</v>
      </c>
      <c r="N3817">
        <v>6744.67</v>
      </c>
    </row>
    <row r="3818" spans="1:14" x14ac:dyDescent="0.2">
      <c r="A3818" s="1">
        <v>45792</v>
      </c>
      <c r="B3818" s="2" t="s">
        <v>14</v>
      </c>
      <c r="C3818" s="2" t="s">
        <v>21</v>
      </c>
      <c r="D3818" s="2" t="s">
        <v>16</v>
      </c>
      <c r="E3818">
        <v>14008</v>
      </c>
      <c r="F3818">
        <v>653</v>
      </c>
      <c r="G3818">
        <v>61</v>
      </c>
      <c r="H3818">
        <v>1301.68</v>
      </c>
      <c r="I3818">
        <v>9727.59</v>
      </c>
      <c r="J3818">
        <v>4.66</v>
      </c>
      <c r="K3818">
        <v>9.34</v>
      </c>
      <c r="L3818">
        <v>21.34</v>
      </c>
      <c r="M3818">
        <v>7.47</v>
      </c>
      <c r="N3818">
        <v>8425.91</v>
      </c>
    </row>
    <row r="3819" spans="1:14" x14ac:dyDescent="0.2">
      <c r="A3819" s="1">
        <v>45792</v>
      </c>
      <c r="B3819" s="2" t="s">
        <v>17</v>
      </c>
      <c r="C3819" s="2" t="s">
        <v>15</v>
      </c>
      <c r="D3819" s="2" t="s">
        <v>25</v>
      </c>
      <c r="E3819">
        <v>13067</v>
      </c>
      <c r="F3819">
        <v>317</v>
      </c>
      <c r="G3819">
        <v>17</v>
      </c>
      <c r="H3819">
        <v>982.56</v>
      </c>
      <c r="I3819">
        <v>1809.42</v>
      </c>
      <c r="J3819">
        <v>2.4300000000000002</v>
      </c>
      <c r="K3819">
        <v>5.36</v>
      </c>
      <c r="L3819">
        <v>57.8</v>
      </c>
      <c r="M3819">
        <v>1.84</v>
      </c>
      <c r="N3819">
        <v>826.86</v>
      </c>
    </row>
    <row r="3820" spans="1:14" x14ac:dyDescent="0.2">
      <c r="A3820" s="1">
        <v>45792</v>
      </c>
      <c r="B3820" s="2" t="s">
        <v>20</v>
      </c>
      <c r="C3820" s="2" t="s">
        <v>28</v>
      </c>
      <c r="D3820" s="2" t="s">
        <v>22</v>
      </c>
      <c r="E3820">
        <v>11408</v>
      </c>
      <c r="F3820">
        <v>294</v>
      </c>
      <c r="G3820">
        <v>21</v>
      </c>
      <c r="H3820">
        <v>874.23</v>
      </c>
      <c r="I3820">
        <v>1711.38</v>
      </c>
      <c r="J3820">
        <v>2.58</v>
      </c>
      <c r="K3820">
        <v>7.14</v>
      </c>
      <c r="L3820">
        <v>41.63</v>
      </c>
      <c r="M3820">
        <v>1.96</v>
      </c>
      <c r="N3820">
        <v>837.15</v>
      </c>
    </row>
    <row r="3821" spans="1:14" x14ac:dyDescent="0.2">
      <c r="A3821" s="1">
        <v>45792</v>
      </c>
      <c r="B3821" s="2" t="s">
        <v>23</v>
      </c>
      <c r="C3821" s="2" t="s">
        <v>18</v>
      </c>
      <c r="D3821" s="2" t="s">
        <v>36</v>
      </c>
      <c r="E3821">
        <v>4275</v>
      </c>
      <c r="F3821">
        <v>74</v>
      </c>
      <c r="G3821">
        <v>9</v>
      </c>
      <c r="H3821">
        <v>1552.11</v>
      </c>
      <c r="I3821">
        <v>2458.34</v>
      </c>
      <c r="J3821">
        <v>1.73</v>
      </c>
      <c r="K3821">
        <v>12.16</v>
      </c>
      <c r="L3821">
        <v>172.46</v>
      </c>
      <c r="M3821">
        <v>1.58</v>
      </c>
      <c r="N3821">
        <v>906.23</v>
      </c>
    </row>
    <row r="3822" spans="1:14" x14ac:dyDescent="0.2">
      <c r="A3822" s="1">
        <v>45792</v>
      </c>
      <c r="B3822" s="2" t="s">
        <v>24</v>
      </c>
      <c r="C3822" s="2" t="s">
        <v>18</v>
      </c>
      <c r="D3822" s="2" t="s">
        <v>16</v>
      </c>
      <c r="E3822">
        <v>18144</v>
      </c>
      <c r="F3822">
        <v>3141</v>
      </c>
      <c r="G3822">
        <v>293</v>
      </c>
      <c r="H3822">
        <v>270.99</v>
      </c>
      <c r="I3822">
        <v>42409.99</v>
      </c>
      <c r="J3822">
        <v>17.309999999999999</v>
      </c>
      <c r="K3822">
        <v>9.33</v>
      </c>
      <c r="L3822">
        <v>0.92</v>
      </c>
      <c r="M3822">
        <v>156.5</v>
      </c>
      <c r="N3822">
        <v>42139</v>
      </c>
    </row>
    <row r="3823" spans="1:14" x14ac:dyDescent="0.2">
      <c r="A3823" s="1">
        <v>45792</v>
      </c>
      <c r="B3823" s="2" t="s">
        <v>26</v>
      </c>
      <c r="C3823" s="2" t="s">
        <v>18</v>
      </c>
      <c r="D3823" s="2" t="s">
        <v>22</v>
      </c>
      <c r="E3823">
        <v>25004</v>
      </c>
      <c r="F3823">
        <v>1969</v>
      </c>
      <c r="G3823">
        <v>258</v>
      </c>
      <c r="H3823">
        <v>0</v>
      </c>
      <c r="I3823">
        <v>35479.14</v>
      </c>
      <c r="J3823">
        <v>7.87</v>
      </c>
      <c r="K3823">
        <v>13.1</v>
      </c>
      <c r="L3823">
        <v>0</v>
      </c>
      <c r="M3823">
        <v>0</v>
      </c>
      <c r="N3823">
        <v>35479.14</v>
      </c>
    </row>
    <row r="3824" spans="1:14" x14ac:dyDescent="0.2">
      <c r="A3824" s="1">
        <v>45792</v>
      </c>
      <c r="B3824" s="2" t="s">
        <v>27</v>
      </c>
      <c r="C3824" s="2" t="s">
        <v>18</v>
      </c>
      <c r="D3824" s="2" t="s">
        <v>25</v>
      </c>
      <c r="E3824">
        <v>34957</v>
      </c>
      <c r="F3824">
        <v>666</v>
      </c>
      <c r="G3824">
        <v>28</v>
      </c>
      <c r="H3824">
        <v>1032.56</v>
      </c>
      <c r="I3824">
        <v>3167.48</v>
      </c>
      <c r="J3824">
        <v>1.91</v>
      </c>
      <c r="K3824">
        <v>4.2</v>
      </c>
      <c r="L3824">
        <v>36.880000000000003</v>
      </c>
      <c r="M3824">
        <v>3.07</v>
      </c>
      <c r="N3824">
        <v>2134.92</v>
      </c>
    </row>
    <row r="3825" spans="1:14" x14ac:dyDescent="0.2">
      <c r="A3825" s="1">
        <v>45792</v>
      </c>
      <c r="B3825" s="2" t="s">
        <v>29</v>
      </c>
      <c r="C3825" s="2" t="s">
        <v>35</v>
      </c>
      <c r="D3825" s="2" t="s">
        <v>36</v>
      </c>
      <c r="E3825">
        <v>17514</v>
      </c>
      <c r="F3825">
        <v>497</v>
      </c>
      <c r="G3825">
        <v>30</v>
      </c>
      <c r="H3825">
        <v>1319.19</v>
      </c>
      <c r="I3825">
        <v>2934.47</v>
      </c>
      <c r="J3825">
        <v>2.84</v>
      </c>
      <c r="K3825">
        <v>6.04</v>
      </c>
      <c r="L3825">
        <v>43.97</v>
      </c>
      <c r="M3825">
        <v>2.2200000000000002</v>
      </c>
      <c r="N3825">
        <v>1615.28</v>
      </c>
    </row>
    <row r="3826" spans="1:14" x14ac:dyDescent="0.2">
      <c r="A3826" s="1">
        <v>45792</v>
      </c>
      <c r="B3826" s="2" t="s">
        <v>30</v>
      </c>
      <c r="C3826" s="2" t="s">
        <v>15</v>
      </c>
      <c r="D3826" s="2" t="s">
        <v>36</v>
      </c>
      <c r="E3826">
        <v>9941</v>
      </c>
      <c r="F3826">
        <v>208</v>
      </c>
      <c r="G3826">
        <v>10</v>
      </c>
      <c r="H3826">
        <v>499.41</v>
      </c>
      <c r="I3826">
        <v>1095.54</v>
      </c>
      <c r="J3826">
        <v>2.09</v>
      </c>
      <c r="K3826">
        <v>4.8099999999999996</v>
      </c>
      <c r="L3826">
        <v>49.94</v>
      </c>
      <c r="M3826">
        <v>2.19</v>
      </c>
      <c r="N3826">
        <v>596.13</v>
      </c>
    </row>
    <row r="3827" spans="1:14" x14ac:dyDescent="0.2">
      <c r="A3827" s="1">
        <v>45792</v>
      </c>
      <c r="B3827" s="2" t="s">
        <v>31</v>
      </c>
      <c r="C3827" s="2" t="s">
        <v>15</v>
      </c>
      <c r="D3827" s="2" t="s">
        <v>22</v>
      </c>
      <c r="E3827">
        <v>24684</v>
      </c>
      <c r="F3827">
        <v>809</v>
      </c>
      <c r="G3827">
        <v>39</v>
      </c>
      <c r="H3827">
        <v>771.91</v>
      </c>
      <c r="I3827">
        <v>3076.33</v>
      </c>
      <c r="J3827">
        <v>3.28</v>
      </c>
      <c r="K3827">
        <v>4.82</v>
      </c>
      <c r="L3827">
        <v>19.79</v>
      </c>
      <c r="M3827">
        <v>3.99</v>
      </c>
      <c r="N3827">
        <v>2304.42</v>
      </c>
    </row>
    <row r="3828" spans="1:14" x14ac:dyDescent="0.2">
      <c r="A3828" s="1">
        <v>45792</v>
      </c>
      <c r="B3828" s="2" t="s">
        <v>33</v>
      </c>
      <c r="C3828" s="2" t="s">
        <v>21</v>
      </c>
      <c r="D3828" s="2" t="s">
        <v>22</v>
      </c>
      <c r="E3828">
        <v>6539</v>
      </c>
      <c r="F3828">
        <v>403</v>
      </c>
      <c r="G3828">
        <v>42</v>
      </c>
      <c r="H3828">
        <v>613.29999999999995</v>
      </c>
      <c r="I3828">
        <v>5016.2299999999996</v>
      </c>
      <c r="J3828">
        <v>6.16</v>
      </c>
      <c r="K3828">
        <v>10.42</v>
      </c>
      <c r="L3828">
        <v>14.6</v>
      </c>
      <c r="M3828">
        <v>8.18</v>
      </c>
      <c r="N3828">
        <v>4402.93</v>
      </c>
    </row>
    <row r="3829" spans="1:14" x14ac:dyDescent="0.2">
      <c r="A3829" s="1">
        <v>45792</v>
      </c>
      <c r="B3829" s="2" t="s">
        <v>34</v>
      </c>
      <c r="C3829" s="2" t="s">
        <v>15</v>
      </c>
      <c r="D3829" s="2" t="s">
        <v>19</v>
      </c>
      <c r="E3829">
        <v>6699</v>
      </c>
      <c r="F3829">
        <v>407</v>
      </c>
      <c r="G3829">
        <v>53</v>
      </c>
      <c r="H3829">
        <v>158.46</v>
      </c>
      <c r="I3829">
        <v>7010.45</v>
      </c>
      <c r="J3829">
        <v>6.08</v>
      </c>
      <c r="K3829">
        <v>13.02</v>
      </c>
      <c r="L3829">
        <v>2.99</v>
      </c>
      <c r="M3829">
        <v>44.24</v>
      </c>
      <c r="N3829">
        <v>6851.99</v>
      </c>
    </row>
    <row r="3830" spans="1:14" x14ac:dyDescent="0.2">
      <c r="A3830" s="1">
        <v>45793</v>
      </c>
      <c r="B3830" s="2" t="s">
        <v>14</v>
      </c>
      <c r="C3830" s="2" t="s">
        <v>32</v>
      </c>
      <c r="D3830" s="2" t="s">
        <v>36</v>
      </c>
      <c r="E3830">
        <v>10394</v>
      </c>
      <c r="F3830">
        <v>514</v>
      </c>
      <c r="G3830">
        <v>59</v>
      </c>
      <c r="H3830">
        <v>835.53</v>
      </c>
      <c r="I3830">
        <v>9927.6200000000008</v>
      </c>
      <c r="J3830">
        <v>4.95</v>
      </c>
      <c r="K3830">
        <v>11.48</v>
      </c>
      <c r="L3830">
        <v>14.16</v>
      </c>
      <c r="M3830">
        <v>11.88</v>
      </c>
      <c r="N3830">
        <v>9092.09</v>
      </c>
    </row>
    <row r="3831" spans="1:14" x14ac:dyDescent="0.2">
      <c r="A3831" s="1">
        <v>45793</v>
      </c>
      <c r="B3831" s="2" t="s">
        <v>17</v>
      </c>
      <c r="C3831" s="2" t="s">
        <v>28</v>
      </c>
      <c r="D3831" s="2" t="s">
        <v>22</v>
      </c>
      <c r="E3831">
        <v>15261</v>
      </c>
      <c r="F3831">
        <v>383</v>
      </c>
      <c r="G3831">
        <v>34</v>
      </c>
      <c r="H3831">
        <v>1192.54</v>
      </c>
      <c r="I3831">
        <v>3923.94</v>
      </c>
      <c r="J3831">
        <v>2.5099999999999998</v>
      </c>
      <c r="K3831">
        <v>8.8800000000000008</v>
      </c>
      <c r="L3831">
        <v>35.07</v>
      </c>
      <c r="M3831">
        <v>3.29</v>
      </c>
      <c r="N3831">
        <v>2731.4</v>
      </c>
    </row>
    <row r="3832" spans="1:14" x14ac:dyDescent="0.2">
      <c r="A3832" s="1">
        <v>45793</v>
      </c>
      <c r="B3832" s="2" t="s">
        <v>20</v>
      </c>
      <c r="C3832" s="2" t="s">
        <v>21</v>
      </c>
      <c r="D3832" s="2" t="s">
        <v>25</v>
      </c>
      <c r="E3832">
        <v>10246</v>
      </c>
      <c r="F3832">
        <v>444</v>
      </c>
      <c r="G3832">
        <v>31</v>
      </c>
      <c r="H3832">
        <v>541.91</v>
      </c>
      <c r="I3832">
        <v>3268.87</v>
      </c>
      <c r="J3832">
        <v>4.33</v>
      </c>
      <c r="K3832">
        <v>6.98</v>
      </c>
      <c r="L3832">
        <v>17.48</v>
      </c>
      <c r="M3832">
        <v>6.03</v>
      </c>
      <c r="N3832">
        <v>2726.96</v>
      </c>
    </row>
    <row r="3833" spans="1:14" x14ac:dyDescent="0.2">
      <c r="A3833" s="1">
        <v>45793</v>
      </c>
      <c r="B3833" s="2" t="s">
        <v>23</v>
      </c>
      <c r="C3833" s="2" t="s">
        <v>15</v>
      </c>
      <c r="D3833" s="2" t="s">
        <v>16</v>
      </c>
      <c r="E3833">
        <v>5200</v>
      </c>
      <c r="F3833">
        <v>155</v>
      </c>
      <c r="G3833">
        <v>21</v>
      </c>
      <c r="H3833">
        <v>999.63</v>
      </c>
      <c r="I3833">
        <v>5524.51</v>
      </c>
      <c r="J3833">
        <v>2.98</v>
      </c>
      <c r="K3833">
        <v>13.55</v>
      </c>
      <c r="L3833">
        <v>47.6</v>
      </c>
      <c r="M3833">
        <v>5.53</v>
      </c>
      <c r="N3833">
        <v>4524.88</v>
      </c>
    </row>
    <row r="3834" spans="1:14" x14ac:dyDescent="0.2">
      <c r="A3834" s="1">
        <v>45793</v>
      </c>
      <c r="B3834" s="2" t="s">
        <v>24</v>
      </c>
      <c r="C3834" s="2" t="s">
        <v>32</v>
      </c>
      <c r="D3834" s="2" t="s">
        <v>22</v>
      </c>
      <c r="E3834">
        <v>18155</v>
      </c>
      <c r="F3834">
        <v>4489</v>
      </c>
      <c r="G3834">
        <v>518</v>
      </c>
      <c r="H3834">
        <v>116.73</v>
      </c>
      <c r="I3834">
        <v>83123.59</v>
      </c>
      <c r="J3834">
        <v>24.73</v>
      </c>
      <c r="K3834">
        <v>11.54</v>
      </c>
      <c r="L3834">
        <v>0.23</v>
      </c>
      <c r="M3834">
        <v>712.1</v>
      </c>
      <c r="N3834">
        <v>83006.86</v>
      </c>
    </row>
    <row r="3835" spans="1:14" x14ac:dyDescent="0.2">
      <c r="A3835" s="1">
        <v>45793</v>
      </c>
      <c r="B3835" s="2" t="s">
        <v>26</v>
      </c>
      <c r="C3835" s="2" t="s">
        <v>15</v>
      </c>
      <c r="D3835" s="2" t="s">
        <v>36</v>
      </c>
      <c r="E3835">
        <v>24478</v>
      </c>
      <c r="F3835">
        <v>1123</v>
      </c>
      <c r="G3835">
        <v>115</v>
      </c>
      <c r="H3835">
        <v>0</v>
      </c>
      <c r="I3835">
        <v>17679.599999999999</v>
      </c>
      <c r="J3835">
        <v>4.59</v>
      </c>
      <c r="K3835">
        <v>10.24</v>
      </c>
      <c r="L3835">
        <v>0</v>
      </c>
      <c r="M3835">
        <v>0</v>
      </c>
      <c r="N3835">
        <v>17679.599999999999</v>
      </c>
    </row>
    <row r="3836" spans="1:14" x14ac:dyDescent="0.2">
      <c r="A3836" s="1">
        <v>45793</v>
      </c>
      <c r="B3836" s="2" t="s">
        <v>27</v>
      </c>
      <c r="C3836" s="2" t="s">
        <v>32</v>
      </c>
      <c r="D3836" s="2" t="s">
        <v>16</v>
      </c>
      <c r="E3836">
        <v>25682</v>
      </c>
      <c r="F3836">
        <v>314</v>
      </c>
      <c r="G3836">
        <v>11</v>
      </c>
      <c r="H3836">
        <v>1007.58</v>
      </c>
      <c r="I3836">
        <v>1282.51</v>
      </c>
      <c r="J3836">
        <v>1.22</v>
      </c>
      <c r="K3836">
        <v>3.5</v>
      </c>
      <c r="L3836">
        <v>91.6</v>
      </c>
      <c r="M3836">
        <v>1.27</v>
      </c>
      <c r="N3836">
        <v>274.93</v>
      </c>
    </row>
    <row r="3837" spans="1:14" x14ac:dyDescent="0.2">
      <c r="A3837" s="1">
        <v>45793</v>
      </c>
      <c r="B3837" s="2" t="s">
        <v>29</v>
      </c>
      <c r="C3837" s="2" t="s">
        <v>15</v>
      </c>
      <c r="D3837" s="2" t="s">
        <v>19</v>
      </c>
      <c r="E3837">
        <v>19826</v>
      </c>
      <c r="F3837">
        <v>507</v>
      </c>
      <c r="G3837">
        <v>29</v>
      </c>
      <c r="H3837">
        <v>961.35</v>
      </c>
      <c r="I3837">
        <v>3713.19</v>
      </c>
      <c r="J3837">
        <v>2.56</v>
      </c>
      <c r="K3837">
        <v>5.72</v>
      </c>
      <c r="L3837">
        <v>33.15</v>
      </c>
      <c r="M3837">
        <v>3.86</v>
      </c>
      <c r="N3837">
        <v>2751.84</v>
      </c>
    </row>
    <row r="3838" spans="1:14" x14ac:dyDescent="0.2">
      <c r="A3838" s="1">
        <v>45793</v>
      </c>
      <c r="B3838" s="2" t="s">
        <v>30</v>
      </c>
      <c r="C3838" s="2" t="s">
        <v>35</v>
      </c>
      <c r="D3838" s="2" t="s">
        <v>36</v>
      </c>
      <c r="E3838">
        <v>10075</v>
      </c>
      <c r="F3838">
        <v>267</v>
      </c>
      <c r="G3838">
        <v>15</v>
      </c>
      <c r="H3838">
        <v>529.35</v>
      </c>
      <c r="I3838">
        <v>1817.83</v>
      </c>
      <c r="J3838">
        <v>2.65</v>
      </c>
      <c r="K3838">
        <v>5.62</v>
      </c>
      <c r="L3838">
        <v>35.29</v>
      </c>
      <c r="M3838">
        <v>3.43</v>
      </c>
      <c r="N3838">
        <v>1288.48</v>
      </c>
    </row>
    <row r="3839" spans="1:14" x14ac:dyDescent="0.2">
      <c r="A3839" s="1">
        <v>45793</v>
      </c>
      <c r="B3839" s="2" t="s">
        <v>31</v>
      </c>
      <c r="C3839" s="2" t="s">
        <v>18</v>
      </c>
      <c r="D3839" s="2" t="s">
        <v>25</v>
      </c>
      <c r="E3839">
        <v>21044</v>
      </c>
      <c r="F3839">
        <v>796</v>
      </c>
      <c r="G3839">
        <v>43</v>
      </c>
      <c r="H3839">
        <v>610</v>
      </c>
      <c r="I3839">
        <v>4491.16</v>
      </c>
      <c r="J3839">
        <v>3.78</v>
      </c>
      <c r="K3839">
        <v>5.4</v>
      </c>
      <c r="L3839">
        <v>14.19</v>
      </c>
      <c r="M3839">
        <v>7.36</v>
      </c>
      <c r="N3839">
        <v>3881.16</v>
      </c>
    </row>
    <row r="3840" spans="1:14" x14ac:dyDescent="0.2">
      <c r="A3840" s="1">
        <v>45793</v>
      </c>
      <c r="B3840" s="2" t="s">
        <v>33</v>
      </c>
      <c r="C3840" s="2" t="s">
        <v>21</v>
      </c>
      <c r="D3840" s="2" t="s">
        <v>22</v>
      </c>
      <c r="E3840">
        <v>5085</v>
      </c>
      <c r="F3840">
        <v>318</v>
      </c>
      <c r="G3840">
        <v>29</v>
      </c>
      <c r="H3840">
        <v>326.68</v>
      </c>
      <c r="I3840">
        <v>3631.27</v>
      </c>
      <c r="J3840">
        <v>6.25</v>
      </c>
      <c r="K3840">
        <v>9.1199999999999992</v>
      </c>
      <c r="L3840">
        <v>11.26</v>
      </c>
      <c r="M3840">
        <v>11.12</v>
      </c>
      <c r="N3840">
        <v>3304.59</v>
      </c>
    </row>
    <row r="3841" spans="1:14" x14ac:dyDescent="0.2">
      <c r="A3841" s="1">
        <v>45793</v>
      </c>
      <c r="B3841" s="2" t="s">
        <v>34</v>
      </c>
      <c r="C3841" s="2" t="s">
        <v>18</v>
      </c>
      <c r="D3841" s="2" t="s">
        <v>25</v>
      </c>
      <c r="E3841">
        <v>6239</v>
      </c>
      <c r="F3841">
        <v>403</v>
      </c>
      <c r="G3841">
        <v>57</v>
      </c>
      <c r="H3841">
        <v>155.03</v>
      </c>
      <c r="I3841">
        <v>8201.86</v>
      </c>
      <c r="J3841">
        <v>6.46</v>
      </c>
      <c r="K3841">
        <v>14.14</v>
      </c>
      <c r="L3841">
        <v>2.72</v>
      </c>
      <c r="M3841">
        <v>52.9</v>
      </c>
      <c r="N3841">
        <v>8046.83</v>
      </c>
    </row>
    <row r="3842" spans="1:14" x14ac:dyDescent="0.2">
      <c r="A3842" s="1">
        <v>45794</v>
      </c>
      <c r="B3842" s="2" t="s">
        <v>14</v>
      </c>
      <c r="C3842" s="2" t="s">
        <v>18</v>
      </c>
      <c r="D3842" s="2" t="s">
        <v>25</v>
      </c>
      <c r="E3842">
        <v>9100</v>
      </c>
      <c r="F3842">
        <v>403</v>
      </c>
      <c r="G3842">
        <v>39</v>
      </c>
      <c r="H3842">
        <v>692.14</v>
      </c>
      <c r="I3842">
        <v>6133.8</v>
      </c>
      <c r="J3842">
        <v>4.43</v>
      </c>
      <c r="K3842">
        <v>9.68</v>
      </c>
      <c r="L3842">
        <v>17.75</v>
      </c>
      <c r="M3842">
        <v>8.86</v>
      </c>
      <c r="N3842">
        <v>5441.66</v>
      </c>
    </row>
    <row r="3843" spans="1:14" x14ac:dyDescent="0.2">
      <c r="A3843" s="1">
        <v>45794</v>
      </c>
      <c r="B3843" s="2" t="s">
        <v>17</v>
      </c>
      <c r="C3843" s="2" t="s">
        <v>35</v>
      </c>
      <c r="D3843" s="2" t="s">
        <v>25</v>
      </c>
      <c r="E3843">
        <v>12876</v>
      </c>
      <c r="F3843">
        <v>475</v>
      </c>
      <c r="G3843">
        <v>29</v>
      </c>
      <c r="H3843">
        <v>753.62</v>
      </c>
      <c r="I3843">
        <v>2724.52</v>
      </c>
      <c r="J3843">
        <v>3.69</v>
      </c>
      <c r="K3843">
        <v>6.11</v>
      </c>
      <c r="L3843">
        <v>25.99</v>
      </c>
      <c r="M3843">
        <v>3.62</v>
      </c>
      <c r="N3843">
        <v>1970.9</v>
      </c>
    </row>
    <row r="3844" spans="1:14" x14ac:dyDescent="0.2">
      <c r="A3844" s="1">
        <v>45794</v>
      </c>
      <c r="B3844" s="2" t="s">
        <v>20</v>
      </c>
      <c r="C3844" s="2" t="s">
        <v>32</v>
      </c>
      <c r="D3844" s="2" t="s">
        <v>22</v>
      </c>
      <c r="E3844">
        <v>8877</v>
      </c>
      <c r="F3844">
        <v>303</v>
      </c>
      <c r="G3844">
        <v>23</v>
      </c>
      <c r="H3844">
        <v>581.6</v>
      </c>
      <c r="I3844">
        <v>2423.62</v>
      </c>
      <c r="J3844">
        <v>3.41</v>
      </c>
      <c r="K3844">
        <v>7.59</v>
      </c>
      <c r="L3844">
        <v>25.29</v>
      </c>
      <c r="M3844">
        <v>4.17</v>
      </c>
      <c r="N3844">
        <v>1842.02</v>
      </c>
    </row>
    <row r="3845" spans="1:14" x14ac:dyDescent="0.2">
      <c r="A3845" s="1">
        <v>45794</v>
      </c>
      <c r="B3845" s="2" t="s">
        <v>23</v>
      </c>
      <c r="C3845" s="2" t="s">
        <v>28</v>
      </c>
      <c r="D3845" s="2" t="s">
        <v>22</v>
      </c>
      <c r="E3845">
        <v>3451</v>
      </c>
      <c r="F3845">
        <v>63</v>
      </c>
      <c r="G3845">
        <v>6</v>
      </c>
      <c r="H3845">
        <v>763.08</v>
      </c>
      <c r="I3845">
        <v>1809.51</v>
      </c>
      <c r="J3845">
        <v>1.83</v>
      </c>
      <c r="K3845">
        <v>9.52</v>
      </c>
      <c r="L3845">
        <v>127.18</v>
      </c>
      <c r="M3845">
        <v>2.37</v>
      </c>
      <c r="N3845">
        <v>1046.43</v>
      </c>
    </row>
    <row r="3846" spans="1:14" x14ac:dyDescent="0.2">
      <c r="A3846" s="1">
        <v>45794</v>
      </c>
      <c r="B3846" s="2" t="s">
        <v>24</v>
      </c>
      <c r="C3846" s="2" t="s">
        <v>35</v>
      </c>
      <c r="D3846" s="2" t="s">
        <v>16</v>
      </c>
      <c r="E3846">
        <v>14978</v>
      </c>
      <c r="F3846">
        <v>2389</v>
      </c>
      <c r="G3846">
        <v>317</v>
      </c>
      <c r="H3846">
        <v>181.64</v>
      </c>
      <c r="I3846">
        <v>49789.65</v>
      </c>
      <c r="J3846">
        <v>15.95</v>
      </c>
      <c r="K3846">
        <v>13.27</v>
      </c>
      <c r="L3846">
        <v>0.56999999999999995</v>
      </c>
      <c r="M3846">
        <v>274.11</v>
      </c>
      <c r="N3846">
        <v>49608.01</v>
      </c>
    </row>
    <row r="3847" spans="1:14" x14ac:dyDescent="0.2">
      <c r="A3847" s="1">
        <v>45794</v>
      </c>
      <c r="B3847" s="2" t="s">
        <v>26</v>
      </c>
      <c r="C3847" s="2" t="s">
        <v>21</v>
      </c>
      <c r="D3847" s="2" t="s">
        <v>16</v>
      </c>
      <c r="E3847">
        <v>21622</v>
      </c>
      <c r="F3847">
        <v>1021</v>
      </c>
      <c r="G3847">
        <v>142</v>
      </c>
      <c r="H3847">
        <v>0</v>
      </c>
      <c r="I3847">
        <v>19352.64</v>
      </c>
      <c r="J3847">
        <v>4.72</v>
      </c>
      <c r="K3847">
        <v>13.91</v>
      </c>
      <c r="L3847">
        <v>0</v>
      </c>
      <c r="M3847">
        <v>0</v>
      </c>
      <c r="N3847">
        <v>19352.64</v>
      </c>
    </row>
    <row r="3848" spans="1:14" x14ac:dyDescent="0.2">
      <c r="A3848" s="1">
        <v>45794</v>
      </c>
      <c r="B3848" s="2" t="s">
        <v>27</v>
      </c>
      <c r="C3848" s="2" t="s">
        <v>21</v>
      </c>
      <c r="D3848" s="2" t="s">
        <v>36</v>
      </c>
      <c r="E3848">
        <v>19173</v>
      </c>
      <c r="F3848">
        <v>216</v>
      </c>
      <c r="G3848">
        <v>7</v>
      </c>
      <c r="H3848">
        <v>700.12</v>
      </c>
      <c r="I3848">
        <v>819.84</v>
      </c>
      <c r="J3848">
        <v>1.1299999999999999</v>
      </c>
      <c r="K3848">
        <v>3.24</v>
      </c>
      <c r="L3848">
        <v>100.02</v>
      </c>
      <c r="M3848">
        <v>1.17</v>
      </c>
      <c r="N3848">
        <v>119.72</v>
      </c>
    </row>
    <row r="3849" spans="1:14" x14ac:dyDescent="0.2">
      <c r="A3849" s="1">
        <v>45794</v>
      </c>
      <c r="B3849" s="2" t="s">
        <v>29</v>
      </c>
      <c r="C3849" s="2" t="s">
        <v>28</v>
      </c>
      <c r="D3849" s="2" t="s">
        <v>22</v>
      </c>
      <c r="E3849">
        <v>17110</v>
      </c>
      <c r="F3849">
        <v>491</v>
      </c>
      <c r="G3849">
        <v>37</v>
      </c>
      <c r="H3849">
        <v>974.28</v>
      </c>
      <c r="I3849">
        <v>4194.6000000000004</v>
      </c>
      <c r="J3849">
        <v>2.87</v>
      </c>
      <c r="K3849">
        <v>7.54</v>
      </c>
      <c r="L3849">
        <v>26.33</v>
      </c>
      <c r="M3849">
        <v>4.3099999999999996</v>
      </c>
      <c r="N3849">
        <v>3220.32</v>
      </c>
    </row>
    <row r="3850" spans="1:14" x14ac:dyDescent="0.2">
      <c r="A3850" s="1">
        <v>45794</v>
      </c>
      <c r="B3850" s="2" t="s">
        <v>30</v>
      </c>
      <c r="C3850" s="2" t="s">
        <v>21</v>
      </c>
      <c r="D3850" s="2" t="s">
        <v>16</v>
      </c>
      <c r="E3850">
        <v>7892</v>
      </c>
      <c r="F3850">
        <v>161</v>
      </c>
      <c r="G3850">
        <v>7</v>
      </c>
      <c r="H3850">
        <v>504.91</v>
      </c>
      <c r="I3850">
        <v>716.23</v>
      </c>
      <c r="J3850">
        <v>2.04</v>
      </c>
      <c r="K3850">
        <v>4.3499999999999996</v>
      </c>
      <c r="L3850">
        <v>72.13</v>
      </c>
      <c r="M3850">
        <v>1.42</v>
      </c>
      <c r="N3850">
        <v>211.32</v>
      </c>
    </row>
    <row r="3851" spans="1:14" x14ac:dyDescent="0.2">
      <c r="A3851" s="1">
        <v>45794</v>
      </c>
      <c r="B3851" s="2" t="s">
        <v>31</v>
      </c>
      <c r="C3851" s="2" t="s">
        <v>18</v>
      </c>
      <c r="D3851" s="2" t="s">
        <v>19</v>
      </c>
      <c r="E3851">
        <v>14777</v>
      </c>
      <c r="F3851">
        <v>567</v>
      </c>
      <c r="G3851">
        <v>33</v>
      </c>
      <c r="H3851">
        <v>605.75</v>
      </c>
      <c r="I3851">
        <v>3216.37</v>
      </c>
      <c r="J3851">
        <v>3.84</v>
      </c>
      <c r="K3851">
        <v>5.82</v>
      </c>
      <c r="L3851">
        <v>18.36</v>
      </c>
      <c r="M3851">
        <v>5.31</v>
      </c>
      <c r="N3851">
        <v>2610.62</v>
      </c>
    </row>
    <row r="3852" spans="1:14" x14ac:dyDescent="0.2">
      <c r="A3852" s="1">
        <v>45794</v>
      </c>
      <c r="B3852" s="2" t="s">
        <v>33</v>
      </c>
      <c r="C3852" s="2" t="s">
        <v>35</v>
      </c>
      <c r="D3852" s="2" t="s">
        <v>22</v>
      </c>
      <c r="E3852">
        <v>6244</v>
      </c>
      <c r="F3852">
        <v>310</v>
      </c>
      <c r="G3852">
        <v>38</v>
      </c>
      <c r="H3852">
        <v>477.84</v>
      </c>
      <c r="I3852">
        <v>3662.79</v>
      </c>
      <c r="J3852">
        <v>4.96</v>
      </c>
      <c r="K3852">
        <v>12.26</v>
      </c>
      <c r="L3852">
        <v>12.57</v>
      </c>
      <c r="M3852">
        <v>7.67</v>
      </c>
      <c r="N3852">
        <v>3184.95</v>
      </c>
    </row>
    <row r="3853" spans="1:14" x14ac:dyDescent="0.2">
      <c r="A3853" s="1">
        <v>45794</v>
      </c>
      <c r="B3853" s="2" t="s">
        <v>34</v>
      </c>
      <c r="C3853" s="2" t="s">
        <v>28</v>
      </c>
      <c r="D3853" s="2" t="s">
        <v>19</v>
      </c>
      <c r="E3853">
        <v>3035</v>
      </c>
      <c r="F3853">
        <v>249</v>
      </c>
      <c r="G3853">
        <v>41</v>
      </c>
      <c r="H3853">
        <v>138.97</v>
      </c>
      <c r="I3853">
        <v>5662.16</v>
      </c>
      <c r="J3853">
        <v>8.1999999999999993</v>
      </c>
      <c r="K3853">
        <v>16.47</v>
      </c>
      <c r="L3853">
        <v>3.39</v>
      </c>
      <c r="M3853">
        <v>40.74</v>
      </c>
      <c r="N3853">
        <v>5523.19</v>
      </c>
    </row>
    <row r="3854" spans="1:14" x14ac:dyDescent="0.2">
      <c r="A3854" s="1">
        <v>45795</v>
      </c>
      <c r="B3854" s="2" t="s">
        <v>14</v>
      </c>
      <c r="C3854" s="2" t="s">
        <v>35</v>
      </c>
      <c r="D3854" s="2" t="s">
        <v>25</v>
      </c>
      <c r="E3854">
        <v>9246</v>
      </c>
      <c r="F3854">
        <v>379</v>
      </c>
      <c r="G3854">
        <v>44</v>
      </c>
      <c r="H3854">
        <v>641.49</v>
      </c>
      <c r="I3854">
        <v>7553.27</v>
      </c>
      <c r="J3854">
        <v>4.0999999999999996</v>
      </c>
      <c r="K3854">
        <v>11.61</v>
      </c>
      <c r="L3854">
        <v>14.58</v>
      </c>
      <c r="M3854">
        <v>11.77</v>
      </c>
      <c r="N3854">
        <v>6911.78</v>
      </c>
    </row>
    <row r="3855" spans="1:14" x14ac:dyDescent="0.2">
      <c r="A3855" s="1">
        <v>45795</v>
      </c>
      <c r="B3855" s="2" t="s">
        <v>17</v>
      </c>
      <c r="C3855" s="2" t="s">
        <v>28</v>
      </c>
      <c r="D3855" s="2" t="s">
        <v>16</v>
      </c>
      <c r="E3855">
        <v>11185</v>
      </c>
      <c r="F3855">
        <v>283</v>
      </c>
      <c r="G3855">
        <v>14</v>
      </c>
      <c r="H3855">
        <v>794.53</v>
      </c>
      <c r="I3855">
        <v>1209.0899999999999</v>
      </c>
      <c r="J3855">
        <v>2.5299999999999998</v>
      </c>
      <c r="K3855">
        <v>4.95</v>
      </c>
      <c r="L3855">
        <v>56.75</v>
      </c>
      <c r="M3855">
        <v>1.52</v>
      </c>
      <c r="N3855">
        <v>414.56</v>
      </c>
    </row>
    <row r="3856" spans="1:14" x14ac:dyDescent="0.2">
      <c r="A3856" s="1">
        <v>45795</v>
      </c>
      <c r="B3856" s="2" t="s">
        <v>20</v>
      </c>
      <c r="C3856" s="2" t="s">
        <v>18</v>
      </c>
      <c r="D3856" s="2" t="s">
        <v>16</v>
      </c>
      <c r="E3856">
        <v>10476</v>
      </c>
      <c r="F3856">
        <v>363</v>
      </c>
      <c r="G3856">
        <v>15</v>
      </c>
      <c r="H3856">
        <v>485.19</v>
      </c>
      <c r="I3856">
        <v>1749.2</v>
      </c>
      <c r="J3856">
        <v>3.47</v>
      </c>
      <c r="K3856">
        <v>4.13</v>
      </c>
      <c r="L3856">
        <v>32.35</v>
      </c>
      <c r="M3856">
        <v>3.61</v>
      </c>
      <c r="N3856">
        <v>1264.01</v>
      </c>
    </row>
    <row r="3857" spans="1:14" x14ac:dyDescent="0.2">
      <c r="A3857" s="1">
        <v>45795</v>
      </c>
      <c r="B3857" s="2" t="s">
        <v>23</v>
      </c>
      <c r="C3857" s="2" t="s">
        <v>32</v>
      </c>
      <c r="D3857" s="2" t="s">
        <v>22</v>
      </c>
      <c r="E3857">
        <v>3756</v>
      </c>
      <c r="F3857">
        <v>77</v>
      </c>
      <c r="G3857">
        <v>9</v>
      </c>
      <c r="H3857">
        <v>1115.94</v>
      </c>
      <c r="I3857">
        <v>2611.64</v>
      </c>
      <c r="J3857">
        <v>2.0499999999999998</v>
      </c>
      <c r="K3857">
        <v>11.69</v>
      </c>
      <c r="L3857">
        <v>123.99</v>
      </c>
      <c r="M3857">
        <v>2.34</v>
      </c>
      <c r="N3857">
        <v>1495.7</v>
      </c>
    </row>
    <row r="3858" spans="1:14" x14ac:dyDescent="0.2">
      <c r="A3858" s="1">
        <v>45795</v>
      </c>
      <c r="B3858" s="2" t="s">
        <v>24</v>
      </c>
      <c r="C3858" s="2" t="s">
        <v>21</v>
      </c>
      <c r="D3858" s="2" t="s">
        <v>16</v>
      </c>
      <c r="E3858">
        <v>13309</v>
      </c>
      <c r="F3858">
        <v>2975</v>
      </c>
      <c r="G3858">
        <v>386</v>
      </c>
      <c r="H3858">
        <v>105.97</v>
      </c>
      <c r="I3858">
        <v>47328.39</v>
      </c>
      <c r="J3858">
        <v>22.35</v>
      </c>
      <c r="K3858">
        <v>12.97</v>
      </c>
      <c r="L3858">
        <v>0.27</v>
      </c>
      <c r="M3858">
        <v>446.62</v>
      </c>
      <c r="N3858">
        <v>47222.42</v>
      </c>
    </row>
    <row r="3859" spans="1:14" x14ac:dyDescent="0.2">
      <c r="A3859" s="1">
        <v>45795</v>
      </c>
      <c r="B3859" s="2" t="s">
        <v>26</v>
      </c>
      <c r="C3859" s="2" t="s">
        <v>28</v>
      </c>
      <c r="D3859" s="2" t="s">
        <v>25</v>
      </c>
      <c r="E3859">
        <v>16933</v>
      </c>
      <c r="F3859">
        <v>1034</v>
      </c>
      <c r="G3859">
        <v>148</v>
      </c>
      <c r="H3859">
        <v>0</v>
      </c>
      <c r="I3859">
        <v>15101.4</v>
      </c>
      <c r="J3859">
        <v>6.11</v>
      </c>
      <c r="K3859">
        <v>14.31</v>
      </c>
      <c r="L3859">
        <v>0</v>
      </c>
      <c r="M3859">
        <v>0</v>
      </c>
      <c r="N3859">
        <v>15101.4</v>
      </c>
    </row>
    <row r="3860" spans="1:14" x14ac:dyDescent="0.2">
      <c r="A3860" s="1">
        <v>45795</v>
      </c>
      <c r="B3860" s="2" t="s">
        <v>27</v>
      </c>
      <c r="C3860" s="2" t="s">
        <v>18</v>
      </c>
      <c r="D3860" s="2" t="s">
        <v>16</v>
      </c>
      <c r="E3860">
        <v>25142</v>
      </c>
      <c r="F3860">
        <v>424</v>
      </c>
      <c r="G3860">
        <v>17</v>
      </c>
      <c r="H3860">
        <v>668.15</v>
      </c>
      <c r="I3860">
        <v>1493.01</v>
      </c>
      <c r="J3860">
        <v>1.69</v>
      </c>
      <c r="K3860">
        <v>4.01</v>
      </c>
      <c r="L3860">
        <v>39.299999999999997</v>
      </c>
      <c r="M3860">
        <v>2.23</v>
      </c>
      <c r="N3860">
        <v>824.86</v>
      </c>
    </row>
    <row r="3861" spans="1:14" x14ac:dyDescent="0.2">
      <c r="A3861" s="1">
        <v>45795</v>
      </c>
      <c r="B3861" s="2" t="s">
        <v>29</v>
      </c>
      <c r="C3861" s="2" t="s">
        <v>21</v>
      </c>
      <c r="D3861" s="2" t="s">
        <v>36</v>
      </c>
      <c r="E3861">
        <v>14687</v>
      </c>
      <c r="F3861">
        <v>289</v>
      </c>
      <c r="G3861">
        <v>21</v>
      </c>
      <c r="H3861">
        <v>962.77</v>
      </c>
      <c r="I3861">
        <v>2402.38</v>
      </c>
      <c r="J3861">
        <v>1.97</v>
      </c>
      <c r="K3861">
        <v>7.27</v>
      </c>
      <c r="L3861">
        <v>45.85</v>
      </c>
      <c r="M3861">
        <v>2.5</v>
      </c>
      <c r="N3861">
        <v>1439.61</v>
      </c>
    </row>
    <row r="3862" spans="1:14" x14ac:dyDescent="0.2">
      <c r="A3862" s="1">
        <v>45795</v>
      </c>
      <c r="B3862" s="2" t="s">
        <v>30</v>
      </c>
      <c r="C3862" s="2" t="s">
        <v>32</v>
      </c>
      <c r="D3862" s="2" t="s">
        <v>25</v>
      </c>
      <c r="E3862">
        <v>8765</v>
      </c>
      <c r="F3862">
        <v>265</v>
      </c>
      <c r="G3862">
        <v>11</v>
      </c>
      <c r="H3862">
        <v>293.70999999999998</v>
      </c>
      <c r="I3862">
        <v>1365.09</v>
      </c>
      <c r="J3862">
        <v>3.02</v>
      </c>
      <c r="K3862">
        <v>4.1500000000000004</v>
      </c>
      <c r="L3862">
        <v>26.7</v>
      </c>
      <c r="M3862">
        <v>4.6500000000000004</v>
      </c>
      <c r="N3862">
        <v>1071.3800000000001</v>
      </c>
    </row>
    <row r="3863" spans="1:14" x14ac:dyDescent="0.2">
      <c r="A3863" s="1">
        <v>45795</v>
      </c>
      <c r="B3863" s="2" t="s">
        <v>31</v>
      </c>
      <c r="C3863" s="2" t="s">
        <v>35</v>
      </c>
      <c r="D3863" s="2" t="s">
        <v>36</v>
      </c>
      <c r="E3863">
        <v>18019</v>
      </c>
      <c r="F3863">
        <v>500</v>
      </c>
      <c r="G3863">
        <v>22</v>
      </c>
      <c r="H3863">
        <v>582.23</v>
      </c>
      <c r="I3863">
        <v>1961.6</v>
      </c>
      <c r="J3863">
        <v>2.77</v>
      </c>
      <c r="K3863">
        <v>4.4000000000000004</v>
      </c>
      <c r="L3863">
        <v>26.46</v>
      </c>
      <c r="M3863">
        <v>3.37</v>
      </c>
      <c r="N3863">
        <v>1379.37</v>
      </c>
    </row>
    <row r="3864" spans="1:14" x14ac:dyDescent="0.2">
      <c r="A3864" s="1">
        <v>45795</v>
      </c>
      <c r="B3864" s="2" t="s">
        <v>33</v>
      </c>
      <c r="C3864" s="2" t="s">
        <v>21</v>
      </c>
      <c r="D3864" s="2" t="s">
        <v>19</v>
      </c>
      <c r="E3864">
        <v>6445</v>
      </c>
      <c r="F3864">
        <v>411</v>
      </c>
      <c r="G3864">
        <v>32</v>
      </c>
      <c r="H3864">
        <v>342.55</v>
      </c>
      <c r="I3864">
        <v>3785.3</v>
      </c>
      <c r="J3864">
        <v>6.38</v>
      </c>
      <c r="K3864">
        <v>7.79</v>
      </c>
      <c r="L3864">
        <v>10.7</v>
      </c>
      <c r="M3864">
        <v>11.05</v>
      </c>
      <c r="N3864">
        <v>3442.75</v>
      </c>
    </row>
    <row r="3865" spans="1:14" x14ac:dyDescent="0.2">
      <c r="A3865" s="1">
        <v>45795</v>
      </c>
      <c r="B3865" s="2" t="s">
        <v>34</v>
      </c>
      <c r="C3865" s="2" t="s">
        <v>21</v>
      </c>
      <c r="D3865" s="2" t="s">
        <v>16</v>
      </c>
      <c r="E3865">
        <v>3785</v>
      </c>
      <c r="F3865">
        <v>199</v>
      </c>
      <c r="G3865">
        <v>25</v>
      </c>
      <c r="H3865">
        <v>53.75</v>
      </c>
      <c r="I3865">
        <v>4633.37</v>
      </c>
      <c r="J3865">
        <v>5.26</v>
      </c>
      <c r="K3865">
        <v>12.56</v>
      </c>
      <c r="L3865">
        <v>2.15</v>
      </c>
      <c r="M3865">
        <v>86.2</v>
      </c>
      <c r="N3865">
        <v>4579.62</v>
      </c>
    </row>
    <row r="3866" spans="1:14" x14ac:dyDescent="0.2">
      <c r="A3866" s="1">
        <v>45796</v>
      </c>
      <c r="B3866" s="2" t="s">
        <v>14</v>
      </c>
      <c r="C3866" s="2" t="s">
        <v>35</v>
      </c>
      <c r="D3866" s="2" t="s">
        <v>22</v>
      </c>
      <c r="E3866">
        <v>13479</v>
      </c>
      <c r="F3866">
        <v>662</v>
      </c>
      <c r="G3866">
        <v>78</v>
      </c>
      <c r="H3866">
        <v>965.64</v>
      </c>
      <c r="I3866">
        <v>10835.59</v>
      </c>
      <c r="J3866">
        <v>4.91</v>
      </c>
      <c r="K3866">
        <v>11.78</v>
      </c>
      <c r="L3866">
        <v>12.38</v>
      </c>
      <c r="M3866">
        <v>11.22</v>
      </c>
      <c r="N3866">
        <v>9869.9500000000007</v>
      </c>
    </row>
    <row r="3867" spans="1:14" x14ac:dyDescent="0.2">
      <c r="A3867" s="1">
        <v>45796</v>
      </c>
      <c r="B3867" s="2" t="s">
        <v>17</v>
      </c>
      <c r="C3867" s="2" t="s">
        <v>18</v>
      </c>
      <c r="D3867" s="2" t="s">
        <v>22</v>
      </c>
      <c r="E3867">
        <v>15837</v>
      </c>
      <c r="F3867">
        <v>510</v>
      </c>
      <c r="G3867">
        <v>34</v>
      </c>
      <c r="H3867">
        <v>610.21</v>
      </c>
      <c r="I3867">
        <v>4104.7299999999996</v>
      </c>
      <c r="J3867">
        <v>3.22</v>
      </c>
      <c r="K3867">
        <v>6.67</v>
      </c>
      <c r="L3867">
        <v>17.95</v>
      </c>
      <c r="M3867">
        <v>6.73</v>
      </c>
      <c r="N3867">
        <v>3494.52</v>
      </c>
    </row>
    <row r="3868" spans="1:14" x14ac:dyDescent="0.2">
      <c r="A3868" s="1">
        <v>45796</v>
      </c>
      <c r="B3868" s="2" t="s">
        <v>20</v>
      </c>
      <c r="C3868" s="2" t="s">
        <v>15</v>
      </c>
      <c r="D3868" s="2" t="s">
        <v>36</v>
      </c>
      <c r="E3868">
        <v>11550</v>
      </c>
      <c r="F3868">
        <v>451</v>
      </c>
      <c r="G3868">
        <v>28</v>
      </c>
      <c r="H3868">
        <v>915.09</v>
      </c>
      <c r="I3868">
        <v>2507.52</v>
      </c>
      <c r="J3868">
        <v>3.9</v>
      </c>
      <c r="K3868">
        <v>6.21</v>
      </c>
      <c r="L3868">
        <v>32.68</v>
      </c>
      <c r="M3868">
        <v>2.74</v>
      </c>
      <c r="N3868">
        <v>1592.43</v>
      </c>
    </row>
    <row r="3869" spans="1:14" x14ac:dyDescent="0.2">
      <c r="A3869" s="1">
        <v>45796</v>
      </c>
      <c r="B3869" s="2" t="s">
        <v>23</v>
      </c>
      <c r="C3869" s="2" t="s">
        <v>21</v>
      </c>
      <c r="D3869" s="2" t="s">
        <v>36</v>
      </c>
      <c r="E3869">
        <v>4335</v>
      </c>
      <c r="F3869">
        <v>79</v>
      </c>
      <c r="G3869">
        <v>9</v>
      </c>
      <c r="H3869">
        <v>1795.43</v>
      </c>
      <c r="I3869">
        <v>2463.81</v>
      </c>
      <c r="J3869">
        <v>1.82</v>
      </c>
      <c r="K3869">
        <v>11.39</v>
      </c>
      <c r="L3869">
        <v>199.49</v>
      </c>
      <c r="M3869">
        <v>1.37</v>
      </c>
      <c r="N3869">
        <v>668.38</v>
      </c>
    </row>
    <row r="3870" spans="1:14" x14ac:dyDescent="0.2">
      <c r="A3870" s="1">
        <v>45796</v>
      </c>
      <c r="B3870" s="2" t="s">
        <v>24</v>
      </c>
      <c r="C3870" s="2" t="s">
        <v>21</v>
      </c>
      <c r="D3870" s="2" t="s">
        <v>16</v>
      </c>
      <c r="E3870">
        <v>19510</v>
      </c>
      <c r="F3870">
        <v>3863</v>
      </c>
      <c r="G3870">
        <v>349</v>
      </c>
      <c r="H3870">
        <v>138.86000000000001</v>
      </c>
      <c r="I3870">
        <v>45826.73</v>
      </c>
      <c r="J3870">
        <v>19.8</v>
      </c>
      <c r="K3870">
        <v>9.0299999999999994</v>
      </c>
      <c r="L3870">
        <v>0.4</v>
      </c>
      <c r="M3870">
        <v>330.02</v>
      </c>
      <c r="N3870">
        <v>45687.87</v>
      </c>
    </row>
    <row r="3871" spans="1:14" x14ac:dyDescent="0.2">
      <c r="A3871" s="1">
        <v>45796</v>
      </c>
      <c r="B3871" s="2" t="s">
        <v>26</v>
      </c>
      <c r="C3871" s="2" t="s">
        <v>28</v>
      </c>
      <c r="D3871" s="2" t="s">
        <v>25</v>
      </c>
      <c r="E3871">
        <v>22656</v>
      </c>
      <c r="F3871">
        <v>1490</v>
      </c>
      <c r="G3871">
        <v>191</v>
      </c>
      <c r="H3871">
        <v>0</v>
      </c>
      <c r="I3871">
        <v>24316.44</v>
      </c>
      <c r="J3871">
        <v>6.58</v>
      </c>
      <c r="K3871">
        <v>12.82</v>
      </c>
      <c r="L3871">
        <v>0</v>
      </c>
      <c r="M3871">
        <v>0</v>
      </c>
      <c r="N3871">
        <v>24316.44</v>
      </c>
    </row>
    <row r="3872" spans="1:14" x14ac:dyDescent="0.2">
      <c r="A3872" s="1">
        <v>45796</v>
      </c>
      <c r="B3872" s="2" t="s">
        <v>27</v>
      </c>
      <c r="C3872" s="2" t="s">
        <v>28</v>
      </c>
      <c r="D3872" s="2" t="s">
        <v>16</v>
      </c>
      <c r="E3872">
        <v>35004</v>
      </c>
      <c r="F3872">
        <v>636</v>
      </c>
      <c r="G3872">
        <v>23</v>
      </c>
      <c r="H3872">
        <v>930.52</v>
      </c>
      <c r="I3872">
        <v>2341.13</v>
      </c>
      <c r="J3872">
        <v>1.82</v>
      </c>
      <c r="K3872">
        <v>3.62</v>
      </c>
      <c r="L3872">
        <v>40.46</v>
      </c>
      <c r="M3872">
        <v>2.52</v>
      </c>
      <c r="N3872">
        <v>1410.61</v>
      </c>
    </row>
    <row r="3873" spans="1:14" x14ac:dyDescent="0.2">
      <c r="A3873" s="1">
        <v>45796</v>
      </c>
      <c r="B3873" s="2" t="s">
        <v>29</v>
      </c>
      <c r="C3873" s="2" t="s">
        <v>28</v>
      </c>
      <c r="D3873" s="2" t="s">
        <v>22</v>
      </c>
      <c r="E3873">
        <v>17257</v>
      </c>
      <c r="F3873">
        <v>276</v>
      </c>
      <c r="G3873">
        <v>11</v>
      </c>
      <c r="H3873">
        <v>1111.5899999999999</v>
      </c>
      <c r="I3873">
        <v>1174.24</v>
      </c>
      <c r="J3873">
        <v>1.6</v>
      </c>
      <c r="K3873">
        <v>3.99</v>
      </c>
      <c r="L3873">
        <v>101.05</v>
      </c>
      <c r="M3873">
        <v>1.06</v>
      </c>
      <c r="N3873">
        <v>62.65</v>
      </c>
    </row>
    <row r="3874" spans="1:14" x14ac:dyDescent="0.2">
      <c r="A3874" s="1">
        <v>45796</v>
      </c>
      <c r="B3874" s="2" t="s">
        <v>30</v>
      </c>
      <c r="C3874" s="2" t="s">
        <v>21</v>
      </c>
      <c r="D3874" s="2" t="s">
        <v>25</v>
      </c>
      <c r="E3874">
        <v>9608</v>
      </c>
      <c r="F3874">
        <v>318</v>
      </c>
      <c r="G3874">
        <v>14</v>
      </c>
      <c r="H3874">
        <v>409.58</v>
      </c>
      <c r="I3874">
        <v>1394.56</v>
      </c>
      <c r="J3874">
        <v>3.31</v>
      </c>
      <c r="K3874">
        <v>4.4000000000000004</v>
      </c>
      <c r="L3874">
        <v>29.26</v>
      </c>
      <c r="M3874">
        <v>3.4</v>
      </c>
      <c r="N3874">
        <v>984.98</v>
      </c>
    </row>
    <row r="3875" spans="1:14" x14ac:dyDescent="0.2">
      <c r="A3875" s="1">
        <v>45796</v>
      </c>
      <c r="B3875" s="2" t="s">
        <v>31</v>
      </c>
      <c r="C3875" s="2" t="s">
        <v>28</v>
      </c>
      <c r="D3875" s="2" t="s">
        <v>22</v>
      </c>
      <c r="E3875">
        <v>28066</v>
      </c>
      <c r="F3875">
        <v>1235</v>
      </c>
      <c r="G3875">
        <v>85</v>
      </c>
      <c r="H3875">
        <v>902.63</v>
      </c>
      <c r="I3875">
        <v>6886.09</v>
      </c>
      <c r="J3875">
        <v>4.4000000000000004</v>
      </c>
      <c r="K3875">
        <v>6.88</v>
      </c>
      <c r="L3875">
        <v>10.62</v>
      </c>
      <c r="M3875">
        <v>7.63</v>
      </c>
      <c r="N3875">
        <v>5983.46</v>
      </c>
    </row>
    <row r="3876" spans="1:14" x14ac:dyDescent="0.2">
      <c r="A3876" s="1">
        <v>45796</v>
      </c>
      <c r="B3876" s="2" t="s">
        <v>33</v>
      </c>
      <c r="C3876" s="2" t="s">
        <v>28</v>
      </c>
      <c r="D3876" s="2" t="s">
        <v>19</v>
      </c>
      <c r="E3876">
        <v>8082</v>
      </c>
      <c r="F3876">
        <v>439</v>
      </c>
      <c r="G3876">
        <v>51</v>
      </c>
      <c r="H3876">
        <v>694.03</v>
      </c>
      <c r="I3876">
        <v>5413.69</v>
      </c>
      <c r="J3876">
        <v>5.43</v>
      </c>
      <c r="K3876">
        <v>11.62</v>
      </c>
      <c r="L3876">
        <v>13.61</v>
      </c>
      <c r="M3876">
        <v>7.8</v>
      </c>
      <c r="N3876">
        <v>4719.66</v>
      </c>
    </row>
    <row r="3877" spans="1:14" x14ac:dyDescent="0.2">
      <c r="A3877" s="1">
        <v>45796</v>
      </c>
      <c r="B3877" s="2" t="s">
        <v>34</v>
      </c>
      <c r="C3877" s="2" t="s">
        <v>21</v>
      </c>
      <c r="D3877" s="2" t="s">
        <v>36</v>
      </c>
      <c r="E3877">
        <v>3564</v>
      </c>
      <c r="F3877">
        <v>239</v>
      </c>
      <c r="G3877">
        <v>32</v>
      </c>
      <c r="H3877">
        <v>112.6</v>
      </c>
      <c r="I3877">
        <v>4680.41</v>
      </c>
      <c r="J3877">
        <v>6.71</v>
      </c>
      <c r="K3877">
        <v>13.39</v>
      </c>
      <c r="L3877">
        <v>3.52</v>
      </c>
      <c r="M3877">
        <v>41.57</v>
      </c>
      <c r="N3877">
        <v>4567.8100000000004</v>
      </c>
    </row>
    <row r="3878" spans="1:14" x14ac:dyDescent="0.2">
      <c r="A3878" s="1">
        <v>45797</v>
      </c>
      <c r="B3878" s="2" t="s">
        <v>14</v>
      </c>
      <c r="C3878" s="2" t="s">
        <v>15</v>
      </c>
      <c r="D3878" s="2" t="s">
        <v>22</v>
      </c>
      <c r="E3878">
        <v>9813</v>
      </c>
      <c r="F3878">
        <v>384</v>
      </c>
      <c r="G3878">
        <v>38</v>
      </c>
      <c r="H3878">
        <v>1028.51</v>
      </c>
      <c r="I3878">
        <v>5015.6899999999996</v>
      </c>
      <c r="J3878">
        <v>3.91</v>
      </c>
      <c r="K3878">
        <v>9.9</v>
      </c>
      <c r="L3878">
        <v>27.07</v>
      </c>
      <c r="M3878">
        <v>4.88</v>
      </c>
      <c r="N3878">
        <v>3987.18</v>
      </c>
    </row>
    <row r="3879" spans="1:14" x14ac:dyDescent="0.2">
      <c r="A3879" s="1">
        <v>45797</v>
      </c>
      <c r="B3879" s="2" t="s">
        <v>17</v>
      </c>
      <c r="C3879" s="2" t="s">
        <v>15</v>
      </c>
      <c r="D3879" s="2" t="s">
        <v>19</v>
      </c>
      <c r="E3879">
        <v>14548</v>
      </c>
      <c r="F3879">
        <v>567</v>
      </c>
      <c r="G3879">
        <v>35</v>
      </c>
      <c r="H3879">
        <v>1102.95</v>
      </c>
      <c r="I3879">
        <v>4504.34</v>
      </c>
      <c r="J3879">
        <v>3.9</v>
      </c>
      <c r="K3879">
        <v>6.17</v>
      </c>
      <c r="L3879">
        <v>31.51</v>
      </c>
      <c r="M3879">
        <v>4.08</v>
      </c>
      <c r="N3879">
        <v>3401.39</v>
      </c>
    </row>
    <row r="3880" spans="1:14" x14ac:dyDescent="0.2">
      <c r="A3880" s="1">
        <v>45797</v>
      </c>
      <c r="B3880" s="2" t="s">
        <v>20</v>
      </c>
      <c r="C3880" s="2" t="s">
        <v>35</v>
      </c>
      <c r="D3880" s="2" t="s">
        <v>22</v>
      </c>
      <c r="E3880">
        <v>14754</v>
      </c>
      <c r="F3880">
        <v>488</v>
      </c>
      <c r="G3880">
        <v>23</v>
      </c>
      <c r="H3880">
        <v>765.67</v>
      </c>
      <c r="I3880">
        <v>2763.84</v>
      </c>
      <c r="J3880">
        <v>3.31</v>
      </c>
      <c r="K3880">
        <v>4.71</v>
      </c>
      <c r="L3880">
        <v>33.29</v>
      </c>
      <c r="M3880">
        <v>3.61</v>
      </c>
      <c r="N3880">
        <v>1998.17</v>
      </c>
    </row>
    <row r="3881" spans="1:14" x14ac:dyDescent="0.2">
      <c r="A3881" s="1">
        <v>45797</v>
      </c>
      <c r="B3881" s="2" t="s">
        <v>23</v>
      </c>
      <c r="C3881" s="2" t="s">
        <v>35</v>
      </c>
      <c r="D3881" s="2" t="s">
        <v>22</v>
      </c>
      <c r="E3881">
        <v>3521</v>
      </c>
      <c r="F3881">
        <v>81</v>
      </c>
      <c r="G3881">
        <v>11</v>
      </c>
      <c r="H3881">
        <v>1411.43</v>
      </c>
      <c r="I3881">
        <v>3322.25</v>
      </c>
      <c r="J3881">
        <v>2.2999999999999998</v>
      </c>
      <c r="K3881">
        <v>13.58</v>
      </c>
      <c r="L3881">
        <v>128.31</v>
      </c>
      <c r="M3881">
        <v>2.35</v>
      </c>
      <c r="N3881">
        <v>1910.82</v>
      </c>
    </row>
    <row r="3882" spans="1:14" x14ac:dyDescent="0.2">
      <c r="A3882" s="1">
        <v>45797</v>
      </c>
      <c r="B3882" s="2" t="s">
        <v>24</v>
      </c>
      <c r="C3882" s="2" t="s">
        <v>18</v>
      </c>
      <c r="D3882" s="2" t="s">
        <v>25</v>
      </c>
      <c r="E3882">
        <v>23945</v>
      </c>
      <c r="F3882">
        <v>3749</v>
      </c>
      <c r="G3882">
        <v>506</v>
      </c>
      <c r="H3882">
        <v>214.13</v>
      </c>
      <c r="I3882">
        <v>67221.91</v>
      </c>
      <c r="J3882">
        <v>15.66</v>
      </c>
      <c r="K3882">
        <v>13.5</v>
      </c>
      <c r="L3882">
        <v>0.42</v>
      </c>
      <c r="M3882">
        <v>313.93</v>
      </c>
      <c r="N3882">
        <v>67007.78</v>
      </c>
    </row>
    <row r="3883" spans="1:14" x14ac:dyDescent="0.2">
      <c r="A3883" s="1">
        <v>45797</v>
      </c>
      <c r="B3883" s="2" t="s">
        <v>26</v>
      </c>
      <c r="C3883" s="2" t="s">
        <v>18</v>
      </c>
      <c r="D3883" s="2" t="s">
        <v>19</v>
      </c>
      <c r="E3883">
        <v>22693</v>
      </c>
      <c r="F3883">
        <v>1799</v>
      </c>
      <c r="G3883">
        <v>199</v>
      </c>
      <c r="H3883">
        <v>0</v>
      </c>
      <c r="I3883">
        <v>27941.26</v>
      </c>
      <c r="J3883">
        <v>7.93</v>
      </c>
      <c r="K3883">
        <v>11.06</v>
      </c>
      <c r="L3883">
        <v>0</v>
      </c>
      <c r="M3883">
        <v>0</v>
      </c>
      <c r="N3883">
        <v>27941.26</v>
      </c>
    </row>
    <row r="3884" spans="1:14" x14ac:dyDescent="0.2">
      <c r="A3884" s="1">
        <v>45797</v>
      </c>
      <c r="B3884" s="2" t="s">
        <v>27</v>
      </c>
      <c r="C3884" s="2" t="s">
        <v>21</v>
      </c>
      <c r="D3884" s="2" t="s">
        <v>16</v>
      </c>
      <c r="E3884">
        <v>32601</v>
      </c>
      <c r="F3884">
        <v>562</v>
      </c>
      <c r="G3884">
        <v>20</v>
      </c>
      <c r="H3884">
        <v>945.01</v>
      </c>
      <c r="I3884">
        <v>2334.54</v>
      </c>
      <c r="J3884">
        <v>1.72</v>
      </c>
      <c r="K3884">
        <v>3.56</v>
      </c>
      <c r="L3884">
        <v>47.25</v>
      </c>
      <c r="M3884">
        <v>2.4700000000000002</v>
      </c>
      <c r="N3884">
        <v>1389.53</v>
      </c>
    </row>
    <row r="3885" spans="1:14" x14ac:dyDescent="0.2">
      <c r="A3885" s="1">
        <v>45797</v>
      </c>
      <c r="B3885" s="2" t="s">
        <v>29</v>
      </c>
      <c r="C3885" s="2" t="s">
        <v>28</v>
      </c>
      <c r="D3885" s="2" t="s">
        <v>36</v>
      </c>
      <c r="E3885">
        <v>21429</v>
      </c>
      <c r="F3885">
        <v>350</v>
      </c>
      <c r="G3885">
        <v>17</v>
      </c>
      <c r="H3885">
        <v>1085.0999999999999</v>
      </c>
      <c r="I3885">
        <v>1899.89</v>
      </c>
      <c r="J3885">
        <v>1.63</v>
      </c>
      <c r="K3885">
        <v>4.8600000000000003</v>
      </c>
      <c r="L3885">
        <v>63.83</v>
      </c>
      <c r="M3885">
        <v>1.75</v>
      </c>
      <c r="N3885">
        <v>814.79</v>
      </c>
    </row>
    <row r="3886" spans="1:14" x14ac:dyDescent="0.2">
      <c r="A3886" s="1">
        <v>45797</v>
      </c>
      <c r="B3886" s="2" t="s">
        <v>30</v>
      </c>
      <c r="C3886" s="2" t="s">
        <v>28</v>
      </c>
      <c r="D3886" s="2" t="s">
        <v>22</v>
      </c>
      <c r="E3886">
        <v>11608</v>
      </c>
      <c r="F3886">
        <v>337</v>
      </c>
      <c r="G3886">
        <v>15</v>
      </c>
      <c r="H3886">
        <v>715.4</v>
      </c>
      <c r="I3886">
        <v>1219.26</v>
      </c>
      <c r="J3886">
        <v>2.9</v>
      </c>
      <c r="K3886">
        <v>4.45</v>
      </c>
      <c r="L3886">
        <v>47.69</v>
      </c>
      <c r="M3886">
        <v>1.7</v>
      </c>
      <c r="N3886">
        <v>503.86</v>
      </c>
    </row>
    <row r="3887" spans="1:14" x14ac:dyDescent="0.2">
      <c r="A3887" s="1">
        <v>45797</v>
      </c>
      <c r="B3887" s="2" t="s">
        <v>31</v>
      </c>
      <c r="C3887" s="2" t="s">
        <v>35</v>
      </c>
      <c r="D3887" s="2" t="s">
        <v>22</v>
      </c>
      <c r="E3887">
        <v>29014</v>
      </c>
      <c r="F3887">
        <v>1108</v>
      </c>
      <c r="G3887">
        <v>45</v>
      </c>
      <c r="H3887">
        <v>611.57000000000005</v>
      </c>
      <c r="I3887">
        <v>4057.57</v>
      </c>
      <c r="J3887">
        <v>3.82</v>
      </c>
      <c r="K3887">
        <v>4.0599999999999996</v>
      </c>
      <c r="L3887">
        <v>13.59</v>
      </c>
      <c r="M3887">
        <v>6.63</v>
      </c>
      <c r="N3887">
        <v>3446</v>
      </c>
    </row>
    <row r="3888" spans="1:14" x14ac:dyDescent="0.2">
      <c r="A3888" s="1">
        <v>45797</v>
      </c>
      <c r="B3888" s="2" t="s">
        <v>33</v>
      </c>
      <c r="C3888" s="2" t="s">
        <v>35</v>
      </c>
      <c r="D3888" s="2" t="s">
        <v>25</v>
      </c>
      <c r="E3888">
        <v>6250</v>
      </c>
      <c r="F3888">
        <v>318</v>
      </c>
      <c r="G3888">
        <v>31</v>
      </c>
      <c r="H3888">
        <v>380.92</v>
      </c>
      <c r="I3888">
        <v>3778.19</v>
      </c>
      <c r="J3888">
        <v>5.09</v>
      </c>
      <c r="K3888">
        <v>9.75</v>
      </c>
      <c r="L3888">
        <v>12.29</v>
      </c>
      <c r="M3888">
        <v>9.92</v>
      </c>
      <c r="N3888">
        <v>3397.27</v>
      </c>
    </row>
    <row r="3889" spans="1:14" x14ac:dyDescent="0.2">
      <c r="A3889" s="1">
        <v>45797</v>
      </c>
      <c r="B3889" s="2" t="s">
        <v>34</v>
      </c>
      <c r="C3889" s="2" t="s">
        <v>21</v>
      </c>
      <c r="D3889" s="2" t="s">
        <v>25</v>
      </c>
      <c r="E3889">
        <v>6387</v>
      </c>
      <c r="F3889">
        <v>452</v>
      </c>
      <c r="G3889">
        <v>70</v>
      </c>
      <c r="H3889">
        <v>163.38</v>
      </c>
      <c r="I3889">
        <v>9923.7900000000009</v>
      </c>
      <c r="J3889">
        <v>7.08</v>
      </c>
      <c r="K3889">
        <v>15.49</v>
      </c>
      <c r="L3889">
        <v>2.33</v>
      </c>
      <c r="M3889">
        <v>60.74</v>
      </c>
      <c r="N3889">
        <v>9760.41</v>
      </c>
    </row>
    <row r="3890" spans="1:14" x14ac:dyDescent="0.2">
      <c r="A3890" s="1">
        <v>45798</v>
      </c>
      <c r="B3890" s="2" t="s">
        <v>14</v>
      </c>
      <c r="C3890" s="2" t="s">
        <v>21</v>
      </c>
      <c r="D3890" s="2" t="s">
        <v>25</v>
      </c>
      <c r="E3890">
        <v>13141</v>
      </c>
      <c r="F3890">
        <v>590</v>
      </c>
      <c r="G3890">
        <v>63</v>
      </c>
      <c r="H3890">
        <v>849.93</v>
      </c>
      <c r="I3890">
        <v>10496.97</v>
      </c>
      <c r="J3890">
        <v>4.49</v>
      </c>
      <c r="K3890">
        <v>10.68</v>
      </c>
      <c r="L3890">
        <v>13.49</v>
      </c>
      <c r="M3890">
        <v>12.35</v>
      </c>
      <c r="N3890">
        <v>9647.0400000000009</v>
      </c>
    </row>
    <row r="3891" spans="1:14" x14ac:dyDescent="0.2">
      <c r="A3891" s="1">
        <v>45798</v>
      </c>
      <c r="B3891" s="2" t="s">
        <v>17</v>
      </c>
      <c r="C3891" s="2" t="s">
        <v>32</v>
      </c>
      <c r="D3891" s="2" t="s">
        <v>22</v>
      </c>
      <c r="E3891">
        <v>13623</v>
      </c>
      <c r="F3891">
        <v>430</v>
      </c>
      <c r="G3891">
        <v>24</v>
      </c>
      <c r="H3891">
        <v>1031.3399999999999</v>
      </c>
      <c r="I3891">
        <v>2194.35</v>
      </c>
      <c r="J3891">
        <v>3.16</v>
      </c>
      <c r="K3891">
        <v>5.58</v>
      </c>
      <c r="L3891">
        <v>42.97</v>
      </c>
      <c r="M3891">
        <v>2.13</v>
      </c>
      <c r="N3891">
        <v>1163.01</v>
      </c>
    </row>
    <row r="3892" spans="1:14" x14ac:dyDescent="0.2">
      <c r="A3892" s="1">
        <v>45798</v>
      </c>
      <c r="B3892" s="2" t="s">
        <v>20</v>
      </c>
      <c r="C3892" s="2" t="s">
        <v>18</v>
      </c>
      <c r="D3892" s="2" t="s">
        <v>36</v>
      </c>
      <c r="E3892">
        <v>14137</v>
      </c>
      <c r="F3892">
        <v>368</v>
      </c>
      <c r="G3892">
        <v>24</v>
      </c>
      <c r="H3892">
        <v>581.33000000000004</v>
      </c>
      <c r="I3892">
        <v>2542.59</v>
      </c>
      <c r="J3892">
        <v>2.6</v>
      </c>
      <c r="K3892">
        <v>6.52</v>
      </c>
      <c r="L3892">
        <v>24.22</v>
      </c>
      <c r="M3892">
        <v>4.37</v>
      </c>
      <c r="N3892">
        <v>1961.26</v>
      </c>
    </row>
    <row r="3893" spans="1:14" x14ac:dyDescent="0.2">
      <c r="A3893" s="1">
        <v>45798</v>
      </c>
      <c r="B3893" s="2" t="s">
        <v>23</v>
      </c>
      <c r="C3893" s="2" t="s">
        <v>32</v>
      </c>
      <c r="D3893" s="2" t="s">
        <v>36</v>
      </c>
      <c r="E3893">
        <v>4565</v>
      </c>
      <c r="F3893">
        <v>106</v>
      </c>
      <c r="G3893">
        <v>12</v>
      </c>
      <c r="H3893">
        <v>986.04</v>
      </c>
      <c r="I3893">
        <v>3415.18</v>
      </c>
      <c r="J3893">
        <v>2.3199999999999998</v>
      </c>
      <c r="K3893">
        <v>11.32</v>
      </c>
      <c r="L3893">
        <v>82.17</v>
      </c>
      <c r="M3893">
        <v>3.46</v>
      </c>
      <c r="N3893">
        <v>2429.14</v>
      </c>
    </row>
    <row r="3894" spans="1:14" x14ac:dyDescent="0.2">
      <c r="A3894" s="1">
        <v>45798</v>
      </c>
      <c r="B3894" s="2" t="s">
        <v>24</v>
      </c>
      <c r="C3894" s="2" t="s">
        <v>21</v>
      </c>
      <c r="D3894" s="2" t="s">
        <v>25</v>
      </c>
      <c r="E3894">
        <v>20868</v>
      </c>
      <c r="F3894">
        <v>3667</v>
      </c>
      <c r="G3894">
        <v>365</v>
      </c>
      <c r="H3894">
        <v>104.71</v>
      </c>
      <c r="I3894">
        <v>43722.42</v>
      </c>
      <c r="J3894">
        <v>17.57</v>
      </c>
      <c r="K3894">
        <v>9.9499999999999993</v>
      </c>
      <c r="L3894">
        <v>0.28999999999999998</v>
      </c>
      <c r="M3894">
        <v>417.56</v>
      </c>
      <c r="N3894">
        <v>43617.71</v>
      </c>
    </row>
    <row r="3895" spans="1:14" x14ac:dyDescent="0.2">
      <c r="A3895" s="1">
        <v>45798</v>
      </c>
      <c r="B3895" s="2" t="s">
        <v>26</v>
      </c>
      <c r="C3895" s="2" t="s">
        <v>28</v>
      </c>
      <c r="D3895" s="2" t="s">
        <v>36</v>
      </c>
      <c r="E3895">
        <v>29822</v>
      </c>
      <c r="F3895">
        <v>1984</v>
      </c>
      <c r="G3895">
        <v>266</v>
      </c>
      <c r="H3895">
        <v>0</v>
      </c>
      <c r="I3895">
        <v>26694.720000000001</v>
      </c>
      <c r="J3895">
        <v>6.65</v>
      </c>
      <c r="K3895">
        <v>13.41</v>
      </c>
      <c r="L3895">
        <v>0</v>
      </c>
      <c r="M3895">
        <v>0</v>
      </c>
      <c r="N3895">
        <v>26694.720000000001</v>
      </c>
    </row>
    <row r="3896" spans="1:14" x14ac:dyDescent="0.2">
      <c r="A3896" s="1">
        <v>45798</v>
      </c>
      <c r="B3896" s="2" t="s">
        <v>27</v>
      </c>
      <c r="C3896" s="2" t="s">
        <v>35</v>
      </c>
      <c r="D3896" s="2" t="s">
        <v>16</v>
      </c>
      <c r="E3896">
        <v>36703</v>
      </c>
      <c r="F3896">
        <v>495</v>
      </c>
      <c r="G3896">
        <v>21</v>
      </c>
      <c r="H3896">
        <v>929.44</v>
      </c>
      <c r="I3896">
        <v>2384.6999999999998</v>
      </c>
      <c r="J3896">
        <v>1.35</v>
      </c>
      <c r="K3896">
        <v>4.24</v>
      </c>
      <c r="L3896">
        <v>44.26</v>
      </c>
      <c r="M3896">
        <v>2.57</v>
      </c>
      <c r="N3896">
        <v>1455.26</v>
      </c>
    </row>
    <row r="3897" spans="1:14" x14ac:dyDescent="0.2">
      <c r="A3897" s="1">
        <v>45798</v>
      </c>
      <c r="B3897" s="2" t="s">
        <v>29</v>
      </c>
      <c r="C3897" s="2" t="s">
        <v>15</v>
      </c>
      <c r="D3897" s="2" t="s">
        <v>36</v>
      </c>
      <c r="E3897">
        <v>19578</v>
      </c>
      <c r="F3897">
        <v>299</v>
      </c>
      <c r="G3897">
        <v>15</v>
      </c>
      <c r="H3897">
        <v>1090.48</v>
      </c>
      <c r="I3897">
        <v>1482.77</v>
      </c>
      <c r="J3897">
        <v>1.53</v>
      </c>
      <c r="K3897">
        <v>5.0199999999999996</v>
      </c>
      <c r="L3897">
        <v>72.7</v>
      </c>
      <c r="M3897">
        <v>1.36</v>
      </c>
      <c r="N3897">
        <v>392.29</v>
      </c>
    </row>
    <row r="3898" spans="1:14" x14ac:dyDescent="0.2">
      <c r="A3898" s="1">
        <v>45798</v>
      </c>
      <c r="B3898" s="2" t="s">
        <v>30</v>
      </c>
      <c r="C3898" s="2" t="s">
        <v>15</v>
      </c>
      <c r="D3898" s="2" t="s">
        <v>22</v>
      </c>
      <c r="E3898">
        <v>10471</v>
      </c>
      <c r="F3898">
        <v>257</v>
      </c>
      <c r="G3898">
        <v>14</v>
      </c>
      <c r="H3898">
        <v>628.85</v>
      </c>
      <c r="I3898">
        <v>1401.67</v>
      </c>
      <c r="J3898">
        <v>2.4500000000000002</v>
      </c>
      <c r="K3898">
        <v>5.45</v>
      </c>
      <c r="L3898">
        <v>44.92</v>
      </c>
      <c r="M3898">
        <v>2.23</v>
      </c>
      <c r="N3898">
        <v>772.82</v>
      </c>
    </row>
    <row r="3899" spans="1:14" x14ac:dyDescent="0.2">
      <c r="A3899" s="1">
        <v>45798</v>
      </c>
      <c r="B3899" s="2" t="s">
        <v>31</v>
      </c>
      <c r="C3899" s="2" t="s">
        <v>21</v>
      </c>
      <c r="D3899" s="2" t="s">
        <v>19</v>
      </c>
      <c r="E3899">
        <v>26074</v>
      </c>
      <c r="F3899">
        <v>884</v>
      </c>
      <c r="G3899">
        <v>48</v>
      </c>
      <c r="H3899">
        <v>815.31</v>
      </c>
      <c r="I3899">
        <v>5327.5</v>
      </c>
      <c r="J3899">
        <v>3.39</v>
      </c>
      <c r="K3899">
        <v>5.43</v>
      </c>
      <c r="L3899">
        <v>16.989999999999998</v>
      </c>
      <c r="M3899">
        <v>6.53</v>
      </c>
      <c r="N3899">
        <v>4512.1899999999996</v>
      </c>
    </row>
    <row r="3900" spans="1:14" x14ac:dyDescent="0.2">
      <c r="A3900" s="1">
        <v>45798</v>
      </c>
      <c r="B3900" s="2" t="s">
        <v>33</v>
      </c>
      <c r="C3900" s="2" t="s">
        <v>28</v>
      </c>
      <c r="D3900" s="2" t="s">
        <v>25</v>
      </c>
      <c r="E3900">
        <v>6655</v>
      </c>
      <c r="F3900">
        <v>317</v>
      </c>
      <c r="G3900">
        <v>38</v>
      </c>
      <c r="H3900">
        <v>360.06</v>
      </c>
      <c r="I3900">
        <v>3831.17</v>
      </c>
      <c r="J3900">
        <v>4.76</v>
      </c>
      <c r="K3900">
        <v>11.99</v>
      </c>
      <c r="L3900">
        <v>9.48</v>
      </c>
      <c r="M3900">
        <v>10.64</v>
      </c>
      <c r="N3900">
        <v>3471.11</v>
      </c>
    </row>
    <row r="3901" spans="1:14" x14ac:dyDescent="0.2">
      <c r="A3901" s="1">
        <v>45798</v>
      </c>
      <c r="B3901" s="2" t="s">
        <v>34</v>
      </c>
      <c r="C3901" s="2" t="s">
        <v>21</v>
      </c>
      <c r="D3901" s="2" t="s">
        <v>25</v>
      </c>
      <c r="E3901">
        <v>5982</v>
      </c>
      <c r="F3901">
        <v>372</v>
      </c>
      <c r="G3901">
        <v>53</v>
      </c>
      <c r="H3901">
        <v>179.45</v>
      </c>
      <c r="I3901">
        <v>8655.3799999999992</v>
      </c>
      <c r="J3901">
        <v>6.22</v>
      </c>
      <c r="K3901">
        <v>14.25</v>
      </c>
      <c r="L3901">
        <v>3.39</v>
      </c>
      <c r="M3901">
        <v>48.23</v>
      </c>
      <c r="N3901">
        <v>8475.93</v>
      </c>
    </row>
    <row r="3902" spans="1:14" x14ac:dyDescent="0.2">
      <c r="A3902" s="1">
        <v>45799</v>
      </c>
      <c r="B3902" s="2" t="s">
        <v>14</v>
      </c>
      <c r="C3902" s="2" t="s">
        <v>21</v>
      </c>
      <c r="D3902" s="2" t="s">
        <v>25</v>
      </c>
      <c r="E3902">
        <v>10654</v>
      </c>
      <c r="F3902">
        <v>472</v>
      </c>
      <c r="G3902">
        <v>45</v>
      </c>
      <c r="H3902">
        <v>1223.6099999999999</v>
      </c>
      <c r="I3902">
        <v>6867.36</v>
      </c>
      <c r="J3902">
        <v>4.43</v>
      </c>
      <c r="K3902">
        <v>9.5299999999999994</v>
      </c>
      <c r="L3902">
        <v>27.19</v>
      </c>
      <c r="M3902">
        <v>5.61</v>
      </c>
      <c r="N3902">
        <v>5643.75</v>
      </c>
    </row>
    <row r="3903" spans="1:14" x14ac:dyDescent="0.2">
      <c r="A3903" s="1">
        <v>45799</v>
      </c>
      <c r="B3903" s="2" t="s">
        <v>17</v>
      </c>
      <c r="C3903" s="2" t="s">
        <v>18</v>
      </c>
      <c r="D3903" s="2" t="s">
        <v>36</v>
      </c>
      <c r="E3903">
        <v>19606</v>
      </c>
      <c r="F3903">
        <v>714</v>
      </c>
      <c r="G3903">
        <v>57</v>
      </c>
      <c r="H3903">
        <v>875.59</v>
      </c>
      <c r="I3903">
        <v>7367.27</v>
      </c>
      <c r="J3903">
        <v>3.64</v>
      </c>
      <c r="K3903">
        <v>7.98</v>
      </c>
      <c r="L3903">
        <v>15.36</v>
      </c>
      <c r="M3903">
        <v>8.41</v>
      </c>
      <c r="N3903">
        <v>6491.68</v>
      </c>
    </row>
    <row r="3904" spans="1:14" x14ac:dyDescent="0.2">
      <c r="A3904" s="1">
        <v>45799</v>
      </c>
      <c r="B3904" s="2" t="s">
        <v>20</v>
      </c>
      <c r="C3904" s="2" t="s">
        <v>18</v>
      </c>
      <c r="D3904" s="2" t="s">
        <v>16</v>
      </c>
      <c r="E3904">
        <v>17532</v>
      </c>
      <c r="F3904">
        <v>607</v>
      </c>
      <c r="G3904">
        <v>30</v>
      </c>
      <c r="H3904">
        <v>658.4</v>
      </c>
      <c r="I3904">
        <v>2930.21</v>
      </c>
      <c r="J3904">
        <v>3.46</v>
      </c>
      <c r="K3904">
        <v>4.9400000000000004</v>
      </c>
      <c r="L3904">
        <v>21.95</v>
      </c>
      <c r="M3904">
        <v>4.45</v>
      </c>
      <c r="N3904">
        <v>2271.81</v>
      </c>
    </row>
    <row r="3905" spans="1:14" x14ac:dyDescent="0.2">
      <c r="A3905" s="1">
        <v>45799</v>
      </c>
      <c r="B3905" s="2" t="s">
        <v>23</v>
      </c>
      <c r="C3905" s="2" t="s">
        <v>28</v>
      </c>
      <c r="D3905" s="2" t="s">
        <v>25</v>
      </c>
      <c r="E3905">
        <v>3163</v>
      </c>
      <c r="F3905">
        <v>55</v>
      </c>
      <c r="G3905">
        <v>8</v>
      </c>
      <c r="H3905">
        <v>1728.56</v>
      </c>
      <c r="I3905">
        <v>1774.33</v>
      </c>
      <c r="J3905">
        <v>1.74</v>
      </c>
      <c r="K3905">
        <v>14.55</v>
      </c>
      <c r="L3905">
        <v>216.07</v>
      </c>
      <c r="M3905">
        <v>1.03</v>
      </c>
      <c r="N3905">
        <v>45.77</v>
      </c>
    </row>
    <row r="3906" spans="1:14" x14ac:dyDescent="0.2">
      <c r="A3906" s="1">
        <v>45799</v>
      </c>
      <c r="B3906" s="2" t="s">
        <v>24</v>
      </c>
      <c r="C3906" s="2" t="s">
        <v>18</v>
      </c>
      <c r="D3906" s="2" t="s">
        <v>36</v>
      </c>
      <c r="E3906">
        <v>19412</v>
      </c>
      <c r="F3906">
        <v>4715</v>
      </c>
      <c r="G3906">
        <v>565</v>
      </c>
      <c r="H3906">
        <v>111.23</v>
      </c>
      <c r="I3906">
        <v>59019.83</v>
      </c>
      <c r="J3906">
        <v>24.29</v>
      </c>
      <c r="K3906">
        <v>11.98</v>
      </c>
      <c r="L3906">
        <v>0.2</v>
      </c>
      <c r="M3906">
        <v>530.61</v>
      </c>
      <c r="N3906">
        <v>58908.6</v>
      </c>
    </row>
    <row r="3907" spans="1:14" x14ac:dyDescent="0.2">
      <c r="A3907" s="1">
        <v>45799</v>
      </c>
      <c r="B3907" s="2" t="s">
        <v>26</v>
      </c>
      <c r="C3907" s="2" t="s">
        <v>32</v>
      </c>
      <c r="D3907" s="2" t="s">
        <v>36</v>
      </c>
      <c r="E3907">
        <v>24631</v>
      </c>
      <c r="F3907">
        <v>1817</v>
      </c>
      <c r="G3907">
        <v>226</v>
      </c>
      <c r="H3907">
        <v>0</v>
      </c>
      <c r="I3907">
        <v>29516.33</v>
      </c>
      <c r="J3907">
        <v>7.38</v>
      </c>
      <c r="K3907">
        <v>12.44</v>
      </c>
      <c r="L3907">
        <v>0</v>
      </c>
      <c r="M3907">
        <v>0</v>
      </c>
      <c r="N3907">
        <v>29516.33</v>
      </c>
    </row>
    <row r="3908" spans="1:14" x14ac:dyDescent="0.2">
      <c r="A3908" s="1">
        <v>45799</v>
      </c>
      <c r="B3908" s="2" t="s">
        <v>27</v>
      </c>
      <c r="C3908" s="2" t="s">
        <v>28</v>
      </c>
      <c r="D3908" s="2" t="s">
        <v>16</v>
      </c>
      <c r="E3908">
        <v>30532</v>
      </c>
      <c r="F3908">
        <v>471</v>
      </c>
      <c r="G3908">
        <v>13</v>
      </c>
      <c r="H3908">
        <v>1103.54</v>
      </c>
      <c r="I3908">
        <v>1542.43</v>
      </c>
      <c r="J3908">
        <v>1.54</v>
      </c>
      <c r="K3908">
        <v>2.76</v>
      </c>
      <c r="L3908">
        <v>84.89</v>
      </c>
      <c r="M3908">
        <v>1.4</v>
      </c>
      <c r="N3908">
        <v>438.89</v>
      </c>
    </row>
    <row r="3909" spans="1:14" x14ac:dyDescent="0.2">
      <c r="A3909" s="1">
        <v>45799</v>
      </c>
      <c r="B3909" s="2" t="s">
        <v>29</v>
      </c>
      <c r="C3909" s="2" t="s">
        <v>28</v>
      </c>
      <c r="D3909" s="2" t="s">
        <v>36</v>
      </c>
      <c r="E3909">
        <v>17385</v>
      </c>
      <c r="F3909">
        <v>423</v>
      </c>
      <c r="G3909">
        <v>24</v>
      </c>
      <c r="H3909">
        <v>1250.52</v>
      </c>
      <c r="I3909">
        <v>2452.17</v>
      </c>
      <c r="J3909">
        <v>2.4300000000000002</v>
      </c>
      <c r="K3909">
        <v>5.67</v>
      </c>
      <c r="L3909">
        <v>52.1</v>
      </c>
      <c r="M3909">
        <v>1.96</v>
      </c>
      <c r="N3909">
        <v>1201.6500000000001</v>
      </c>
    </row>
    <row r="3910" spans="1:14" x14ac:dyDescent="0.2">
      <c r="A3910" s="1">
        <v>45799</v>
      </c>
      <c r="B3910" s="2" t="s">
        <v>30</v>
      </c>
      <c r="C3910" s="2" t="s">
        <v>21</v>
      </c>
      <c r="D3910" s="2" t="s">
        <v>16</v>
      </c>
      <c r="E3910">
        <v>9880</v>
      </c>
      <c r="F3910">
        <v>314</v>
      </c>
      <c r="G3910">
        <v>17</v>
      </c>
      <c r="H3910">
        <v>457.93</v>
      </c>
      <c r="I3910">
        <v>1835.42</v>
      </c>
      <c r="J3910">
        <v>3.18</v>
      </c>
      <c r="K3910">
        <v>5.41</v>
      </c>
      <c r="L3910">
        <v>26.94</v>
      </c>
      <c r="M3910">
        <v>4.01</v>
      </c>
      <c r="N3910">
        <v>1377.49</v>
      </c>
    </row>
    <row r="3911" spans="1:14" x14ac:dyDescent="0.2">
      <c r="A3911" s="1">
        <v>45799</v>
      </c>
      <c r="B3911" s="2" t="s">
        <v>31</v>
      </c>
      <c r="C3911" s="2" t="s">
        <v>32</v>
      </c>
      <c r="D3911" s="2" t="s">
        <v>16</v>
      </c>
      <c r="E3911">
        <v>29926</v>
      </c>
      <c r="F3911">
        <v>1043</v>
      </c>
      <c r="G3911">
        <v>70</v>
      </c>
      <c r="H3911">
        <v>841.92</v>
      </c>
      <c r="I3911">
        <v>5944.01</v>
      </c>
      <c r="J3911">
        <v>3.49</v>
      </c>
      <c r="K3911">
        <v>6.71</v>
      </c>
      <c r="L3911">
        <v>12.03</v>
      </c>
      <c r="M3911">
        <v>7.06</v>
      </c>
      <c r="N3911">
        <v>5102.09</v>
      </c>
    </row>
    <row r="3912" spans="1:14" x14ac:dyDescent="0.2">
      <c r="A3912" s="1">
        <v>45799</v>
      </c>
      <c r="B3912" s="2" t="s">
        <v>33</v>
      </c>
      <c r="C3912" s="2" t="s">
        <v>15</v>
      </c>
      <c r="D3912" s="2" t="s">
        <v>36</v>
      </c>
      <c r="E3912">
        <v>5624</v>
      </c>
      <c r="F3912">
        <v>367</v>
      </c>
      <c r="G3912">
        <v>33</v>
      </c>
      <c r="H3912">
        <v>471.37</v>
      </c>
      <c r="I3912">
        <v>3157.29</v>
      </c>
      <c r="J3912">
        <v>6.53</v>
      </c>
      <c r="K3912">
        <v>8.99</v>
      </c>
      <c r="L3912">
        <v>14.28</v>
      </c>
      <c r="M3912">
        <v>6.7</v>
      </c>
      <c r="N3912">
        <v>2685.92</v>
      </c>
    </row>
    <row r="3913" spans="1:14" x14ac:dyDescent="0.2">
      <c r="A3913" s="1">
        <v>45799</v>
      </c>
      <c r="B3913" s="2" t="s">
        <v>34</v>
      </c>
      <c r="C3913" s="2" t="s">
        <v>21</v>
      </c>
      <c r="D3913" s="2" t="s">
        <v>22</v>
      </c>
      <c r="E3913">
        <v>4273</v>
      </c>
      <c r="F3913">
        <v>219</v>
      </c>
      <c r="G3913">
        <v>38</v>
      </c>
      <c r="H3913">
        <v>71.11</v>
      </c>
      <c r="I3913">
        <v>5198.6400000000003</v>
      </c>
      <c r="J3913">
        <v>5.13</v>
      </c>
      <c r="K3913">
        <v>17.350000000000001</v>
      </c>
      <c r="L3913">
        <v>1.87</v>
      </c>
      <c r="M3913">
        <v>73.11</v>
      </c>
      <c r="N3913">
        <v>5127.53</v>
      </c>
    </row>
    <row r="3914" spans="1:14" x14ac:dyDescent="0.2">
      <c r="A3914" s="1">
        <v>45800</v>
      </c>
      <c r="B3914" s="2" t="s">
        <v>14</v>
      </c>
      <c r="C3914" s="2" t="s">
        <v>35</v>
      </c>
      <c r="D3914" s="2" t="s">
        <v>19</v>
      </c>
      <c r="E3914">
        <v>11041</v>
      </c>
      <c r="F3914">
        <v>405</v>
      </c>
      <c r="G3914">
        <v>39</v>
      </c>
      <c r="H3914">
        <v>1188.4000000000001</v>
      </c>
      <c r="I3914">
        <v>5964.16</v>
      </c>
      <c r="J3914">
        <v>3.67</v>
      </c>
      <c r="K3914">
        <v>9.6300000000000008</v>
      </c>
      <c r="L3914">
        <v>30.47</v>
      </c>
      <c r="M3914">
        <v>5.0199999999999996</v>
      </c>
      <c r="N3914">
        <v>4775.76</v>
      </c>
    </row>
    <row r="3915" spans="1:14" x14ac:dyDescent="0.2">
      <c r="A3915" s="1">
        <v>45800</v>
      </c>
      <c r="B3915" s="2" t="s">
        <v>17</v>
      </c>
      <c r="C3915" s="2" t="s">
        <v>21</v>
      </c>
      <c r="D3915" s="2" t="s">
        <v>16</v>
      </c>
      <c r="E3915">
        <v>13232</v>
      </c>
      <c r="F3915">
        <v>403</v>
      </c>
      <c r="G3915">
        <v>29</v>
      </c>
      <c r="H3915">
        <v>1199.72</v>
      </c>
      <c r="I3915">
        <v>3704.52</v>
      </c>
      <c r="J3915">
        <v>3.05</v>
      </c>
      <c r="K3915">
        <v>7.2</v>
      </c>
      <c r="L3915">
        <v>41.37</v>
      </c>
      <c r="M3915">
        <v>3.09</v>
      </c>
      <c r="N3915">
        <v>2504.8000000000002</v>
      </c>
    </row>
    <row r="3916" spans="1:14" x14ac:dyDescent="0.2">
      <c r="A3916" s="1">
        <v>45800</v>
      </c>
      <c r="B3916" s="2" t="s">
        <v>20</v>
      </c>
      <c r="C3916" s="2" t="s">
        <v>18</v>
      </c>
      <c r="D3916" s="2" t="s">
        <v>36</v>
      </c>
      <c r="E3916">
        <v>14185</v>
      </c>
      <c r="F3916">
        <v>537</v>
      </c>
      <c r="G3916">
        <v>29</v>
      </c>
      <c r="H3916">
        <v>910.93</v>
      </c>
      <c r="I3916">
        <v>2172.09</v>
      </c>
      <c r="J3916">
        <v>3.79</v>
      </c>
      <c r="K3916">
        <v>5.4</v>
      </c>
      <c r="L3916">
        <v>31.41</v>
      </c>
      <c r="M3916">
        <v>2.38</v>
      </c>
      <c r="N3916">
        <v>1261.1600000000001</v>
      </c>
    </row>
    <row r="3917" spans="1:14" x14ac:dyDescent="0.2">
      <c r="A3917" s="1">
        <v>45800</v>
      </c>
      <c r="B3917" s="2" t="s">
        <v>23</v>
      </c>
      <c r="C3917" s="2" t="s">
        <v>15</v>
      </c>
      <c r="D3917" s="2" t="s">
        <v>19</v>
      </c>
      <c r="E3917">
        <v>3346</v>
      </c>
      <c r="F3917">
        <v>89</v>
      </c>
      <c r="G3917">
        <v>10</v>
      </c>
      <c r="H3917">
        <v>970.84</v>
      </c>
      <c r="I3917">
        <v>3055.7</v>
      </c>
      <c r="J3917">
        <v>2.66</v>
      </c>
      <c r="K3917">
        <v>11.24</v>
      </c>
      <c r="L3917">
        <v>97.08</v>
      </c>
      <c r="M3917">
        <v>3.15</v>
      </c>
      <c r="N3917">
        <v>2084.86</v>
      </c>
    </row>
    <row r="3918" spans="1:14" x14ac:dyDescent="0.2">
      <c r="A3918" s="1">
        <v>45800</v>
      </c>
      <c r="B3918" s="2" t="s">
        <v>24</v>
      </c>
      <c r="C3918" s="2" t="s">
        <v>21</v>
      </c>
      <c r="D3918" s="2" t="s">
        <v>36</v>
      </c>
      <c r="E3918">
        <v>23249</v>
      </c>
      <c r="F3918">
        <v>3546</v>
      </c>
      <c r="G3918">
        <v>299</v>
      </c>
      <c r="H3918">
        <v>245.91</v>
      </c>
      <c r="I3918">
        <v>38619.22</v>
      </c>
      <c r="J3918">
        <v>15.25</v>
      </c>
      <c r="K3918">
        <v>8.43</v>
      </c>
      <c r="L3918">
        <v>0.82</v>
      </c>
      <c r="M3918">
        <v>157.05000000000001</v>
      </c>
      <c r="N3918">
        <v>38373.31</v>
      </c>
    </row>
    <row r="3919" spans="1:14" x14ac:dyDescent="0.2">
      <c r="A3919" s="1">
        <v>45800</v>
      </c>
      <c r="B3919" s="2" t="s">
        <v>26</v>
      </c>
      <c r="C3919" s="2" t="s">
        <v>32</v>
      </c>
      <c r="D3919" s="2" t="s">
        <v>25</v>
      </c>
      <c r="E3919">
        <v>30735</v>
      </c>
      <c r="F3919">
        <v>1990</v>
      </c>
      <c r="G3919">
        <v>243</v>
      </c>
      <c r="H3919">
        <v>0</v>
      </c>
      <c r="I3919">
        <v>27936.68</v>
      </c>
      <c r="J3919">
        <v>6.47</v>
      </c>
      <c r="K3919">
        <v>12.21</v>
      </c>
      <c r="L3919">
        <v>0</v>
      </c>
      <c r="M3919">
        <v>0</v>
      </c>
      <c r="N3919">
        <v>27936.68</v>
      </c>
    </row>
    <row r="3920" spans="1:14" x14ac:dyDescent="0.2">
      <c r="A3920" s="1">
        <v>45800</v>
      </c>
      <c r="B3920" s="2" t="s">
        <v>27</v>
      </c>
      <c r="C3920" s="2" t="s">
        <v>18</v>
      </c>
      <c r="D3920" s="2" t="s">
        <v>36</v>
      </c>
      <c r="E3920">
        <v>32625</v>
      </c>
      <c r="F3920">
        <v>621</v>
      </c>
      <c r="G3920">
        <v>30</v>
      </c>
      <c r="H3920">
        <v>1001.6</v>
      </c>
      <c r="I3920">
        <v>3443.98</v>
      </c>
      <c r="J3920">
        <v>1.9</v>
      </c>
      <c r="K3920">
        <v>4.83</v>
      </c>
      <c r="L3920">
        <v>33.39</v>
      </c>
      <c r="M3920">
        <v>3.44</v>
      </c>
      <c r="N3920">
        <v>2442.38</v>
      </c>
    </row>
    <row r="3921" spans="1:14" x14ac:dyDescent="0.2">
      <c r="A3921" s="1">
        <v>45800</v>
      </c>
      <c r="B3921" s="2" t="s">
        <v>29</v>
      </c>
      <c r="C3921" s="2" t="s">
        <v>28</v>
      </c>
      <c r="D3921" s="2" t="s">
        <v>22</v>
      </c>
      <c r="E3921">
        <v>19586</v>
      </c>
      <c r="F3921">
        <v>441</v>
      </c>
      <c r="G3921">
        <v>34</v>
      </c>
      <c r="H3921">
        <v>952.24</v>
      </c>
      <c r="I3921">
        <v>4209.88</v>
      </c>
      <c r="J3921">
        <v>2.25</v>
      </c>
      <c r="K3921">
        <v>7.71</v>
      </c>
      <c r="L3921">
        <v>28.01</v>
      </c>
      <c r="M3921">
        <v>4.42</v>
      </c>
      <c r="N3921">
        <v>3257.64</v>
      </c>
    </row>
    <row r="3922" spans="1:14" x14ac:dyDescent="0.2">
      <c r="A3922" s="1">
        <v>45800</v>
      </c>
      <c r="B3922" s="2" t="s">
        <v>30</v>
      </c>
      <c r="C3922" s="2" t="s">
        <v>15</v>
      </c>
      <c r="D3922" s="2" t="s">
        <v>36</v>
      </c>
      <c r="E3922">
        <v>11665</v>
      </c>
      <c r="F3922">
        <v>275</v>
      </c>
      <c r="G3922">
        <v>10</v>
      </c>
      <c r="H3922">
        <v>446.03</v>
      </c>
      <c r="I3922">
        <v>1139.31</v>
      </c>
      <c r="J3922">
        <v>2.36</v>
      </c>
      <c r="K3922">
        <v>3.64</v>
      </c>
      <c r="L3922">
        <v>44.6</v>
      </c>
      <c r="M3922">
        <v>2.5499999999999998</v>
      </c>
      <c r="N3922">
        <v>693.28</v>
      </c>
    </row>
    <row r="3923" spans="1:14" x14ac:dyDescent="0.2">
      <c r="A3923" s="1">
        <v>45800</v>
      </c>
      <c r="B3923" s="2" t="s">
        <v>31</v>
      </c>
      <c r="C3923" s="2" t="s">
        <v>21</v>
      </c>
      <c r="D3923" s="2" t="s">
        <v>19</v>
      </c>
      <c r="E3923">
        <v>18399</v>
      </c>
      <c r="F3923">
        <v>560</v>
      </c>
      <c r="G3923">
        <v>32</v>
      </c>
      <c r="H3923">
        <v>927.41</v>
      </c>
      <c r="I3923">
        <v>2881.28</v>
      </c>
      <c r="J3923">
        <v>3.04</v>
      </c>
      <c r="K3923">
        <v>5.71</v>
      </c>
      <c r="L3923">
        <v>28.98</v>
      </c>
      <c r="M3923">
        <v>3.11</v>
      </c>
      <c r="N3923">
        <v>1953.87</v>
      </c>
    </row>
    <row r="3924" spans="1:14" x14ac:dyDescent="0.2">
      <c r="A3924" s="1">
        <v>45800</v>
      </c>
      <c r="B3924" s="2" t="s">
        <v>33</v>
      </c>
      <c r="C3924" s="2" t="s">
        <v>15</v>
      </c>
      <c r="D3924" s="2" t="s">
        <v>36</v>
      </c>
      <c r="E3924">
        <v>7710</v>
      </c>
      <c r="F3924">
        <v>346</v>
      </c>
      <c r="G3924">
        <v>28</v>
      </c>
      <c r="H3924">
        <v>535.71</v>
      </c>
      <c r="I3924">
        <v>3906.81</v>
      </c>
      <c r="J3924">
        <v>4.49</v>
      </c>
      <c r="K3924">
        <v>8.09</v>
      </c>
      <c r="L3924">
        <v>19.13</v>
      </c>
      <c r="M3924">
        <v>7.29</v>
      </c>
      <c r="N3924">
        <v>3371.1</v>
      </c>
    </row>
    <row r="3925" spans="1:14" x14ac:dyDescent="0.2">
      <c r="A3925" s="1">
        <v>45800</v>
      </c>
      <c r="B3925" s="2" t="s">
        <v>34</v>
      </c>
      <c r="C3925" s="2" t="s">
        <v>15</v>
      </c>
      <c r="D3925" s="2" t="s">
        <v>16</v>
      </c>
      <c r="E3925">
        <v>5496</v>
      </c>
      <c r="F3925">
        <v>458</v>
      </c>
      <c r="G3925">
        <v>76</v>
      </c>
      <c r="H3925">
        <v>92.92</v>
      </c>
      <c r="I3925">
        <v>10048.02</v>
      </c>
      <c r="J3925">
        <v>8.33</v>
      </c>
      <c r="K3925">
        <v>16.59</v>
      </c>
      <c r="L3925">
        <v>1.22</v>
      </c>
      <c r="M3925">
        <v>108.14</v>
      </c>
      <c r="N3925">
        <v>9955.1</v>
      </c>
    </row>
    <row r="3926" spans="1:14" x14ac:dyDescent="0.2">
      <c r="A3926" s="1">
        <v>45801</v>
      </c>
      <c r="B3926" s="2" t="s">
        <v>14</v>
      </c>
      <c r="C3926" s="2" t="s">
        <v>15</v>
      </c>
      <c r="D3926" s="2" t="s">
        <v>16</v>
      </c>
      <c r="E3926">
        <v>10222</v>
      </c>
      <c r="F3926">
        <v>380</v>
      </c>
      <c r="G3926">
        <v>39</v>
      </c>
      <c r="H3926">
        <v>988.71</v>
      </c>
      <c r="I3926">
        <v>6887.72</v>
      </c>
      <c r="J3926">
        <v>3.72</v>
      </c>
      <c r="K3926">
        <v>10.26</v>
      </c>
      <c r="L3926">
        <v>25.35</v>
      </c>
      <c r="M3926">
        <v>6.97</v>
      </c>
      <c r="N3926">
        <v>5899.01</v>
      </c>
    </row>
    <row r="3927" spans="1:14" x14ac:dyDescent="0.2">
      <c r="A3927" s="1">
        <v>45801</v>
      </c>
      <c r="B3927" s="2" t="s">
        <v>17</v>
      </c>
      <c r="C3927" s="2" t="s">
        <v>28</v>
      </c>
      <c r="D3927" s="2" t="s">
        <v>19</v>
      </c>
      <c r="E3927">
        <v>8911</v>
      </c>
      <c r="F3927">
        <v>184</v>
      </c>
      <c r="G3927">
        <v>15</v>
      </c>
      <c r="H3927">
        <v>738.71</v>
      </c>
      <c r="I3927">
        <v>2172.91</v>
      </c>
      <c r="J3927">
        <v>2.06</v>
      </c>
      <c r="K3927">
        <v>8.15</v>
      </c>
      <c r="L3927">
        <v>49.25</v>
      </c>
      <c r="M3927">
        <v>2.94</v>
      </c>
      <c r="N3927">
        <v>1434.2</v>
      </c>
    </row>
    <row r="3928" spans="1:14" x14ac:dyDescent="0.2">
      <c r="A3928" s="1">
        <v>45801</v>
      </c>
      <c r="B3928" s="2" t="s">
        <v>20</v>
      </c>
      <c r="C3928" s="2" t="s">
        <v>32</v>
      </c>
      <c r="D3928" s="2" t="s">
        <v>16</v>
      </c>
      <c r="E3928">
        <v>8969</v>
      </c>
      <c r="F3928">
        <v>261</v>
      </c>
      <c r="G3928">
        <v>16</v>
      </c>
      <c r="H3928">
        <v>500.66</v>
      </c>
      <c r="I3928">
        <v>1552.55</v>
      </c>
      <c r="J3928">
        <v>2.91</v>
      </c>
      <c r="K3928">
        <v>6.13</v>
      </c>
      <c r="L3928">
        <v>31.29</v>
      </c>
      <c r="M3928">
        <v>3.1</v>
      </c>
      <c r="N3928">
        <v>1051.8900000000001</v>
      </c>
    </row>
    <row r="3929" spans="1:14" x14ac:dyDescent="0.2">
      <c r="A3929" s="1">
        <v>45801</v>
      </c>
      <c r="B3929" s="2" t="s">
        <v>23</v>
      </c>
      <c r="C3929" s="2" t="s">
        <v>35</v>
      </c>
      <c r="D3929" s="2" t="s">
        <v>36</v>
      </c>
      <c r="E3929">
        <v>3903</v>
      </c>
      <c r="F3929">
        <v>112</v>
      </c>
      <c r="G3929">
        <v>11</v>
      </c>
      <c r="H3929">
        <v>1189.3800000000001</v>
      </c>
      <c r="I3929">
        <v>4110.5</v>
      </c>
      <c r="J3929">
        <v>2.87</v>
      </c>
      <c r="K3929">
        <v>9.82</v>
      </c>
      <c r="L3929">
        <v>108.13</v>
      </c>
      <c r="M3929">
        <v>3.46</v>
      </c>
      <c r="N3929">
        <v>2921.12</v>
      </c>
    </row>
    <row r="3930" spans="1:14" x14ac:dyDescent="0.2">
      <c r="A3930" s="1">
        <v>45801</v>
      </c>
      <c r="B3930" s="2" t="s">
        <v>24</v>
      </c>
      <c r="C3930" s="2" t="s">
        <v>35</v>
      </c>
      <c r="D3930" s="2" t="s">
        <v>25</v>
      </c>
      <c r="E3930">
        <v>11429</v>
      </c>
      <c r="F3930">
        <v>2541</v>
      </c>
      <c r="G3930">
        <v>338</v>
      </c>
      <c r="H3930">
        <v>176.52</v>
      </c>
      <c r="I3930">
        <v>48958.74</v>
      </c>
      <c r="J3930">
        <v>22.23</v>
      </c>
      <c r="K3930">
        <v>13.3</v>
      </c>
      <c r="L3930">
        <v>0.52</v>
      </c>
      <c r="M3930">
        <v>277.36</v>
      </c>
      <c r="N3930">
        <v>48782.22</v>
      </c>
    </row>
    <row r="3931" spans="1:14" x14ac:dyDescent="0.2">
      <c r="A3931" s="1">
        <v>45801</v>
      </c>
      <c r="B3931" s="2" t="s">
        <v>26</v>
      </c>
      <c r="C3931" s="2" t="s">
        <v>32</v>
      </c>
      <c r="D3931" s="2" t="s">
        <v>25</v>
      </c>
      <c r="E3931">
        <v>14742</v>
      </c>
      <c r="F3931">
        <v>1038</v>
      </c>
      <c r="G3931">
        <v>151</v>
      </c>
      <c r="H3931">
        <v>0</v>
      </c>
      <c r="I3931">
        <v>22186.43</v>
      </c>
      <c r="J3931">
        <v>7.04</v>
      </c>
      <c r="K3931">
        <v>14.55</v>
      </c>
      <c r="L3931">
        <v>0</v>
      </c>
      <c r="M3931">
        <v>0</v>
      </c>
      <c r="N3931">
        <v>22186.43</v>
      </c>
    </row>
    <row r="3932" spans="1:14" x14ac:dyDescent="0.2">
      <c r="A3932" s="1">
        <v>45801</v>
      </c>
      <c r="B3932" s="2" t="s">
        <v>27</v>
      </c>
      <c r="C3932" s="2" t="s">
        <v>21</v>
      </c>
      <c r="D3932" s="2" t="s">
        <v>16</v>
      </c>
      <c r="E3932">
        <v>26389</v>
      </c>
      <c r="F3932">
        <v>493</v>
      </c>
      <c r="G3932">
        <v>19</v>
      </c>
      <c r="H3932">
        <v>829.91</v>
      </c>
      <c r="I3932">
        <v>1653.22</v>
      </c>
      <c r="J3932">
        <v>1.87</v>
      </c>
      <c r="K3932">
        <v>3.85</v>
      </c>
      <c r="L3932">
        <v>43.68</v>
      </c>
      <c r="M3932">
        <v>1.99</v>
      </c>
      <c r="N3932">
        <v>823.31</v>
      </c>
    </row>
    <row r="3933" spans="1:14" x14ac:dyDescent="0.2">
      <c r="A3933" s="1">
        <v>45801</v>
      </c>
      <c r="B3933" s="2" t="s">
        <v>29</v>
      </c>
      <c r="C3933" s="2" t="s">
        <v>32</v>
      </c>
      <c r="D3933" s="2" t="s">
        <v>19</v>
      </c>
      <c r="E3933">
        <v>14806</v>
      </c>
      <c r="F3933">
        <v>319</v>
      </c>
      <c r="G3933">
        <v>13</v>
      </c>
      <c r="H3933">
        <v>772.08</v>
      </c>
      <c r="I3933">
        <v>1359.16</v>
      </c>
      <c r="J3933">
        <v>2.15</v>
      </c>
      <c r="K3933">
        <v>4.08</v>
      </c>
      <c r="L3933">
        <v>59.39</v>
      </c>
      <c r="M3933">
        <v>1.76</v>
      </c>
      <c r="N3933">
        <v>587.08000000000004</v>
      </c>
    </row>
    <row r="3934" spans="1:14" x14ac:dyDescent="0.2">
      <c r="A3934" s="1">
        <v>45801</v>
      </c>
      <c r="B3934" s="2" t="s">
        <v>30</v>
      </c>
      <c r="C3934" s="2" t="s">
        <v>15</v>
      </c>
      <c r="D3934" s="2" t="s">
        <v>16</v>
      </c>
      <c r="E3934">
        <v>8474</v>
      </c>
      <c r="F3934">
        <v>282</v>
      </c>
      <c r="G3934">
        <v>15</v>
      </c>
      <c r="H3934">
        <v>391.29</v>
      </c>
      <c r="I3934">
        <v>1441.09</v>
      </c>
      <c r="J3934">
        <v>3.33</v>
      </c>
      <c r="K3934">
        <v>5.32</v>
      </c>
      <c r="L3934">
        <v>26.09</v>
      </c>
      <c r="M3934">
        <v>3.68</v>
      </c>
      <c r="N3934">
        <v>1049.8</v>
      </c>
    </row>
    <row r="3935" spans="1:14" x14ac:dyDescent="0.2">
      <c r="A3935" s="1">
        <v>45801</v>
      </c>
      <c r="B3935" s="2" t="s">
        <v>31</v>
      </c>
      <c r="C3935" s="2" t="s">
        <v>32</v>
      </c>
      <c r="D3935" s="2" t="s">
        <v>19</v>
      </c>
      <c r="E3935">
        <v>19426</v>
      </c>
      <c r="F3935">
        <v>781</v>
      </c>
      <c r="G3935">
        <v>49</v>
      </c>
      <c r="H3935">
        <v>663.51</v>
      </c>
      <c r="I3935">
        <v>4554.37</v>
      </c>
      <c r="J3935">
        <v>4.0199999999999996</v>
      </c>
      <c r="K3935">
        <v>6.27</v>
      </c>
      <c r="L3935">
        <v>13.54</v>
      </c>
      <c r="M3935">
        <v>6.86</v>
      </c>
      <c r="N3935">
        <v>3890.86</v>
      </c>
    </row>
    <row r="3936" spans="1:14" x14ac:dyDescent="0.2">
      <c r="A3936" s="1">
        <v>45801</v>
      </c>
      <c r="B3936" s="2" t="s">
        <v>33</v>
      </c>
      <c r="C3936" s="2" t="s">
        <v>18</v>
      </c>
      <c r="D3936" s="2" t="s">
        <v>16</v>
      </c>
      <c r="E3936">
        <v>3558</v>
      </c>
      <c r="F3936">
        <v>182</v>
      </c>
      <c r="G3936">
        <v>20</v>
      </c>
      <c r="H3936">
        <v>486.13</v>
      </c>
      <c r="I3936">
        <v>2118.35</v>
      </c>
      <c r="J3936">
        <v>5.12</v>
      </c>
      <c r="K3936">
        <v>10.99</v>
      </c>
      <c r="L3936">
        <v>24.31</v>
      </c>
      <c r="M3936">
        <v>4.3600000000000003</v>
      </c>
      <c r="N3936">
        <v>1632.22</v>
      </c>
    </row>
    <row r="3937" spans="1:14" x14ac:dyDescent="0.2">
      <c r="A3937" s="1">
        <v>45801</v>
      </c>
      <c r="B3937" s="2" t="s">
        <v>34</v>
      </c>
      <c r="C3937" s="2" t="s">
        <v>28</v>
      </c>
      <c r="D3937" s="2" t="s">
        <v>19</v>
      </c>
      <c r="E3937">
        <v>2572</v>
      </c>
      <c r="F3937">
        <v>194</v>
      </c>
      <c r="G3937">
        <v>32</v>
      </c>
      <c r="H3937">
        <v>76.260000000000005</v>
      </c>
      <c r="I3937">
        <v>4314.2700000000004</v>
      </c>
      <c r="J3937">
        <v>7.54</v>
      </c>
      <c r="K3937">
        <v>16.489999999999998</v>
      </c>
      <c r="L3937">
        <v>2.38</v>
      </c>
      <c r="M3937">
        <v>56.57</v>
      </c>
      <c r="N3937">
        <v>4238.01</v>
      </c>
    </row>
    <row r="3938" spans="1:14" x14ac:dyDescent="0.2">
      <c r="A3938" s="1">
        <v>45802</v>
      </c>
      <c r="B3938" s="2" t="s">
        <v>14</v>
      </c>
      <c r="C3938" s="2" t="s">
        <v>28</v>
      </c>
      <c r="D3938" s="2" t="s">
        <v>25</v>
      </c>
      <c r="E3938">
        <v>7928</v>
      </c>
      <c r="F3938">
        <v>315</v>
      </c>
      <c r="G3938">
        <v>29</v>
      </c>
      <c r="H3938">
        <v>1048.2</v>
      </c>
      <c r="I3938">
        <v>3845.39</v>
      </c>
      <c r="J3938">
        <v>3.97</v>
      </c>
      <c r="K3938">
        <v>9.2100000000000009</v>
      </c>
      <c r="L3938">
        <v>36.14</v>
      </c>
      <c r="M3938">
        <v>3.67</v>
      </c>
      <c r="N3938">
        <v>2797.19</v>
      </c>
    </row>
    <row r="3939" spans="1:14" x14ac:dyDescent="0.2">
      <c r="A3939" s="1">
        <v>45802</v>
      </c>
      <c r="B3939" s="2" t="s">
        <v>17</v>
      </c>
      <c r="C3939" s="2" t="s">
        <v>18</v>
      </c>
      <c r="D3939" s="2" t="s">
        <v>19</v>
      </c>
      <c r="E3939">
        <v>8765</v>
      </c>
      <c r="F3939">
        <v>314</v>
      </c>
      <c r="G3939">
        <v>23</v>
      </c>
      <c r="H3939">
        <v>701.33</v>
      </c>
      <c r="I3939">
        <v>2952.84</v>
      </c>
      <c r="J3939">
        <v>3.58</v>
      </c>
      <c r="K3939">
        <v>7.32</v>
      </c>
      <c r="L3939">
        <v>30.49</v>
      </c>
      <c r="M3939">
        <v>4.21</v>
      </c>
      <c r="N3939">
        <v>2251.5100000000002</v>
      </c>
    </row>
    <row r="3940" spans="1:14" x14ac:dyDescent="0.2">
      <c r="A3940" s="1">
        <v>45802</v>
      </c>
      <c r="B3940" s="2" t="s">
        <v>20</v>
      </c>
      <c r="C3940" s="2" t="s">
        <v>35</v>
      </c>
      <c r="D3940" s="2" t="s">
        <v>22</v>
      </c>
      <c r="E3940">
        <v>12105</v>
      </c>
      <c r="F3940">
        <v>456</v>
      </c>
      <c r="G3940">
        <v>25</v>
      </c>
      <c r="H3940">
        <v>676.95</v>
      </c>
      <c r="I3940">
        <v>2874.39</v>
      </c>
      <c r="J3940">
        <v>3.77</v>
      </c>
      <c r="K3940">
        <v>5.48</v>
      </c>
      <c r="L3940">
        <v>27.08</v>
      </c>
      <c r="M3940">
        <v>4.25</v>
      </c>
      <c r="N3940">
        <v>2197.44</v>
      </c>
    </row>
    <row r="3941" spans="1:14" x14ac:dyDescent="0.2">
      <c r="A3941" s="1">
        <v>45802</v>
      </c>
      <c r="B3941" s="2" t="s">
        <v>23</v>
      </c>
      <c r="C3941" s="2" t="s">
        <v>15</v>
      </c>
      <c r="D3941" s="2" t="s">
        <v>25</v>
      </c>
      <c r="E3941">
        <v>4162</v>
      </c>
      <c r="F3941">
        <v>124</v>
      </c>
      <c r="G3941">
        <v>15</v>
      </c>
      <c r="H3941">
        <v>853.32</v>
      </c>
      <c r="I3941">
        <v>3367.58</v>
      </c>
      <c r="J3941">
        <v>2.98</v>
      </c>
      <c r="K3941">
        <v>12.1</v>
      </c>
      <c r="L3941">
        <v>56.89</v>
      </c>
      <c r="M3941">
        <v>3.95</v>
      </c>
      <c r="N3941">
        <v>2514.2600000000002</v>
      </c>
    </row>
    <row r="3942" spans="1:14" x14ac:dyDescent="0.2">
      <c r="A3942" s="1">
        <v>45802</v>
      </c>
      <c r="B3942" s="2" t="s">
        <v>24</v>
      </c>
      <c r="C3942" s="2" t="s">
        <v>15</v>
      </c>
      <c r="D3942" s="2" t="s">
        <v>16</v>
      </c>
      <c r="E3942">
        <v>14261</v>
      </c>
      <c r="F3942">
        <v>2978</v>
      </c>
      <c r="G3942">
        <v>329</v>
      </c>
      <c r="H3942">
        <v>138.77000000000001</v>
      </c>
      <c r="I3942">
        <v>54830.55</v>
      </c>
      <c r="J3942">
        <v>20.88</v>
      </c>
      <c r="K3942">
        <v>11.05</v>
      </c>
      <c r="L3942">
        <v>0.42</v>
      </c>
      <c r="M3942">
        <v>395.12</v>
      </c>
      <c r="N3942">
        <v>54691.78</v>
      </c>
    </row>
    <row r="3943" spans="1:14" x14ac:dyDescent="0.2">
      <c r="A3943" s="1">
        <v>45802</v>
      </c>
      <c r="B3943" s="2" t="s">
        <v>26</v>
      </c>
      <c r="C3943" s="2" t="s">
        <v>32</v>
      </c>
      <c r="D3943" s="2" t="s">
        <v>22</v>
      </c>
      <c r="E3943">
        <v>20237</v>
      </c>
      <c r="F3943">
        <v>1136</v>
      </c>
      <c r="G3943">
        <v>145</v>
      </c>
      <c r="H3943">
        <v>0</v>
      </c>
      <c r="I3943">
        <v>18676.96</v>
      </c>
      <c r="J3943">
        <v>5.61</v>
      </c>
      <c r="K3943">
        <v>12.76</v>
      </c>
      <c r="L3943">
        <v>0</v>
      </c>
      <c r="M3943">
        <v>0</v>
      </c>
      <c r="N3943">
        <v>18676.96</v>
      </c>
    </row>
    <row r="3944" spans="1:14" x14ac:dyDescent="0.2">
      <c r="A3944" s="1">
        <v>45802</v>
      </c>
      <c r="B3944" s="2" t="s">
        <v>27</v>
      </c>
      <c r="C3944" s="2" t="s">
        <v>21</v>
      </c>
      <c r="D3944" s="2" t="s">
        <v>19</v>
      </c>
      <c r="E3944">
        <v>24441</v>
      </c>
      <c r="F3944">
        <v>305</v>
      </c>
      <c r="G3944">
        <v>13</v>
      </c>
      <c r="H3944">
        <v>634.79</v>
      </c>
      <c r="I3944">
        <v>1248.24</v>
      </c>
      <c r="J3944">
        <v>1.25</v>
      </c>
      <c r="K3944">
        <v>4.26</v>
      </c>
      <c r="L3944">
        <v>48.83</v>
      </c>
      <c r="M3944">
        <v>1.97</v>
      </c>
      <c r="N3944">
        <v>613.45000000000005</v>
      </c>
    </row>
    <row r="3945" spans="1:14" x14ac:dyDescent="0.2">
      <c r="A3945" s="1">
        <v>45802</v>
      </c>
      <c r="B3945" s="2" t="s">
        <v>29</v>
      </c>
      <c r="C3945" s="2" t="s">
        <v>21</v>
      </c>
      <c r="D3945" s="2" t="s">
        <v>25</v>
      </c>
      <c r="E3945">
        <v>14802</v>
      </c>
      <c r="F3945">
        <v>334</v>
      </c>
      <c r="G3945">
        <v>15</v>
      </c>
      <c r="H3945">
        <v>841.34</v>
      </c>
      <c r="I3945">
        <v>1638.01</v>
      </c>
      <c r="J3945">
        <v>2.2599999999999998</v>
      </c>
      <c r="K3945">
        <v>4.49</v>
      </c>
      <c r="L3945">
        <v>56.09</v>
      </c>
      <c r="M3945">
        <v>1.95</v>
      </c>
      <c r="N3945">
        <v>796.67</v>
      </c>
    </row>
    <row r="3946" spans="1:14" x14ac:dyDescent="0.2">
      <c r="A3946" s="1">
        <v>45802</v>
      </c>
      <c r="B3946" s="2" t="s">
        <v>30</v>
      </c>
      <c r="C3946" s="2" t="s">
        <v>18</v>
      </c>
      <c r="D3946" s="2" t="s">
        <v>36</v>
      </c>
      <c r="E3946">
        <v>6958</v>
      </c>
      <c r="F3946">
        <v>149</v>
      </c>
      <c r="G3946">
        <v>4</v>
      </c>
      <c r="H3946">
        <v>454.76</v>
      </c>
      <c r="I3946">
        <v>392.71</v>
      </c>
      <c r="J3946">
        <v>2.14</v>
      </c>
      <c r="K3946">
        <v>2.68</v>
      </c>
      <c r="L3946">
        <v>113.69</v>
      </c>
      <c r="M3946">
        <v>0.86</v>
      </c>
      <c r="N3946">
        <v>-62.05</v>
      </c>
    </row>
    <row r="3947" spans="1:14" x14ac:dyDescent="0.2">
      <c r="A3947" s="1">
        <v>45802</v>
      </c>
      <c r="B3947" s="2" t="s">
        <v>31</v>
      </c>
      <c r="C3947" s="2" t="s">
        <v>15</v>
      </c>
      <c r="D3947" s="2" t="s">
        <v>25</v>
      </c>
      <c r="E3947">
        <v>18778</v>
      </c>
      <c r="F3947">
        <v>746</v>
      </c>
      <c r="G3947">
        <v>51</v>
      </c>
      <c r="H3947">
        <v>742.91</v>
      </c>
      <c r="I3947">
        <v>3894.86</v>
      </c>
      <c r="J3947">
        <v>3.97</v>
      </c>
      <c r="K3947">
        <v>6.84</v>
      </c>
      <c r="L3947">
        <v>14.57</v>
      </c>
      <c r="M3947">
        <v>5.24</v>
      </c>
      <c r="N3947">
        <v>3151.95</v>
      </c>
    </row>
    <row r="3948" spans="1:14" x14ac:dyDescent="0.2">
      <c r="A3948" s="1">
        <v>45802</v>
      </c>
      <c r="B3948" s="2" t="s">
        <v>33</v>
      </c>
      <c r="C3948" s="2" t="s">
        <v>15</v>
      </c>
      <c r="D3948" s="2" t="s">
        <v>22</v>
      </c>
      <c r="E3948">
        <v>6500</v>
      </c>
      <c r="F3948">
        <v>361</v>
      </c>
      <c r="G3948">
        <v>30</v>
      </c>
      <c r="H3948">
        <v>480.34</v>
      </c>
      <c r="I3948">
        <v>3356.95</v>
      </c>
      <c r="J3948">
        <v>5.55</v>
      </c>
      <c r="K3948">
        <v>8.31</v>
      </c>
      <c r="L3948">
        <v>16.010000000000002</v>
      </c>
      <c r="M3948">
        <v>6.99</v>
      </c>
      <c r="N3948">
        <v>2876.61</v>
      </c>
    </row>
    <row r="3949" spans="1:14" x14ac:dyDescent="0.2">
      <c r="A3949" s="1">
        <v>45802</v>
      </c>
      <c r="B3949" s="2" t="s">
        <v>34</v>
      </c>
      <c r="C3949" s="2" t="s">
        <v>15</v>
      </c>
      <c r="D3949" s="2" t="s">
        <v>22</v>
      </c>
      <c r="E3949">
        <v>2464</v>
      </c>
      <c r="F3949">
        <v>177</v>
      </c>
      <c r="G3949">
        <v>31</v>
      </c>
      <c r="H3949">
        <v>78.44</v>
      </c>
      <c r="I3949">
        <v>5435.77</v>
      </c>
      <c r="J3949">
        <v>7.18</v>
      </c>
      <c r="K3949">
        <v>17.510000000000002</v>
      </c>
      <c r="L3949">
        <v>2.5299999999999998</v>
      </c>
      <c r="M3949">
        <v>69.3</v>
      </c>
      <c r="N3949">
        <v>5357.33</v>
      </c>
    </row>
    <row r="3950" spans="1:14" x14ac:dyDescent="0.2">
      <c r="A3950" s="1">
        <v>45803</v>
      </c>
      <c r="B3950" s="2" t="s">
        <v>14</v>
      </c>
      <c r="C3950" s="2" t="s">
        <v>35</v>
      </c>
      <c r="D3950" s="2" t="s">
        <v>19</v>
      </c>
      <c r="E3950">
        <v>14471</v>
      </c>
      <c r="F3950">
        <v>444</v>
      </c>
      <c r="G3950">
        <v>44</v>
      </c>
      <c r="H3950">
        <v>1344.16</v>
      </c>
      <c r="I3950">
        <v>6972.21</v>
      </c>
      <c r="J3950">
        <v>3.07</v>
      </c>
      <c r="K3950">
        <v>9.91</v>
      </c>
      <c r="L3950">
        <v>30.55</v>
      </c>
      <c r="M3950">
        <v>5.19</v>
      </c>
      <c r="N3950">
        <v>5628.05</v>
      </c>
    </row>
    <row r="3951" spans="1:14" x14ac:dyDescent="0.2">
      <c r="A3951" s="1">
        <v>45803</v>
      </c>
      <c r="B3951" s="2" t="s">
        <v>17</v>
      </c>
      <c r="C3951" s="2" t="s">
        <v>35</v>
      </c>
      <c r="D3951" s="2" t="s">
        <v>25</v>
      </c>
      <c r="E3951">
        <v>14241</v>
      </c>
      <c r="F3951">
        <v>338</v>
      </c>
      <c r="G3951">
        <v>23</v>
      </c>
      <c r="H3951">
        <v>936.27</v>
      </c>
      <c r="I3951">
        <v>2993.25</v>
      </c>
      <c r="J3951">
        <v>2.37</v>
      </c>
      <c r="K3951">
        <v>6.8</v>
      </c>
      <c r="L3951">
        <v>40.71</v>
      </c>
      <c r="M3951">
        <v>3.2</v>
      </c>
      <c r="N3951">
        <v>2056.98</v>
      </c>
    </row>
    <row r="3952" spans="1:14" x14ac:dyDescent="0.2">
      <c r="A3952" s="1">
        <v>45803</v>
      </c>
      <c r="B3952" s="2" t="s">
        <v>20</v>
      </c>
      <c r="C3952" s="2" t="s">
        <v>15</v>
      </c>
      <c r="D3952" s="2" t="s">
        <v>36</v>
      </c>
      <c r="E3952">
        <v>10590</v>
      </c>
      <c r="F3952">
        <v>457</v>
      </c>
      <c r="G3952">
        <v>20</v>
      </c>
      <c r="H3952">
        <v>503.1</v>
      </c>
      <c r="I3952">
        <v>2253.0700000000002</v>
      </c>
      <c r="J3952">
        <v>4.32</v>
      </c>
      <c r="K3952">
        <v>4.38</v>
      </c>
      <c r="L3952">
        <v>25.16</v>
      </c>
      <c r="M3952">
        <v>4.4800000000000004</v>
      </c>
      <c r="N3952">
        <v>1749.97</v>
      </c>
    </row>
    <row r="3953" spans="1:14" x14ac:dyDescent="0.2">
      <c r="A3953" s="1">
        <v>45803</v>
      </c>
      <c r="B3953" s="2" t="s">
        <v>23</v>
      </c>
      <c r="C3953" s="2" t="s">
        <v>35</v>
      </c>
      <c r="D3953" s="2" t="s">
        <v>16</v>
      </c>
      <c r="E3953">
        <v>5170</v>
      </c>
      <c r="F3953">
        <v>108</v>
      </c>
      <c r="G3953">
        <v>16</v>
      </c>
      <c r="H3953">
        <v>1795.99</v>
      </c>
      <c r="I3953">
        <v>5501.38</v>
      </c>
      <c r="J3953">
        <v>2.09</v>
      </c>
      <c r="K3953">
        <v>14.81</v>
      </c>
      <c r="L3953">
        <v>112.25</v>
      </c>
      <c r="M3953">
        <v>3.06</v>
      </c>
      <c r="N3953">
        <v>3705.39</v>
      </c>
    </row>
    <row r="3954" spans="1:14" x14ac:dyDescent="0.2">
      <c r="A3954" s="1">
        <v>45803</v>
      </c>
      <c r="B3954" s="2" t="s">
        <v>24</v>
      </c>
      <c r="C3954" s="2" t="s">
        <v>18</v>
      </c>
      <c r="D3954" s="2" t="s">
        <v>19</v>
      </c>
      <c r="E3954">
        <v>19777</v>
      </c>
      <c r="F3954">
        <v>4679</v>
      </c>
      <c r="G3954">
        <v>568</v>
      </c>
      <c r="H3954">
        <v>285.64999999999998</v>
      </c>
      <c r="I3954">
        <v>66501.509999999995</v>
      </c>
      <c r="J3954">
        <v>23.66</v>
      </c>
      <c r="K3954">
        <v>12.14</v>
      </c>
      <c r="L3954">
        <v>0.5</v>
      </c>
      <c r="M3954">
        <v>232.81</v>
      </c>
      <c r="N3954">
        <v>66215.86</v>
      </c>
    </row>
    <row r="3955" spans="1:14" x14ac:dyDescent="0.2">
      <c r="A3955" s="1">
        <v>45803</v>
      </c>
      <c r="B3955" s="2" t="s">
        <v>26</v>
      </c>
      <c r="C3955" s="2" t="s">
        <v>35</v>
      </c>
      <c r="D3955" s="2" t="s">
        <v>36</v>
      </c>
      <c r="E3955">
        <v>27130</v>
      </c>
      <c r="F3955">
        <v>1267</v>
      </c>
      <c r="G3955">
        <v>162</v>
      </c>
      <c r="H3955">
        <v>0</v>
      </c>
      <c r="I3955">
        <v>26167.16</v>
      </c>
      <c r="J3955">
        <v>4.67</v>
      </c>
      <c r="K3955">
        <v>12.79</v>
      </c>
      <c r="L3955">
        <v>0</v>
      </c>
      <c r="M3955">
        <v>0</v>
      </c>
      <c r="N3955">
        <v>26167.16</v>
      </c>
    </row>
    <row r="3956" spans="1:14" x14ac:dyDescent="0.2">
      <c r="A3956" s="1">
        <v>45803</v>
      </c>
      <c r="B3956" s="2" t="s">
        <v>27</v>
      </c>
      <c r="C3956" s="2" t="s">
        <v>28</v>
      </c>
      <c r="D3956" s="2" t="s">
        <v>25</v>
      </c>
      <c r="E3956">
        <v>33851</v>
      </c>
      <c r="F3956">
        <v>612</v>
      </c>
      <c r="G3956">
        <v>30</v>
      </c>
      <c r="H3956">
        <v>1118.51</v>
      </c>
      <c r="I3956">
        <v>3159.28</v>
      </c>
      <c r="J3956">
        <v>1.81</v>
      </c>
      <c r="K3956">
        <v>4.9000000000000004</v>
      </c>
      <c r="L3956">
        <v>37.28</v>
      </c>
      <c r="M3956">
        <v>2.82</v>
      </c>
      <c r="N3956">
        <v>2040.77</v>
      </c>
    </row>
    <row r="3957" spans="1:14" x14ac:dyDescent="0.2">
      <c r="A3957" s="1">
        <v>45803</v>
      </c>
      <c r="B3957" s="2" t="s">
        <v>29</v>
      </c>
      <c r="C3957" s="2" t="s">
        <v>32</v>
      </c>
      <c r="D3957" s="2" t="s">
        <v>16</v>
      </c>
      <c r="E3957">
        <v>22033</v>
      </c>
      <c r="F3957">
        <v>403</v>
      </c>
      <c r="G3957">
        <v>25</v>
      </c>
      <c r="H3957">
        <v>1222.8800000000001</v>
      </c>
      <c r="I3957">
        <v>3265.2</v>
      </c>
      <c r="J3957">
        <v>1.83</v>
      </c>
      <c r="K3957">
        <v>6.2</v>
      </c>
      <c r="L3957">
        <v>48.92</v>
      </c>
      <c r="M3957">
        <v>2.67</v>
      </c>
      <c r="N3957">
        <v>2042.32</v>
      </c>
    </row>
    <row r="3958" spans="1:14" x14ac:dyDescent="0.2">
      <c r="A3958" s="1">
        <v>45803</v>
      </c>
      <c r="B3958" s="2" t="s">
        <v>30</v>
      </c>
      <c r="C3958" s="2" t="s">
        <v>28</v>
      </c>
      <c r="D3958" s="2" t="s">
        <v>25</v>
      </c>
      <c r="E3958">
        <v>10589</v>
      </c>
      <c r="F3958">
        <v>239</v>
      </c>
      <c r="G3958">
        <v>9</v>
      </c>
      <c r="H3958">
        <v>632.05999999999995</v>
      </c>
      <c r="I3958">
        <v>973.25</v>
      </c>
      <c r="J3958">
        <v>2.2599999999999998</v>
      </c>
      <c r="K3958">
        <v>3.77</v>
      </c>
      <c r="L3958">
        <v>70.23</v>
      </c>
      <c r="M3958">
        <v>1.54</v>
      </c>
      <c r="N3958">
        <v>341.19</v>
      </c>
    </row>
    <row r="3959" spans="1:14" x14ac:dyDescent="0.2">
      <c r="A3959" s="1">
        <v>45803</v>
      </c>
      <c r="B3959" s="2" t="s">
        <v>31</v>
      </c>
      <c r="C3959" s="2" t="s">
        <v>15</v>
      </c>
      <c r="D3959" s="2" t="s">
        <v>25</v>
      </c>
      <c r="E3959">
        <v>28870</v>
      </c>
      <c r="F3959">
        <v>1272</v>
      </c>
      <c r="G3959">
        <v>76</v>
      </c>
      <c r="H3959">
        <v>661.89</v>
      </c>
      <c r="I3959">
        <v>7775.54</v>
      </c>
      <c r="J3959">
        <v>4.41</v>
      </c>
      <c r="K3959">
        <v>5.97</v>
      </c>
      <c r="L3959">
        <v>8.7100000000000009</v>
      </c>
      <c r="M3959">
        <v>11.75</v>
      </c>
      <c r="N3959">
        <v>7113.65</v>
      </c>
    </row>
    <row r="3960" spans="1:14" x14ac:dyDescent="0.2">
      <c r="A3960" s="1">
        <v>45803</v>
      </c>
      <c r="B3960" s="2" t="s">
        <v>33</v>
      </c>
      <c r="C3960" s="2" t="s">
        <v>35</v>
      </c>
      <c r="D3960" s="2" t="s">
        <v>36</v>
      </c>
      <c r="E3960">
        <v>7337</v>
      </c>
      <c r="F3960">
        <v>428</v>
      </c>
      <c r="G3960">
        <v>49</v>
      </c>
      <c r="H3960">
        <v>625.07000000000005</v>
      </c>
      <c r="I3960">
        <v>6092.58</v>
      </c>
      <c r="J3960">
        <v>5.83</v>
      </c>
      <c r="K3960">
        <v>11.45</v>
      </c>
      <c r="L3960">
        <v>12.76</v>
      </c>
      <c r="M3960">
        <v>9.75</v>
      </c>
      <c r="N3960">
        <v>5467.51</v>
      </c>
    </row>
    <row r="3961" spans="1:14" x14ac:dyDescent="0.2">
      <c r="A3961" s="1">
        <v>45803</v>
      </c>
      <c r="B3961" s="2" t="s">
        <v>34</v>
      </c>
      <c r="C3961" s="2" t="s">
        <v>32</v>
      </c>
      <c r="D3961" s="2" t="s">
        <v>19</v>
      </c>
      <c r="E3961">
        <v>5582</v>
      </c>
      <c r="F3961">
        <v>393</v>
      </c>
      <c r="G3961">
        <v>63</v>
      </c>
      <c r="H3961">
        <v>63.81</v>
      </c>
      <c r="I3961">
        <v>11863.12</v>
      </c>
      <c r="J3961">
        <v>7.04</v>
      </c>
      <c r="K3961">
        <v>16.03</v>
      </c>
      <c r="L3961">
        <v>1.01</v>
      </c>
      <c r="M3961">
        <v>185.91</v>
      </c>
      <c r="N3961">
        <v>11799.31</v>
      </c>
    </row>
    <row r="3962" spans="1:14" x14ac:dyDescent="0.2">
      <c r="A3962" s="1">
        <v>45804</v>
      </c>
      <c r="B3962" s="2" t="s">
        <v>14</v>
      </c>
      <c r="C3962" s="2" t="s">
        <v>15</v>
      </c>
      <c r="D3962" s="2" t="s">
        <v>16</v>
      </c>
      <c r="E3962">
        <v>12844</v>
      </c>
      <c r="F3962">
        <v>462</v>
      </c>
      <c r="G3962">
        <v>50</v>
      </c>
      <c r="H3962">
        <v>1047.17</v>
      </c>
      <c r="I3962">
        <v>6598.96</v>
      </c>
      <c r="J3962">
        <v>3.6</v>
      </c>
      <c r="K3962">
        <v>10.82</v>
      </c>
      <c r="L3962">
        <v>20.94</v>
      </c>
      <c r="M3962">
        <v>6.3</v>
      </c>
      <c r="N3962">
        <v>5551.79</v>
      </c>
    </row>
    <row r="3963" spans="1:14" x14ac:dyDescent="0.2">
      <c r="A3963" s="1">
        <v>45804</v>
      </c>
      <c r="B3963" s="2" t="s">
        <v>17</v>
      </c>
      <c r="C3963" s="2" t="s">
        <v>21</v>
      </c>
      <c r="D3963" s="2" t="s">
        <v>36</v>
      </c>
      <c r="E3963">
        <v>18624</v>
      </c>
      <c r="F3963">
        <v>388</v>
      </c>
      <c r="G3963">
        <v>23</v>
      </c>
      <c r="H3963">
        <v>944.21</v>
      </c>
      <c r="I3963">
        <v>2307.4899999999998</v>
      </c>
      <c r="J3963">
        <v>2.08</v>
      </c>
      <c r="K3963">
        <v>5.93</v>
      </c>
      <c r="L3963">
        <v>41.05</v>
      </c>
      <c r="M3963">
        <v>2.44</v>
      </c>
      <c r="N3963">
        <v>1363.28</v>
      </c>
    </row>
    <row r="3964" spans="1:14" x14ac:dyDescent="0.2">
      <c r="A3964" s="1">
        <v>45804</v>
      </c>
      <c r="B3964" s="2" t="s">
        <v>20</v>
      </c>
      <c r="C3964" s="2" t="s">
        <v>18</v>
      </c>
      <c r="D3964" s="2" t="s">
        <v>16</v>
      </c>
      <c r="E3964">
        <v>16574</v>
      </c>
      <c r="F3964">
        <v>461</v>
      </c>
      <c r="G3964">
        <v>36</v>
      </c>
      <c r="H3964">
        <v>928.2</v>
      </c>
      <c r="I3964">
        <v>3294.37</v>
      </c>
      <c r="J3964">
        <v>2.78</v>
      </c>
      <c r="K3964">
        <v>7.81</v>
      </c>
      <c r="L3964">
        <v>25.78</v>
      </c>
      <c r="M3964">
        <v>3.55</v>
      </c>
      <c r="N3964">
        <v>2366.17</v>
      </c>
    </row>
    <row r="3965" spans="1:14" x14ac:dyDescent="0.2">
      <c r="A3965" s="1">
        <v>45804</v>
      </c>
      <c r="B3965" s="2" t="s">
        <v>23</v>
      </c>
      <c r="C3965" s="2" t="s">
        <v>28</v>
      </c>
      <c r="D3965" s="2" t="s">
        <v>22</v>
      </c>
      <c r="E3965">
        <v>4476</v>
      </c>
      <c r="F3965">
        <v>96</v>
      </c>
      <c r="G3965">
        <v>10</v>
      </c>
      <c r="H3965">
        <v>1126.3</v>
      </c>
      <c r="I3965">
        <v>2460.34</v>
      </c>
      <c r="J3965">
        <v>2.14</v>
      </c>
      <c r="K3965">
        <v>10.42</v>
      </c>
      <c r="L3965">
        <v>112.63</v>
      </c>
      <c r="M3965">
        <v>2.1800000000000002</v>
      </c>
      <c r="N3965">
        <v>1334.04</v>
      </c>
    </row>
    <row r="3966" spans="1:14" x14ac:dyDescent="0.2">
      <c r="A3966" s="1">
        <v>45804</v>
      </c>
      <c r="B3966" s="2" t="s">
        <v>24</v>
      </c>
      <c r="C3966" s="2" t="s">
        <v>35</v>
      </c>
      <c r="D3966" s="2" t="s">
        <v>16</v>
      </c>
      <c r="E3966">
        <v>22315</v>
      </c>
      <c r="F3966">
        <v>4501</v>
      </c>
      <c r="G3966">
        <v>599</v>
      </c>
      <c r="H3966">
        <v>140.41</v>
      </c>
      <c r="I3966">
        <v>82894.179999999993</v>
      </c>
      <c r="J3966">
        <v>20.170000000000002</v>
      </c>
      <c r="K3966">
        <v>13.31</v>
      </c>
      <c r="L3966">
        <v>0.23</v>
      </c>
      <c r="M3966">
        <v>590.37</v>
      </c>
      <c r="N3966">
        <v>82753.77</v>
      </c>
    </row>
    <row r="3967" spans="1:14" x14ac:dyDescent="0.2">
      <c r="A3967" s="1">
        <v>45804</v>
      </c>
      <c r="B3967" s="2" t="s">
        <v>26</v>
      </c>
      <c r="C3967" s="2" t="s">
        <v>18</v>
      </c>
      <c r="D3967" s="2" t="s">
        <v>22</v>
      </c>
      <c r="E3967">
        <v>24826</v>
      </c>
      <c r="F3967">
        <v>1304</v>
      </c>
      <c r="G3967">
        <v>207</v>
      </c>
      <c r="H3967">
        <v>0</v>
      </c>
      <c r="I3967">
        <v>25227.16</v>
      </c>
      <c r="J3967">
        <v>5.25</v>
      </c>
      <c r="K3967">
        <v>15.87</v>
      </c>
      <c r="L3967">
        <v>0</v>
      </c>
      <c r="M3967">
        <v>0</v>
      </c>
      <c r="N3967">
        <v>25227.16</v>
      </c>
    </row>
    <row r="3968" spans="1:14" x14ac:dyDescent="0.2">
      <c r="A3968" s="1">
        <v>45804</v>
      </c>
      <c r="B3968" s="2" t="s">
        <v>27</v>
      </c>
      <c r="C3968" s="2" t="s">
        <v>35</v>
      </c>
      <c r="D3968" s="2" t="s">
        <v>16</v>
      </c>
      <c r="E3968">
        <v>38827</v>
      </c>
      <c r="F3968">
        <v>604</v>
      </c>
      <c r="G3968">
        <v>21</v>
      </c>
      <c r="H3968">
        <v>1070.97</v>
      </c>
      <c r="I3968">
        <v>1657.3</v>
      </c>
      <c r="J3968">
        <v>1.56</v>
      </c>
      <c r="K3968">
        <v>3.48</v>
      </c>
      <c r="L3968">
        <v>51</v>
      </c>
      <c r="M3968">
        <v>1.55</v>
      </c>
      <c r="N3968">
        <v>586.33000000000004</v>
      </c>
    </row>
    <row r="3969" spans="1:14" x14ac:dyDescent="0.2">
      <c r="A3969" s="1">
        <v>45804</v>
      </c>
      <c r="B3969" s="2" t="s">
        <v>29</v>
      </c>
      <c r="C3969" s="2" t="s">
        <v>15</v>
      </c>
      <c r="D3969" s="2" t="s">
        <v>22</v>
      </c>
      <c r="E3969">
        <v>23652</v>
      </c>
      <c r="F3969">
        <v>572</v>
      </c>
      <c r="G3969">
        <v>44</v>
      </c>
      <c r="H3969">
        <v>1073.47</v>
      </c>
      <c r="I3969">
        <v>4712.0200000000004</v>
      </c>
      <c r="J3969">
        <v>2.42</v>
      </c>
      <c r="K3969">
        <v>7.69</v>
      </c>
      <c r="L3969">
        <v>24.4</v>
      </c>
      <c r="M3969">
        <v>4.3899999999999997</v>
      </c>
      <c r="N3969">
        <v>3638.55</v>
      </c>
    </row>
    <row r="3970" spans="1:14" x14ac:dyDescent="0.2">
      <c r="A3970" s="1">
        <v>45804</v>
      </c>
      <c r="B3970" s="2" t="s">
        <v>30</v>
      </c>
      <c r="C3970" s="2" t="s">
        <v>28</v>
      </c>
      <c r="D3970" s="2" t="s">
        <v>22</v>
      </c>
      <c r="E3970">
        <v>11115</v>
      </c>
      <c r="F3970">
        <v>266</v>
      </c>
      <c r="G3970">
        <v>14</v>
      </c>
      <c r="H3970">
        <v>480.49</v>
      </c>
      <c r="I3970">
        <v>1134.75</v>
      </c>
      <c r="J3970">
        <v>2.39</v>
      </c>
      <c r="K3970">
        <v>5.26</v>
      </c>
      <c r="L3970">
        <v>34.32</v>
      </c>
      <c r="M3970">
        <v>2.36</v>
      </c>
      <c r="N3970">
        <v>654.26</v>
      </c>
    </row>
    <row r="3971" spans="1:14" x14ac:dyDescent="0.2">
      <c r="A3971" s="1">
        <v>45804</v>
      </c>
      <c r="B3971" s="2" t="s">
        <v>31</v>
      </c>
      <c r="C3971" s="2" t="s">
        <v>21</v>
      </c>
      <c r="D3971" s="2" t="s">
        <v>25</v>
      </c>
      <c r="E3971">
        <v>26711</v>
      </c>
      <c r="F3971">
        <v>827</v>
      </c>
      <c r="G3971">
        <v>26</v>
      </c>
      <c r="H3971">
        <v>682.14</v>
      </c>
      <c r="I3971">
        <v>2421.79</v>
      </c>
      <c r="J3971">
        <v>3.1</v>
      </c>
      <c r="K3971">
        <v>3.14</v>
      </c>
      <c r="L3971">
        <v>26.24</v>
      </c>
      <c r="M3971">
        <v>3.55</v>
      </c>
      <c r="N3971">
        <v>1739.65</v>
      </c>
    </row>
    <row r="3972" spans="1:14" x14ac:dyDescent="0.2">
      <c r="A3972" s="1">
        <v>45804</v>
      </c>
      <c r="B3972" s="2" t="s">
        <v>33</v>
      </c>
      <c r="C3972" s="2" t="s">
        <v>15</v>
      </c>
      <c r="D3972" s="2" t="s">
        <v>16</v>
      </c>
      <c r="E3972">
        <v>8210</v>
      </c>
      <c r="F3972">
        <v>496</v>
      </c>
      <c r="G3972">
        <v>62</v>
      </c>
      <c r="H3972">
        <v>576.5</v>
      </c>
      <c r="I3972">
        <v>9091.5300000000007</v>
      </c>
      <c r="J3972">
        <v>6.04</v>
      </c>
      <c r="K3972">
        <v>12.5</v>
      </c>
      <c r="L3972">
        <v>9.3000000000000007</v>
      </c>
      <c r="M3972">
        <v>15.77</v>
      </c>
      <c r="N3972">
        <v>8515.0300000000007</v>
      </c>
    </row>
    <row r="3973" spans="1:14" x14ac:dyDescent="0.2">
      <c r="A3973" s="1">
        <v>45804</v>
      </c>
      <c r="B3973" s="2" t="s">
        <v>34</v>
      </c>
      <c r="C3973" s="2" t="s">
        <v>35</v>
      </c>
      <c r="D3973" s="2" t="s">
        <v>36</v>
      </c>
      <c r="E3973">
        <v>6243</v>
      </c>
      <c r="F3973">
        <v>484</v>
      </c>
      <c r="G3973">
        <v>77</v>
      </c>
      <c r="H3973">
        <v>78.709999999999994</v>
      </c>
      <c r="I3973">
        <v>11266.73</v>
      </c>
      <c r="J3973">
        <v>7.75</v>
      </c>
      <c r="K3973">
        <v>15.91</v>
      </c>
      <c r="L3973">
        <v>1.02</v>
      </c>
      <c r="M3973">
        <v>143.13999999999999</v>
      </c>
      <c r="N3973">
        <v>11188.02</v>
      </c>
    </row>
    <row r="3974" spans="1:14" x14ac:dyDescent="0.2">
      <c r="A3974" s="1">
        <v>45805</v>
      </c>
      <c r="B3974" s="2" t="s">
        <v>14</v>
      </c>
      <c r="C3974" s="2" t="s">
        <v>15</v>
      </c>
      <c r="D3974" s="2" t="s">
        <v>25</v>
      </c>
      <c r="E3974">
        <v>10828</v>
      </c>
      <c r="F3974">
        <v>347</v>
      </c>
      <c r="G3974">
        <v>33</v>
      </c>
      <c r="H3974">
        <v>901.03</v>
      </c>
      <c r="I3974">
        <v>4653.07</v>
      </c>
      <c r="J3974">
        <v>3.2</v>
      </c>
      <c r="K3974">
        <v>9.51</v>
      </c>
      <c r="L3974">
        <v>27.3</v>
      </c>
      <c r="M3974">
        <v>5.16</v>
      </c>
      <c r="N3974">
        <v>3752.04</v>
      </c>
    </row>
    <row r="3975" spans="1:14" x14ac:dyDescent="0.2">
      <c r="A3975" s="1">
        <v>45805</v>
      </c>
      <c r="B3975" s="2" t="s">
        <v>17</v>
      </c>
      <c r="C3975" s="2" t="s">
        <v>21</v>
      </c>
      <c r="D3975" s="2" t="s">
        <v>36</v>
      </c>
      <c r="E3975">
        <v>18245</v>
      </c>
      <c r="F3975">
        <v>640</v>
      </c>
      <c r="G3975">
        <v>52</v>
      </c>
      <c r="H3975">
        <v>708.02</v>
      </c>
      <c r="I3975">
        <v>5070.24</v>
      </c>
      <c r="J3975">
        <v>3.51</v>
      </c>
      <c r="K3975">
        <v>8.1199999999999992</v>
      </c>
      <c r="L3975">
        <v>13.62</v>
      </c>
      <c r="M3975">
        <v>7.16</v>
      </c>
      <c r="N3975">
        <v>4362.22</v>
      </c>
    </row>
    <row r="3976" spans="1:14" x14ac:dyDescent="0.2">
      <c r="A3976" s="1">
        <v>45805</v>
      </c>
      <c r="B3976" s="2" t="s">
        <v>20</v>
      </c>
      <c r="C3976" s="2" t="s">
        <v>35</v>
      </c>
      <c r="D3976" s="2" t="s">
        <v>36</v>
      </c>
      <c r="E3976">
        <v>13192</v>
      </c>
      <c r="F3976">
        <v>522</v>
      </c>
      <c r="G3976">
        <v>25</v>
      </c>
      <c r="H3976">
        <v>916.96</v>
      </c>
      <c r="I3976">
        <v>2176.73</v>
      </c>
      <c r="J3976">
        <v>3.96</v>
      </c>
      <c r="K3976">
        <v>4.79</v>
      </c>
      <c r="L3976">
        <v>36.68</v>
      </c>
      <c r="M3976">
        <v>2.37</v>
      </c>
      <c r="N3976">
        <v>1259.77</v>
      </c>
    </row>
    <row r="3977" spans="1:14" x14ac:dyDescent="0.2">
      <c r="A3977" s="1">
        <v>45805</v>
      </c>
      <c r="B3977" s="2" t="s">
        <v>23</v>
      </c>
      <c r="C3977" s="2" t="s">
        <v>28</v>
      </c>
      <c r="D3977" s="2" t="s">
        <v>16</v>
      </c>
      <c r="E3977">
        <v>4557</v>
      </c>
      <c r="F3977">
        <v>82</v>
      </c>
      <c r="G3977">
        <v>12</v>
      </c>
      <c r="H3977">
        <v>1112.57</v>
      </c>
      <c r="I3977">
        <v>3529.86</v>
      </c>
      <c r="J3977">
        <v>1.8</v>
      </c>
      <c r="K3977">
        <v>14.63</v>
      </c>
      <c r="L3977">
        <v>92.71</v>
      </c>
      <c r="M3977">
        <v>3.17</v>
      </c>
      <c r="N3977">
        <v>2417.29</v>
      </c>
    </row>
    <row r="3978" spans="1:14" x14ac:dyDescent="0.2">
      <c r="A3978" s="1">
        <v>45805</v>
      </c>
      <c r="B3978" s="2" t="s">
        <v>24</v>
      </c>
      <c r="C3978" s="2" t="s">
        <v>35</v>
      </c>
      <c r="D3978" s="2" t="s">
        <v>22</v>
      </c>
      <c r="E3978">
        <v>17155</v>
      </c>
      <c r="F3978">
        <v>3141</v>
      </c>
      <c r="G3978">
        <v>295</v>
      </c>
      <c r="H3978">
        <v>141.55000000000001</v>
      </c>
      <c r="I3978">
        <v>44577.94</v>
      </c>
      <c r="J3978">
        <v>18.309999999999999</v>
      </c>
      <c r="K3978">
        <v>9.39</v>
      </c>
      <c r="L3978">
        <v>0.48</v>
      </c>
      <c r="M3978">
        <v>314.93</v>
      </c>
      <c r="N3978">
        <v>44436.39</v>
      </c>
    </row>
    <row r="3979" spans="1:14" x14ac:dyDescent="0.2">
      <c r="A3979" s="1">
        <v>45805</v>
      </c>
      <c r="B3979" s="2" t="s">
        <v>26</v>
      </c>
      <c r="C3979" s="2" t="s">
        <v>18</v>
      </c>
      <c r="D3979" s="2" t="s">
        <v>16</v>
      </c>
      <c r="E3979">
        <v>23818</v>
      </c>
      <c r="F3979">
        <v>1128</v>
      </c>
      <c r="G3979">
        <v>114</v>
      </c>
      <c r="H3979">
        <v>0</v>
      </c>
      <c r="I3979">
        <v>14129.78</v>
      </c>
      <c r="J3979">
        <v>4.74</v>
      </c>
      <c r="K3979">
        <v>10.11</v>
      </c>
      <c r="L3979">
        <v>0</v>
      </c>
      <c r="M3979">
        <v>0</v>
      </c>
      <c r="N3979">
        <v>14129.78</v>
      </c>
    </row>
    <row r="3980" spans="1:14" x14ac:dyDescent="0.2">
      <c r="A3980" s="1">
        <v>45805</v>
      </c>
      <c r="B3980" s="2" t="s">
        <v>27</v>
      </c>
      <c r="C3980" s="2" t="s">
        <v>21</v>
      </c>
      <c r="D3980" s="2" t="s">
        <v>25</v>
      </c>
      <c r="E3980">
        <v>29086</v>
      </c>
      <c r="F3980">
        <v>553</v>
      </c>
      <c r="G3980">
        <v>22</v>
      </c>
      <c r="H3980">
        <v>976.54</v>
      </c>
      <c r="I3980">
        <v>2322.0300000000002</v>
      </c>
      <c r="J3980">
        <v>1.9</v>
      </c>
      <c r="K3980">
        <v>3.98</v>
      </c>
      <c r="L3980">
        <v>44.39</v>
      </c>
      <c r="M3980">
        <v>2.38</v>
      </c>
      <c r="N3980">
        <v>1345.49</v>
      </c>
    </row>
    <row r="3981" spans="1:14" x14ac:dyDescent="0.2">
      <c r="A3981" s="1">
        <v>45805</v>
      </c>
      <c r="B3981" s="2" t="s">
        <v>29</v>
      </c>
      <c r="C3981" s="2" t="s">
        <v>15</v>
      </c>
      <c r="D3981" s="2" t="s">
        <v>19</v>
      </c>
      <c r="E3981">
        <v>17015</v>
      </c>
      <c r="F3981">
        <v>294</v>
      </c>
      <c r="G3981">
        <v>15</v>
      </c>
      <c r="H3981">
        <v>1182.73</v>
      </c>
      <c r="I3981">
        <v>2020.51</v>
      </c>
      <c r="J3981">
        <v>1.73</v>
      </c>
      <c r="K3981">
        <v>5.0999999999999996</v>
      </c>
      <c r="L3981">
        <v>78.849999999999994</v>
      </c>
      <c r="M3981">
        <v>1.71</v>
      </c>
      <c r="N3981">
        <v>837.78</v>
      </c>
    </row>
    <row r="3982" spans="1:14" x14ac:dyDescent="0.2">
      <c r="A3982" s="1">
        <v>45805</v>
      </c>
      <c r="B3982" s="2" t="s">
        <v>30</v>
      </c>
      <c r="C3982" s="2" t="s">
        <v>28</v>
      </c>
      <c r="D3982" s="2" t="s">
        <v>25</v>
      </c>
      <c r="E3982">
        <v>10609</v>
      </c>
      <c r="F3982">
        <v>294</v>
      </c>
      <c r="G3982">
        <v>14</v>
      </c>
      <c r="H3982">
        <v>404.45</v>
      </c>
      <c r="I3982">
        <v>1163.73</v>
      </c>
      <c r="J3982">
        <v>2.77</v>
      </c>
      <c r="K3982">
        <v>4.76</v>
      </c>
      <c r="L3982">
        <v>28.89</v>
      </c>
      <c r="M3982">
        <v>2.88</v>
      </c>
      <c r="N3982">
        <v>759.28</v>
      </c>
    </row>
    <row r="3983" spans="1:14" x14ac:dyDescent="0.2">
      <c r="A3983" s="1">
        <v>45805</v>
      </c>
      <c r="B3983" s="2" t="s">
        <v>31</v>
      </c>
      <c r="C3983" s="2" t="s">
        <v>35</v>
      </c>
      <c r="D3983" s="2" t="s">
        <v>19</v>
      </c>
      <c r="E3983">
        <v>18790</v>
      </c>
      <c r="F3983">
        <v>593</v>
      </c>
      <c r="G3983">
        <v>18</v>
      </c>
      <c r="H3983">
        <v>673.85</v>
      </c>
      <c r="I3983">
        <v>1381.49</v>
      </c>
      <c r="J3983">
        <v>3.16</v>
      </c>
      <c r="K3983">
        <v>3.04</v>
      </c>
      <c r="L3983">
        <v>37.44</v>
      </c>
      <c r="M3983">
        <v>2.0499999999999998</v>
      </c>
      <c r="N3983">
        <v>707.64</v>
      </c>
    </row>
    <row r="3984" spans="1:14" x14ac:dyDescent="0.2">
      <c r="A3984" s="1">
        <v>45805</v>
      </c>
      <c r="B3984" s="2" t="s">
        <v>33</v>
      </c>
      <c r="C3984" s="2" t="s">
        <v>28</v>
      </c>
      <c r="D3984" s="2" t="s">
        <v>25</v>
      </c>
      <c r="E3984">
        <v>5278</v>
      </c>
      <c r="F3984">
        <v>361</v>
      </c>
      <c r="G3984">
        <v>36</v>
      </c>
      <c r="H3984">
        <v>693.67</v>
      </c>
      <c r="I3984">
        <v>4751.83</v>
      </c>
      <c r="J3984">
        <v>6.84</v>
      </c>
      <c r="K3984">
        <v>9.9700000000000006</v>
      </c>
      <c r="L3984">
        <v>19.27</v>
      </c>
      <c r="M3984">
        <v>6.85</v>
      </c>
      <c r="N3984">
        <v>4058.16</v>
      </c>
    </row>
    <row r="3985" spans="1:14" x14ac:dyDescent="0.2">
      <c r="A3985" s="1">
        <v>45805</v>
      </c>
      <c r="B3985" s="2" t="s">
        <v>34</v>
      </c>
      <c r="C3985" s="2" t="s">
        <v>15</v>
      </c>
      <c r="D3985" s="2" t="s">
        <v>25</v>
      </c>
      <c r="E3985">
        <v>4833</v>
      </c>
      <c r="F3985">
        <v>316</v>
      </c>
      <c r="G3985">
        <v>42</v>
      </c>
      <c r="H3985">
        <v>178.97</v>
      </c>
      <c r="I3985">
        <v>5277.84</v>
      </c>
      <c r="J3985">
        <v>6.54</v>
      </c>
      <c r="K3985">
        <v>13.29</v>
      </c>
      <c r="L3985">
        <v>4.26</v>
      </c>
      <c r="M3985">
        <v>29.49</v>
      </c>
      <c r="N3985">
        <v>5098.87</v>
      </c>
    </row>
    <row r="3986" spans="1:14" x14ac:dyDescent="0.2">
      <c r="A3986" s="1">
        <v>45806</v>
      </c>
      <c r="B3986" s="2" t="s">
        <v>14</v>
      </c>
      <c r="C3986" s="2" t="s">
        <v>32</v>
      </c>
      <c r="D3986" s="2" t="s">
        <v>36</v>
      </c>
      <c r="E3986">
        <v>11420</v>
      </c>
      <c r="F3986">
        <v>377</v>
      </c>
      <c r="G3986">
        <v>41</v>
      </c>
      <c r="H3986">
        <v>1071.07</v>
      </c>
      <c r="I3986">
        <v>5022.82</v>
      </c>
      <c r="J3986">
        <v>3.3</v>
      </c>
      <c r="K3986">
        <v>10.88</v>
      </c>
      <c r="L3986">
        <v>26.12</v>
      </c>
      <c r="M3986">
        <v>4.6900000000000004</v>
      </c>
      <c r="N3986">
        <v>3951.75</v>
      </c>
    </row>
    <row r="3987" spans="1:14" x14ac:dyDescent="0.2">
      <c r="A3987" s="1">
        <v>45806</v>
      </c>
      <c r="B3987" s="2" t="s">
        <v>17</v>
      </c>
      <c r="C3987" s="2" t="s">
        <v>28</v>
      </c>
      <c r="D3987" s="2" t="s">
        <v>19</v>
      </c>
      <c r="E3987">
        <v>12355</v>
      </c>
      <c r="F3987">
        <v>436</v>
      </c>
      <c r="G3987">
        <v>37</v>
      </c>
      <c r="H3987">
        <v>938.27</v>
      </c>
      <c r="I3987">
        <v>4770.2</v>
      </c>
      <c r="J3987">
        <v>3.53</v>
      </c>
      <c r="K3987">
        <v>8.49</v>
      </c>
      <c r="L3987">
        <v>25.36</v>
      </c>
      <c r="M3987">
        <v>5.08</v>
      </c>
      <c r="N3987">
        <v>3831.93</v>
      </c>
    </row>
    <row r="3988" spans="1:14" x14ac:dyDescent="0.2">
      <c r="A3988" s="1">
        <v>45806</v>
      </c>
      <c r="B3988" s="2" t="s">
        <v>20</v>
      </c>
      <c r="C3988" s="2" t="s">
        <v>32</v>
      </c>
      <c r="D3988" s="2" t="s">
        <v>22</v>
      </c>
      <c r="E3988">
        <v>13879</v>
      </c>
      <c r="F3988">
        <v>438</v>
      </c>
      <c r="G3988">
        <v>26</v>
      </c>
      <c r="H3988">
        <v>694.6</v>
      </c>
      <c r="I3988">
        <v>3194.83</v>
      </c>
      <c r="J3988">
        <v>3.16</v>
      </c>
      <c r="K3988">
        <v>5.94</v>
      </c>
      <c r="L3988">
        <v>26.72</v>
      </c>
      <c r="M3988">
        <v>4.5999999999999996</v>
      </c>
      <c r="N3988">
        <v>2500.23</v>
      </c>
    </row>
    <row r="3989" spans="1:14" x14ac:dyDescent="0.2">
      <c r="A3989" s="1">
        <v>45806</v>
      </c>
      <c r="B3989" s="2" t="s">
        <v>23</v>
      </c>
      <c r="C3989" s="2" t="s">
        <v>35</v>
      </c>
      <c r="D3989" s="2" t="s">
        <v>22</v>
      </c>
      <c r="E3989">
        <v>5582</v>
      </c>
      <c r="F3989">
        <v>132</v>
      </c>
      <c r="G3989">
        <v>17</v>
      </c>
      <c r="H3989">
        <v>1227.5899999999999</v>
      </c>
      <c r="I3989">
        <v>3741.97</v>
      </c>
      <c r="J3989">
        <v>2.36</v>
      </c>
      <c r="K3989">
        <v>12.88</v>
      </c>
      <c r="L3989">
        <v>72.209999999999994</v>
      </c>
      <c r="M3989">
        <v>3.05</v>
      </c>
      <c r="N3989">
        <v>2514.38</v>
      </c>
    </row>
    <row r="3990" spans="1:14" x14ac:dyDescent="0.2">
      <c r="A3990" s="1">
        <v>45806</v>
      </c>
      <c r="B3990" s="2" t="s">
        <v>24</v>
      </c>
      <c r="C3990" s="2" t="s">
        <v>35</v>
      </c>
      <c r="D3990" s="2" t="s">
        <v>22</v>
      </c>
      <c r="E3990">
        <v>23968</v>
      </c>
      <c r="F3990">
        <v>4674</v>
      </c>
      <c r="G3990">
        <v>375</v>
      </c>
      <c r="H3990">
        <v>277.75</v>
      </c>
      <c r="I3990">
        <v>40775.49</v>
      </c>
      <c r="J3990">
        <v>19.5</v>
      </c>
      <c r="K3990">
        <v>8.02</v>
      </c>
      <c r="L3990">
        <v>0.74</v>
      </c>
      <c r="M3990">
        <v>146.81</v>
      </c>
      <c r="N3990">
        <v>40497.74</v>
      </c>
    </row>
    <row r="3991" spans="1:14" x14ac:dyDescent="0.2">
      <c r="A3991" s="1">
        <v>45806</v>
      </c>
      <c r="B3991" s="2" t="s">
        <v>26</v>
      </c>
      <c r="C3991" s="2" t="s">
        <v>28</v>
      </c>
      <c r="D3991" s="2" t="s">
        <v>19</v>
      </c>
      <c r="E3991">
        <v>20939</v>
      </c>
      <c r="F3991">
        <v>1159</v>
      </c>
      <c r="G3991">
        <v>159</v>
      </c>
      <c r="H3991">
        <v>0</v>
      </c>
      <c r="I3991">
        <v>25312.63</v>
      </c>
      <c r="J3991">
        <v>5.54</v>
      </c>
      <c r="K3991">
        <v>13.72</v>
      </c>
      <c r="L3991">
        <v>0</v>
      </c>
      <c r="M3991">
        <v>0</v>
      </c>
      <c r="N3991">
        <v>25312.63</v>
      </c>
    </row>
    <row r="3992" spans="1:14" x14ac:dyDescent="0.2">
      <c r="A3992" s="1">
        <v>45806</v>
      </c>
      <c r="B3992" s="2" t="s">
        <v>27</v>
      </c>
      <c r="C3992" s="2" t="s">
        <v>35</v>
      </c>
      <c r="D3992" s="2" t="s">
        <v>16</v>
      </c>
      <c r="E3992">
        <v>28185</v>
      </c>
      <c r="F3992">
        <v>306</v>
      </c>
      <c r="G3992">
        <v>6</v>
      </c>
      <c r="H3992">
        <v>870.87</v>
      </c>
      <c r="I3992">
        <v>628.26</v>
      </c>
      <c r="J3992">
        <v>1.0900000000000001</v>
      </c>
      <c r="K3992">
        <v>1.96</v>
      </c>
      <c r="L3992">
        <v>145.15</v>
      </c>
      <c r="M3992">
        <v>0.72</v>
      </c>
      <c r="N3992">
        <v>-242.61</v>
      </c>
    </row>
    <row r="3993" spans="1:14" x14ac:dyDescent="0.2">
      <c r="A3993" s="1">
        <v>45806</v>
      </c>
      <c r="B3993" s="2" t="s">
        <v>29</v>
      </c>
      <c r="C3993" s="2" t="s">
        <v>21</v>
      </c>
      <c r="D3993" s="2" t="s">
        <v>19</v>
      </c>
      <c r="E3993">
        <v>16469</v>
      </c>
      <c r="F3993">
        <v>290</v>
      </c>
      <c r="G3993">
        <v>14</v>
      </c>
      <c r="H3993">
        <v>953.74</v>
      </c>
      <c r="I3993">
        <v>1709.99</v>
      </c>
      <c r="J3993">
        <v>1.76</v>
      </c>
      <c r="K3993">
        <v>4.83</v>
      </c>
      <c r="L3993">
        <v>68.12</v>
      </c>
      <c r="M3993">
        <v>1.79</v>
      </c>
      <c r="N3993">
        <v>756.25</v>
      </c>
    </row>
    <row r="3994" spans="1:14" x14ac:dyDescent="0.2">
      <c r="A3994" s="1">
        <v>45806</v>
      </c>
      <c r="B3994" s="2" t="s">
        <v>30</v>
      </c>
      <c r="C3994" s="2" t="s">
        <v>35</v>
      </c>
      <c r="D3994" s="2" t="s">
        <v>36</v>
      </c>
      <c r="E3994">
        <v>9813</v>
      </c>
      <c r="F3994">
        <v>294</v>
      </c>
      <c r="G3994">
        <v>13</v>
      </c>
      <c r="H3994">
        <v>453.95</v>
      </c>
      <c r="I3994">
        <v>1144.6199999999999</v>
      </c>
      <c r="J3994">
        <v>3</v>
      </c>
      <c r="K3994">
        <v>4.42</v>
      </c>
      <c r="L3994">
        <v>34.92</v>
      </c>
      <c r="M3994">
        <v>2.52</v>
      </c>
      <c r="N3994">
        <v>690.67</v>
      </c>
    </row>
    <row r="3995" spans="1:14" x14ac:dyDescent="0.2">
      <c r="A3995" s="1">
        <v>45806</v>
      </c>
      <c r="B3995" s="2" t="s">
        <v>31</v>
      </c>
      <c r="C3995" s="2" t="s">
        <v>21</v>
      </c>
      <c r="D3995" s="2" t="s">
        <v>25</v>
      </c>
      <c r="E3995">
        <v>20418</v>
      </c>
      <c r="F3995">
        <v>630</v>
      </c>
      <c r="G3995">
        <v>35</v>
      </c>
      <c r="H3995">
        <v>1000.36</v>
      </c>
      <c r="I3995">
        <v>3040.39</v>
      </c>
      <c r="J3995">
        <v>3.09</v>
      </c>
      <c r="K3995">
        <v>5.56</v>
      </c>
      <c r="L3995">
        <v>28.58</v>
      </c>
      <c r="M3995">
        <v>3.04</v>
      </c>
      <c r="N3995">
        <v>2040.03</v>
      </c>
    </row>
    <row r="3996" spans="1:14" x14ac:dyDescent="0.2">
      <c r="A3996" s="1">
        <v>45806</v>
      </c>
      <c r="B3996" s="2" t="s">
        <v>33</v>
      </c>
      <c r="C3996" s="2" t="s">
        <v>21</v>
      </c>
      <c r="D3996" s="2" t="s">
        <v>25</v>
      </c>
      <c r="E3996">
        <v>8235</v>
      </c>
      <c r="F3996">
        <v>350</v>
      </c>
      <c r="G3996">
        <v>36</v>
      </c>
      <c r="H3996">
        <v>330.74</v>
      </c>
      <c r="I3996">
        <v>4876.08</v>
      </c>
      <c r="J3996">
        <v>4.25</v>
      </c>
      <c r="K3996">
        <v>10.29</v>
      </c>
      <c r="L3996">
        <v>9.19</v>
      </c>
      <c r="M3996">
        <v>14.74</v>
      </c>
      <c r="N3996">
        <v>4545.34</v>
      </c>
    </row>
    <row r="3997" spans="1:14" x14ac:dyDescent="0.2">
      <c r="A3997" s="1">
        <v>45806</v>
      </c>
      <c r="B3997" s="2" t="s">
        <v>34</v>
      </c>
      <c r="C3997" s="2" t="s">
        <v>35</v>
      </c>
      <c r="D3997" s="2" t="s">
        <v>22</v>
      </c>
      <c r="E3997">
        <v>4646</v>
      </c>
      <c r="F3997">
        <v>250</v>
      </c>
      <c r="G3997">
        <v>39</v>
      </c>
      <c r="H3997">
        <v>188.69</v>
      </c>
      <c r="I3997">
        <v>6101.75</v>
      </c>
      <c r="J3997">
        <v>5.38</v>
      </c>
      <c r="K3997">
        <v>15.6</v>
      </c>
      <c r="L3997">
        <v>4.84</v>
      </c>
      <c r="M3997">
        <v>32.340000000000003</v>
      </c>
      <c r="N3997">
        <v>5913.06</v>
      </c>
    </row>
    <row r="3998" spans="1:14" x14ac:dyDescent="0.2">
      <c r="A3998" s="1">
        <v>45807</v>
      </c>
      <c r="B3998" s="2" t="s">
        <v>14</v>
      </c>
      <c r="C3998" s="2" t="s">
        <v>21</v>
      </c>
      <c r="D3998" s="2" t="s">
        <v>22</v>
      </c>
      <c r="E3998">
        <v>11334</v>
      </c>
      <c r="F3998">
        <v>523</v>
      </c>
      <c r="G3998">
        <v>48</v>
      </c>
      <c r="H3998">
        <v>1224.8800000000001</v>
      </c>
      <c r="I3998">
        <v>7061.51</v>
      </c>
      <c r="J3998">
        <v>4.6100000000000003</v>
      </c>
      <c r="K3998">
        <v>9.18</v>
      </c>
      <c r="L3998">
        <v>25.52</v>
      </c>
      <c r="M3998">
        <v>5.77</v>
      </c>
      <c r="N3998">
        <v>5836.63</v>
      </c>
    </row>
    <row r="3999" spans="1:14" x14ac:dyDescent="0.2">
      <c r="A3999" s="1">
        <v>45807</v>
      </c>
      <c r="B3999" s="2" t="s">
        <v>17</v>
      </c>
      <c r="C3999" s="2" t="s">
        <v>21</v>
      </c>
      <c r="D3999" s="2" t="s">
        <v>22</v>
      </c>
      <c r="E3999">
        <v>13183</v>
      </c>
      <c r="F3999">
        <v>493</v>
      </c>
      <c r="G3999">
        <v>33</v>
      </c>
      <c r="H3999">
        <v>691.02</v>
      </c>
      <c r="I3999">
        <v>3691.22</v>
      </c>
      <c r="J3999">
        <v>3.74</v>
      </c>
      <c r="K3999">
        <v>6.69</v>
      </c>
      <c r="L3999">
        <v>20.94</v>
      </c>
      <c r="M3999">
        <v>5.34</v>
      </c>
      <c r="N3999">
        <v>3000.2</v>
      </c>
    </row>
    <row r="4000" spans="1:14" x14ac:dyDescent="0.2">
      <c r="A4000" s="1">
        <v>45807</v>
      </c>
      <c r="B4000" s="2" t="s">
        <v>20</v>
      </c>
      <c r="C4000" s="2" t="s">
        <v>18</v>
      </c>
      <c r="D4000" s="2" t="s">
        <v>16</v>
      </c>
      <c r="E4000">
        <v>14067</v>
      </c>
      <c r="F4000">
        <v>576</v>
      </c>
      <c r="G4000">
        <v>26</v>
      </c>
      <c r="H4000">
        <v>862.54</v>
      </c>
      <c r="I4000">
        <v>2505.04</v>
      </c>
      <c r="J4000">
        <v>4.09</v>
      </c>
      <c r="K4000">
        <v>4.51</v>
      </c>
      <c r="L4000">
        <v>33.17</v>
      </c>
      <c r="M4000">
        <v>2.9</v>
      </c>
      <c r="N4000">
        <v>1642.5</v>
      </c>
    </row>
    <row r="4001" spans="1:14" x14ac:dyDescent="0.2">
      <c r="A4001" s="1">
        <v>45807</v>
      </c>
      <c r="B4001" s="2" t="s">
        <v>23</v>
      </c>
      <c r="C4001" s="2" t="s">
        <v>35</v>
      </c>
      <c r="D4001" s="2" t="s">
        <v>25</v>
      </c>
      <c r="E4001">
        <v>4562</v>
      </c>
      <c r="F4001">
        <v>100</v>
      </c>
      <c r="G4001">
        <v>14</v>
      </c>
      <c r="H4001">
        <v>1298.93</v>
      </c>
      <c r="I4001">
        <v>4389.8500000000004</v>
      </c>
      <c r="J4001">
        <v>2.19</v>
      </c>
      <c r="K4001">
        <v>14</v>
      </c>
      <c r="L4001">
        <v>92.78</v>
      </c>
      <c r="M4001">
        <v>3.38</v>
      </c>
      <c r="N4001">
        <v>3090.92</v>
      </c>
    </row>
    <row r="4002" spans="1:14" x14ac:dyDescent="0.2">
      <c r="A4002" s="1">
        <v>45807</v>
      </c>
      <c r="B4002" s="2" t="s">
        <v>24</v>
      </c>
      <c r="C4002" s="2" t="s">
        <v>21</v>
      </c>
      <c r="D4002" s="2" t="s">
        <v>36</v>
      </c>
      <c r="E4002">
        <v>22986</v>
      </c>
      <c r="F4002">
        <v>4201</v>
      </c>
      <c r="G4002">
        <v>395</v>
      </c>
      <c r="H4002">
        <v>115.3</v>
      </c>
      <c r="I4002">
        <v>64509.03</v>
      </c>
      <c r="J4002">
        <v>18.28</v>
      </c>
      <c r="K4002">
        <v>9.4</v>
      </c>
      <c r="L4002">
        <v>0.28999999999999998</v>
      </c>
      <c r="M4002">
        <v>559.49</v>
      </c>
      <c r="N4002">
        <v>64393.73</v>
      </c>
    </row>
    <row r="4003" spans="1:14" x14ac:dyDescent="0.2">
      <c r="A4003" s="1">
        <v>45807</v>
      </c>
      <c r="B4003" s="2" t="s">
        <v>26</v>
      </c>
      <c r="C4003" s="2" t="s">
        <v>35</v>
      </c>
      <c r="D4003" s="2" t="s">
        <v>19</v>
      </c>
      <c r="E4003">
        <v>34462</v>
      </c>
      <c r="F4003">
        <v>2178</v>
      </c>
      <c r="G4003">
        <v>311</v>
      </c>
      <c r="H4003">
        <v>0</v>
      </c>
      <c r="I4003">
        <v>32346.14</v>
      </c>
      <c r="J4003">
        <v>6.32</v>
      </c>
      <c r="K4003">
        <v>14.28</v>
      </c>
      <c r="L4003">
        <v>0</v>
      </c>
      <c r="M4003">
        <v>0</v>
      </c>
      <c r="N4003">
        <v>32346.14</v>
      </c>
    </row>
    <row r="4004" spans="1:14" x14ac:dyDescent="0.2">
      <c r="A4004" s="1">
        <v>45807</v>
      </c>
      <c r="B4004" s="2" t="s">
        <v>27</v>
      </c>
      <c r="C4004" s="2" t="s">
        <v>21</v>
      </c>
      <c r="D4004" s="2" t="s">
        <v>22</v>
      </c>
      <c r="E4004">
        <v>35041</v>
      </c>
      <c r="F4004">
        <v>619</v>
      </c>
      <c r="G4004">
        <v>27</v>
      </c>
      <c r="H4004">
        <v>856.26</v>
      </c>
      <c r="I4004">
        <v>2826.87</v>
      </c>
      <c r="J4004">
        <v>1.77</v>
      </c>
      <c r="K4004">
        <v>4.3600000000000003</v>
      </c>
      <c r="L4004">
        <v>31.71</v>
      </c>
      <c r="M4004">
        <v>3.3</v>
      </c>
      <c r="N4004">
        <v>1970.61</v>
      </c>
    </row>
    <row r="4005" spans="1:14" x14ac:dyDescent="0.2">
      <c r="A4005" s="1">
        <v>45807</v>
      </c>
      <c r="B4005" s="2" t="s">
        <v>29</v>
      </c>
      <c r="C4005" s="2" t="s">
        <v>32</v>
      </c>
      <c r="D4005" s="2" t="s">
        <v>16</v>
      </c>
      <c r="E4005">
        <v>16753</v>
      </c>
      <c r="F4005">
        <v>362</v>
      </c>
      <c r="G4005">
        <v>23</v>
      </c>
      <c r="H4005">
        <v>1116.1300000000001</v>
      </c>
      <c r="I4005">
        <v>2173.33</v>
      </c>
      <c r="J4005">
        <v>2.16</v>
      </c>
      <c r="K4005">
        <v>6.35</v>
      </c>
      <c r="L4005">
        <v>48.53</v>
      </c>
      <c r="M4005">
        <v>1.95</v>
      </c>
      <c r="N4005">
        <v>1057.2</v>
      </c>
    </row>
    <row r="4006" spans="1:14" x14ac:dyDescent="0.2">
      <c r="A4006" s="1">
        <v>45807</v>
      </c>
      <c r="B4006" s="2" t="s">
        <v>30</v>
      </c>
      <c r="C4006" s="2" t="s">
        <v>15</v>
      </c>
      <c r="D4006" s="2" t="s">
        <v>19</v>
      </c>
      <c r="E4006">
        <v>11294</v>
      </c>
      <c r="F4006">
        <v>277</v>
      </c>
      <c r="G4006">
        <v>8</v>
      </c>
      <c r="H4006">
        <v>479.8</v>
      </c>
      <c r="I4006">
        <v>633.09</v>
      </c>
      <c r="J4006">
        <v>2.4500000000000002</v>
      </c>
      <c r="K4006">
        <v>2.89</v>
      </c>
      <c r="L4006">
        <v>59.98</v>
      </c>
      <c r="M4006">
        <v>1.32</v>
      </c>
      <c r="N4006">
        <v>153.29</v>
      </c>
    </row>
    <row r="4007" spans="1:14" x14ac:dyDescent="0.2">
      <c r="A4007" s="1">
        <v>45807</v>
      </c>
      <c r="B4007" s="2" t="s">
        <v>31</v>
      </c>
      <c r="C4007" s="2" t="s">
        <v>35</v>
      </c>
      <c r="D4007" s="2" t="s">
        <v>22</v>
      </c>
      <c r="E4007">
        <v>20811</v>
      </c>
      <c r="F4007">
        <v>646</v>
      </c>
      <c r="G4007">
        <v>31</v>
      </c>
      <c r="H4007">
        <v>1022.65</v>
      </c>
      <c r="I4007">
        <v>3127.57</v>
      </c>
      <c r="J4007">
        <v>3.1</v>
      </c>
      <c r="K4007">
        <v>4.8</v>
      </c>
      <c r="L4007">
        <v>32.99</v>
      </c>
      <c r="M4007">
        <v>3.06</v>
      </c>
      <c r="N4007">
        <v>2104.92</v>
      </c>
    </row>
    <row r="4008" spans="1:14" x14ac:dyDescent="0.2">
      <c r="A4008" s="1">
        <v>45807</v>
      </c>
      <c r="B4008" s="2" t="s">
        <v>33</v>
      </c>
      <c r="C4008" s="2" t="s">
        <v>35</v>
      </c>
      <c r="D4008" s="2" t="s">
        <v>36</v>
      </c>
      <c r="E4008">
        <v>9910</v>
      </c>
      <c r="F4008">
        <v>554</v>
      </c>
      <c r="G4008">
        <v>45</v>
      </c>
      <c r="H4008">
        <v>567.9</v>
      </c>
      <c r="I4008">
        <v>4988.2700000000004</v>
      </c>
      <c r="J4008">
        <v>5.59</v>
      </c>
      <c r="K4008">
        <v>8.1199999999999992</v>
      </c>
      <c r="L4008">
        <v>12.62</v>
      </c>
      <c r="M4008">
        <v>8.7799999999999994</v>
      </c>
      <c r="N4008">
        <v>4420.37</v>
      </c>
    </row>
    <row r="4009" spans="1:14" x14ac:dyDescent="0.2">
      <c r="A4009" s="1">
        <v>45807</v>
      </c>
      <c r="B4009" s="2" t="s">
        <v>34</v>
      </c>
      <c r="C4009" s="2" t="s">
        <v>32</v>
      </c>
      <c r="D4009" s="2" t="s">
        <v>22</v>
      </c>
      <c r="E4009">
        <v>4822</v>
      </c>
      <c r="F4009">
        <v>407</v>
      </c>
      <c r="G4009">
        <v>67</v>
      </c>
      <c r="H4009">
        <v>109.04</v>
      </c>
      <c r="I4009">
        <v>8508.4</v>
      </c>
      <c r="J4009">
        <v>8.44</v>
      </c>
      <c r="K4009">
        <v>16.46</v>
      </c>
      <c r="L4009">
        <v>1.63</v>
      </c>
      <c r="M4009">
        <v>78.03</v>
      </c>
      <c r="N4009">
        <v>8399.36</v>
      </c>
    </row>
    <row r="4010" spans="1:14" x14ac:dyDescent="0.2">
      <c r="A4010" s="1">
        <v>45808</v>
      </c>
      <c r="B4010" s="2" t="s">
        <v>14</v>
      </c>
      <c r="C4010" s="2" t="s">
        <v>32</v>
      </c>
      <c r="D4010" s="2" t="s">
        <v>19</v>
      </c>
      <c r="E4010">
        <v>7387</v>
      </c>
      <c r="F4010">
        <v>259</v>
      </c>
      <c r="G4010">
        <v>20</v>
      </c>
      <c r="H4010">
        <v>578.05999999999995</v>
      </c>
      <c r="I4010">
        <v>2978.34</v>
      </c>
      <c r="J4010">
        <v>3.51</v>
      </c>
      <c r="K4010">
        <v>7.72</v>
      </c>
      <c r="L4010">
        <v>28.9</v>
      </c>
      <c r="M4010">
        <v>5.15</v>
      </c>
      <c r="N4010">
        <v>2400.2800000000002</v>
      </c>
    </row>
    <row r="4011" spans="1:14" x14ac:dyDescent="0.2">
      <c r="A4011" s="1">
        <v>45808</v>
      </c>
      <c r="B4011" s="2" t="s">
        <v>17</v>
      </c>
      <c r="C4011" s="2" t="s">
        <v>18</v>
      </c>
      <c r="D4011" s="2" t="s">
        <v>16</v>
      </c>
      <c r="E4011">
        <v>13913</v>
      </c>
      <c r="F4011">
        <v>503</v>
      </c>
      <c r="G4011">
        <v>28</v>
      </c>
      <c r="H4011">
        <v>619.44000000000005</v>
      </c>
      <c r="I4011">
        <v>3474.57</v>
      </c>
      <c r="J4011">
        <v>3.62</v>
      </c>
      <c r="K4011">
        <v>5.57</v>
      </c>
      <c r="L4011">
        <v>22.12</v>
      </c>
      <c r="M4011">
        <v>5.61</v>
      </c>
      <c r="N4011">
        <v>2855.13</v>
      </c>
    </row>
    <row r="4012" spans="1:14" x14ac:dyDescent="0.2">
      <c r="A4012" s="1">
        <v>45808</v>
      </c>
      <c r="B4012" s="2" t="s">
        <v>20</v>
      </c>
      <c r="C4012" s="2" t="s">
        <v>28</v>
      </c>
      <c r="D4012" s="2" t="s">
        <v>36</v>
      </c>
      <c r="E4012">
        <v>9635</v>
      </c>
      <c r="F4012">
        <v>387</v>
      </c>
      <c r="G4012">
        <v>22</v>
      </c>
      <c r="H4012">
        <v>487.65</v>
      </c>
      <c r="I4012">
        <v>2171.5300000000002</v>
      </c>
      <c r="J4012">
        <v>4.0199999999999996</v>
      </c>
      <c r="K4012">
        <v>5.68</v>
      </c>
      <c r="L4012">
        <v>22.17</v>
      </c>
      <c r="M4012">
        <v>4.45</v>
      </c>
      <c r="N4012">
        <v>1683.88</v>
      </c>
    </row>
    <row r="4013" spans="1:14" x14ac:dyDescent="0.2">
      <c r="A4013" s="1">
        <v>45808</v>
      </c>
      <c r="B4013" s="2" t="s">
        <v>23</v>
      </c>
      <c r="C4013" s="2" t="s">
        <v>21</v>
      </c>
      <c r="D4013" s="2" t="s">
        <v>36</v>
      </c>
      <c r="E4013">
        <v>3321</v>
      </c>
      <c r="F4013">
        <v>72</v>
      </c>
      <c r="G4013">
        <v>9</v>
      </c>
      <c r="H4013">
        <v>750.96</v>
      </c>
      <c r="I4013">
        <v>2288.85</v>
      </c>
      <c r="J4013">
        <v>2.17</v>
      </c>
      <c r="K4013">
        <v>12.5</v>
      </c>
      <c r="L4013">
        <v>83.44</v>
      </c>
      <c r="M4013">
        <v>3.05</v>
      </c>
      <c r="N4013">
        <v>1537.89</v>
      </c>
    </row>
    <row r="4014" spans="1:14" x14ac:dyDescent="0.2">
      <c r="A4014" s="1">
        <v>45808</v>
      </c>
      <c r="B4014" s="2" t="s">
        <v>24</v>
      </c>
      <c r="C4014" s="2" t="s">
        <v>35</v>
      </c>
      <c r="D4014" s="2" t="s">
        <v>22</v>
      </c>
      <c r="E4014">
        <v>16636</v>
      </c>
      <c r="F4014">
        <v>2704</v>
      </c>
      <c r="G4014">
        <v>325</v>
      </c>
      <c r="H4014">
        <v>88.39</v>
      </c>
      <c r="I4014">
        <v>46409.13</v>
      </c>
      <c r="J4014">
        <v>16.25</v>
      </c>
      <c r="K4014">
        <v>12.02</v>
      </c>
      <c r="L4014">
        <v>0.27</v>
      </c>
      <c r="M4014">
        <v>525.04999999999995</v>
      </c>
      <c r="N4014">
        <v>46320.74</v>
      </c>
    </row>
    <row r="4015" spans="1:14" x14ac:dyDescent="0.2">
      <c r="A4015" s="1">
        <v>45808</v>
      </c>
      <c r="B4015" s="2" t="s">
        <v>26</v>
      </c>
      <c r="C4015" s="2" t="s">
        <v>18</v>
      </c>
      <c r="D4015" s="2" t="s">
        <v>25</v>
      </c>
      <c r="E4015">
        <v>17908</v>
      </c>
      <c r="F4015">
        <v>1374</v>
      </c>
      <c r="G4015">
        <v>177</v>
      </c>
      <c r="H4015">
        <v>0</v>
      </c>
      <c r="I4015">
        <v>19534.759999999998</v>
      </c>
      <c r="J4015">
        <v>7.67</v>
      </c>
      <c r="K4015">
        <v>12.88</v>
      </c>
      <c r="L4015">
        <v>0</v>
      </c>
      <c r="M4015">
        <v>0</v>
      </c>
      <c r="N4015">
        <v>19534.759999999998</v>
      </c>
    </row>
    <row r="4016" spans="1:14" x14ac:dyDescent="0.2">
      <c r="A4016" s="1">
        <v>45808</v>
      </c>
      <c r="B4016" s="2" t="s">
        <v>27</v>
      </c>
      <c r="C4016" s="2" t="s">
        <v>32</v>
      </c>
      <c r="D4016" s="2" t="s">
        <v>19</v>
      </c>
      <c r="E4016">
        <v>20419</v>
      </c>
      <c r="F4016">
        <v>298</v>
      </c>
      <c r="G4016">
        <v>11</v>
      </c>
      <c r="H4016">
        <v>577.78</v>
      </c>
      <c r="I4016">
        <v>1201.98</v>
      </c>
      <c r="J4016">
        <v>1.46</v>
      </c>
      <c r="K4016">
        <v>3.69</v>
      </c>
      <c r="L4016">
        <v>52.53</v>
      </c>
      <c r="M4016">
        <v>2.08</v>
      </c>
      <c r="N4016">
        <v>624.20000000000005</v>
      </c>
    </row>
    <row r="4017" spans="1:14" x14ac:dyDescent="0.2">
      <c r="A4017" s="1">
        <v>45808</v>
      </c>
      <c r="B4017" s="2" t="s">
        <v>29</v>
      </c>
      <c r="C4017" s="2" t="s">
        <v>15</v>
      </c>
      <c r="D4017" s="2" t="s">
        <v>19</v>
      </c>
      <c r="E4017">
        <v>11899</v>
      </c>
      <c r="F4017">
        <v>181</v>
      </c>
      <c r="G4017">
        <v>11</v>
      </c>
      <c r="H4017">
        <v>772.93</v>
      </c>
      <c r="I4017">
        <v>1654.81</v>
      </c>
      <c r="J4017">
        <v>1.52</v>
      </c>
      <c r="K4017">
        <v>6.08</v>
      </c>
      <c r="L4017">
        <v>70.27</v>
      </c>
      <c r="M4017">
        <v>2.14</v>
      </c>
      <c r="N4017">
        <v>881.88</v>
      </c>
    </row>
    <row r="4018" spans="1:14" x14ac:dyDescent="0.2">
      <c r="A4018" s="1">
        <v>45808</v>
      </c>
      <c r="B4018" s="2" t="s">
        <v>30</v>
      </c>
      <c r="C4018" s="2" t="s">
        <v>28</v>
      </c>
      <c r="D4018" s="2" t="s">
        <v>19</v>
      </c>
      <c r="E4018">
        <v>6913</v>
      </c>
      <c r="F4018">
        <v>189</v>
      </c>
      <c r="G4018">
        <v>6</v>
      </c>
      <c r="H4018">
        <v>512.49</v>
      </c>
      <c r="I4018">
        <v>514.72</v>
      </c>
      <c r="J4018">
        <v>2.73</v>
      </c>
      <c r="K4018">
        <v>3.17</v>
      </c>
      <c r="L4018">
        <v>85.42</v>
      </c>
      <c r="M4018">
        <v>1</v>
      </c>
      <c r="N4018">
        <v>2.23</v>
      </c>
    </row>
    <row r="4019" spans="1:14" x14ac:dyDescent="0.2">
      <c r="A4019" s="1">
        <v>45808</v>
      </c>
      <c r="B4019" s="2" t="s">
        <v>31</v>
      </c>
      <c r="C4019" s="2" t="s">
        <v>32</v>
      </c>
      <c r="D4019" s="2" t="s">
        <v>22</v>
      </c>
      <c r="E4019">
        <v>13178</v>
      </c>
      <c r="F4019">
        <v>468</v>
      </c>
      <c r="G4019">
        <v>22</v>
      </c>
      <c r="H4019">
        <v>739.08</v>
      </c>
      <c r="I4019">
        <v>2105.75</v>
      </c>
      <c r="J4019">
        <v>3.55</v>
      </c>
      <c r="K4019">
        <v>4.7</v>
      </c>
      <c r="L4019">
        <v>33.590000000000003</v>
      </c>
      <c r="M4019">
        <v>2.85</v>
      </c>
      <c r="N4019">
        <v>1366.67</v>
      </c>
    </row>
    <row r="4020" spans="1:14" x14ac:dyDescent="0.2">
      <c r="A4020" s="1">
        <v>45808</v>
      </c>
      <c r="B4020" s="2" t="s">
        <v>33</v>
      </c>
      <c r="C4020" s="2" t="s">
        <v>32</v>
      </c>
      <c r="D4020" s="2" t="s">
        <v>36</v>
      </c>
      <c r="E4020">
        <v>5869</v>
      </c>
      <c r="F4020">
        <v>392</v>
      </c>
      <c r="G4020">
        <v>39</v>
      </c>
      <c r="H4020">
        <v>215.57</v>
      </c>
      <c r="I4020">
        <v>4638.58</v>
      </c>
      <c r="J4020">
        <v>6.68</v>
      </c>
      <c r="K4020">
        <v>9.9499999999999993</v>
      </c>
      <c r="L4020">
        <v>5.53</v>
      </c>
      <c r="M4020">
        <v>21.52</v>
      </c>
      <c r="N4020">
        <v>4423.01</v>
      </c>
    </row>
    <row r="4021" spans="1:14" x14ac:dyDescent="0.2">
      <c r="A4021" s="1">
        <v>45808</v>
      </c>
      <c r="B4021" s="2" t="s">
        <v>34</v>
      </c>
      <c r="C4021" s="2" t="s">
        <v>35</v>
      </c>
      <c r="D4021" s="2" t="s">
        <v>16</v>
      </c>
      <c r="E4021">
        <v>2876</v>
      </c>
      <c r="F4021">
        <v>145</v>
      </c>
      <c r="G4021">
        <v>24</v>
      </c>
      <c r="H4021">
        <v>114.47</v>
      </c>
      <c r="I4021">
        <v>3187.69</v>
      </c>
      <c r="J4021">
        <v>5.04</v>
      </c>
      <c r="K4021">
        <v>16.55</v>
      </c>
      <c r="L4021">
        <v>4.7699999999999996</v>
      </c>
      <c r="M4021">
        <v>27.85</v>
      </c>
      <c r="N4021">
        <v>3073.22</v>
      </c>
    </row>
    <row r="4022" spans="1:14" x14ac:dyDescent="0.2">
      <c r="A4022" s="1">
        <v>45809</v>
      </c>
      <c r="B4022" s="2" t="s">
        <v>14</v>
      </c>
      <c r="C4022" s="2" t="s">
        <v>15</v>
      </c>
      <c r="D4022" s="2" t="s">
        <v>36</v>
      </c>
      <c r="E4022">
        <v>7804</v>
      </c>
      <c r="F4022">
        <v>243</v>
      </c>
      <c r="G4022">
        <v>19</v>
      </c>
      <c r="H4022">
        <v>576.95000000000005</v>
      </c>
      <c r="I4022">
        <v>2802.58</v>
      </c>
      <c r="J4022">
        <v>3.11</v>
      </c>
      <c r="K4022">
        <v>7.82</v>
      </c>
      <c r="L4022">
        <v>30.37</v>
      </c>
      <c r="M4022">
        <v>4.8600000000000003</v>
      </c>
      <c r="N4022">
        <v>2225.63</v>
      </c>
    </row>
    <row r="4023" spans="1:14" x14ac:dyDescent="0.2">
      <c r="A4023" s="1">
        <v>45809</v>
      </c>
      <c r="B4023" s="2" t="s">
        <v>17</v>
      </c>
      <c r="C4023" s="2" t="s">
        <v>18</v>
      </c>
      <c r="D4023" s="2" t="s">
        <v>22</v>
      </c>
      <c r="E4023">
        <v>11206</v>
      </c>
      <c r="F4023">
        <v>331</v>
      </c>
      <c r="G4023">
        <v>27</v>
      </c>
      <c r="H4023">
        <v>421.31</v>
      </c>
      <c r="I4023">
        <v>2438.1799999999998</v>
      </c>
      <c r="J4023">
        <v>2.95</v>
      </c>
      <c r="K4023">
        <v>8.16</v>
      </c>
      <c r="L4023">
        <v>15.6</v>
      </c>
      <c r="M4023">
        <v>5.79</v>
      </c>
      <c r="N4023">
        <v>2016.87</v>
      </c>
    </row>
    <row r="4024" spans="1:14" x14ac:dyDescent="0.2">
      <c r="A4024" s="1">
        <v>45809</v>
      </c>
      <c r="B4024" s="2" t="s">
        <v>20</v>
      </c>
      <c r="C4024" s="2" t="s">
        <v>15</v>
      </c>
      <c r="D4024" s="2" t="s">
        <v>25</v>
      </c>
      <c r="E4024">
        <v>6926</v>
      </c>
      <c r="F4024">
        <v>309</v>
      </c>
      <c r="G4024">
        <v>16</v>
      </c>
      <c r="H4024">
        <v>305.7</v>
      </c>
      <c r="I4024">
        <v>1798.65</v>
      </c>
      <c r="J4024">
        <v>4.46</v>
      </c>
      <c r="K4024">
        <v>5.18</v>
      </c>
      <c r="L4024">
        <v>19.11</v>
      </c>
      <c r="M4024">
        <v>5.88</v>
      </c>
      <c r="N4024">
        <v>1492.95</v>
      </c>
    </row>
    <row r="4025" spans="1:14" x14ac:dyDescent="0.2">
      <c r="A4025" s="1">
        <v>45809</v>
      </c>
      <c r="B4025" s="2" t="s">
        <v>23</v>
      </c>
      <c r="C4025" s="2" t="s">
        <v>18</v>
      </c>
      <c r="D4025" s="2" t="s">
        <v>19</v>
      </c>
      <c r="E4025">
        <v>2049</v>
      </c>
      <c r="F4025">
        <v>47</v>
      </c>
      <c r="G4025">
        <v>4</v>
      </c>
      <c r="H4025">
        <v>852.17</v>
      </c>
      <c r="I4025">
        <v>864.18</v>
      </c>
      <c r="J4025">
        <v>2.29</v>
      </c>
      <c r="K4025">
        <v>8.51</v>
      </c>
      <c r="L4025">
        <v>213.04</v>
      </c>
      <c r="M4025">
        <v>1.01</v>
      </c>
      <c r="N4025">
        <v>12.01</v>
      </c>
    </row>
    <row r="4026" spans="1:14" x14ac:dyDescent="0.2">
      <c r="A4026" s="1">
        <v>45809</v>
      </c>
      <c r="B4026" s="2" t="s">
        <v>24</v>
      </c>
      <c r="C4026" s="2" t="s">
        <v>18</v>
      </c>
      <c r="D4026" s="2" t="s">
        <v>36</v>
      </c>
      <c r="E4026">
        <v>11469</v>
      </c>
      <c r="F4026">
        <v>2101</v>
      </c>
      <c r="G4026">
        <v>289</v>
      </c>
      <c r="H4026">
        <v>161.22999999999999</v>
      </c>
      <c r="I4026">
        <v>29817.58</v>
      </c>
      <c r="J4026">
        <v>18.32</v>
      </c>
      <c r="K4026">
        <v>13.76</v>
      </c>
      <c r="L4026">
        <v>0.56000000000000005</v>
      </c>
      <c r="M4026">
        <v>184.94</v>
      </c>
      <c r="N4026">
        <v>29656.35</v>
      </c>
    </row>
    <row r="4027" spans="1:14" x14ac:dyDescent="0.2">
      <c r="A4027" s="1">
        <v>45809</v>
      </c>
      <c r="B4027" s="2" t="s">
        <v>26</v>
      </c>
      <c r="C4027" s="2" t="s">
        <v>32</v>
      </c>
      <c r="D4027" s="2" t="s">
        <v>22</v>
      </c>
      <c r="E4027">
        <v>18856</v>
      </c>
      <c r="F4027">
        <v>886</v>
      </c>
      <c r="G4027">
        <v>132</v>
      </c>
      <c r="H4027">
        <v>0</v>
      </c>
      <c r="I4027">
        <v>17378.7</v>
      </c>
      <c r="J4027">
        <v>4.7</v>
      </c>
      <c r="K4027">
        <v>14.9</v>
      </c>
      <c r="L4027">
        <v>0</v>
      </c>
      <c r="M4027">
        <v>0</v>
      </c>
      <c r="N4027">
        <v>17378.7</v>
      </c>
    </row>
    <row r="4028" spans="1:14" x14ac:dyDescent="0.2">
      <c r="A4028" s="1">
        <v>45809</v>
      </c>
      <c r="B4028" s="2" t="s">
        <v>27</v>
      </c>
      <c r="C4028" s="2" t="s">
        <v>28</v>
      </c>
      <c r="D4028" s="2" t="s">
        <v>19</v>
      </c>
      <c r="E4028">
        <v>15153</v>
      </c>
      <c r="F4028">
        <v>226</v>
      </c>
      <c r="G4028">
        <v>5</v>
      </c>
      <c r="H4028">
        <v>585.16</v>
      </c>
      <c r="I4028">
        <v>503.56</v>
      </c>
      <c r="J4028">
        <v>1.49</v>
      </c>
      <c r="K4028">
        <v>2.21</v>
      </c>
      <c r="L4028">
        <v>117.03</v>
      </c>
      <c r="M4028">
        <v>0.86</v>
      </c>
      <c r="N4028">
        <v>-81.599999999999994</v>
      </c>
    </row>
    <row r="4029" spans="1:14" x14ac:dyDescent="0.2">
      <c r="A4029" s="1">
        <v>45809</v>
      </c>
      <c r="B4029" s="2" t="s">
        <v>29</v>
      </c>
      <c r="C4029" s="2" t="s">
        <v>18</v>
      </c>
      <c r="D4029" s="2" t="s">
        <v>19</v>
      </c>
      <c r="E4029">
        <v>10199</v>
      </c>
      <c r="F4029">
        <v>184</v>
      </c>
      <c r="G4029">
        <v>12</v>
      </c>
      <c r="H4029">
        <v>590.78</v>
      </c>
      <c r="I4029">
        <v>1384.44</v>
      </c>
      <c r="J4029">
        <v>1.8</v>
      </c>
      <c r="K4029">
        <v>6.52</v>
      </c>
      <c r="L4029">
        <v>49.23</v>
      </c>
      <c r="M4029">
        <v>2.34</v>
      </c>
      <c r="N4029">
        <v>793.66</v>
      </c>
    </row>
    <row r="4030" spans="1:14" x14ac:dyDescent="0.2">
      <c r="A4030" s="1">
        <v>45809</v>
      </c>
      <c r="B4030" s="2" t="s">
        <v>30</v>
      </c>
      <c r="C4030" s="2" t="s">
        <v>18</v>
      </c>
      <c r="D4030" s="2" t="s">
        <v>25</v>
      </c>
      <c r="E4030">
        <v>7370</v>
      </c>
      <c r="F4030">
        <v>232</v>
      </c>
      <c r="G4030">
        <v>12</v>
      </c>
      <c r="H4030">
        <v>263.63</v>
      </c>
      <c r="I4030">
        <v>1128.6300000000001</v>
      </c>
      <c r="J4030">
        <v>3.15</v>
      </c>
      <c r="K4030">
        <v>5.17</v>
      </c>
      <c r="L4030">
        <v>21.97</v>
      </c>
      <c r="M4030">
        <v>4.28</v>
      </c>
      <c r="N4030">
        <v>865</v>
      </c>
    </row>
    <row r="4031" spans="1:14" x14ac:dyDescent="0.2">
      <c r="A4031" s="1">
        <v>45809</v>
      </c>
      <c r="B4031" s="2" t="s">
        <v>31</v>
      </c>
      <c r="C4031" s="2" t="s">
        <v>15</v>
      </c>
      <c r="D4031" s="2" t="s">
        <v>22</v>
      </c>
      <c r="E4031">
        <v>13266</v>
      </c>
      <c r="F4031">
        <v>526</v>
      </c>
      <c r="G4031">
        <v>19</v>
      </c>
      <c r="H4031">
        <v>442.15</v>
      </c>
      <c r="I4031">
        <v>1450.06</v>
      </c>
      <c r="J4031">
        <v>3.97</v>
      </c>
      <c r="K4031">
        <v>3.61</v>
      </c>
      <c r="L4031">
        <v>23.27</v>
      </c>
      <c r="M4031">
        <v>3.28</v>
      </c>
      <c r="N4031">
        <v>1007.91</v>
      </c>
    </row>
    <row r="4032" spans="1:14" x14ac:dyDescent="0.2">
      <c r="A4032" s="1">
        <v>45809</v>
      </c>
      <c r="B4032" s="2" t="s">
        <v>33</v>
      </c>
      <c r="C4032" s="2" t="s">
        <v>32</v>
      </c>
      <c r="D4032" s="2" t="s">
        <v>25</v>
      </c>
      <c r="E4032">
        <v>4431</v>
      </c>
      <c r="F4032">
        <v>201</v>
      </c>
      <c r="G4032">
        <v>25</v>
      </c>
      <c r="H4032">
        <v>214.08</v>
      </c>
      <c r="I4032">
        <v>3323.26</v>
      </c>
      <c r="J4032">
        <v>4.54</v>
      </c>
      <c r="K4032">
        <v>12.44</v>
      </c>
      <c r="L4032">
        <v>8.56</v>
      </c>
      <c r="M4032">
        <v>15.52</v>
      </c>
      <c r="N4032">
        <v>3109.18</v>
      </c>
    </row>
    <row r="4033" spans="1:14" x14ac:dyDescent="0.2">
      <c r="A4033" s="1">
        <v>45809</v>
      </c>
      <c r="B4033" s="2" t="s">
        <v>34</v>
      </c>
      <c r="C4033" s="2" t="s">
        <v>21</v>
      </c>
      <c r="D4033" s="2" t="s">
        <v>19</v>
      </c>
      <c r="E4033">
        <v>3030</v>
      </c>
      <c r="F4033">
        <v>268</v>
      </c>
      <c r="G4033">
        <v>47</v>
      </c>
      <c r="H4033">
        <v>107.06</v>
      </c>
      <c r="I4033">
        <v>8294.39</v>
      </c>
      <c r="J4033">
        <v>8.84</v>
      </c>
      <c r="K4033">
        <v>17.54</v>
      </c>
      <c r="L4033">
        <v>2.2799999999999998</v>
      </c>
      <c r="M4033">
        <v>77.47</v>
      </c>
      <c r="N4033">
        <v>8187.33</v>
      </c>
    </row>
    <row r="4034" spans="1:14" x14ac:dyDescent="0.2">
      <c r="A4034" s="1">
        <v>45810</v>
      </c>
      <c r="B4034" s="2" t="s">
        <v>14</v>
      </c>
      <c r="C4034" s="2" t="s">
        <v>21</v>
      </c>
      <c r="D4034" s="2" t="s">
        <v>16</v>
      </c>
      <c r="E4034">
        <v>9204</v>
      </c>
      <c r="F4034">
        <v>362</v>
      </c>
      <c r="G4034">
        <v>33</v>
      </c>
      <c r="H4034">
        <v>1039.74</v>
      </c>
      <c r="I4034">
        <v>5287.84</v>
      </c>
      <c r="J4034">
        <v>3.93</v>
      </c>
      <c r="K4034">
        <v>9.1199999999999992</v>
      </c>
      <c r="L4034">
        <v>31.51</v>
      </c>
      <c r="M4034">
        <v>5.09</v>
      </c>
      <c r="N4034">
        <v>4248.1000000000004</v>
      </c>
    </row>
    <row r="4035" spans="1:14" x14ac:dyDescent="0.2">
      <c r="A4035" s="1">
        <v>45810</v>
      </c>
      <c r="B4035" s="2" t="s">
        <v>17</v>
      </c>
      <c r="C4035" s="2" t="s">
        <v>18</v>
      </c>
      <c r="D4035" s="2" t="s">
        <v>25</v>
      </c>
      <c r="E4035">
        <v>12134</v>
      </c>
      <c r="F4035">
        <v>369</v>
      </c>
      <c r="G4035">
        <v>29</v>
      </c>
      <c r="H4035">
        <v>942.39</v>
      </c>
      <c r="I4035">
        <v>3201.46</v>
      </c>
      <c r="J4035">
        <v>3.04</v>
      </c>
      <c r="K4035">
        <v>7.86</v>
      </c>
      <c r="L4035">
        <v>32.5</v>
      </c>
      <c r="M4035">
        <v>3.4</v>
      </c>
      <c r="N4035">
        <v>2259.0700000000002</v>
      </c>
    </row>
    <row r="4036" spans="1:14" x14ac:dyDescent="0.2">
      <c r="A4036" s="1">
        <v>45810</v>
      </c>
      <c r="B4036" s="2" t="s">
        <v>20</v>
      </c>
      <c r="C4036" s="2" t="s">
        <v>28</v>
      </c>
      <c r="D4036" s="2" t="s">
        <v>16</v>
      </c>
      <c r="E4036">
        <v>12127</v>
      </c>
      <c r="F4036">
        <v>315</v>
      </c>
      <c r="G4036">
        <v>20</v>
      </c>
      <c r="H4036">
        <v>833.19</v>
      </c>
      <c r="I4036">
        <v>1867.71</v>
      </c>
      <c r="J4036">
        <v>2.6</v>
      </c>
      <c r="K4036">
        <v>6.35</v>
      </c>
      <c r="L4036">
        <v>41.66</v>
      </c>
      <c r="M4036">
        <v>2.2400000000000002</v>
      </c>
      <c r="N4036">
        <v>1034.52</v>
      </c>
    </row>
    <row r="4037" spans="1:14" x14ac:dyDescent="0.2">
      <c r="A4037" s="1">
        <v>45810</v>
      </c>
      <c r="B4037" s="2" t="s">
        <v>23</v>
      </c>
      <c r="C4037" s="2" t="s">
        <v>32</v>
      </c>
      <c r="D4037" s="2" t="s">
        <v>36</v>
      </c>
      <c r="E4037">
        <v>4883</v>
      </c>
      <c r="F4037">
        <v>113</v>
      </c>
      <c r="G4037">
        <v>16</v>
      </c>
      <c r="H4037">
        <v>1140.3399999999999</v>
      </c>
      <c r="I4037">
        <v>3775.49</v>
      </c>
      <c r="J4037">
        <v>2.31</v>
      </c>
      <c r="K4037">
        <v>14.16</v>
      </c>
      <c r="L4037">
        <v>71.27</v>
      </c>
      <c r="M4037">
        <v>3.31</v>
      </c>
      <c r="N4037">
        <v>2635.15</v>
      </c>
    </row>
    <row r="4038" spans="1:14" x14ac:dyDescent="0.2">
      <c r="A4038" s="1">
        <v>45810</v>
      </c>
      <c r="B4038" s="2" t="s">
        <v>24</v>
      </c>
      <c r="C4038" s="2" t="s">
        <v>21</v>
      </c>
      <c r="D4038" s="2" t="s">
        <v>36</v>
      </c>
      <c r="E4038">
        <v>17730</v>
      </c>
      <c r="F4038">
        <v>3641</v>
      </c>
      <c r="G4038">
        <v>415</v>
      </c>
      <c r="H4038">
        <v>252.96</v>
      </c>
      <c r="I4038">
        <v>53828.54</v>
      </c>
      <c r="J4038">
        <v>20.54</v>
      </c>
      <c r="K4038">
        <v>11.4</v>
      </c>
      <c r="L4038">
        <v>0.61</v>
      </c>
      <c r="M4038">
        <v>212.79</v>
      </c>
      <c r="N4038">
        <v>53575.58</v>
      </c>
    </row>
    <row r="4039" spans="1:14" x14ac:dyDescent="0.2">
      <c r="A4039" s="1">
        <v>45810</v>
      </c>
      <c r="B4039" s="2" t="s">
        <v>26</v>
      </c>
      <c r="C4039" s="2" t="s">
        <v>35</v>
      </c>
      <c r="D4039" s="2" t="s">
        <v>25</v>
      </c>
      <c r="E4039">
        <v>26758</v>
      </c>
      <c r="F4039">
        <v>1209</v>
      </c>
      <c r="G4039">
        <v>153</v>
      </c>
      <c r="H4039">
        <v>0</v>
      </c>
      <c r="I4039">
        <v>15722.14</v>
      </c>
      <c r="J4039">
        <v>4.5199999999999996</v>
      </c>
      <c r="K4039">
        <v>12.66</v>
      </c>
      <c r="L4039">
        <v>0</v>
      </c>
      <c r="M4039">
        <v>0</v>
      </c>
      <c r="N4039">
        <v>15722.14</v>
      </c>
    </row>
    <row r="4040" spans="1:14" x14ac:dyDescent="0.2">
      <c r="A4040" s="1">
        <v>45810</v>
      </c>
      <c r="B4040" s="2" t="s">
        <v>27</v>
      </c>
      <c r="C4040" s="2" t="s">
        <v>32</v>
      </c>
      <c r="D4040" s="2" t="s">
        <v>25</v>
      </c>
      <c r="E4040">
        <v>25766</v>
      </c>
      <c r="F4040">
        <v>380</v>
      </c>
      <c r="G4040">
        <v>9</v>
      </c>
      <c r="H4040">
        <v>719.43</v>
      </c>
      <c r="I4040">
        <v>1151.1099999999999</v>
      </c>
      <c r="J4040">
        <v>1.47</v>
      </c>
      <c r="K4040">
        <v>2.37</v>
      </c>
      <c r="L4040">
        <v>79.94</v>
      </c>
      <c r="M4040">
        <v>1.6</v>
      </c>
      <c r="N4040">
        <v>431.68</v>
      </c>
    </row>
    <row r="4041" spans="1:14" x14ac:dyDescent="0.2">
      <c r="A4041" s="1">
        <v>45810</v>
      </c>
      <c r="B4041" s="2" t="s">
        <v>29</v>
      </c>
      <c r="C4041" s="2" t="s">
        <v>18</v>
      </c>
      <c r="D4041" s="2" t="s">
        <v>19</v>
      </c>
      <c r="E4041">
        <v>13129</v>
      </c>
      <c r="F4041">
        <v>312</v>
      </c>
      <c r="G4041">
        <v>17</v>
      </c>
      <c r="H4041">
        <v>1116.01</v>
      </c>
      <c r="I4041">
        <v>1934.12</v>
      </c>
      <c r="J4041">
        <v>2.38</v>
      </c>
      <c r="K4041">
        <v>5.45</v>
      </c>
      <c r="L4041">
        <v>65.650000000000006</v>
      </c>
      <c r="M4041">
        <v>1.73</v>
      </c>
      <c r="N4041">
        <v>818.11</v>
      </c>
    </row>
    <row r="4042" spans="1:14" x14ac:dyDescent="0.2">
      <c r="A4042" s="1">
        <v>45810</v>
      </c>
      <c r="B4042" s="2" t="s">
        <v>30</v>
      </c>
      <c r="C4042" s="2" t="s">
        <v>28</v>
      </c>
      <c r="D4042" s="2" t="s">
        <v>22</v>
      </c>
      <c r="E4042">
        <v>10744</v>
      </c>
      <c r="F4042">
        <v>255</v>
      </c>
      <c r="G4042">
        <v>11</v>
      </c>
      <c r="H4042">
        <v>430.48</v>
      </c>
      <c r="I4042">
        <v>1343.84</v>
      </c>
      <c r="J4042">
        <v>2.37</v>
      </c>
      <c r="K4042">
        <v>4.3099999999999996</v>
      </c>
      <c r="L4042">
        <v>39.130000000000003</v>
      </c>
      <c r="M4042">
        <v>3.12</v>
      </c>
      <c r="N4042">
        <v>913.36</v>
      </c>
    </row>
    <row r="4043" spans="1:14" x14ac:dyDescent="0.2">
      <c r="A4043" s="1">
        <v>45810</v>
      </c>
      <c r="B4043" s="2" t="s">
        <v>31</v>
      </c>
      <c r="C4043" s="2" t="s">
        <v>15</v>
      </c>
      <c r="D4043" s="2" t="s">
        <v>36</v>
      </c>
      <c r="E4043">
        <v>24041</v>
      </c>
      <c r="F4043">
        <v>775</v>
      </c>
      <c r="G4043">
        <v>25</v>
      </c>
      <c r="H4043">
        <v>609.38</v>
      </c>
      <c r="I4043">
        <v>2729.12</v>
      </c>
      <c r="J4043">
        <v>3.22</v>
      </c>
      <c r="K4043">
        <v>3.23</v>
      </c>
      <c r="L4043">
        <v>24.38</v>
      </c>
      <c r="M4043">
        <v>4.4800000000000004</v>
      </c>
      <c r="N4043">
        <v>2119.7399999999998</v>
      </c>
    </row>
    <row r="4044" spans="1:14" x14ac:dyDescent="0.2">
      <c r="A4044" s="1">
        <v>45810</v>
      </c>
      <c r="B4044" s="2" t="s">
        <v>33</v>
      </c>
      <c r="C4044" s="2" t="s">
        <v>35</v>
      </c>
      <c r="D4044" s="2" t="s">
        <v>36</v>
      </c>
      <c r="E4044">
        <v>4603</v>
      </c>
      <c r="F4044">
        <v>239</v>
      </c>
      <c r="G4044">
        <v>25</v>
      </c>
      <c r="H4044">
        <v>479.17</v>
      </c>
      <c r="I4044">
        <v>2652.83</v>
      </c>
      <c r="J4044">
        <v>5.19</v>
      </c>
      <c r="K4044">
        <v>10.46</v>
      </c>
      <c r="L4044">
        <v>19.170000000000002</v>
      </c>
      <c r="M4044">
        <v>5.54</v>
      </c>
      <c r="N4044">
        <v>2173.66</v>
      </c>
    </row>
    <row r="4045" spans="1:14" x14ac:dyDescent="0.2">
      <c r="A4045" s="1">
        <v>45810</v>
      </c>
      <c r="B4045" s="2" t="s">
        <v>34</v>
      </c>
      <c r="C4045" s="2" t="s">
        <v>35</v>
      </c>
      <c r="D4045" s="2" t="s">
        <v>16</v>
      </c>
      <c r="E4045">
        <v>4578</v>
      </c>
      <c r="F4045">
        <v>368</v>
      </c>
      <c r="G4045">
        <v>63</v>
      </c>
      <c r="H4045">
        <v>75.52</v>
      </c>
      <c r="I4045">
        <v>9433.5</v>
      </c>
      <c r="J4045">
        <v>8.0399999999999991</v>
      </c>
      <c r="K4045">
        <v>17.12</v>
      </c>
      <c r="L4045">
        <v>1.2</v>
      </c>
      <c r="M4045">
        <v>124.91</v>
      </c>
      <c r="N4045">
        <v>9357.98</v>
      </c>
    </row>
    <row r="4046" spans="1:14" x14ac:dyDescent="0.2">
      <c r="A4046" s="1">
        <v>45811</v>
      </c>
      <c r="B4046" s="2" t="s">
        <v>14</v>
      </c>
      <c r="C4046" s="2" t="s">
        <v>35</v>
      </c>
      <c r="D4046" s="2" t="s">
        <v>19</v>
      </c>
      <c r="E4046">
        <v>12704</v>
      </c>
      <c r="F4046">
        <v>607</v>
      </c>
      <c r="G4046">
        <v>62</v>
      </c>
      <c r="H4046">
        <v>801.77</v>
      </c>
      <c r="I4046">
        <v>8911.76</v>
      </c>
      <c r="J4046">
        <v>4.78</v>
      </c>
      <c r="K4046">
        <v>10.210000000000001</v>
      </c>
      <c r="L4046">
        <v>12.93</v>
      </c>
      <c r="M4046">
        <v>11.12</v>
      </c>
      <c r="N4046">
        <v>8109.99</v>
      </c>
    </row>
    <row r="4047" spans="1:14" x14ac:dyDescent="0.2">
      <c r="A4047" s="1">
        <v>45811</v>
      </c>
      <c r="B4047" s="2" t="s">
        <v>17</v>
      </c>
      <c r="C4047" s="2" t="s">
        <v>35</v>
      </c>
      <c r="D4047" s="2" t="s">
        <v>19</v>
      </c>
      <c r="E4047">
        <v>15699</v>
      </c>
      <c r="F4047">
        <v>611</v>
      </c>
      <c r="G4047">
        <v>54</v>
      </c>
      <c r="H4047">
        <v>599.66</v>
      </c>
      <c r="I4047">
        <v>7306.64</v>
      </c>
      <c r="J4047">
        <v>3.89</v>
      </c>
      <c r="K4047">
        <v>8.84</v>
      </c>
      <c r="L4047">
        <v>11.1</v>
      </c>
      <c r="M4047">
        <v>12.18</v>
      </c>
      <c r="N4047">
        <v>6706.98</v>
      </c>
    </row>
    <row r="4048" spans="1:14" x14ac:dyDescent="0.2">
      <c r="A4048" s="1">
        <v>45811</v>
      </c>
      <c r="B4048" s="2" t="s">
        <v>20</v>
      </c>
      <c r="C4048" s="2" t="s">
        <v>28</v>
      </c>
      <c r="D4048" s="2" t="s">
        <v>25</v>
      </c>
      <c r="E4048">
        <v>13483</v>
      </c>
      <c r="F4048">
        <v>571</v>
      </c>
      <c r="G4048">
        <v>28</v>
      </c>
      <c r="H4048">
        <v>470.17</v>
      </c>
      <c r="I4048">
        <v>2931.93</v>
      </c>
      <c r="J4048">
        <v>4.2300000000000004</v>
      </c>
      <c r="K4048">
        <v>4.9000000000000004</v>
      </c>
      <c r="L4048">
        <v>16.79</v>
      </c>
      <c r="M4048">
        <v>6.24</v>
      </c>
      <c r="N4048">
        <v>2461.7600000000002</v>
      </c>
    </row>
    <row r="4049" spans="1:14" x14ac:dyDescent="0.2">
      <c r="A4049" s="1">
        <v>45811</v>
      </c>
      <c r="B4049" s="2" t="s">
        <v>23</v>
      </c>
      <c r="C4049" s="2" t="s">
        <v>18</v>
      </c>
      <c r="D4049" s="2" t="s">
        <v>22</v>
      </c>
      <c r="E4049">
        <v>4608</v>
      </c>
      <c r="F4049">
        <v>119</v>
      </c>
      <c r="G4049">
        <v>13</v>
      </c>
      <c r="H4049">
        <v>783.66</v>
      </c>
      <c r="I4049">
        <v>3860.38</v>
      </c>
      <c r="J4049">
        <v>2.58</v>
      </c>
      <c r="K4049">
        <v>10.92</v>
      </c>
      <c r="L4049">
        <v>60.28</v>
      </c>
      <c r="M4049">
        <v>4.93</v>
      </c>
      <c r="N4049">
        <v>3076.72</v>
      </c>
    </row>
    <row r="4050" spans="1:14" x14ac:dyDescent="0.2">
      <c r="A4050" s="1">
        <v>45811</v>
      </c>
      <c r="B4050" s="2" t="s">
        <v>24</v>
      </c>
      <c r="C4050" s="2" t="s">
        <v>15</v>
      </c>
      <c r="D4050" s="2" t="s">
        <v>36</v>
      </c>
      <c r="E4050">
        <v>19697</v>
      </c>
      <c r="F4050">
        <v>3421</v>
      </c>
      <c r="G4050">
        <v>313</v>
      </c>
      <c r="H4050">
        <v>186.19</v>
      </c>
      <c r="I4050">
        <v>50878.53</v>
      </c>
      <c r="J4050">
        <v>17.37</v>
      </c>
      <c r="K4050">
        <v>9.15</v>
      </c>
      <c r="L4050">
        <v>0.59</v>
      </c>
      <c r="M4050">
        <v>273.26</v>
      </c>
      <c r="N4050">
        <v>50692.34</v>
      </c>
    </row>
    <row r="4051" spans="1:14" x14ac:dyDescent="0.2">
      <c r="A4051" s="1">
        <v>45811</v>
      </c>
      <c r="B4051" s="2" t="s">
        <v>26</v>
      </c>
      <c r="C4051" s="2" t="s">
        <v>15</v>
      </c>
      <c r="D4051" s="2" t="s">
        <v>36</v>
      </c>
      <c r="E4051">
        <v>17270</v>
      </c>
      <c r="F4051">
        <v>1128</v>
      </c>
      <c r="G4051">
        <v>170</v>
      </c>
      <c r="H4051">
        <v>0</v>
      </c>
      <c r="I4051">
        <v>19097.89</v>
      </c>
      <c r="J4051">
        <v>6.53</v>
      </c>
      <c r="K4051">
        <v>15.07</v>
      </c>
      <c r="L4051">
        <v>0</v>
      </c>
      <c r="M4051">
        <v>0</v>
      </c>
      <c r="N4051">
        <v>19097.89</v>
      </c>
    </row>
    <row r="4052" spans="1:14" x14ac:dyDescent="0.2">
      <c r="A4052" s="1">
        <v>45811</v>
      </c>
      <c r="B4052" s="2" t="s">
        <v>27</v>
      </c>
      <c r="C4052" s="2" t="s">
        <v>28</v>
      </c>
      <c r="D4052" s="2" t="s">
        <v>19</v>
      </c>
      <c r="E4052">
        <v>21529</v>
      </c>
      <c r="F4052">
        <v>424</v>
      </c>
      <c r="G4052">
        <v>11</v>
      </c>
      <c r="H4052">
        <v>1049.3800000000001</v>
      </c>
      <c r="I4052">
        <v>1260.98</v>
      </c>
      <c r="J4052">
        <v>1.97</v>
      </c>
      <c r="K4052">
        <v>2.59</v>
      </c>
      <c r="L4052">
        <v>95.4</v>
      </c>
      <c r="M4052">
        <v>1.2</v>
      </c>
      <c r="N4052">
        <v>211.6</v>
      </c>
    </row>
    <row r="4053" spans="1:14" x14ac:dyDescent="0.2">
      <c r="A4053" s="1">
        <v>45811</v>
      </c>
      <c r="B4053" s="2" t="s">
        <v>29</v>
      </c>
      <c r="C4053" s="2" t="s">
        <v>21</v>
      </c>
      <c r="D4053" s="2" t="s">
        <v>36</v>
      </c>
      <c r="E4053">
        <v>15865</v>
      </c>
      <c r="F4053">
        <v>447</v>
      </c>
      <c r="G4053">
        <v>30</v>
      </c>
      <c r="H4053">
        <v>819.54</v>
      </c>
      <c r="I4053">
        <v>2736.94</v>
      </c>
      <c r="J4053">
        <v>2.82</v>
      </c>
      <c r="K4053">
        <v>6.71</v>
      </c>
      <c r="L4053">
        <v>27.32</v>
      </c>
      <c r="M4053">
        <v>3.34</v>
      </c>
      <c r="N4053">
        <v>1917.4</v>
      </c>
    </row>
    <row r="4054" spans="1:14" x14ac:dyDescent="0.2">
      <c r="A4054" s="1">
        <v>45811</v>
      </c>
      <c r="B4054" s="2" t="s">
        <v>30</v>
      </c>
      <c r="C4054" s="2" t="s">
        <v>15</v>
      </c>
      <c r="D4054" s="2" t="s">
        <v>36</v>
      </c>
      <c r="E4054">
        <v>7434</v>
      </c>
      <c r="F4054">
        <v>227</v>
      </c>
      <c r="G4054">
        <v>9</v>
      </c>
      <c r="H4054">
        <v>663.15</v>
      </c>
      <c r="I4054">
        <v>666.93</v>
      </c>
      <c r="J4054">
        <v>3.05</v>
      </c>
      <c r="K4054">
        <v>3.96</v>
      </c>
      <c r="L4054">
        <v>73.680000000000007</v>
      </c>
      <c r="M4054">
        <v>1.01</v>
      </c>
      <c r="N4054">
        <v>3.78</v>
      </c>
    </row>
    <row r="4055" spans="1:14" x14ac:dyDescent="0.2">
      <c r="A4055" s="1">
        <v>45811</v>
      </c>
      <c r="B4055" s="2" t="s">
        <v>31</v>
      </c>
      <c r="C4055" s="2" t="s">
        <v>21</v>
      </c>
      <c r="D4055" s="2" t="s">
        <v>25</v>
      </c>
      <c r="E4055">
        <v>15713</v>
      </c>
      <c r="F4055">
        <v>416</v>
      </c>
      <c r="G4055">
        <v>23</v>
      </c>
      <c r="H4055">
        <v>863.44</v>
      </c>
      <c r="I4055">
        <v>2233.71</v>
      </c>
      <c r="J4055">
        <v>2.65</v>
      </c>
      <c r="K4055">
        <v>5.53</v>
      </c>
      <c r="L4055">
        <v>37.54</v>
      </c>
      <c r="M4055">
        <v>2.59</v>
      </c>
      <c r="N4055">
        <v>1370.27</v>
      </c>
    </row>
    <row r="4056" spans="1:14" x14ac:dyDescent="0.2">
      <c r="A4056" s="1">
        <v>45811</v>
      </c>
      <c r="B4056" s="2" t="s">
        <v>33</v>
      </c>
      <c r="C4056" s="2" t="s">
        <v>32</v>
      </c>
      <c r="D4056" s="2" t="s">
        <v>16</v>
      </c>
      <c r="E4056">
        <v>5443</v>
      </c>
      <c r="F4056">
        <v>258</v>
      </c>
      <c r="G4056">
        <v>32</v>
      </c>
      <c r="H4056">
        <v>508.02</v>
      </c>
      <c r="I4056">
        <v>4169.58</v>
      </c>
      <c r="J4056">
        <v>4.74</v>
      </c>
      <c r="K4056">
        <v>12.4</v>
      </c>
      <c r="L4056">
        <v>15.88</v>
      </c>
      <c r="M4056">
        <v>8.2100000000000009</v>
      </c>
      <c r="N4056">
        <v>3661.56</v>
      </c>
    </row>
    <row r="4057" spans="1:14" x14ac:dyDescent="0.2">
      <c r="A4057" s="1">
        <v>45811</v>
      </c>
      <c r="B4057" s="2" t="s">
        <v>34</v>
      </c>
      <c r="C4057" s="2" t="s">
        <v>21</v>
      </c>
      <c r="D4057" s="2" t="s">
        <v>22</v>
      </c>
      <c r="E4057">
        <v>4361</v>
      </c>
      <c r="F4057">
        <v>344</v>
      </c>
      <c r="G4057">
        <v>49</v>
      </c>
      <c r="H4057">
        <v>165.8</v>
      </c>
      <c r="I4057">
        <v>7772.07</v>
      </c>
      <c r="J4057">
        <v>7.89</v>
      </c>
      <c r="K4057">
        <v>14.24</v>
      </c>
      <c r="L4057">
        <v>3.38</v>
      </c>
      <c r="M4057">
        <v>46.88</v>
      </c>
      <c r="N4057">
        <v>7606.27</v>
      </c>
    </row>
    <row r="4058" spans="1:14" x14ac:dyDescent="0.2">
      <c r="A4058" s="1">
        <v>45812</v>
      </c>
      <c r="B4058" s="2" t="s">
        <v>14</v>
      </c>
      <c r="C4058" s="2" t="s">
        <v>35</v>
      </c>
      <c r="D4058" s="2" t="s">
        <v>36</v>
      </c>
      <c r="E4058">
        <v>12301</v>
      </c>
      <c r="F4058">
        <v>574</v>
      </c>
      <c r="G4058">
        <v>63</v>
      </c>
      <c r="H4058">
        <v>1188.99</v>
      </c>
      <c r="I4058">
        <v>11589.06</v>
      </c>
      <c r="J4058">
        <v>4.67</v>
      </c>
      <c r="K4058">
        <v>10.98</v>
      </c>
      <c r="L4058">
        <v>18.87</v>
      </c>
      <c r="M4058">
        <v>9.75</v>
      </c>
      <c r="N4058">
        <v>10400.07</v>
      </c>
    </row>
    <row r="4059" spans="1:14" x14ac:dyDescent="0.2">
      <c r="A4059" s="1">
        <v>45812</v>
      </c>
      <c r="B4059" s="2" t="s">
        <v>17</v>
      </c>
      <c r="C4059" s="2" t="s">
        <v>32</v>
      </c>
      <c r="D4059" s="2" t="s">
        <v>19</v>
      </c>
      <c r="E4059">
        <v>14457</v>
      </c>
      <c r="F4059">
        <v>408</v>
      </c>
      <c r="G4059">
        <v>36</v>
      </c>
      <c r="H4059">
        <v>840.09</v>
      </c>
      <c r="I4059">
        <v>4059.46</v>
      </c>
      <c r="J4059">
        <v>2.82</v>
      </c>
      <c r="K4059">
        <v>8.82</v>
      </c>
      <c r="L4059">
        <v>23.34</v>
      </c>
      <c r="M4059">
        <v>4.83</v>
      </c>
      <c r="N4059">
        <v>3219.37</v>
      </c>
    </row>
    <row r="4060" spans="1:14" x14ac:dyDescent="0.2">
      <c r="A4060" s="1">
        <v>45812</v>
      </c>
      <c r="B4060" s="2" t="s">
        <v>20</v>
      </c>
      <c r="C4060" s="2" t="s">
        <v>18</v>
      </c>
      <c r="D4060" s="2" t="s">
        <v>25</v>
      </c>
      <c r="E4060">
        <v>14605</v>
      </c>
      <c r="F4060">
        <v>464</v>
      </c>
      <c r="G4060">
        <v>24</v>
      </c>
      <c r="H4060">
        <v>828.73</v>
      </c>
      <c r="I4060">
        <v>2751.54</v>
      </c>
      <c r="J4060">
        <v>3.18</v>
      </c>
      <c r="K4060">
        <v>5.17</v>
      </c>
      <c r="L4060">
        <v>34.53</v>
      </c>
      <c r="M4060">
        <v>3.32</v>
      </c>
      <c r="N4060">
        <v>1922.81</v>
      </c>
    </row>
    <row r="4061" spans="1:14" x14ac:dyDescent="0.2">
      <c r="A4061" s="1">
        <v>45812</v>
      </c>
      <c r="B4061" s="2" t="s">
        <v>23</v>
      </c>
      <c r="C4061" s="2" t="s">
        <v>28</v>
      </c>
      <c r="D4061" s="2" t="s">
        <v>16</v>
      </c>
      <c r="E4061">
        <v>4025</v>
      </c>
      <c r="F4061">
        <v>87</v>
      </c>
      <c r="G4061">
        <v>10</v>
      </c>
      <c r="H4061">
        <v>1084.53</v>
      </c>
      <c r="I4061">
        <v>3187.81</v>
      </c>
      <c r="J4061">
        <v>2.16</v>
      </c>
      <c r="K4061">
        <v>11.49</v>
      </c>
      <c r="L4061">
        <v>108.45</v>
      </c>
      <c r="M4061">
        <v>2.94</v>
      </c>
      <c r="N4061">
        <v>2103.2800000000002</v>
      </c>
    </row>
    <row r="4062" spans="1:14" x14ac:dyDescent="0.2">
      <c r="A4062" s="1">
        <v>45812</v>
      </c>
      <c r="B4062" s="2" t="s">
        <v>24</v>
      </c>
      <c r="C4062" s="2" t="s">
        <v>18</v>
      </c>
      <c r="D4062" s="2" t="s">
        <v>36</v>
      </c>
      <c r="E4062">
        <v>17565</v>
      </c>
      <c r="F4062">
        <v>3441</v>
      </c>
      <c r="G4062">
        <v>368</v>
      </c>
      <c r="H4062">
        <v>158.16</v>
      </c>
      <c r="I4062">
        <v>61460.74</v>
      </c>
      <c r="J4062">
        <v>19.59</v>
      </c>
      <c r="K4062">
        <v>10.69</v>
      </c>
      <c r="L4062">
        <v>0.43</v>
      </c>
      <c r="M4062">
        <v>388.6</v>
      </c>
      <c r="N4062">
        <v>61302.58</v>
      </c>
    </row>
    <row r="4063" spans="1:14" x14ac:dyDescent="0.2">
      <c r="A4063" s="1">
        <v>45812</v>
      </c>
      <c r="B4063" s="2" t="s">
        <v>26</v>
      </c>
      <c r="C4063" s="2" t="s">
        <v>15</v>
      </c>
      <c r="D4063" s="2" t="s">
        <v>19</v>
      </c>
      <c r="E4063">
        <v>17754</v>
      </c>
      <c r="F4063">
        <v>1186</v>
      </c>
      <c r="G4063">
        <v>125</v>
      </c>
      <c r="H4063">
        <v>0</v>
      </c>
      <c r="I4063">
        <v>15525.49</v>
      </c>
      <c r="J4063">
        <v>6.68</v>
      </c>
      <c r="K4063">
        <v>10.54</v>
      </c>
      <c r="L4063">
        <v>0</v>
      </c>
      <c r="M4063">
        <v>0</v>
      </c>
      <c r="N4063">
        <v>15525.49</v>
      </c>
    </row>
    <row r="4064" spans="1:14" x14ac:dyDescent="0.2">
      <c r="A4064" s="1">
        <v>45812</v>
      </c>
      <c r="B4064" s="2" t="s">
        <v>27</v>
      </c>
      <c r="C4064" s="2" t="s">
        <v>28</v>
      </c>
      <c r="D4064" s="2" t="s">
        <v>22</v>
      </c>
      <c r="E4064">
        <v>32225</v>
      </c>
      <c r="F4064">
        <v>470</v>
      </c>
      <c r="G4064">
        <v>11</v>
      </c>
      <c r="H4064">
        <v>961.16</v>
      </c>
      <c r="I4064">
        <v>1035.58</v>
      </c>
      <c r="J4064">
        <v>1.46</v>
      </c>
      <c r="K4064">
        <v>2.34</v>
      </c>
      <c r="L4064">
        <v>87.38</v>
      </c>
      <c r="M4064">
        <v>1.08</v>
      </c>
      <c r="N4064">
        <v>74.42</v>
      </c>
    </row>
    <row r="4065" spans="1:14" x14ac:dyDescent="0.2">
      <c r="A4065" s="1">
        <v>45812</v>
      </c>
      <c r="B4065" s="2" t="s">
        <v>29</v>
      </c>
      <c r="C4065" s="2" t="s">
        <v>32</v>
      </c>
      <c r="D4065" s="2" t="s">
        <v>36</v>
      </c>
      <c r="E4065">
        <v>17175</v>
      </c>
      <c r="F4065">
        <v>502</v>
      </c>
      <c r="G4065">
        <v>39</v>
      </c>
      <c r="H4065">
        <v>743.9</v>
      </c>
      <c r="I4065">
        <v>3723.34</v>
      </c>
      <c r="J4065">
        <v>2.92</v>
      </c>
      <c r="K4065">
        <v>7.77</v>
      </c>
      <c r="L4065">
        <v>19.07</v>
      </c>
      <c r="M4065">
        <v>5.01</v>
      </c>
      <c r="N4065">
        <v>2979.44</v>
      </c>
    </row>
    <row r="4066" spans="1:14" x14ac:dyDescent="0.2">
      <c r="A4066" s="1">
        <v>45812</v>
      </c>
      <c r="B4066" s="2" t="s">
        <v>30</v>
      </c>
      <c r="C4066" s="2" t="s">
        <v>15</v>
      </c>
      <c r="D4066" s="2" t="s">
        <v>25</v>
      </c>
      <c r="E4066">
        <v>9407</v>
      </c>
      <c r="F4066">
        <v>317</v>
      </c>
      <c r="G4066">
        <v>15</v>
      </c>
      <c r="H4066">
        <v>352.22</v>
      </c>
      <c r="I4066">
        <v>1300.33</v>
      </c>
      <c r="J4066">
        <v>3.37</v>
      </c>
      <c r="K4066">
        <v>4.7300000000000004</v>
      </c>
      <c r="L4066">
        <v>23.48</v>
      </c>
      <c r="M4066">
        <v>3.69</v>
      </c>
      <c r="N4066">
        <v>948.11</v>
      </c>
    </row>
    <row r="4067" spans="1:14" x14ac:dyDescent="0.2">
      <c r="A4067" s="1">
        <v>45812</v>
      </c>
      <c r="B4067" s="2" t="s">
        <v>31</v>
      </c>
      <c r="C4067" s="2" t="s">
        <v>21</v>
      </c>
      <c r="D4067" s="2" t="s">
        <v>22</v>
      </c>
      <c r="E4067">
        <v>15673</v>
      </c>
      <c r="F4067">
        <v>621</v>
      </c>
      <c r="G4067">
        <v>41</v>
      </c>
      <c r="H4067">
        <v>617.48</v>
      </c>
      <c r="I4067">
        <v>3407.82</v>
      </c>
      <c r="J4067">
        <v>3.96</v>
      </c>
      <c r="K4067">
        <v>6.6</v>
      </c>
      <c r="L4067">
        <v>15.06</v>
      </c>
      <c r="M4067">
        <v>5.52</v>
      </c>
      <c r="N4067">
        <v>2790.34</v>
      </c>
    </row>
    <row r="4068" spans="1:14" x14ac:dyDescent="0.2">
      <c r="A4068" s="1">
        <v>45812</v>
      </c>
      <c r="B4068" s="2" t="s">
        <v>33</v>
      </c>
      <c r="C4068" s="2" t="s">
        <v>21</v>
      </c>
      <c r="D4068" s="2" t="s">
        <v>36</v>
      </c>
      <c r="E4068">
        <v>4964</v>
      </c>
      <c r="F4068">
        <v>269</v>
      </c>
      <c r="G4068">
        <v>29</v>
      </c>
      <c r="H4068">
        <v>533.75</v>
      </c>
      <c r="I4068">
        <v>3535.01</v>
      </c>
      <c r="J4068">
        <v>5.42</v>
      </c>
      <c r="K4068">
        <v>10.78</v>
      </c>
      <c r="L4068">
        <v>18.41</v>
      </c>
      <c r="M4068">
        <v>6.62</v>
      </c>
      <c r="N4068">
        <v>3001.26</v>
      </c>
    </row>
    <row r="4069" spans="1:14" x14ac:dyDescent="0.2">
      <c r="A4069" s="1">
        <v>45812</v>
      </c>
      <c r="B4069" s="2" t="s">
        <v>34</v>
      </c>
      <c r="C4069" s="2" t="s">
        <v>35</v>
      </c>
      <c r="D4069" s="2" t="s">
        <v>25</v>
      </c>
      <c r="E4069">
        <v>3363</v>
      </c>
      <c r="F4069">
        <v>272</v>
      </c>
      <c r="G4069">
        <v>34</v>
      </c>
      <c r="H4069">
        <v>106.09</v>
      </c>
      <c r="I4069">
        <v>4058.17</v>
      </c>
      <c r="J4069">
        <v>8.09</v>
      </c>
      <c r="K4069">
        <v>12.5</v>
      </c>
      <c r="L4069">
        <v>3.12</v>
      </c>
      <c r="M4069">
        <v>38.25</v>
      </c>
      <c r="N4069">
        <v>3952.08</v>
      </c>
    </row>
    <row r="4070" spans="1:14" x14ac:dyDescent="0.2">
      <c r="A4070" s="1">
        <v>45813</v>
      </c>
      <c r="B4070" s="2" t="s">
        <v>14</v>
      </c>
      <c r="C4070" s="2" t="s">
        <v>28</v>
      </c>
      <c r="D4070" s="2" t="s">
        <v>16</v>
      </c>
      <c r="E4070">
        <v>12749</v>
      </c>
      <c r="F4070">
        <v>551</v>
      </c>
      <c r="G4070">
        <v>61</v>
      </c>
      <c r="H4070">
        <v>728.55</v>
      </c>
      <c r="I4070">
        <v>9257.14</v>
      </c>
      <c r="J4070">
        <v>4.32</v>
      </c>
      <c r="K4070">
        <v>11.07</v>
      </c>
      <c r="L4070">
        <v>11.94</v>
      </c>
      <c r="M4070">
        <v>12.71</v>
      </c>
      <c r="N4070">
        <v>8528.59</v>
      </c>
    </row>
    <row r="4071" spans="1:14" x14ac:dyDescent="0.2">
      <c r="A4071" s="1">
        <v>45813</v>
      </c>
      <c r="B4071" s="2" t="s">
        <v>17</v>
      </c>
      <c r="C4071" s="2" t="s">
        <v>35</v>
      </c>
      <c r="D4071" s="2" t="s">
        <v>25</v>
      </c>
      <c r="E4071">
        <v>11165</v>
      </c>
      <c r="F4071">
        <v>291</v>
      </c>
      <c r="G4071">
        <v>24</v>
      </c>
      <c r="H4071">
        <v>782.7</v>
      </c>
      <c r="I4071">
        <v>2084.58</v>
      </c>
      <c r="J4071">
        <v>2.61</v>
      </c>
      <c r="K4071">
        <v>8.25</v>
      </c>
      <c r="L4071">
        <v>32.61</v>
      </c>
      <c r="M4071">
        <v>2.66</v>
      </c>
      <c r="N4071">
        <v>1301.8800000000001</v>
      </c>
    </row>
    <row r="4072" spans="1:14" x14ac:dyDescent="0.2">
      <c r="A4072" s="1">
        <v>45813</v>
      </c>
      <c r="B4072" s="2" t="s">
        <v>20</v>
      </c>
      <c r="C4072" s="2" t="s">
        <v>35</v>
      </c>
      <c r="D4072" s="2" t="s">
        <v>36</v>
      </c>
      <c r="E4072">
        <v>9473</v>
      </c>
      <c r="F4072">
        <v>373</v>
      </c>
      <c r="G4072">
        <v>23</v>
      </c>
      <c r="H4072">
        <v>733.16</v>
      </c>
      <c r="I4072">
        <v>1806.38</v>
      </c>
      <c r="J4072">
        <v>3.94</v>
      </c>
      <c r="K4072">
        <v>6.17</v>
      </c>
      <c r="L4072">
        <v>31.88</v>
      </c>
      <c r="M4072">
        <v>2.46</v>
      </c>
      <c r="N4072">
        <v>1073.22</v>
      </c>
    </row>
    <row r="4073" spans="1:14" x14ac:dyDescent="0.2">
      <c r="A4073" s="1">
        <v>45813</v>
      </c>
      <c r="B4073" s="2" t="s">
        <v>23</v>
      </c>
      <c r="C4073" s="2" t="s">
        <v>32</v>
      </c>
      <c r="D4073" s="2" t="s">
        <v>36</v>
      </c>
      <c r="E4073">
        <v>2633</v>
      </c>
      <c r="F4073">
        <v>73</v>
      </c>
      <c r="G4073">
        <v>9</v>
      </c>
      <c r="H4073">
        <v>913.1</v>
      </c>
      <c r="I4073">
        <v>3153.65</v>
      </c>
      <c r="J4073">
        <v>2.77</v>
      </c>
      <c r="K4073">
        <v>12.33</v>
      </c>
      <c r="L4073">
        <v>101.46</v>
      </c>
      <c r="M4073">
        <v>3.45</v>
      </c>
      <c r="N4073">
        <v>2240.5500000000002</v>
      </c>
    </row>
    <row r="4074" spans="1:14" x14ac:dyDescent="0.2">
      <c r="A4074" s="1">
        <v>45813</v>
      </c>
      <c r="B4074" s="2" t="s">
        <v>24</v>
      </c>
      <c r="C4074" s="2" t="s">
        <v>21</v>
      </c>
      <c r="D4074" s="2" t="s">
        <v>16</v>
      </c>
      <c r="E4074">
        <v>13778</v>
      </c>
      <c r="F4074">
        <v>3220</v>
      </c>
      <c r="G4074">
        <v>444</v>
      </c>
      <c r="H4074">
        <v>201.34</v>
      </c>
      <c r="I4074">
        <v>54854.77</v>
      </c>
      <c r="J4074">
        <v>23.37</v>
      </c>
      <c r="K4074">
        <v>13.79</v>
      </c>
      <c r="L4074">
        <v>0.45</v>
      </c>
      <c r="M4074">
        <v>272.45</v>
      </c>
      <c r="N4074">
        <v>54653.43</v>
      </c>
    </row>
    <row r="4075" spans="1:14" x14ac:dyDescent="0.2">
      <c r="A4075" s="1">
        <v>45813</v>
      </c>
      <c r="B4075" s="2" t="s">
        <v>26</v>
      </c>
      <c r="C4075" s="2" t="s">
        <v>18</v>
      </c>
      <c r="D4075" s="2" t="s">
        <v>22</v>
      </c>
      <c r="E4075">
        <v>21395</v>
      </c>
      <c r="F4075">
        <v>1223</v>
      </c>
      <c r="G4075">
        <v>135</v>
      </c>
      <c r="H4075">
        <v>0</v>
      </c>
      <c r="I4075">
        <v>16990.5</v>
      </c>
      <c r="J4075">
        <v>5.72</v>
      </c>
      <c r="K4075">
        <v>11.04</v>
      </c>
      <c r="L4075">
        <v>0</v>
      </c>
      <c r="M4075">
        <v>0</v>
      </c>
      <c r="N4075">
        <v>16990.5</v>
      </c>
    </row>
    <row r="4076" spans="1:14" x14ac:dyDescent="0.2">
      <c r="A4076" s="1">
        <v>45813</v>
      </c>
      <c r="B4076" s="2" t="s">
        <v>27</v>
      </c>
      <c r="C4076" s="2" t="s">
        <v>35</v>
      </c>
      <c r="D4076" s="2" t="s">
        <v>19</v>
      </c>
      <c r="E4076">
        <v>29993</v>
      </c>
      <c r="F4076">
        <v>466</v>
      </c>
      <c r="G4076">
        <v>11</v>
      </c>
      <c r="H4076">
        <v>801.89</v>
      </c>
      <c r="I4076">
        <v>1133.48</v>
      </c>
      <c r="J4076">
        <v>1.55</v>
      </c>
      <c r="K4076">
        <v>2.36</v>
      </c>
      <c r="L4076">
        <v>72.900000000000006</v>
      </c>
      <c r="M4076">
        <v>1.41</v>
      </c>
      <c r="N4076">
        <v>331.59</v>
      </c>
    </row>
    <row r="4077" spans="1:14" x14ac:dyDescent="0.2">
      <c r="A4077" s="1">
        <v>45813</v>
      </c>
      <c r="B4077" s="2" t="s">
        <v>29</v>
      </c>
      <c r="C4077" s="2" t="s">
        <v>15</v>
      </c>
      <c r="D4077" s="2" t="s">
        <v>36</v>
      </c>
      <c r="E4077">
        <v>12877</v>
      </c>
      <c r="F4077">
        <v>215</v>
      </c>
      <c r="G4077">
        <v>8</v>
      </c>
      <c r="H4077">
        <v>681.01</v>
      </c>
      <c r="I4077">
        <v>981.78</v>
      </c>
      <c r="J4077">
        <v>1.67</v>
      </c>
      <c r="K4077">
        <v>3.72</v>
      </c>
      <c r="L4077">
        <v>85.13</v>
      </c>
      <c r="M4077">
        <v>1.44</v>
      </c>
      <c r="N4077">
        <v>300.77</v>
      </c>
    </row>
    <row r="4078" spans="1:14" x14ac:dyDescent="0.2">
      <c r="A4078" s="1">
        <v>45813</v>
      </c>
      <c r="B4078" s="2" t="s">
        <v>30</v>
      </c>
      <c r="C4078" s="2" t="s">
        <v>18</v>
      </c>
      <c r="D4078" s="2" t="s">
        <v>19</v>
      </c>
      <c r="E4078">
        <v>9809</v>
      </c>
      <c r="F4078">
        <v>224</v>
      </c>
      <c r="G4078">
        <v>12</v>
      </c>
      <c r="H4078">
        <v>530.13</v>
      </c>
      <c r="I4078">
        <v>1012.12</v>
      </c>
      <c r="J4078">
        <v>2.2799999999999998</v>
      </c>
      <c r="K4078">
        <v>5.36</v>
      </c>
      <c r="L4078">
        <v>44.18</v>
      </c>
      <c r="M4078">
        <v>1.91</v>
      </c>
      <c r="N4078">
        <v>481.99</v>
      </c>
    </row>
    <row r="4079" spans="1:14" x14ac:dyDescent="0.2">
      <c r="A4079" s="1">
        <v>45813</v>
      </c>
      <c r="B4079" s="2" t="s">
        <v>31</v>
      </c>
      <c r="C4079" s="2" t="s">
        <v>28</v>
      </c>
      <c r="D4079" s="2" t="s">
        <v>22</v>
      </c>
      <c r="E4079">
        <v>19536</v>
      </c>
      <c r="F4079">
        <v>604</v>
      </c>
      <c r="G4079">
        <v>36</v>
      </c>
      <c r="H4079">
        <v>560.23</v>
      </c>
      <c r="I4079">
        <v>3017.16</v>
      </c>
      <c r="J4079">
        <v>3.09</v>
      </c>
      <c r="K4079">
        <v>5.96</v>
      </c>
      <c r="L4079">
        <v>15.56</v>
      </c>
      <c r="M4079">
        <v>5.39</v>
      </c>
      <c r="N4079">
        <v>2456.9299999999998</v>
      </c>
    </row>
    <row r="4080" spans="1:14" x14ac:dyDescent="0.2">
      <c r="A4080" s="1">
        <v>45813</v>
      </c>
      <c r="B4080" s="2" t="s">
        <v>33</v>
      </c>
      <c r="C4080" s="2" t="s">
        <v>28</v>
      </c>
      <c r="D4080" s="2" t="s">
        <v>22</v>
      </c>
      <c r="E4080">
        <v>7729</v>
      </c>
      <c r="F4080">
        <v>357</v>
      </c>
      <c r="G4080">
        <v>36</v>
      </c>
      <c r="H4080">
        <v>285.3</v>
      </c>
      <c r="I4080">
        <v>5360.71</v>
      </c>
      <c r="J4080">
        <v>4.62</v>
      </c>
      <c r="K4080">
        <v>10.08</v>
      </c>
      <c r="L4080">
        <v>7.93</v>
      </c>
      <c r="M4080">
        <v>18.79</v>
      </c>
      <c r="N4080">
        <v>5075.41</v>
      </c>
    </row>
    <row r="4081" spans="1:14" x14ac:dyDescent="0.2">
      <c r="A4081" s="1">
        <v>45813</v>
      </c>
      <c r="B4081" s="2" t="s">
        <v>34</v>
      </c>
      <c r="C4081" s="2" t="s">
        <v>18</v>
      </c>
      <c r="D4081" s="2" t="s">
        <v>16</v>
      </c>
      <c r="E4081">
        <v>2748</v>
      </c>
      <c r="F4081">
        <v>211</v>
      </c>
      <c r="G4081">
        <v>28</v>
      </c>
      <c r="H4081">
        <v>122.67</v>
      </c>
      <c r="I4081">
        <v>3722.88</v>
      </c>
      <c r="J4081">
        <v>7.68</v>
      </c>
      <c r="K4081">
        <v>13.27</v>
      </c>
      <c r="L4081">
        <v>4.38</v>
      </c>
      <c r="M4081">
        <v>30.35</v>
      </c>
      <c r="N4081">
        <v>3600.21</v>
      </c>
    </row>
    <row r="4082" spans="1:14" x14ac:dyDescent="0.2">
      <c r="A4082" s="1">
        <v>45814</v>
      </c>
      <c r="B4082" s="2" t="s">
        <v>14</v>
      </c>
      <c r="C4082" s="2" t="s">
        <v>35</v>
      </c>
      <c r="D4082" s="2" t="s">
        <v>36</v>
      </c>
      <c r="E4082">
        <v>10229</v>
      </c>
      <c r="F4082">
        <v>340</v>
      </c>
      <c r="G4082">
        <v>27</v>
      </c>
      <c r="H4082">
        <v>765.17</v>
      </c>
      <c r="I4082">
        <v>3854.92</v>
      </c>
      <c r="J4082">
        <v>3.32</v>
      </c>
      <c r="K4082">
        <v>7.94</v>
      </c>
      <c r="L4082">
        <v>28.34</v>
      </c>
      <c r="M4082">
        <v>5.04</v>
      </c>
      <c r="N4082">
        <v>3089.75</v>
      </c>
    </row>
    <row r="4083" spans="1:14" x14ac:dyDescent="0.2">
      <c r="A4083" s="1">
        <v>45814</v>
      </c>
      <c r="B4083" s="2" t="s">
        <v>17</v>
      </c>
      <c r="C4083" s="2" t="s">
        <v>18</v>
      </c>
      <c r="D4083" s="2" t="s">
        <v>25</v>
      </c>
      <c r="E4083">
        <v>11125</v>
      </c>
      <c r="F4083">
        <v>317</v>
      </c>
      <c r="G4083">
        <v>22</v>
      </c>
      <c r="H4083">
        <v>1013.81</v>
      </c>
      <c r="I4083">
        <v>2143.59</v>
      </c>
      <c r="J4083">
        <v>2.85</v>
      </c>
      <c r="K4083">
        <v>6.94</v>
      </c>
      <c r="L4083">
        <v>46.08</v>
      </c>
      <c r="M4083">
        <v>2.11</v>
      </c>
      <c r="N4083">
        <v>1129.78</v>
      </c>
    </row>
    <row r="4084" spans="1:14" x14ac:dyDescent="0.2">
      <c r="A4084" s="1">
        <v>45814</v>
      </c>
      <c r="B4084" s="2" t="s">
        <v>20</v>
      </c>
      <c r="C4084" s="2" t="s">
        <v>15</v>
      </c>
      <c r="D4084" s="2" t="s">
        <v>19</v>
      </c>
      <c r="E4084">
        <v>15101</v>
      </c>
      <c r="F4084">
        <v>498</v>
      </c>
      <c r="G4084">
        <v>22</v>
      </c>
      <c r="H4084">
        <v>589.63</v>
      </c>
      <c r="I4084">
        <v>2067.66</v>
      </c>
      <c r="J4084">
        <v>3.3</v>
      </c>
      <c r="K4084">
        <v>4.42</v>
      </c>
      <c r="L4084">
        <v>26.8</v>
      </c>
      <c r="M4084">
        <v>3.51</v>
      </c>
      <c r="N4084">
        <v>1478.03</v>
      </c>
    </row>
    <row r="4085" spans="1:14" x14ac:dyDescent="0.2">
      <c r="A4085" s="1">
        <v>45814</v>
      </c>
      <c r="B4085" s="2" t="s">
        <v>23</v>
      </c>
      <c r="C4085" s="2" t="s">
        <v>32</v>
      </c>
      <c r="D4085" s="2" t="s">
        <v>36</v>
      </c>
      <c r="E4085">
        <v>4794</v>
      </c>
      <c r="F4085">
        <v>112</v>
      </c>
      <c r="G4085">
        <v>13</v>
      </c>
      <c r="H4085">
        <v>1187.51</v>
      </c>
      <c r="I4085">
        <v>2688.97</v>
      </c>
      <c r="J4085">
        <v>2.34</v>
      </c>
      <c r="K4085">
        <v>11.61</v>
      </c>
      <c r="L4085">
        <v>91.35</v>
      </c>
      <c r="M4085">
        <v>2.2599999999999998</v>
      </c>
      <c r="N4085">
        <v>1501.46</v>
      </c>
    </row>
    <row r="4086" spans="1:14" x14ac:dyDescent="0.2">
      <c r="A4086" s="1">
        <v>45814</v>
      </c>
      <c r="B4086" s="2" t="s">
        <v>24</v>
      </c>
      <c r="C4086" s="2" t="s">
        <v>32</v>
      </c>
      <c r="D4086" s="2" t="s">
        <v>36</v>
      </c>
      <c r="E4086">
        <v>15250</v>
      </c>
      <c r="F4086">
        <v>2483</v>
      </c>
      <c r="G4086">
        <v>246</v>
      </c>
      <c r="H4086">
        <v>111.77</v>
      </c>
      <c r="I4086">
        <v>35006.550000000003</v>
      </c>
      <c r="J4086">
        <v>16.28</v>
      </c>
      <c r="K4086">
        <v>9.91</v>
      </c>
      <c r="L4086">
        <v>0.45</v>
      </c>
      <c r="M4086">
        <v>313.2</v>
      </c>
      <c r="N4086">
        <v>34894.78</v>
      </c>
    </row>
    <row r="4087" spans="1:14" x14ac:dyDescent="0.2">
      <c r="A4087" s="1">
        <v>45814</v>
      </c>
      <c r="B4087" s="2" t="s">
        <v>26</v>
      </c>
      <c r="C4087" s="2" t="s">
        <v>35</v>
      </c>
      <c r="D4087" s="2" t="s">
        <v>36</v>
      </c>
      <c r="E4087">
        <v>22411</v>
      </c>
      <c r="F4087">
        <v>1791</v>
      </c>
      <c r="G4087">
        <v>273</v>
      </c>
      <c r="H4087">
        <v>0</v>
      </c>
      <c r="I4087">
        <v>35733.67</v>
      </c>
      <c r="J4087">
        <v>7.99</v>
      </c>
      <c r="K4087">
        <v>15.24</v>
      </c>
      <c r="L4087">
        <v>0</v>
      </c>
      <c r="M4087">
        <v>0</v>
      </c>
      <c r="N4087">
        <v>35733.67</v>
      </c>
    </row>
    <row r="4088" spans="1:14" x14ac:dyDescent="0.2">
      <c r="A4088" s="1">
        <v>45814</v>
      </c>
      <c r="B4088" s="2" t="s">
        <v>27</v>
      </c>
      <c r="C4088" s="2" t="s">
        <v>15</v>
      </c>
      <c r="D4088" s="2" t="s">
        <v>16</v>
      </c>
      <c r="E4088">
        <v>25884</v>
      </c>
      <c r="F4088">
        <v>470</v>
      </c>
      <c r="G4088">
        <v>12</v>
      </c>
      <c r="H4088">
        <v>639.97</v>
      </c>
      <c r="I4088">
        <v>1308.06</v>
      </c>
      <c r="J4088">
        <v>1.82</v>
      </c>
      <c r="K4088">
        <v>2.5499999999999998</v>
      </c>
      <c r="L4088">
        <v>53.33</v>
      </c>
      <c r="M4088">
        <v>2.04</v>
      </c>
      <c r="N4088">
        <v>668.09</v>
      </c>
    </row>
    <row r="4089" spans="1:14" x14ac:dyDescent="0.2">
      <c r="A4089" s="1">
        <v>45814</v>
      </c>
      <c r="B4089" s="2" t="s">
        <v>29</v>
      </c>
      <c r="C4089" s="2" t="s">
        <v>35</v>
      </c>
      <c r="D4089" s="2" t="s">
        <v>25</v>
      </c>
      <c r="E4089">
        <v>13866</v>
      </c>
      <c r="F4089">
        <v>254</v>
      </c>
      <c r="G4089">
        <v>16</v>
      </c>
      <c r="H4089">
        <v>1145.8900000000001</v>
      </c>
      <c r="I4089">
        <v>1765.47</v>
      </c>
      <c r="J4089">
        <v>1.83</v>
      </c>
      <c r="K4089">
        <v>6.3</v>
      </c>
      <c r="L4089">
        <v>71.62</v>
      </c>
      <c r="M4089">
        <v>1.54</v>
      </c>
      <c r="N4089">
        <v>619.58000000000004</v>
      </c>
    </row>
    <row r="4090" spans="1:14" x14ac:dyDescent="0.2">
      <c r="A4090" s="1">
        <v>45814</v>
      </c>
      <c r="B4090" s="2" t="s">
        <v>30</v>
      </c>
      <c r="C4090" s="2" t="s">
        <v>15</v>
      </c>
      <c r="D4090" s="2" t="s">
        <v>25</v>
      </c>
      <c r="E4090">
        <v>9465</v>
      </c>
      <c r="F4090">
        <v>233</v>
      </c>
      <c r="G4090">
        <v>12</v>
      </c>
      <c r="H4090">
        <v>627.13</v>
      </c>
      <c r="I4090">
        <v>1134.48</v>
      </c>
      <c r="J4090">
        <v>2.46</v>
      </c>
      <c r="K4090">
        <v>5.15</v>
      </c>
      <c r="L4090">
        <v>52.26</v>
      </c>
      <c r="M4090">
        <v>1.81</v>
      </c>
      <c r="N4090">
        <v>507.35</v>
      </c>
    </row>
    <row r="4091" spans="1:14" x14ac:dyDescent="0.2">
      <c r="A4091" s="1">
        <v>45814</v>
      </c>
      <c r="B4091" s="2" t="s">
        <v>31</v>
      </c>
      <c r="C4091" s="2" t="s">
        <v>18</v>
      </c>
      <c r="D4091" s="2" t="s">
        <v>19</v>
      </c>
      <c r="E4091">
        <v>21756</v>
      </c>
      <c r="F4091">
        <v>576</v>
      </c>
      <c r="G4091">
        <v>25</v>
      </c>
      <c r="H4091">
        <v>770.57</v>
      </c>
      <c r="I4091">
        <v>2297.91</v>
      </c>
      <c r="J4091">
        <v>2.65</v>
      </c>
      <c r="K4091">
        <v>4.34</v>
      </c>
      <c r="L4091">
        <v>30.82</v>
      </c>
      <c r="M4091">
        <v>2.98</v>
      </c>
      <c r="N4091">
        <v>1527.34</v>
      </c>
    </row>
    <row r="4092" spans="1:14" x14ac:dyDescent="0.2">
      <c r="A4092" s="1">
        <v>45814</v>
      </c>
      <c r="B4092" s="2" t="s">
        <v>33</v>
      </c>
      <c r="C4092" s="2" t="s">
        <v>21</v>
      </c>
      <c r="D4092" s="2" t="s">
        <v>25</v>
      </c>
      <c r="E4092">
        <v>8105</v>
      </c>
      <c r="F4092">
        <v>328</v>
      </c>
      <c r="G4092">
        <v>41</v>
      </c>
      <c r="H4092">
        <v>361.76</v>
      </c>
      <c r="I4092">
        <v>4463.7299999999996</v>
      </c>
      <c r="J4092">
        <v>4.05</v>
      </c>
      <c r="K4092">
        <v>12.5</v>
      </c>
      <c r="L4092">
        <v>8.82</v>
      </c>
      <c r="M4092">
        <v>12.34</v>
      </c>
      <c r="N4092">
        <v>4101.97</v>
      </c>
    </row>
    <row r="4093" spans="1:14" x14ac:dyDescent="0.2">
      <c r="A4093" s="1">
        <v>45814</v>
      </c>
      <c r="B4093" s="2" t="s">
        <v>34</v>
      </c>
      <c r="C4093" s="2" t="s">
        <v>18</v>
      </c>
      <c r="D4093" s="2" t="s">
        <v>22</v>
      </c>
      <c r="E4093">
        <v>4095</v>
      </c>
      <c r="F4093">
        <v>238</v>
      </c>
      <c r="G4093">
        <v>34</v>
      </c>
      <c r="H4093">
        <v>112.8</v>
      </c>
      <c r="I4093">
        <v>5451.78</v>
      </c>
      <c r="J4093">
        <v>5.81</v>
      </c>
      <c r="K4093">
        <v>14.29</v>
      </c>
      <c r="L4093">
        <v>3.32</v>
      </c>
      <c r="M4093">
        <v>48.33</v>
      </c>
      <c r="N4093">
        <v>5338.98</v>
      </c>
    </row>
    <row r="4094" spans="1:14" x14ac:dyDescent="0.2">
      <c r="A4094" s="1">
        <v>45815</v>
      </c>
      <c r="B4094" s="2" t="s">
        <v>14</v>
      </c>
      <c r="C4094" s="2" t="s">
        <v>35</v>
      </c>
      <c r="D4094" s="2" t="s">
        <v>36</v>
      </c>
      <c r="E4094">
        <v>8832</v>
      </c>
      <c r="F4094">
        <v>432</v>
      </c>
      <c r="G4094">
        <v>35</v>
      </c>
      <c r="H4094">
        <v>612.13</v>
      </c>
      <c r="I4094">
        <v>5533.08</v>
      </c>
      <c r="J4094">
        <v>4.8899999999999997</v>
      </c>
      <c r="K4094">
        <v>8.1</v>
      </c>
      <c r="L4094">
        <v>17.489999999999998</v>
      </c>
      <c r="M4094">
        <v>9.0399999999999991</v>
      </c>
      <c r="N4094">
        <v>4920.95</v>
      </c>
    </row>
    <row r="4095" spans="1:14" x14ac:dyDescent="0.2">
      <c r="A4095" s="1">
        <v>45815</v>
      </c>
      <c r="B4095" s="2" t="s">
        <v>17</v>
      </c>
      <c r="C4095" s="2" t="s">
        <v>15</v>
      </c>
      <c r="D4095" s="2" t="s">
        <v>22</v>
      </c>
      <c r="E4095">
        <v>7765</v>
      </c>
      <c r="F4095">
        <v>193</v>
      </c>
      <c r="G4095">
        <v>14</v>
      </c>
      <c r="H4095">
        <v>636.36</v>
      </c>
      <c r="I4095">
        <v>1464.86</v>
      </c>
      <c r="J4095">
        <v>2.4900000000000002</v>
      </c>
      <c r="K4095">
        <v>7.25</v>
      </c>
      <c r="L4095">
        <v>45.45</v>
      </c>
      <c r="M4095">
        <v>2.2999999999999998</v>
      </c>
      <c r="N4095">
        <v>828.5</v>
      </c>
    </row>
    <row r="4096" spans="1:14" x14ac:dyDescent="0.2">
      <c r="A4096" s="1">
        <v>45815</v>
      </c>
      <c r="B4096" s="2" t="s">
        <v>20</v>
      </c>
      <c r="C4096" s="2" t="s">
        <v>35</v>
      </c>
      <c r="D4096" s="2" t="s">
        <v>22</v>
      </c>
      <c r="E4096">
        <v>9994</v>
      </c>
      <c r="F4096">
        <v>365</v>
      </c>
      <c r="G4096">
        <v>24</v>
      </c>
      <c r="H4096">
        <v>530.95000000000005</v>
      </c>
      <c r="I4096">
        <v>2087.16</v>
      </c>
      <c r="J4096">
        <v>3.65</v>
      </c>
      <c r="K4096">
        <v>6.58</v>
      </c>
      <c r="L4096">
        <v>22.12</v>
      </c>
      <c r="M4096">
        <v>3.93</v>
      </c>
      <c r="N4096">
        <v>1556.21</v>
      </c>
    </row>
    <row r="4097" spans="1:14" x14ac:dyDescent="0.2">
      <c r="A4097" s="1">
        <v>45815</v>
      </c>
      <c r="B4097" s="2" t="s">
        <v>23</v>
      </c>
      <c r="C4097" s="2" t="s">
        <v>18</v>
      </c>
      <c r="D4097" s="2" t="s">
        <v>19</v>
      </c>
      <c r="E4097">
        <v>1786</v>
      </c>
      <c r="F4097">
        <v>41</v>
      </c>
      <c r="G4097">
        <v>4</v>
      </c>
      <c r="H4097">
        <v>739.01</v>
      </c>
      <c r="I4097">
        <v>1031.72</v>
      </c>
      <c r="J4097">
        <v>2.2999999999999998</v>
      </c>
      <c r="K4097">
        <v>9.76</v>
      </c>
      <c r="L4097">
        <v>184.75</v>
      </c>
      <c r="M4097">
        <v>1.4</v>
      </c>
      <c r="N4097">
        <v>292.70999999999998</v>
      </c>
    </row>
    <row r="4098" spans="1:14" x14ac:dyDescent="0.2">
      <c r="A4098" s="1">
        <v>45815</v>
      </c>
      <c r="B4098" s="2" t="s">
        <v>24</v>
      </c>
      <c r="C4098" s="2" t="s">
        <v>35</v>
      </c>
      <c r="D4098" s="2" t="s">
        <v>36</v>
      </c>
      <c r="E4098">
        <v>13994</v>
      </c>
      <c r="F4098">
        <v>2789</v>
      </c>
      <c r="G4098">
        <v>386</v>
      </c>
      <c r="H4098">
        <v>101.4</v>
      </c>
      <c r="I4098">
        <v>41323.86</v>
      </c>
      <c r="J4098">
        <v>19.93</v>
      </c>
      <c r="K4098">
        <v>13.84</v>
      </c>
      <c r="L4098">
        <v>0.26</v>
      </c>
      <c r="M4098">
        <v>407.53</v>
      </c>
      <c r="N4098">
        <v>41222.46</v>
      </c>
    </row>
    <row r="4099" spans="1:14" x14ac:dyDescent="0.2">
      <c r="A4099" s="1">
        <v>45815</v>
      </c>
      <c r="B4099" s="2" t="s">
        <v>26</v>
      </c>
      <c r="C4099" s="2" t="s">
        <v>15</v>
      </c>
      <c r="D4099" s="2" t="s">
        <v>19</v>
      </c>
      <c r="E4099">
        <v>19357</v>
      </c>
      <c r="F4099">
        <v>1526</v>
      </c>
      <c r="G4099">
        <v>183</v>
      </c>
      <c r="H4099">
        <v>0</v>
      </c>
      <c r="I4099">
        <v>19206.12</v>
      </c>
      <c r="J4099">
        <v>7.88</v>
      </c>
      <c r="K4099">
        <v>11.99</v>
      </c>
      <c r="L4099">
        <v>0</v>
      </c>
      <c r="M4099">
        <v>0</v>
      </c>
      <c r="N4099">
        <v>19206.12</v>
      </c>
    </row>
    <row r="4100" spans="1:14" x14ac:dyDescent="0.2">
      <c r="A4100" s="1">
        <v>45815</v>
      </c>
      <c r="B4100" s="2" t="s">
        <v>27</v>
      </c>
      <c r="C4100" s="2" t="s">
        <v>18</v>
      </c>
      <c r="D4100" s="2" t="s">
        <v>19</v>
      </c>
      <c r="E4100">
        <v>18303</v>
      </c>
      <c r="F4100">
        <v>197</v>
      </c>
      <c r="G4100">
        <v>7</v>
      </c>
      <c r="H4100">
        <v>574.07000000000005</v>
      </c>
      <c r="I4100">
        <v>680.19</v>
      </c>
      <c r="J4100">
        <v>1.08</v>
      </c>
      <c r="K4100">
        <v>3.55</v>
      </c>
      <c r="L4100">
        <v>82.01</v>
      </c>
      <c r="M4100">
        <v>1.18</v>
      </c>
      <c r="N4100">
        <v>106.12</v>
      </c>
    </row>
    <row r="4101" spans="1:14" x14ac:dyDescent="0.2">
      <c r="A4101" s="1">
        <v>45815</v>
      </c>
      <c r="B4101" s="2" t="s">
        <v>29</v>
      </c>
      <c r="C4101" s="2" t="s">
        <v>35</v>
      </c>
      <c r="D4101" s="2" t="s">
        <v>25</v>
      </c>
      <c r="E4101">
        <v>12961</v>
      </c>
      <c r="F4101">
        <v>279</v>
      </c>
      <c r="G4101">
        <v>17</v>
      </c>
      <c r="H4101">
        <v>678.45</v>
      </c>
      <c r="I4101">
        <v>2364.7399999999998</v>
      </c>
      <c r="J4101">
        <v>2.15</v>
      </c>
      <c r="K4101">
        <v>6.09</v>
      </c>
      <c r="L4101">
        <v>39.909999999999997</v>
      </c>
      <c r="M4101">
        <v>3.49</v>
      </c>
      <c r="N4101">
        <v>1686.29</v>
      </c>
    </row>
    <row r="4102" spans="1:14" x14ac:dyDescent="0.2">
      <c r="A4102" s="1">
        <v>45815</v>
      </c>
      <c r="B4102" s="2" t="s">
        <v>30</v>
      </c>
      <c r="C4102" s="2" t="s">
        <v>15</v>
      </c>
      <c r="D4102" s="2" t="s">
        <v>16</v>
      </c>
      <c r="E4102">
        <v>5593</v>
      </c>
      <c r="F4102">
        <v>125</v>
      </c>
      <c r="G4102">
        <v>4</v>
      </c>
      <c r="H4102">
        <v>241.78</v>
      </c>
      <c r="I4102">
        <v>289.5</v>
      </c>
      <c r="J4102">
        <v>2.23</v>
      </c>
      <c r="K4102">
        <v>3.2</v>
      </c>
      <c r="L4102">
        <v>60.44</v>
      </c>
      <c r="M4102">
        <v>1.2</v>
      </c>
      <c r="N4102">
        <v>47.72</v>
      </c>
    </row>
    <row r="4103" spans="1:14" x14ac:dyDescent="0.2">
      <c r="A4103" s="1">
        <v>45815</v>
      </c>
      <c r="B4103" s="2" t="s">
        <v>31</v>
      </c>
      <c r="C4103" s="2" t="s">
        <v>32</v>
      </c>
      <c r="D4103" s="2" t="s">
        <v>22</v>
      </c>
      <c r="E4103">
        <v>12765</v>
      </c>
      <c r="F4103">
        <v>421</v>
      </c>
      <c r="G4103">
        <v>22</v>
      </c>
      <c r="H4103">
        <v>367.84</v>
      </c>
      <c r="I4103">
        <v>1914.99</v>
      </c>
      <c r="J4103">
        <v>3.3</v>
      </c>
      <c r="K4103">
        <v>5.23</v>
      </c>
      <c r="L4103">
        <v>16.72</v>
      </c>
      <c r="M4103">
        <v>5.21</v>
      </c>
      <c r="N4103">
        <v>1547.15</v>
      </c>
    </row>
    <row r="4104" spans="1:14" x14ac:dyDescent="0.2">
      <c r="A4104" s="1">
        <v>45815</v>
      </c>
      <c r="B4104" s="2" t="s">
        <v>33</v>
      </c>
      <c r="C4104" s="2" t="s">
        <v>15</v>
      </c>
      <c r="D4104" s="2" t="s">
        <v>22</v>
      </c>
      <c r="E4104">
        <v>4604</v>
      </c>
      <c r="F4104">
        <v>218</v>
      </c>
      <c r="G4104">
        <v>20</v>
      </c>
      <c r="H4104">
        <v>306.38</v>
      </c>
      <c r="I4104">
        <v>2661.85</v>
      </c>
      <c r="J4104">
        <v>4.74</v>
      </c>
      <c r="K4104">
        <v>9.17</v>
      </c>
      <c r="L4104">
        <v>15.32</v>
      </c>
      <c r="M4104">
        <v>8.69</v>
      </c>
      <c r="N4104">
        <v>2355.4699999999998</v>
      </c>
    </row>
    <row r="4105" spans="1:14" x14ac:dyDescent="0.2">
      <c r="A4105" s="1">
        <v>45815</v>
      </c>
      <c r="B4105" s="2" t="s">
        <v>34</v>
      </c>
      <c r="C4105" s="2" t="s">
        <v>18</v>
      </c>
      <c r="D4105" s="2" t="s">
        <v>25</v>
      </c>
      <c r="E4105">
        <v>2279</v>
      </c>
      <c r="F4105">
        <v>161</v>
      </c>
      <c r="G4105">
        <v>24</v>
      </c>
      <c r="H4105">
        <v>80.39</v>
      </c>
      <c r="I4105">
        <v>3505.75</v>
      </c>
      <c r="J4105">
        <v>7.06</v>
      </c>
      <c r="K4105">
        <v>14.91</v>
      </c>
      <c r="L4105">
        <v>3.35</v>
      </c>
      <c r="M4105">
        <v>43.61</v>
      </c>
      <c r="N4105">
        <v>3425.36</v>
      </c>
    </row>
    <row r="4106" spans="1:14" x14ac:dyDescent="0.2">
      <c r="A4106" s="1">
        <v>45816</v>
      </c>
      <c r="B4106" s="2" t="s">
        <v>14</v>
      </c>
      <c r="C4106" s="2" t="s">
        <v>21</v>
      </c>
      <c r="D4106" s="2" t="s">
        <v>25</v>
      </c>
      <c r="E4106">
        <v>4880</v>
      </c>
      <c r="F4106">
        <v>193</v>
      </c>
      <c r="G4106">
        <v>20</v>
      </c>
      <c r="H4106">
        <v>714.22</v>
      </c>
      <c r="I4106">
        <v>2585.9699999999998</v>
      </c>
      <c r="J4106">
        <v>3.95</v>
      </c>
      <c r="K4106">
        <v>10.36</v>
      </c>
      <c r="L4106">
        <v>35.71</v>
      </c>
      <c r="M4106">
        <v>3.62</v>
      </c>
      <c r="N4106">
        <v>1871.75</v>
      </c>
    </row>
    <row r="4107" spans="1:14" x14ac:dyDescent="0.2">
      <c r="A4107" s="1">
        <v>45816</v>
      </c>
      <c r="B4107" s="2" t="s">
        <v>17</v>
      </c>
      <c r="C4107" s="2" t="s">
        <v>35</v>
      </c>
      <c r="D4107" s="2" t="s">
        <v>19</v>
      </c>
      <c r="E4107">
        <v>9901</v>
      </c>
      <c r="F4107">
        <v>203</v>
      </c>
      <c r="G4107">
        <v>14</v>
      </c>
      <c r="H4107">
        <v>533.96</v>
      </c>
      <c r="I4107">
        <v>1390.41</v>
      </c>
      <c r="J4107">
        <v>2.0499999999999998</v>
      </c>
      <c r="K4107">
        <v>6.9</v>
      </c>
      <c r="L4107">
        <v>38.14</v>
      </c>
      <c r="M4107">
        <v>2.6</v>
      </c>
      <c r="N4107">
        <v>856.45</v>
      </c>
    </row>
    <row r="4108" spans="1:14" x14ac:dyDescent="0.2">
      <c r="A4108" s="1">
        <v>45816</v>
      </c>
      <c r="B4108" s="2" t="s">
        <v>20</v>
      </c>
      <c r="C4108" s="2" t="s">
        <v>15</v>
      </c>
      <c r="D4108" s="2" t="s">
        <v>19</v>
      </c>
      <c r="E4108">
        <v>7389</v>
      </c>
      <c r="F4108">
        <v>321</v>
      </c>
      <c r="G4108">
        <v>16</v>
      </c>
      <c r="H4108">
        <v>322.35000000000002</v>
      </c>
      <c r="I4108">
        <v>1786.14</v>
      </c>
      <c r="J4108">
        <v>4.34</v>
      </c>
      <c r="K4108">
        <v>4.9800000000000004</v>
      </c>
      <c r="L4108">
        <v>20.149999999999999</v>
      </c>
      <c r="M4108">
        <v>5.54</v>
      </c>
      <c r="N4108">
        <v>1463.79</v>
      </c>
    </row>
    <row r="4109" spans="1:14" x14ac:dyDescent="0.2">
      <c r="A4109" s="1">
        <v>45816</v>
      </c>
      <c r="B4109" s="2" t="s">
        <v>23</v>
      </c>
      <c r="C4109" s="2" t="s">
        <v>35</v>
      </c>
      <c r="D4109" s="2" t="s">
        <v>19</v>
      </c>
      <c r="E4109">
        <v>3431</v>
      </c>
      <c r="F4109">
        <v>96</v>
      </c>
      <c r="G4109">
        <v>9</v>
      </c>
      <c r="H4109">
        <v>888.69</v>
      </c>
      <c r="I4109">
        <v>1996.5</v>
      </c>
      <c r="J4109">
        <v>2.8</v>
      </c>
      <c r="K4109">
        <v>9.3800000000000008</v>
      </c>
      <c r="L4109">
        <v>98.74</v>
      </c>
      <c r="M4109">
        <v>2.25</v>
      </c>
      <c r="N4109">
        <v>1107.81</v>
      </c>
    </row>
    <row r="4110" spans="1:14" x14ac:dyDescent="0.2">
      <c r="A4110" s="1">
        <v>45816</v>
      </c>
      <c r="B4110" s="2" t="s">
        <v>24</v>
      </c>
      <c r="C4110" s="2" t="s">
        <v>18</v>
      </c>
      <c r="D4110" s="2" t="s">
        <v>25</v>
      </c>
      <c r="E4110">
        <v>11729</v>
      </c>
      <c r="F4110">
        <v>2625</v>
      </c>
      <c r="G4110">
        <v>314</v>
      </c>
      <c r="H4110">
        <v>90.22</v>
      </c>
      <c r="I4110">
        <v>40586.83</v>
      </c>
      <c r="J4110">
        <v>22.38</v>
      </c>
      <c r="K4110">
        <v>11.96</v>
      </c>
      <c r="L4110">
        <v>0.28999999999999998</v>
      </c>
      <c r="M4110">
        <v>449.87</v>
      </c>
      <c r="N4110">
        <v>40496.61</v>
      </c>
    </row>
    <row r="4111" spans="1:14" x14ac:dyDescent="0.2">
      <c r="A4111" s="1">
        <v>45816</v>
      </c>
      <c r="B4111" s="2" t="s">
        <v>26</v>
      </c>
      <c r="C4111" s="2" t="s">
        <v>32</v>
      </c>
      <c r="D4111" s="2" t="s">
        <v>19</v>
      </c>
      <c r="E4111">
        <v>15754</v>
      </c>
      <c r="F4111">
        <v>783</v>
      </c>
      <c r="G4111">
        <v>116</v>
      </c>
      <c r="H4111">
        <v>0</v>
      </c>
      <c r="I4111">
        <v>15522.28</v>
      </c>
      <c r="J4111">
        <v>4.97</v>
      </c>
      <c r="K4111">
        <v>14.81</v>
      </c>
      <c r="L4111">
        <v>0</v>
      </c>
      <c r="M4111">
        <v>0</v>
      </c>
      <c r="N4111">
        <v>15522.28</v>
      </c>
    </row>
    <row r="4112" spans="1:14" x14ac:dyDescent="0.2">
      <c r="A4112" s="1">
        <v>45816</v>
      </c>
      <c r="B4112" s="2" t="s">
        <v>27</v>
      </c>
      <c r="C4112" s="2" t="s">
        <v>21</v>
      </c>
      <c r="D4112" s="2" t="s">
        <v>16</v>
      </c>
      <c r="E4112">
        <v>19812</v>
      </c>
      <c r="F4112">
        <v>290</v>
      </c>
      <c r="G4112">
        <v>7</v>
      </c>
      <c r="H4112">
        <v>731.83</v>
      </c>
      <c r="I4112">
        <v>921.79</v>
      </c>
      <c r="J4112">
        <v>1.46</v>
      </c>
      <c r="K4112">
        <v>2.41</v>
      </c>
      <c r="L4112">
        <v>104.55</v>
      </c>
      <c r="M4112">
        <v>1.26</v>
      </c>
      <c r="N4112">
        <v>189.96</v>
      </c>
    </row>
    <row r="4113" spans="1:14" x14ac:dyDescent="0.2">
      <c r="A4113" s="1">
        <v>45816</v>
      </c>
      <c r="B4113" s="2" t="s">
        <v>29</v>
      </c>
      <c r="C4113" s="2" t="s">
        <v>21</v>
      </c>
      <c r="D4113" s="2" t="s">
        <v>25</v>
      </c>
      <c r="E4113">
        <v>10375</v>
      </c>
      <c r="F4113">
        <v>267</v>
      </c>
      <c r="G4113">
        <v>19</v>
      </c>
      <c r="H4113">
        <v>589.91999999999996</v>
      </c>
      <c r="I4113">
        <v>2155.7800000000002</v>
      </c>
      <c r="J4113">
        <v>2.57</v>
      </c>
      <c r="K4113">
        <v>7.12</v>
      </c>
      <c r="L4113">
        <v>31.05</v>
      </c>
      <c r="M4113">
        <v>3.65</v>
      </c>
      <c r="N4113">
        <v>1565.86</v>
      </c>
    </row>
    <row r="4114" spans="1:14" x14ac:dyDescent="0.2">
      <c r="A4114" s="1">
        <v>45816</v>
      </c>
      <c r="B4114" s="2" t="s">
        <v>30</v>
      </c>
      <c r="C4114" s="2" t="s">
        <v>35</v>
      </c>
      <c r="D4114" s="2" t="s">
        <v>19</v>
      </c>
      <c r="E4114">
        <v>5852</v>
      </c>
      <c r="F4114">
        <v>155</v>
      </c>
      <c r="G4114">
        <v>7</v>
      </c>
      <c r="H4114">
        <v>273.48</v>
      </c>
      <c r="I4114">
        <v>845.28</v>
      </c>
      <c r="J4114">
        <v>2.65</v>
      </c>
      <c r="K4114">
        <v>4.5199999999999996</v>
      </c>
      <c r="L4114">
        <v>39.07</v>
      </c>
      <c r="M4114">
        <v>3.09</v>
      </c>
      <c r="N4114">
        <v>571.79999999999995</v>
      </c>
    </row>
    <row r="4115" spans="1:14" x14ac:dyDescent="0.2">
      <c r="A4115" s="1">
        <v>45816</v>
      </c>
      <c r="B4115" s="2" t="s">
        <v>31</v>
      </c>
      <c r="C4115" s="2" t="s">
        <v>28</v>
      </c>
      <c r="D4115" s="2" t="s">
        <v>36</v>
      </c>
      <c r="E4115">
        <v>16959</v>
      </c>
      <c r="F4115">
        <v>643</v>
      </c>
      <c r="G4115">
        <v>32</v>
      </c>
      <c r="H4115">
        <v>528.92999999999995</v>
      </c>
      <c r="I4115">
        <v>3362.86</v>
      </c>
      <c r="J4115">
        <v>3.79</v>
      </c>
      <c r="K4115">
        <v>4.9800000000000004</v>
      </c>
      <c r="L4115">
        <v>16.53</v>
      </c>
      <c r="M4115">
        <v>6.36</v>
      </c>
      <c r="N4115">
        <v>2833.93</v>
      </c>
    </row>
    <row r="4116" spans="1:14" x14ac:dyDescent="0.2">
      <c r="A4116" s="1">
        <v>45816</v>
      </c>
      <c r="B4116" s="2" t="s">
        <v>33</v>
      </c>
      <c r="C4116" s="2" t="s">
        <v>35</v>
      </c>
      <c r="D4116" s="2" t="s">
        <v>22</v>
      </c>
      <c r="E4116">
        <v>5883</v>
      </c>
      <c r="F4116">
        <v>267</v>
      </c>
      <c r="G4116">
        <v>31</v>
      </c>
      <c r="H4116">
        <v>208.36</v>
      </c>
      <c r="I4116">
        <v>4466.72</v>
      </c>
      <c r="J4116">
        <v>4.54</v>
      </c>
      <c r="K4116">
        <v>11.61</v>
      </c>
      <c r="L4116">
        <v>6.72</v>
      </c>
      <c r="M4116">
        <v>21.44</v>
      </c>
      <c r="N4116">
        <v>4258.3599999999997</v>
      </c>
    </row>
    <row r="4117" spans="1:14" x14ac:dyDescent="0.2">
      <c r="A4117" s="1">
        <v>45816</v>
      </c>
      <c r="B4117" s="2" t="s">
        <v>34</v>
      </c>
      <c r="C4117" s="2" t="s">
        <v>18</v>
      </c>
      <c r="D4117" s="2" t="s">
        <v>22</v>
      </c>
      <c r="E4117">
        <v>2697</v>
      </c>
      <c r="F4117">
        <v>219</v>
      </c>
      <c r="G4117">
        <v>37</v>
      </c>
      <c r="H4117">
        <v>74.599999999999994</v>
      </c>
      <c r="I4117">
        <v>5335.77</v>
      </c>
      <c r="J4117">
        <v>8.1199999999999992</v>
      </c>
      <c r="K4117">
        <v>16.89</v>
      </c>
      <c r="L4117">
        <v>2.02</v>
      </c>
      <c r="M4117">
        <v>71.53</v>
      </c>
      <c r="N4117">
        <v>5261.17</v>
      </c>
    </row>
    <row r="4118" spans="1:14" x14ac:dyDescent="0.2">
      <c r="A4118" s="1">
        <v>45817</v>
      </c>
      <c r="B4118" s="2" t="s">
        <v>14</v>
      </c>
      <c r="C4118" s="2" t="s">
        <v>21</v>
      </c>
      <c r="D4118" s="2" t="s">
        <v>25</v>
      </c>
      <c r="E4118">
        <v>10007</v>
      </c>
      <c r="F4118">
        <v>490</v>
      </c>
      <c r="G4118">
        <v>46</v>
      </c>
      <c r="H4118">
        <v>972.75</v>
      </c>
      <c r="I4118">
        <v>7326.54</v>
      </c>
      <c r="J4118">
        <v>4.9000000000000004</v>
      </c>
      <c r="K4118">
        <v>9.39</v>
      </c>
      <c r="L4118">
        <v>21.15</v>
      </c>
      <c r="M4118">
        <v>7.53</v>
      </c>
      <c r="N4118">
        <v>6353.79</v>
      </c>
    </row>
    <row r="4119" spans="1:14" x14ac:dyDescent="0.2">
      <c r="A4119" s="1">
        <v>45817</v>
      </c>
      <c r="B4119" s="2" t="s">
        <v>17</v>
      </c>
      <c r="C4119" s="2" t="s">
        <v>21</v>
      </c>
      <c r="D4119" s="2" t="s">
        <v>22</v>
      </c>
      <c r="E4119">
        <v>13458</v>
      </c>
      <c r="F4119">
        <v>521</v>
      </c>
      <c r="G4119">
        <v>43</v>
      </c>
      <c r="H4119">
        <v>654.85</v>
      </c>
      <c r="I4119">
        <v>5642.4</v>
      </c>
      <c r="J4119">
        <v>3.87</v>
      </c>
      <c r="K4119">
        <v>8.25</v>
      </c>
      <c r="L4119">
        <v>15.23</v>
      </c>
      <c r="M4119">
        <v>8.6199999999999992</v>
      </c>
      <c r="N4119">
        <v>4987.55</v>
      </c>
    </row>
    <row r="4120" spans="1:14" x14ac:dyDescent="0.2">
      <c r="A4120" s="1">
        <v>45817</v>
      </c>
      <c r="B4120" s="2" t="s">
        <v>20</v>
      </c>
      <c r="C4120" s="2" t="s">
        <v>32</v>
      </c>
      <c r="D4120" s="2" t="s">
        <v>25</v>
      </c>
      <c r="E4120">
        <v>11010</v>
      </c>
      <c r="F4120">
        <v>481</v>
      </c>
      <c r="G4120">
        <v>33</v>
      </c>
      <c r="H4120">
        <v>643.77</v>
      </c>
      <c r="I4120">
        <v>2967.96</v>
      </c>
      <c r="J4120">
        <v>4.37</v>
      </c>
      <c r="K4120">
        <v>6.86</v>
      </c>
      <c r="L4120">
        <v>19.510000000000002</v>
      </c>
      <c r="M4120">
        <v>4.6100000000000003</v>
      </c>
      <c r="N4120">
        <v>2324.19</v>
      </c>
    </row>
    <row r="4121" spans="1:14" x14ac:dyDescent="0.2">
      <c r="A4121" s="1">
        <v>45817</v>
      </c>
      <c r="B4121" s="2" t="s">
        <v>23</v>
      </c>
      <c r="C4121" s="2" t="s">
        <v>15</v>
      </c>
      <c r="D4121" s="2" t="s">
        <v>25</v>
      </c>
      <c r="E4121">
        <v>4627</v>
      </c>
      <c r="F4121">
        <v>97</v>
      </c>
      <c r="G4121">
        <v>13</v>
      </c>
      <c r="H4121">
        <v>1261.6600000000001</v>
      </c>
      <c r="I4121">
        <v>3601.91</v>
      </c>
      <c r="J4121">
        <v>2.1</v>
      </c>
      <c r="K4121">
        <v>13.4</v>
      </c>
      <c r="L4121">
        <v>97.05</v>
      </c>
      <c r="M4121">
        <v>2.85</v>
      </c>
      <c r="N4121">
        <v>2340.25</v>
      </c>
    </row>
    <row r="4122" spans="1:14" x14ac:dyDescent="0.2">
      <c r="A4122" s="1">
        <v>45817</v>
      </c>
      <c r="B4122" s="2" t="s">
        <v>24</v>
      </c>
      <c r="C4122" s="2" t="s">
        <v>32</v>
      </c>
      <c r="D4122" s="2" t="s">
        <v>25</v>
      </c>
      <c r="E4122">
        <v>16710</v>
      </c>
      <c r="F4122">
        <v>3152</v>
      </c>
      <c r="G4122">
        <v>355</v>
      </c>
      <c r="H4122">
        <v>222.28</v>
      </c>
      <c r="I4122">
        <v>43027.77</v>
      </c>
      <c r="J4122">
        <v>18.86</v>
      </c>
      <c r="K4122">
        <v>11.26</v>
      </c>
      <c r="L4122">
        <v>0.63</v>
      </c>
      <c r="M4122">
        <v>193.57</v>
      </c>
      <c r="N4122">
        <v>42805.49</v>
      </c>
    </row>
    <row r="4123" spans="1:14" x14ac:dyDescent="0.2">
      <c r="A4123" s="1">
        <v>45817</v>
      </c>
      <c r="B4123" s="2" t="s">
        <v>26</v>
      </c>
      <c r="C4123" s="2" t="s">
        <v>15</v>
      </c>
      <c r="D4123" s="2" t="s">
        <v>16</v>
      </c>
      <c r="E4123">
        <v>18600</v>
      </c>
      <c r="F4123">
        <v>792</v>
      </c>
      <c r="G4123">
        <v>91</v>
      </c>
      <c r="H4123">
        <v>0</v>
      </c>
      <c r="I4123">
        <v>10898.67</v>
      </c>
      <c r="J4123">
        <v>4.26</v>
      </c>
      <c r="K4123">
        <v>11.49</v>
      </c>
      <c r="L4123">
        <v>0</v>
      </c>
      <c r="M4123">
        <v>0</v>
      </c>
      <c r="N4123">
        <v>10898.67</v>
      </c>
    </row>
    <row r="4124" spans="1:14" x14ac:dyDescent="0.2">
      <c r="A4124" s="1">
        <v>45817</v>
      </c>
      <c r="B4124" s="2" t="s">
        <v>27</v>
      </c>
      <c r="C4124" s="2" t="s">
        <v>28</v>
      </c>
      <c r="D4124" s="2" t="s">
        <v>36</v>
      </c>
      <c r="E4124">
        <v>21819</v>
      </c>
      <c r="F4124">
        <v>330</v>
      </c>
      <c r="G4124">
        <v>15</v>
      </c>
      <c r="H4124">
        <v>755.13</v>
      </c>
      <c r="I4124">
        <v>1570.61</v>
      </c>
      <c r="J4124">
        <v>1.51</v>
      </c>
      <c r="K4124">
        <v>4.55</v>
      </c>
      <c r="L4124">
        <v>50.34</v>
      </c>
      <c r="M4124">
        <v>2.08</v>
      </c>
      <c r="N4124">
        <v>815.48</v>
      </c>
    </row>
    <row r="4125" spans="1:14" x14ac:dyDescent="0.2">
      <c r="A4125" s="1">
        <v>45817</v>
      </c>
      <c r="B4125" s="2" t="s">
        <v>29</v>
      </c>
      <c r="C4125" s="2" t="s">
        <v>18</v>
      </c>
      <c r="D4125" s="2" t="s">
        <v>16</v>
      </c>
      <c r="E4125">
        <v>14557</v>
      </c>
      <c r="F4125">
        <v>221</v>
      </c>
      <c r="G4125">
        <v>11</v>
      </c>
      <c r="H4125">
        <v>716.7</v>
      </c>
      <c r="I4125">
        <v>1291.94</v>
      </c>
      <c r="J4125">
        <v>1.52</v>
      </c>
      <c r="K4125">
        <v>4.9800000000000004</v>
      </c>
      <c r="L4125">
        <v>65.150000000000006</v>
      </c>
      <c r="M4125">
        <v>1.8</v>
      </c>
      <c r="N4125">
        <v>575.24</v>
      </c>
    </row>
    <row r="4126" spans="1:14" x14ac:dyDescent="0.2">
      <c r="A4126" s="1">
        <v>45817</v>
      </c>
      <c r="B4126" s="2" t="s">
        <v>30</v>
      </c>
      <c r="C4126" s="2" t="s">
        <v>21</v>
      </c>
      <c r="D4126" s="2" t="s">
        <v>16</v>
      </c>
      <c r="E4126">
        <v>9973</v>
      </c>
      <c r="F4126">
        <v>311</v>
      </c>
      <c r="G4126">
        <v>17</v>
      </c>
      <c r="H4126">
        <v>422.47</v>
      </c>
      <c r="I4126">
        <v>1483.87</v>
      </c>
      <c r="J4126">
        <v>3.12</v>
      </c>
      <c r="K4126">
        <v>5.47</v>
      </c>
      <c r="L4126">
        <v>24.85</v>
      </c>
      <c r="M4126">
        <v>3.51</v>
      </c>
      <c r="N4126">
        <v>1061.4000000000001</v>
      </c>
    </row>
    <row r="4127" spans="1:14" x14ac:dyDescent="0.2">
      <c r="A4127" s="1">
        <v>45817</v>
      </c>
      <c r="B4127" s="2" t="s">
        <v>31</v>
      </c>
      <c r="C4127" s="2" t="s">
        <v>28</v>
      </c>
      <c r="D4127" s="2" t="s">
        <v>19</v>
      </c>
      <c r="E4127">
        <v>17296</v>
      </c>
      <c r="F4127">
        <v>770</v>
      </c>
      <c r="G4127">
        <v>25</v>
      </c>
      <c r="H4127">
        <v>668.38</v>
      </c>
      <c r="I4127">
        <v>2070.73</v>
      </c>
      <c r="J4127">
        <v>4.45</v>
      </c>
      <c r="K4127">
        <v>3.25</v>
      </c>
      <c r="L4127">
        <v>26.74</v>
      </c>
      <c r="M4127">
        <v>3.1</v>
      </c>
      <c r="N4127">
        <v>1402.35</v>
      </c>
    </row>
    <row r="4128" spans="1:14" x14ac:dyDescent="0.2">
      <c r="A4128" s="1">
        <v>45817</v>
      </c>
      <c r="B4128" s="2" t="s">
        <v>33</v>
      </c>
      <c r="C4128" s="2" t="s">
        <v>35</v>
      </c>
      <c r="D4128" s="2" t="s">
        <v>19</v>
      </c>
      <c r="E4128">
        <v>8336</v>
      </c>
      <c r="F4128">
        <v>444</v>
      </c>
      <c r="G4128">
        <v>43</v>
      </c>
      <c r="H4128">
        <v>420.41</v>
      </c>
      <c r="I4128">
        <v>5968.73</v>
      </c>
      <c r="J4128">
        <v>5.33</v>
      </c>
      <c r="K4128">
        <v>9.68</v>
      </c>
      <c r="L4128">
        <v>9.7799999999999994</v>
      </c>
      <c r="M4128">
        <v>14.2</v>
      </c>
      <c r="N4128">
        <v>5548.32</v>
      </c>
    </row>
    <row r="4129" spans="1:14" x14ac:dyDescent="0.2">
      <c r="A4129" s="1">
        <v>45817</v>
      </c>
      <c r="B4129" s="2" t="s">
        <v>34</v>
      </c>
      <c r="C4129" s="2" t="s">
        <v>21</v>
      </c>
      <c r="D4129" s="2" t="s">
        <v>36</v>
      </c>
      <c r="E4129">
        <v>4082</v>
      </c>
      <c r="F4129">
        <v>245</v>
      </c>
      <c r="G4129">
        <v>28</v>
      </c>
      <c r="H4129">
        <v>95.22</v>
      </c>
      <c r="I4129">
        <v>3280</v>
      </c>
      <c r="J4129">
        <v>6</v>
      </c>
      <c r="K4129">
        <v>11.43</v>
      </c>
      <c r="L4129">
        <v>3.4</v>
      </c>
      <c r="M4129">
        <v>34.450000000000003</v>
      </c>
      <c r="N4129">
        <v>3184.78</v>
      </c>
    </row>
    <row r="4130" spans="1:14" x14ac:dyDescent="0.2">
      <c r="A4130" s="1">
        <v>45818</v>
      </c>
      <c r="B4130" s="2" t="s">
        <v>14</v>
      </c>
      <c r="C4130" s="2" t="s">
        <v>32</v>
      </c>
      <c r="D4130" s="2" t="s">
        <v>25</v>
      </c>
      <c r="E4130">
        <v>11681</v>
      </c>
      <c r="F4130">
        <v>369</v>
      </c>
      <c r="G4130">
        <v>33</v>
      </c>
      <c r="H4130">
        <v>1036.81</v>
      </c>
      <c r="I4130">
        <v>4797.3500000000004</v>
      </c>
      <c r="J4130">
        <v>3.16</v>
      </c>
      <c r="K4130">
        <v>8.94</v>
      </c>
      <c r="L4130">
        <v>31.42</v>
      </c>
      <c r="M4130">
        <v>4.63</v>
      </c>
      <c r="N4130">
        <v>3760.54</v>
      </c>
    </row>
    <row r="4131" spans="1:14" x14ac:dyDescent="0.2">
      <c r="A4131" s="1">
        <v>45818</v>
      </c>
      <c r="B4131" s="2" t="s">
        <v>17</v>
      </c>
      <c r="C4131" s="2" t="s">
        <v>35</v>
      </c>
      <c r="D4131" s="2" t="s">
        <v>22</v>
      </c>
      <c r="E4131">
        <v>14757</v>
      </c>
      <c r="F4131">
        <v>410</v>
      </c>
      <c r="G4131">
        <v>23</v>
      </c>
      <c r="H4131">
        <v>614.67999999999995</v>
      </c>
      <c r="I4131">
        <v>2295.0300000000002</v>
      </c>
      <c r="J4131">
        <v>2.78</v>
      </c>
      <c r="K4131">
        <v>5.61</v>
      </c>
      <c r="L4131">
        <v>26.73</v>
      </c>
      <c r="M4131">
        <v>3.73</v>
      </c>
      <c r="N4131">
        <v>1680.35</v>
      </c>
    </row>
    <row r="4132" spans="1:14" x14ac:dyDescent="0.2">
      <c r="A4132" s="1">
        <v>45818</v>
      </c>
      <c r="B4132" s="2" t="s">
        <v>20</v>
      </c>
      <c r="C4132" s="2" t="s">
        <v>15</v>
      </c>
      <c r="D4132" s="2" t="s">
        <v>19</v>
      </c>
      <c r="E4132">
        <v>12882</v>
      </c>
      <c r="F4132">
        <v>502</v>
      </c>
      <c r="G4132">
        <v>34</v>
      </c>
      <c r="H4132">
        <v>483.62</v>
      </c>
      <c r="I4132">
        <v>3929.98</v>
      </c>
      <c r="J4132">
        <v>3.9</v>
      </c>
      <c r="K4132">
        <v>6.77</v>
      </c>
      <c r="L4132">
        <v>14.22</v>
      </c>
      <c r="M4132">
        <v>8.1300000000000008</v>
      </c>
      <c r="N4132">
        <v>3446.36</v>
      </c>
    </row>
    <row r="4133" spans="1:14" x14ac:dyDescent="0.2">
      <c r="A4133" s="1">
        <v>45818</v>
      </c>
      <c r="B4133" s="2" t="s">
        <v>23</v>
      </c>
      <c r="C4133" s="2" t="s">
        <v>18</v>
      </c>
      <c r="D4133" s="2" t="s">
        <v>16</v>
      </c>
      <c r="E4133">
        <v>3341</v>
      </c>
      <c r="F4133">
        <v>64</v>
      </c>
      <c r="G4133">
        <v>9</v>
      </c>
      <c r="H4133">
        <v>950.67</v>
      </c>
      <c r="I4133">
        <v>2721.64</v>
      </c>
      <c r="J4133">
        <v>1.92</v>
      </c>
      <c r="K4133">
        <v>14.06</v>
      </c>
      <c r="L4133">
        <v>105.63</v>
      </c>
      <c r="M4133">
        <v>2.86</v>
      </c>
      <c r="N4133">
        <v>1770.97</v>
      </c>
    </row>
    <row r="4134" spans="1:14" x14ac:dyDescent="0.2">
      <c r="A4134" s="1">
        <v>45818</v>
      </c>
      <c r="B4134" s="2" t="s">
        <v>24</v>
      </c>
      <c r="C4134" s="2" t="s">
        <v>21</v>
      </c>
      <c r="D4134" s="2" t="s">
        <v>22</v>
      </c>
      <c r="E4134">
        <v>20391</v>
      </c>
      <c r="F4134">
        <v>3475</v>
      </c>
      <c r="G4134">
        <v>286</v>
      </c>
      <c r="H4134">
        <v>194.1</v>
      </c>
      <c r="I4134">
        <v>46360.33</v>
      </c>
      <c r="J4134">
        <v>17.04</v>
      </c>
      <c r="K4134">
        <v>8.23</v>
      </c>
      <c r="L4134">
        <v>0.68</v>
      </c>
      <c r="M4134">
        <v>238.85</v>
      </c>
      <c r="N4134">
        <v>46166.23</v>
      </c>
    </row>
    <row r="4135" spans="1:14" x14ac:dyDescent="0.2">
      <c r="A4135" s="1">
        <v>45818</v>
      </c>
      <c r="B4135" s="2" t="s">
        <v>26</v>
      </c>
      <c r="C4135" s="2" t="s">
        <v>15</v>
      </c>
      <c r="D4135" s="2" t="s">
        <v>22</v>
      </c>
      <c r="E4135">
        <v>24922</v>
      </c>
      <c r="F4135">
        <v>1821</v>
      </c>
      <c r="G4135">
        <v>206</v>
      </c>
      <c r="H4135">
        <v>0</v>
      </c>
      <c r="I4135">
        <v>28094.13</v>
      </c>
      <c r="J4135">
        <v>7.31</v>
      </c>
      <c r="K4135">
        <v>11.31</v>
      </c>
      <c r="L4135">
        <v>0</v>
      </c>
      <c r="M4135">
        <v>0</v>
      </c>
      <c r="N4135">
        <v>28094.13</v>
      </c>
    </row>
    <row r="4136" spans="1:14" x14ac:dyDescent="0.2">
      <c r="A4136" s="1">
        <v>45818</v>
      </c>
      <c r="B4136" s="2" t="s">
        <v>27</v>
      </c>
      <c r="C4136" s="2" t="s">
        <v>15</v>
      </c>
      <c r="D4136" s="2" t="s">
        <v>22</v>
      </c>
      <c r="E4136">
        <v>30511</v>
      </c>
      <c r="F4136">
        <v>426</v>
      </c>
      <c r="G4136">
        <v>20</v>
      </c>
      <c r="H4136">
        <v>874.53</v>
      </c>
      <c r="I4136">
        <v>2272.1999999999998</v>
      </c>
      <c r="J4136">
        <v>1.4</v>
      </c>
      <c r="K4136">
        <v>4.6900000000000004</v>
      </c>
      <c r="L4136">
        <v>43.73</v>
      </c>
      <c r="M4136">
        <v>2.6</v>
      </c>
      <c r="N4136">
        <v>1397.67</v>
      </c>
    </row>
    <row r="4137" spans="1:14" x14ac:dyDescent="0.2">
      <c r="A4137" s="1">
        <v>45818</v>
      </c>
      <c r="B4137" s="2" t="s">
        <v>29</v>
      </c>
      <c r="C4137" s="2" t="s">
        <v>35</v>
      </c>
      <c r="D4137" s="2" t="s">
        <v>22</v>
      </c>
      <c r="E4137">
        <v>12979</v>
      </c>
      <c r="F4137">
        <v>291</v>
      </c>
      <c r="G4137">
        <v>19</v>
      </c>
      <c r="H4137">
        <v>755.36</v>
      </c>
      <c r="I4137">
        <v>2837.18</v>
      </c>
      <c r="J4137">
        <v>2.2400000000000002</v>
      </c>
      <c r="K4137">
        <v>6.53</v>
      </c>
      <c r="L4137">
        <v>39.76</v>
      </c>
      <c r="M4137">
        <v>3.76</v>
      </c>
      <c r="N4137">
        <v>2081.8200000000002</v>
      </c>
    </row>
    <row r="4138" spans="1:14" x14ac:dyDescent="0.2">
      <c r="A4138" s="1">
        <v>45818</v>
      </c>
      <c r="B4138" s="2" t="s">
        <v>30</v>
      </c>
      <c r="C4138" s="2" t="s">
        <v>21</v>
      </c>
      <c r="D4138" s="2" t="s">
        <v>22</v>
      </c>
      <c r="E4138">
        <v>11687</v>
      </c>
      <c r="F4138">
        <v>292</v>
      </c>
      <c r="G4138">
        <v>17</v>
      </c>
      <c r="H4138">
        <v>597.25</v>
      </c>
      <c r="I4138">
        <v>1336.63</v>
      </c>
      <c r="J4138">
        <v>2.5</v>
      </c>
      <c r="K4138">
        <v>5.82</v>
      </c>
      <c r="L4138">
        <v>35.130000000000003</v>
      </c>
      <c r="M4138">
        <v>2.2400000000000002</v>
      </c>
      <c r="N4138">
        <v>739.38</v>
      </c>
    </row>
    <row r="4139" spans="1:14" x14ac:dyDescent="0.2">
      <c r="A4139" s="1">
        <v>45818</v>
      </c>
      <c r="B4139" s="2" t="s">
        <v>31</v>
      </c>
      <c r="C4139" s="2" t="s">
        <v>18</v>
      </c>
      <c r="D4139" s="2" t="s">
        <v>36</v>
      </c>
      <c r="E4139">
        <v>20139</v>
      </c>
      <c r="F4139">
        <v>871</v>
      </c>
      <c r="G4139">
        <v>28</v>
      </c>
      <c r="H4139">
        <v>601.48</v>
      </c>
      <c r="I4139">
        <v>2849.07</v>
      </c>
      <c r="J4139">
        <v>4.32</v>
      </c>
      <c r="K4139">
        <v>3.21</v>
      </c>
      <c r="L4139">
        <v>21.48</v>
      </c>
      <c r="M4139">
        <v>4.74</v>
      </c>
      <c r="N4139">
        <v>2247.59</v>
      </c>
    </row>
    <row r="4140" spans="1:14" x14ac:dyDescent="0.2">
      <c r="A4140" s="1">
        <v>45818</v>
      </c>
      <c r="B4140" s="2" t="s">
        <v>33</v>
      </c>
      <c r="C4140" s="2" t="s">
        <v>15</v>
      </c>
      <c r="D4140" s="2" t="s">
        <v>16</v>
      </c>
      <c r="E4140">
        <v>6427</v>
      </c>
      <c r="F4140">
        <v>386</v>
      </c>
      <c r="G4140">
        <v>39</v>
      </c>
      <c r="H4140">
        <v>310.01</v>
      </c>
      <c r="I4140">
        <v>5212.17</v>
      </c>
      <c r="J4140">
        <v>6.01</v>
      </c>
      <c r="K4140">
        <v>10.1</v>
      </c>
      <c r="L4140">
        <v>7.95</v>
      </c>
      <c r="M4140">
        <v>16.809999999999999</v>
      </c>
      <c r="N4140">
        <v>4902.16</v>
      </c>
    </row>
    <row r="4141" spans="1:14" x14ac:dyDescent="0.2">
      <c r="A4141" s="1">
        <v>45818</v>
      </c>
      <c r="B4141" s="2" t="s">
        <v>34</v>
      </c>
      <c r="C4141" s="2" t="s">
        <v>18</v>
      </c>
      <c r="D4141" s="2" t="s">
        <v>16</v>
      </c>
      <c r="E4141">
        <v>4006</v>
      </c>
      <c r="F4141">
        <v>222</v>
      </c>
      <c r="G4141">
        <v>38</v>
      </c>
      <c r="H4141">
        <v>48.35</v>
      </c>
      <c r="I4141">
        <v>4834.97</v>
      </c>
      <c r="J4141">
        <v>5.54</v>
      </c>
      <c r="K4141">
        <v>17.12</v>
      </c>
      <c r="L4141">
        <v>1.27</v>
      </c>
      <c r="M4141">
        <v>100</v>
      </c>
      <c r="N4141">
        <v>4786.62</v>
      </c>
    </row>
    <row r="4142" spans="1:14" x14ac:dyDescent="0.2">
      <c r="A4142" s="1">
        <v>45819</v>
      </c>
      <c r="B4142" s="2" t="s">
        <v>14</v>
      </c>
      <c r="C4142" s="2" t="s">
        <v>28</v>
      </c>
      <c r="D4142" s="2" t="s">
        <v>36</v>
      </c>
      <c r="E4142">
        <v>9619</v>
      </c>
      <c r="F4142">
        <v>347</v>
      </c>
      <c r="G4142">
        <v>37</v>
      </c>
      <c r="H4142">
        <v>1208.51</v>
      </c>
      <c r="I4142">
        <v>5459.97</v>
      </c>
      <c r="J4142">
        <v>3.61</v>
      </c>
      <c r="K4142">
        <v>10.66</v>
      </c>
      <c r="L4142">
        <v>32.659999999999997</v>
      </c>
      <c r="M4142">
        <v>4.5199999999999996</v>
      </c>
      <c r="N4142">
        <v>4251.46</v>
      </c>
    </row>
    <row r="4143" spans="1:14" x14ac:dyDescent="0.2">
      <c r="A4143" s="1">
        <v>45819</v>
      </c>
      <c r="B4143" s="2" t="s">
        <v>17</v>
      </c>
      <c r="C4143" s="2" t="s">
        <v>18</v>
      </c>
      <c r="D4143" s="2" t="s">
        <v>22</v>
      </c>
      <c r="E4143">
        <v>10613</v>
      </c>
      <c r="F4143">
        <v>272</v>
      </c>
      <c r="G4143">
        <v>22</v>
      </c>
      <c r="H4143">
        <v>751.14</v>
      </c>
      <c r="I4143">
        <v>2702.52</v>
      </c>
      <c r="J4143">
        <v>2.56</v>
      </c>
      <c r="K4143">
        <v>8.09</v>
      </c>
      <c r="L4143">
        <v>34.14</v>
      </c>
      <c r="M4143">
        <v>3.6</v>
      </c>
      <c r="N4143">
        <v>1951.38</v>
      </c>
    </row>
    <row r="4144" spans="1:14" x14ac:dyDescent="0.2">
      <c r="A4144" s="1">
        <v>45819</v>
      </c>
      <c r="B4144" s="2" t="s">
        <v>20</v>
      </c>
      <c r="C4144" s="2" t="s">
        <v>18</v>
      </c>
      <c r="D4144" s="2" t="s">
        <v>16</v>
      </c>
      <c r="E4144">
        <v>15062</v>
      </c>
      <c r="F4144">
        <v>551</v>
      </c>
      <c r="G4144">
        <v>43</v>
      </c>
      <c r="H4144">
        <v>714.47</v>
      </c>
      <c r="I4144">
        <v>4896.3599999999997</v>
      </c>
      <c r="J4144">
        <v>3.66</v>
      </c>
      <c r="K4144">
        <v>7.8</v>
      </c>
      <c r="L4144">
        <v>16.62</v>
      </c>
      <c r="M4144">
        <v>6.85</v>
      </c>
      <c r="N4144">
        <v>4181.8900000000003</v>
      </c>
    </row>
    <row r="4145" spans="1:14" x14ac:dyDescent="0.2">
      <c r="A4145" s="1">
        <v>45819</v>
      </c>
      <c r="B4145" s="2" t="s">
        <v>23</v>
      </c>
      <c r="C4145" s="2" t="s">
        <v>15</v>
      </c>
      <c r="D4145" s="2" t="s">
        <v>25</v>
      </c>
      <c r="E4145">
        <v>3815</v>
      </c>
      <c r="F4145">
        <v>79</v>
      </c>
      <c r="G4145">
        <v>11</v>
      </c>
      <c r="H4145">
        <v>978.19</v>
      </c>
      <c r="I4145">
        <v>3728.33</v>
      </c>
      <c r="J4145">
        <v>2.0699999999999998</v>
      </c>
      <c r="K4145">
        <v>13.92</v>
      </c>
      <c r="L4145">
        <v>88.93</v>
      </c>
      <c r="M4145">
        <v>3.81</v>
      </c>
      <c r="N4145">
        <v>2750.14</v>
      </c>
    </row>
    <row r="4146" spans="1:14" x14ac:dyDescent="0.2">
      <c r="A4146" s="1">
        <v>45819</v>
      </c>
      <c r="B4146" s="2" t="s">
        <v>24</v>
      </c>
      <c r="C4146" s="2" t="s">
        <v>32</v>
      </c>
      <c r="D4146" s="2" t="s">
        <v>16</v>
      </c>
      <c r="E4146">
        <v>14924</v>
      </c>
      <c r="F4146">
        <v>3618</v>
      </c>
      <c r="G4146">
        <v>355</v>
      </c>
      <c r="H4146">
        <v>164.82</v>
      </c>
      <c r="I4146">
        <v>42868.11</v>
      </c>
      <c r="J4146">
        <v>24.24</v>
      </c>
      <c r="K4146">
        <v>9.81</v>
      </c>
      <c r="L4146">
        <v>0.46</v>
      </c>
      <c r="M4146">
        <v>260.08999999999997</v>
      </c>
      <c r="N4146">
        <v>42703.29</v>
      </c>
    </row>
    <row r="4147" spans="1:14" x14ac:dyDescent="0.2">
      <c r="A4147" s="1">
        <v>45819</v>
      </c>
      <c r="B4147" s="2" t="s">
        <v>26</v>
      </c>
      <c r="C4147" s="2" t="s">
        <v>28</v>
      </c>
      <c r="D4147" s="2" t="s">
        <v>16</v>
      </c>
      <c r="E4147">
        <v>17080</v>
      </c>
      <c r="F4147">
        <v>748</v>
      </c>
      <c r="G4147">
        <v>75</v>
      </c>
      <c r="H4147">
        <v>0</v>
      </c>
      <c r="I4147">
        <v>7795.51</v>
      </c>
      <c r="J4147">
        <v>4.38</v>
      </c>
      <c r="K4147">
        <v>10.029999999999999</v>
      </c>
      <c r="L4147">
        <v>0</v>
      </c>
      <c r="M4147">
        <v>0</v>
      </c>
      <c r="N4147">
        <v>7795.51</v>
      </c>
    </row>
    <row r="4148" spans="1:14" x14ac:dyDescent="0.2">
      <c r="A4148" s="1">
        <v>45819</v>
      </c>
      <c r="B4148" s="2" t="s">
        <v>27</v>
      </c>
      <c r="C4148" s="2" t="s">
        <v>35</v>
      </c>
      <c r="D4148" s="2" t="s">
        <v>16</v>
      </c>
      <c r="E4148">
        <v>31091</v>
      </c>
      <c r="F4148">
        <v>372</v>
      </c>
      <c r="G4148">
        <v>14</v>
      </c>
      <c r="H4148">
        <v>732.01</v>
      </c>
      <c r="I4148">
        <v>1238.73</v>
      </c>
      <c r="J4148">
        <v>1.2</v>
      </c>
      <c r="K4148">
        <v>3.76</v>
      </c>
      <c r="L4148">
        <v>52.29</v>
      </c>
      <c r="M4148">
        <v>1.69</v>
      </c>
      <c r="N4148">
        <v>506.72</v>
      </c>
    </row>
    <row r="4149" spans="1:14" x14ac:dyDescent="0.2">
      <c r="A4149" s="1">
        <v>45819</v>
      </c>
      <c r="B4149" s="2" t="s">
        <v>29</v>
      </c>
      <c r="C4149" s="2" t="s">
        <v>18</v>
      </c>
      <c r="D4149" s="2" t="s">
        <v>19</v>
      </c>
      <c r="E4149">
        <v>15889</v>
      </c>
      <c r="F4149">
        <v>261</v>
      </c>
      <c r="G4149">
        <v>13</v>
      </c>
      <c r="H4149">
        <v>1174.33</v>
      </c>
      <c r="I4149">
        <v>1417</v>
      </c>
      <c r="J4149">
        <v>1.64</v>
      </c>
      <c r="K4149">
        <v>4.9800000000000004</v>
      </c>
      <c r="L4149">
        <v>90.33</v>
      </c>
      <c r="M4149">
        <v>1.21</v>
      </c>
      <c r="N4149">
        <v>242.67</v>
      </c>
    </row>
    <row r="4150" spans="1:14" x14ac:dyDescent="0.2">
      <c r="A4150" s="1">
        <v>45819</v>
      </c>
      <c r="B4150" s="2" t="s">
        <v>30</v>
      </c>
      <c r="C4150" s="2" t="s">
        <v>15</v>
      </c>
      <c r="D4150" s="2" t="s">
        <v>16</v>
      </c>
      <c r="E4150">
        <v>10948</v>
      </c>
      <c r="F4150">
        <v>332</v>
      </c>
      <c r="G4150">
        <v>9</v>
      </c>
      <c r="H4150">
        <v>575.25</v>
      </c>
      <c r="I4150">
        <v>1025.24</v>
      </c>
      <c r="J4150">
        <v>3.03</v>
      </c>
      <c r="K4150">
        <v>2.71</v>
      </c>
      <c r="L4150">
        <v>63.92</v>
      </c>
      <c r="M4150">
        <v>1.78</v>
      </c>
      <c r="N4150">
        <v>449.99</v>
      </c>
    </row>
    <row r="4151" spans="1:14" x14ac:dyDescent="0.2">
      <c r="A4151" s="1">
        <v>45819</v>
      </c>
      <c r="B4151" s="2" t="s">
        <v>31</v>
      </c>
      <c r="C4151" s="2" t="s">
        <v>18</v>
      </c>
      <c r="D4151" s="2" t="s">
        <v>16</v>
      </c>
      <c r="E4151">
        <v>17859</v>
      </c>
      <c r="F4151">
        <v>663</v>
      </c>
      <c r="G4151">
        <v>33</v>
      </c>
      <c r="H4151">
        <v>873.76</v>
      </c>
      <c r="I4151">
        <v>3098.92</v>
      </c>
      <c r="J4151">
        <v>3.71</v>
      </c>
      <c r="K4151">
        <v>4.9800000000000004</v>
      </c>
      <c r="L4151">
        <v>26.48</v>
      </c>
      <c r="M4151">
        <v>3.55</v>
      </c>
      <c r="N4151">
        <v>2225.16</v>
      </c>
    </row>
    <row r="4152" spans="1:14" x14ac:dyDescent="0.2">
      <c r="A4152" s="1">
        <v>45819</v>
      </c>
      <c r="B4152" s="2" t="s">
        <v>33</v>
      </c>
      <c r="C4152" s="2" t="s">
        <v>32</v>
      </c>
      <c r="D4152" s="2" t="s">
        <v>22</v>
      </c>
      <c r="E4152">
        <v>7185</v>
      </c>
      <c r="F4152">
        <v>453</v>
      </c>
      <c r="G4152">
        <v>51</v>
      </c>
      <c r="H4152">
        <v>435.5</v>
      </c>
      <c r="I4152">
        <v>6143.35</v>
      </c>
      <c r="J4152">
        <v>6.3</v>
      </c>
      <c r="K4152">
        <v>11.26</v>
      </c>
      <c r="L4152">
        <v>8.5399999999999991</v>
      </c>
      <c r="M4152">
        <v>14.11</v>
      </c>
      <c r="N4152">
        <v>5707.85</v>
      </c>
    </row>
    <row r="4153" spans="1:14" x14ac:dyDescent="0.2">
      <c r="A4153" s="1">
        <v>45819</v>
      </c>
      <c r="B4153" s="2" t="s">
        <v>34</v>
      </c>
      <c r="C4153" s="2" t="s">
        <v>32</v>
      </c>
      <c r="D4153" s="2" t="s">
        <v>22</v>
      </c>
      <c r="E4153">
        <v>5812</v>
      </c>
      <c r="F4153">
        <v>495</v>
      </c>
      <c r="G4153">
        <v>62</v>
      </c>
      <c r="H4153">
        <v>83.9</v>
      </c>
      <c r="I4153">
        <v>8179.11</v>
      </c>
      <c r="J4153">
        <v>8.52</v>
      </c>
      <c r="K4153">
        <v>12.53</v>
      </c>
      <c r="L4153">
        <v>1.35</v>
      </c>
      <c r="M4153">
        <v>97.49</v>
      </c>
      <c r="N4153">
        <v>8095.21</v>
      </c>
    </row>
    <row r="4154" spans="1:14" x14ac:dyDescent="0.2">
      <c r="A4154" s="1">
        <v>45820</v>
      </c>
      <c r="B4154" s="2" t="s">
        <v>14</v>
      </c>
      <c r="C4154" s="2" t="s">
        <v>21</v>
      </c>
      <c r="D4154" s="2" t="s">
        <v>19</v>
      </c>
      <c r="E4154">
        <v>8581</v>
      </c>
      <c r="F4154">
        <v>292</v>
      </c>
      <c r="G4154">
        <v>34</v>
      </c>
      <c r="H4154">
        <v>837.27</v>
      </c>
      <c r="I4154">
        <v>5572.33</v>
      </c>
      <c r="J4154">
        <v>3.4</v>
      </c>
      <c r="K4154">
        <v>11.64</v>
      </c>
      <c r="L4154">
        <v>24.63</v>
      </c>
      <c r="M4154">
        <v>6.66</v>
      </c>
      <c r="N4154">
        <v>4735.0600000000004</v>
      </c>
    </row>
    <row r="4155" spans="1:14" x14ac:dyDescent="0.2">
      <c r="A4155" s="1">
        <v>45820</v>
      </c>
      <c r="B4155" s="2" t="s">
        <v>17</v>
      </c>
      <c r="C4155" s="2" t="s">
        <v>18</v>
      </c>
      <c r="D4155" s="2" t="s">
        <v>16</v>
      </c>
      <c r="E4155">
        <v>15090</v>
      </c>
      <c r="F4155">
        <v>426</v>
      </c>
      <c r="G4155">
        <v>32</v>
      </c>
      <c r="H4155">
        <v>762.32</v>
      </c>
      <c r="I4155">
        <v>4222.8500000000004</v>
      </c>
      <c r="J4155">
        <v>2.82</v>
      </c>
      <c r="K4155">
        <v>7.51</v>
      </c>
      <c r="L4155">
        <v>23.82</v>
      </c>
      <c r="M4155">
        <v>5.54</v>
      </c>
      <c r="N4155">
        <v>3460.53</v>
      </c>
    </row>
    <row r="4156" spans="1:14" x14ac:dyDescent="0.2">
      <c r="A4156" s="1">
        <v>45820</v>
      </c>
      <c r="B4156" s="2" t="s">
        <v>20</v>
      </c>
      <c r="C4156" s="2" t="s">
        <v>21</v>
      </c>
      <c r="D4156" s="2" t="s">
        <v>19</v>
      </c>
      <c r="E4156">
        <v>10952</v>
      </c>
      <c r="F4156">
        <v>451</v>
      </c>
      <c r="G4156">
        <v>28</v>
      </c>
      <c r="H4156">
        <v>558.21</v>
      </c>
      <c r="I4156">
        <v>2256.62</v>
      </c>
      <c r="J4156">
        <v>4.12</v>
      </c>
      <c r="K4156">
        <v>6.21</v>
      </c>
      <c r="L4156">
        <v>19.940000000000001</v>
      </c>
      <c r="M4156">
        <v>4.04</v>
      </c>
      <c r="N4156">
        <v>1698.41</v>
      </c>
    </row>
    <row r="4157" spans="1:14" x14ac:dyDescent="0.2">
      <c r="A4157" s="1">
        <v>45820</v>
      </c>
      <c r="B4157" s="2" t="s">
        <v>23</v>
      </c>
      <c r="C4157" s="2" t="s">
        <v>32</v>
      </c>
      <c r="D4157" s="2" t="s">
        <v>19</v>
      </c>
      <c r="E4157">
        <v>4189</v>
      </c>
      <c r="F4157">
        <v>79</v>
      </c>
      <c r="G4157">
        <v>11</v>
      </c>
      <c r="H4157">
        <v>871.03</v>
      </c>
      <c r="I4157">
        <v>2588.0100000000002</v>
      </c>
      <c r="J4157">
        <v>1.89</v>
      </c>
      <c r="K4157">
        <v>13.92</v>
      </c>
      <c r="L4157">
        <v>79.180000000000007</v>
      </c>
      <c r="M4157">
        <v>2.97</v>
      </c>
      <c r="N4157">
        <v>1716.98</v>
      </c>
    </row>
    <row r="4158" spans="1:14" x14ac:dyDescent="0.2">
      <c r="A4158" s="1">
        <v>45820</v>
      </c>
      <c r="B4158" s="2" t="s">
        <v>24</v>
      </c>
      <c r="C4158" s="2" t="s">
        <v>35</v>
      </c>
      <c r="D4158" s="2" t="s">
        <v>22</v>
      </c>
      <c r="E4158">
        <v>19113</v>
      </c>
      <c r="F4158">
        <v>4371</v>
      </c>
      <c r="G4158">
        <v>587</v>
      </c>
      <c r="H4158">
        <v>107.44</v>
      </c>
      <c r="I4158">
        <v>81903.490000000005</v>
      </c>
      <c r="J4158">
        <v>22.87</v>
      </c>
      <c r="K4158">
        <v>13.43</v>
      </c>
      <c r="L4158">
        <v>0.18</v>
      </c>
      <c r="M4158">
        <v>762.32</v>
      </c>
      <c r="N4158">
        <v>81796.05</v>
      </c>
    </row>
    <row r="4159" spans="1:14" x14ac:dyDescent="0.2">
      <c r="A4159" s="1">
        <v>45820</v>
      </c>
      <c r="B4159" s="2" t="s">
        <v>26</v>
      </c>
      <c r="C4159" s="2" t="s">
        <v>32</v>
      </c>
      <c r="D4159" s="2" t="s">
        <v>25</v>
      </c>
      <c r="E4159">
        <v>18565</v>
      </c>
      <c r="F4159">
        <v>977</v>
      </c>
      <c r="G4159">
        <v>98</v>
      </c>
      <c r="H4159">
        <v>0</v>
      </c>
      <c r="I4159">
        <v>15577.12</v>
      </c>
      <c r="J4159">
        <v>5.26</v>
      </c>
      <c r="K4159">
        <v>10.029999999999999</v>
      </c>
      <c r="L4159">
        <v>0</v>
      </c>
      <c r="M4159">
        <v>0</v>
      </c>
      <c r="N4159">
        <v>15577.12</v>
      </c>
    </row>
    <row r="4160" spans="1:14" x14ac:dyDescent="0.2">
      <c r="A4160" s="1">
        <v>45820</v>
      </c>
      <c r="B4160" s="2" t="s">
        <v>27</v>
      </c>
      <c r="C4160" s="2" t="s">
        <v>21</v>
      </c>
      <c r="D4160" s="2" t="s">
        <v>25</v>
      </c>
      <c r="E4160">
        <v>24308</v>
      </c>
      <c r="F4160">
        <v>468</v>
      </c>
      <c r="G4160">
        <v>10</v>
      </c>
      <c r="H4160">
        <v>820.28</v>
      </c>
      <c r="I4160">
        <v>856.97</v>
      </c>
      <c r="J4160">
        <v>1.93</v>
      </c>
      <c r="K4160">
        <v>2.14</v>
      </c>
      <c r="L4160">
        <v>82.03</v>
      </c>
      <c r="M4160">
        <v>1.04</v>
      </c>
      <c r="N4160">
        <v>36.69</v>
      </c>
    </row>
    <row r="4161" spans="1:14" x14ac:dyDescent="0.2">
      <c r="A4161" s="1">
        <v>45820</v>
      </c>
      <c r="B4161" s="2" t="s">
        <v>29</v>
      </c>
      <c r="C4161" s="2" t="s">
        <v>32</v>
      </c>
      <c r="D4161" s="2" t="s">
        <v>16</v>
      </c>
      <c r="E4161">
        <v>15007</v>
      </c>
      <c r="F4161">
        <v>288</v>
      </c>
      <c r="G4161">
        <v>15</v>
      </c>
      <c r="H4161">
        <v>1096.07</v>
      </c>
      <c r="I4161">
        <v>2229.6799999999998</v>
      </c>
      <c r="J4161">
        <v>1.92</v>
      </c>
      <c r="K4161">
        <v>5.21</v>
      </c>
      <c r="L4161">
        <v>73.069999999999993</v>
      </c>
      <c r="M4161">
        <v>2.0299999999999998</v>
      </c>
      <c r="N4161">
        <v>1133.6099999999999</v>
      </c>
    </row>
    <row r="4162" spans="1:14" x14ac:dyDescent="0.2">
      <c r="A4162" s="1">
        <v>45820</v>
      </c>
      <c r="B4162" s="2" t="s">
        <v>30</v>
      </c>
      <c r="C4162" s="2" t="s">
        <v>18</v>
      </c>
      <c r="D4162" s="2" t="s">
        <v>25</v>
      </c>
      <c r="E4162">
        <v>8977</v>
      </c>
      <c r="F4162">
        <v>240</v>
      </c>
      <c r="G4162">
        <v>13</v>
      </c>
      <c r="H4162">
        <v>581.34</v>
      </c>
      <c r="I4162">
        <v>1324.83</v>
      </c>
      <c r="J4162">
        <v>2.67</v>
      </c>
      <c r="K4162">
        <v>5.42</v>
      </c>
      <c r="L4162">
        <v>44.72</v>
      </c>
      <c r="M4162">
        <v>2.2799999999999998</v>
      </c>
      <c r="N4162">
        <v>743.49</v>
      </c>
    </row>
    <row r="4163" spans="1:14" x14ac:dyDescent="0.2">
      <c r="A4163" s="1">
        <v>45820</v>
      </c>
      <c r="B4163" s="2" t="s">
        <v>31</v>
      </c>
      <c r="C4163" s="2" t="s">
        <v>18</v>
      </c>
      <c r="D4163" s="2" t="s">
        <v>25</v>
      </c>
      <c r="E4163">
        <v>20532</v>
      </c>
      <c r="F4163">
        <v>596</v>
      </c>
      <c r="G4163">
        <v>21</v>
      </c>
      <c r="H4163">
        <v>804.66</v>
      </c>
      <c r="I4163">
        <v>2135.69</v>
      </c>
      <c r="J4163">
        <v>2.9</v>
      </c>
      <c r="K4163">
        <v>3.52</v>
      </c>
      <c r="L4163">
        <v>38.32</v>
      </c>
      <c r="M4163">
        <v>2.65</v>
      </c>
      <c r="N4163">
        <v>1331.03</v>
      </c>
    </row>
    <row r="4164" spans="1:14" x14ac:dyDescent="0.2">
      <c r="A4164" s="1">
        <v>45820</v>
      </c>
      <c r="B4164" s="2" t="s">
        <v>33</v>
      </c>
      <c r="C4164" s="2" t="s">
        <v>21</v>
      </c>
      <c r="D4164" s="2" t="s">
        <v>22</v>
      </c>
      <c r="E4164">
        <v>4878</v>
      </c>
      <c r="F4164">
        <v>275</v>
      </c>
      <c r="G4164">
        <v>28</v>
      </c>
      <c r="H4164">
        <v>488.03</v>
      </c>
      <c r="I4164">
        <v>3640.04</v>
      </c>
      <c r="J4164">
        <v>5.64</v>
      </c>
      <c r="K4164">
        <v>10.18</v>
      </c>
      <c r="L4164">
        <v>17.43</v>
      </c>
      <c r="M4164">
        <v>7.46</v>
      </c>
      <c r="N4164">
        <v>3152.01</v>
      </c>
    </row>
    <row r="4165" spans="1:14" x14ac:dyDescent="0.2">
      <c r="A4165" s="1">
        <v>45820</v>
      </c>
      <c r="B4165" s="2" t="s">
        <v>34</v>
      </c>
      <c r="C4165" s="2" t="s">
        <v>35</v>
      </c>
      <c r="D4165" s="2" t="s">
        <v>22</v>
      </c>
      <c r="E4165">
        <v>3607</v>
      </c>
      <c r="F4165">
        <v>226</v>
      </c>
      <c r="G4165">
        <v>31</v>
      </c>
      <c r="H4165">
        <v>85.05</v>
      </c>
      <c r="I4165">
        <v>5351.69</v>
      </c>
      <c r="J4165">
        <v>6.27</v>
      </c>
      <c r="K4165">
        <v>13.72</v>
      </c>
      <c r="L4165">
        <v>2.74</v>
      </c>
      <c r="M4165">
        <v>62.92</v>
      </c>
      <c r="N4165">
        <v>5266.64</v>
      </c>
    </row>
    <row r="4166" spans="1:14" x14ac:dyDescent="0.2">
      <c r="A4166" s="1">
        <v>45821</v>
      </c>
      <c r="B4166" s="2" t="s">
        <v>14</v>
      </c>
      <c r="C4166" s="2" t="s">
        <v>32</v>
      </c>
      <c r="D4166" s="2" t="s">
        <v>16</v>
      </c>
      <c r="E4166">
        <v>11334</v>
      </c>
      <c r="F4166">
        <v>374</v>
      </c>
      <c r="G4166">
        <v>42</v>
      </c>
      <c r="H4166">
        <v>837.12</v>
      </c>
      <c r="I4166">
        <v>5109.3999999999996</v>
      </c>
      <c r="J4166">
        <v>3.3</v>
      </c>
      <c r="K4166">
        <v>11.23</v>
      </c>
      <c r="L4166">
        <v>19.93</v>
      </c>
      <c r="M4166">
        <v>6.1</v>
      </c>
      <c r="N4166">
        <v>4272.28</v>
      </c>
    </row>
    <row r="4167" spans="1:14" x14ac:dyDescent="0.2">
      <c r="A4167" s="1">
        <v>45821</v>
      </c>
      <c r="B4167" s="2" t="s">
        <v>17</v>
      </c>
      <c r="C4167" s="2" t="s">
        <v>15</v>
      </c>
      <c r="D4167" s="2" t="s">
        <v>16</v>
      </c>
      <c r="E4167">
        <v>11175</v>
      </c>
      <c r="F4167">
        <v>286</v>
      </c>
      <c r="G4167">
        <v>24</v>
      </c>
      <c r="H4167">
        <v>825.37</v>
      </c>
      <c r="I4167">
        <v>3054.2</v>
      </c>
      <c r="J4167">
        <v>2.56</v>
      </c>
      <c r="K4167">
        <v>8.39</v>
      </c>
      <c r="L4167">
        <v>34.39</v>
      </c>
      <c r="M4167">
        <v>3.7</v>
      </c>
      <c r="N4167">
        <v>2228.83</v>
      </c>
    </row>
    <row r="4168" spans="1:14" x14ac:dyDescent="0.2">
      <c r="A4168" s="1">
        <v>45821</v>
      </c>
      <c r="B4168" s="2" t="s">
        <v>20</v>
      </c>
      <c r="C4168" s="2" t="s">
        <v>21</v>
      </c>
      <c r="D4168" s="2" t="s">
        <v>25</v>
      </c>
      <c r="E4168">
        <v>15008</v>
      </c>
      <c r="F4168">
        <v>671</v>
      </c>
      <c r="G4168">
        <v>28</v>
      </c>
      <c r="H4168">
        <v>556.23</v>
      </c>
      <c r="I4168">
        <v>2429.4</v>
      </c>
      <c r="J4168">
        <v>4.47</v>
      </c>
      <c r="K4168">
        <v>4.17</v>
      </c>
      <c r="L4168">
        <v>19.87</v>
      </c>
      <c r="M4168">
        <v>4.37</v>
      </c>
      <c r="N4168">
        <v>1873.17</v>
      </c>
    </row>
    <row r="4169" spans="1:14" x14ac:dyDescent="0.2">
      <c r="A4169" s="1">
        <v>45821</v>
      </c>
      <c r="B4169" s="2" t="s">
        <v>23</v>
      </c>
      <c r="C4169" s="2" t="s">
        <v>15</v>
      </c>
      <c r="D4169" s="2" t="s">
        <v>36</v>
      </c>
      <c r="E4169">
        <v>4904</v>
      </c>
      <c r="F4169">
        <v>86</v>
      </c>
      <c r="G4169">
        <v>9</v>
      </c>
      <c r="H4169">
        <v>1377.85</v>
      </c>
      <c r="I4169">
        <v>1821.15</v>
      </c>
      <c r="J4169">
        <v>1.75</v>
      </c>
      <c r="K4169">
        <v>10.47</v>
      </c>
      <c r="L4169">
        <v>153.09</v>
      </c>
      <c r="M4169">
        <v>1.32</v>
      </c>
      <c r="N4169">
        <v>443.3</v>
      </c>
    </row>
    <row r="4170" spans="1:14" x14ac:dyDescent="0.2">
      <c r="A4170" s="1">
        <v>45821</v>
      </c>
      <c r="B4170" s="2" t="s">
        <v>24</v>
      </c>
      <c r="C4170" s="2" t="s">
        <v>35</v>
      </c>
      <c r="D4170" s="2" t="s">
        <v>25</v>
      </c>
      <c r="E4170">
        <v>18612</v>
      </c>
      <c r="F4170">
        <v>3956</v>
      </c>
      <c r="G4170">
        <v>508</v>
      </c>
      <c r="H4170">
        <v>218.06</v>
      </c>
      <c r="I4170">
        <v>71061.72</v>
      </c>
      <c r="J4170">
        <v>21.26</v>
      </c>
      <c r="K4170">
        <v>12.84</v>
      </c>
      <c r="L4170">
        <v>0.43</v>
      </c>
      <c r="M4170">
        <v>325.88</v>
      </c>
      <c r="N4170">
        <v>70843.66</v>
      </c>
    </row>
    <row r="4171" spans="1:14" x14ac:dyDescent="0.2">
      <c r="A4171" s="1">
        <v>45821</v>
      </c>
      <c r="B4171" s="2" t="s">
        <v>26</v>
      </c>
      <c r="C4171" s="2" t="s">
        <v>21</v>
      </c>
      <c r="D4171" s="2" t="s">
        <v>36</v>
      </c>
      <c r="E4171">
        <v>19051</v>
      </c>
      <c r="F4171">
        <v>949</v>
      </c>
      <c r="G4171">
        <v>129</v>
      </c>
      <c r="H4171">
        <v>0</v>
      </c>
      <c r="I4171">
        <v>20093.14</v>
      </c>
      <c r="J4171">
        <v>4.9800000000000004</v>
      </c>
      <c r="K4171">
        <v>13.59</v>
      </c>
      <c r="L4171">
        <v>0</v>
      </c>
      <c r="M4171">
        <v>0</v>
      </c>
      <c r="N4171">
        <v>20093.14</v>
      </c>
    </row>
    <row r="4172" spans="1:14" x14ac:dyDescent="0.2">
      <c r="A4172" s="1">
        <v>45821</v>
      </c>
      <c r="B4172" s="2" t="s">
        <v>27</v>
      </c>
      <c r="C4172" s="2" t="s">
        <v>15</v>
      </c>
      <c r="D4172" s="2" t="s">
        <v>16</v>
      </c>
      <c r="E4172">
        <v>26592</v>
      </c>
      <c r="F4172">
        <v>498</v>
      </c>
      <c r="G4172">
        <v>23</v>
      </c>
      <c r="H4172">
        <v>826.27</v>
      </c>
      <c r="I4172">
        <v>2433.1799999999998</v>
      </c>
      <c r="J4172">
        <v>1.87</v>
      </c>
      <c r="K4172">
        <v>4.62</v>
      </c>
      <c r="L4172">
        <v>35.92</v>
      </c>
      <c r="M4172">
        <v>2.94</v>
      </c>
      <c r="N4172">
        <v>1606.91</v>
      </c>
    </row>
    <row r="4173" spans="1:14" x14ac:dyDescent="0.2">
      <c r="A4173" s="1">
        <v>45821</v>
      </c>
      <c r="B4173" s="2" t="s">
        <v>29</v>
      </c>
      <c r="C4173" s="2" t="s">
        <v>21</v>
      </c>
      <c r="D4173" s="2" t="s">
        <v>19</v>
      </c>
      <c r="E4173">
        <v>13181</v>
      </c>
      <c r="F4173">
        <v>254</v>
      </c>
      <c r="G4173">
        <v>13</v>
      </c>
      <c r="H4173">
        <v>1070.05</v>
      </c>
      <c r="I4173">
        <v>1276.5899999999999</v>
      </c>
      <c r="J4173">
        <v>1.93</v>
      </c>
      <c r="K4173">
        <v>5.12</v>
      </c>
      <c r="L4173">
        <v>82.31</v>
      </c>
      <c r="M4173">
        <v>1.19</v>
      </c>
      <c r="N4173">
        <v>206.54</v>
      </c>
    </row>
    <row r="4174" spans="1:14" x14ac:dyDescent="0.2">
      <c r="A4174" s="1">
        <v>45821</v>
      </c>
      <c r="B4174" s="2" t="s">
        <v>30</v>
      </c>
      <c r="C4174" s="2" t="s">
        <v>28</v>
      </c>
      <c r="D4174" s="2" t="s">
        <v>36</v>
      </c>
      <c r="E4174">
        <v>8049</v>
      </c>
      <c r="F4174">
        <v>174</v>
      </c>
      <c r="G4174">
        <v>5</v>
      </c>
      <c r="H4174">
        <v>343.65</v>
      </c>
      <c r="I4174">
        <v>415.56</v>
      </c>
      <c r="J4174">
        <v>2.16</v>
      </c>
      <c r="K4174">
        <v>2.87</v>
      </c>
      <c r="L4174">
        <v>68.73</v>
      </c>
      <c r="M4174">
        <v>1.21</v>
      </c>
      <c r="N4174">
        <v>71.91</v>
      </c>
    </row>
    <row r="4175" spans="1:14" x14ac:dyDescent="0.2">
      <c r="A4175" s="1">
        <v>45821</v>
      </c>
      <c r="B4175" s="2" t="s">
        <v>31</v>
      </c>
      <c r="C4175" s="2" t="s">
        <v>21</v>
      </c>
      <c r="D4175" s="2" t="s">
        <v>25</v>
      </c>
      <c r="E4175">
        <v>16753</v>
      </c>
      <c r="F4175">
        <v>423</v>
      </c>
      <c r="G4175">
        <v>14</v>
      </c>
      <c r="H4175">
        <v>687.71</v>
      </c>
      <c r="I4175">
        <v>1341.17</v>
      </c>
      <c r="J4175">
        <v>2.52</v>
      </c>
      <c r="K4175">
        <v>3.31</v>
      </c>
      <c r="L4175">
        <v>49.12</v>
      </c>
      <c r="M4175">
        <v>1.95</v>
      </c>
      <c r="N4175">
        <v>653.46</v>
      </c>
    </row>
    <row r="4176" spans="1:14" x14ac:dyDescent="0.2">
      <c r="A4176" s="1">
        <v>45821</v>
      </c>
      <c r="B4176" s="2" t="s">
        <v>33</v>
      </c>
      <c r="C4176" s="2" t="s">
        <v>21</v>
      </c>
      <c r="D4176" s="2" t="s">
        <v>36</v>
      </c>
      <c r="E4176">
        <v>6044</v>
      </c>
      <c r="F4176">
        <v>312</v>
      </c>
      <c r="G4176">
        <v>27</v>
      </c>
      <c r="H4176">
        <v>258.49</v>
      </c>
      <c r="I4176">
        <v>3989.36</v>
      </c>
      <c r="J4176">
        <v>5.16</v>
      </c>
      <c r="K4176">
        <v>8.65</v>
      </c>
      <c r="L4176">
        <v>9.57</v>
      </c>
      <c r="M4176">
        <v>15.43</v>
      </c>
      <c r="N4176">
        <v>3730.87</v>
      </c>
    </row>
    <row r="4177" spans="1:14" x14ac:dyDescent="0.2">
      <c r="A4177" s="1">
        <v>45821</v>
      </c>
      <c r="B4177" s="2" t="s">
        <v>34</v>
      </c>
      <c r="C4177" s="2" t="s">
        <v>18</v>
      </c>
      <c r="D4177" s="2" t="s">
        <v>19</v>
      </c>
      <c r="E4177">
        <v>3971</v>
      </c>
      <c r="F4177">
        <v>316</v>
      </c>
      <c r="G4177">
        <v>39</v>
      </c>
      <c r="H4177">
        <v>138.09</v>
      </c>
      <c r="I4177">
        <v>5451.96</v>
      </c>
      <c r="J4177">
        <v>7.96</v>
      </c>
      <c r="K4177">
        <v>12.34</v>
      </c>
      <c r="L4177">
        <v>3.54</v>
      </c>
      <c r="M4177">
        <v>39.479999999999997</v>
      </c>
      <c r="N4177">
        <v>5313.87</v>
      </c>
    </row>
    <row r="4178" spans="1:14" x14ac:dyDescent="0.2">
      <c r="A4178" s="1">
        <v>45822</v>
      </c>
      <c r="B4178" s="2" t="s">
        <v>14</v>
      </c>
      <c r="C4178" s="2" t="s">
        <v>18</v>
      </c>
      <c r="D4178" s="2" t="s">
        <v>36</v>
      </c>
      <c r="E4178">
        <v>8353</v>
      </c>
      <c r="F4178">
        <v>370</v>
      </c>
      <c r="G4178">
        <v>30</v>
      </c>
      <c r="H4178">
        <v>805.45</v>
      </c>
      <c r="I4178">
        <v>4810.87</v>
      </c>
      <c r="J4178">
        <v>4.43</v>
      </c>
      <c r="K4178">
        <v>8.11</v>
      </c>
      <c r="L4178">
        <v>26.85</v>
      </c>
      <c r="M4178">
        <v>5.97</v>
      </c>
      <c r="N4178">
        <v>4005.42</v>
      </c>
    </row>
    <row r="4179" spans="1:14" x14ac:dyDescent="0.2">
      <c r="A4179" s="1">
        <v>45822</v>
      </c>
      <c r="B4179" s="2" t="s">
        <v>17</v>
      </c>
      <c r="C4179" s="2" t="s">
        <v>18</v>
      </c>
      <c r="D4179" s="2" t="s">
        <v>25</v>
      </c>
      <c r="E4179">
        <v>7235</v>
      </c>
      <c r="F4179">
        <v>172</v>
      </c>
      <c r="G4179">
        <v>11</v>
      </c>
      <c r="H4179">
        <v>378.9</v>
      </c>
      <c r="I4179">
        <v>1074.67</v>
      </c>
      <c r="J4179">
        <v>2.38</v>
      </c>
      <c r="K4179">
        <v>6.4</v>
      </c>
      <c r="L4179">
        <v>34.450000000000003</v>
      </c>
      <c r="M4179">
        <v>2.84</v>
      </c>
      <c r="N4179">
        <v>695.77</v>
      </c>
    </row>
    <row r="4180" spans="1:14" x14ac:dyDescent="0.2">
      <c r="A4180" s="1">
        <v>45822</v>
      </c>
      <c r="B4180" s="2" t="s">
        <v>20</v>
      </c>
      <c r="C4180" s="2" t="s">
        <v>21</v>
      </c>
      <c r="D4180" s="2" t="s">
        <v>36</v>
      </c>
      <c r="E4180">
        <v>9185</v>
      </c>
      <c r="F4180">
        <v>247</v>
      </c>
      <c r="G4180">
        <v>11</v>
      </c>
      <c r="H4180">
        <v>429.6</v>
      </c>
      <c r="I4180">
        <v>940.78</v>
      </c>
      <c r="J4180">
        <v>2.69</v>
      </c>
      <c r="K4180">
        <v>4.45</v>
      </c>
      <c r="L4180">
        <v>39.049999999999997</v>
      </c>
      <c r="M4180">
        <v>2.19</v>
      </c>
      <c r="N4180">
        <v>511.18</v>
      </c>
    </row>
    <row r="4181" spans="1:14" x14ac:dyDescent="0.2">
      <c r="A4181" s="1">
        <v>45822</v>
      </c>
      <c r="B4181" s="2" t="s">
        <v>23</v>
      </c>
      <c r="C4181" s="2" t="s">
        <v>35</v>
      </c>
      <c r="D4181" s="2" t="s">
        <v>19</v>
      </c>
      <c r="E4181">
        <v>2193</v>
      </c>
      <c r="F4181">
        <v>49</v>
      </c>
      <c r="G4181">
        <v>4</v>
      </c>
      <c r="H4181">
        <v>831.82</v>
      </c>
      <c r="I4181">
        <v>1340.85</v>
      </c>
      <c r="J4181">
        <v>2.23</v>
      </c>
      <c r="K4181">
        <v>8.16</v>
      </c>
      <c r="L4181">
        <v>207.96</v>
      </c>
      <c r="M4181">
        <v>1.61</v>
      </c>
      <c r="N4181">
        <v>509.03</v>
      </c>
    </row>
    <row r="4182" spans="1:14" x14ac:dyDescent="0.2">
      <c r="A4182" s="1">
        <v>45822</v>
      </c>
      <c r="B4182" s="2" t="s">
        <v>24</v>
      </c>
      <c r="C4182" s="2" t="s">
        <v>32</v>
      </c>
      <c r="D4182" s="2" t="s">
        <v>16</v>
      </c>
      <c r="E4182">
        <v>9592</v>
      </c>
      <c r="F4182">
        <v>1536</v>
      </c>
      <c r="G4182">
        <v>164</v>
      </c>
      <c r="H4182">
        <v>116.86</v>
      </c>
      <c r="I4182">
        <v>21216.880000000001</v>
      </c>
      <c r="J4182">
        <v>16.010000000000002</v>
      </c>
      <c r="K4182">
        <v>10.68</v>
      </c>
      <c r="L4182">
        <v>0.71</v>
      </c>
      <c r="M4182">
        <v>181.56</v>
      </c>
      <c r="N4182">
        <v>21100.02</v>
      </c>
    </row>
    <row r="4183" spans="1:14" x14ac:dyDescent="0.2">
      <c r="A4183" s="1">
        <v>45822</v>
      </c>
      <c r="B4183" s="2" t="s">
        <v>26</v>
      </c>
      <c r="C4183" s="2" t="s">
        <v>18</v>
      </c>
      <c r="D4183" s="2" t="s">
        <v>19</v>
      </c>
      <c r="E4183">
        <v>14961</v>
      </c>
      <c r="F4183">
        <v>1175</v>
      </c>
      <c r="G4183">
        <v>142</v>
      </c>
      <c r="H4183">
        <v>0</v>
      </c>
      <c r="I4183">
        <v>18649.55</v>
      </c>
      <c r="J4183">
        <v>7.85</v>
      </c>
      <c r="K4183">
        <v>12.09</v>
      </c>
      <c r="L4183">
        <v>0</v>
      </c>
      <c r="M4183">
        <v>0</v>
      </c>
      <c r="N4183">
        <v>18649.55</v>
      </c>
    </row>
    <row r="4184" spans="1:14" x14ac:dyDescent="0.2">
      <c r="A4184" s="1">
        <v>45822</v>
      </c>
      <c r="B4184" s="2" t="s">
        <v>27</v>
      </c>
      <c r="C4184" s="2" t="s">
        <v>28</v>
      </c>
      <c r="D4184" s="2" t="s">
        <v>16</v>
      </c>
      <c r="E4184">
        <v>21671</v>
      </c>
      <c r="F4184">
        <v>251</v>
      </c>
      <c r="G4184">
        <v>5</v>
      </c>
      <c r="H4184">
        <v>743.96</v>
      </c>
      <c r="I4184">
        <v>567.21</v>
      </c>
      <c r="J4184">
        <v>1.1599999999999999</v>
      </c>
      <c r="K4184">
        <v>1.99</v>
      </c>
      <c r="L4184">
        <v>148.79</v>
      </c>
      <c r="M4184">
        <v>0.76</v>
      </c>
      <c r="N4184">
        <v>-176.75</v>
      </c>
    </row>
    <row r="4185" spans="1:14" x14ac:dyDescent="0.2">
      <c r="A4185" s="1">
        <v>45822</v>
      </c>
      <c r="B4185" s="2" t="s">
        <v>29</v>
      </c>
      <c r="C4185" s="2" t="s">
        <v>28</v>
      </c>
      <c r="D4185" s="2" t="s">
        <v>19</v>
      </c>
      <c r="E4185">
        <v>14830</v>
      </c>
      <c r="F4185">
        <v>300</v>
      </c>
      <c r="G4185">
        <v>20</v>
      </c>
      <c r="H4185">
        <v>623.39</v>
      </c>
      <c r="I4185">
        <v>1759</v>
      </c>
      <c r="J4185">
        <v>2.02</v>
      </c>
      <c r="K4185">
        <v>6.67</v>
      </c>
      <c r="L4185">
        <v>31.17</v>
      </c>
      <c r="M4185">
        <v>2.82</v>
      </c>
      <c r="N4185">
        <v>1135.6099999999999</v>
      </c>
    </row>
    <row r="4186" spans="1:14" x14ac:dyDescent="0.2">
      <c r="A4186" s="1">
        <v>45822</v>
      </c>
      <c r="B4186" s="2" t="s">
        <v>30</v>
      </c>
      <c r="C4186" s="2" t="s">
        <v>28</v>
      </c>
      <c r="D4186" s="2" t="s">
        <v>25</v>
      </c>
      <c r="E4186">
        <v>6987</v>
      </c>
      <c r="F4186">
        <v>148</v>
      </c>
      <c r="G4186">
        <v>7</v>
      </c>
      <c r="H4186">
        <v>348.42</v>
      </c>
      <c r="I4186">
        <v>687.07</v>
      </c>
      <c r="J4186">
        <v>2.12</v>
      </c>
      <c r="K4186">
        <v>4.7300000000000004</v>
      </c>
      <c r="L4186">
        <v>49.77</v>
      </c>
      <c r="M4186">
        <v>1.97</v>
      </c>
      <c r="N4186">
        <v>338.65</v>
      </c>
    </row>
    <row r="4187" spans="1:14" x14ac:dyDescent="0.2">
      <c r="A4187" s="1">
        <v>45822</v>
      </c>
      <c r="B4187" s="2" t="s">
        <v>31</v>
      </c>
      <c r="C4187" s="2" t="s">
        <v>15</v>
      </c>
      <c r="D4187" s="2" t="s">
        <v>19</v>
      </c>
      <c r="E4187">
        <v>11517</v>
      </c>
      <c r="F4187">
        <v>409</v>
      </c>
      <c r="G4187">
        <v>25</v>
      </c>
      <c r="H4187">
        <v>362.96</v>
      </c>
      <c r="I4187">
        <v>2708.92</v>
      </c>
      <c r="J4187">
        <v>3.55</v>
      </c>
      <c r="K4187">
        <v>6.11</v>
      </c>
      <c r="L4187">
        <v>14.52</v>
      </c>
      <c r="M4187">
        <v>7.46</v>
      </c>
      <c r="N4187">
        <v>2345.96</v>
      </c>
    </row>
    <row r="4188" spans="1:14" x14ac:dyDescent="0.2">
      <c r="A4188" s="1">
        <v>45822</v>
      </c>
      <c r="B4188" s="2" t="s">
        <v>33</v>
      </c>
      <c r="C4188" s="2" t="s">
        <v>15</v>
      </c>
      <c r="D4188" s="2" t="s">
        <v>36</v>
      </c>
      <c r="E4188">
        <v>4019</v>
      </c>
      <c r="F4188">
        <v>227</v>
      </c>
      <c r="G4188">
        <v>24</v>
      </c>
      <c r="H4188">
        <v>323.93</v>
      </c>
      <c r="I4188">
        <v>3033.06</v>
      </c>
      <c r="J4188">
        <v>5.65</v>
      </c>
      <c r="K4188">
        <v>10.57</v>
      </c>
      <c r="L4188">
        <v>13.5</v>
      </c>
      <c r="M4188">
        <v>9.36</v>
      </c>
      <c r="N4188">
        <v>2709.13</v>
      </c>
    </row>
    <row r="4189" spans="1:14" x14ac:dyDescent="0.2">
      <c r="A4189" s="1">
        <v>45822</v>
      </c>
      <c r="B4189" s="2" t="s">
        <v>34</v>
      </c>
      <c r="C4189" s="2" t="s">
        <v>21</v>
      </c>
      <c r="D4189" s="2" t="s">
        <v>25</v>
      </c>
      <c r="E4189">
        <v>3550</v>
      </c>
      <c r="F4189">
        <v>202</v>
      </c>
      <c r="G4189">
        <v>27</v>
      </c>
      <c r="H4189">
        <v>73.09</v>
      </c>
      <c r="I4189">
        <v>4513.42</v>
      </c>
      <c r="J4189">
        <v>5.69</v>
      </c>
      <c r="K4189">
        <v>13.37</v>
      </c>
      <c r="L4189">
        <v>2.71</v>
      </c>
      <c r="M4189">
        <v>61.75</v>
      </c>
      <c r="N4189">
        <v>4440.33</v>
      </c>
    </row>
    <row r="4190" spans="1:14" x14ac:dyDescent="0.2">
      <c r="A4190" s="1">
        <v>45823</v>
      </c>
      <c r="B4190" s="2" t="s">
        <v>14</v>
      </c>
      <c r="C4190" s="2" t="s">
        <v>28</v>
      </c>
      <c r="D4190" s="2" t="s">
        <v>19</v>
      </c>
      <c r="E4190">
        <v>5741</v>
      </c>
      <c r="F4190">
        <v>248</v>
      </c>
      <c r="G4190">
        <v>25</v>
      </c>
      <c r="H4190">
        <v>794.83</v>
      </c>
      <c r="I4190">
        <v>3341.08</v>
      </c>
      <c r="J4190">
        <v>4.32</v>
      </c>
      <c r="K4190">
        <v>10.08</v>
      </c>
      <c r="L4190">
        <v>31.79</v>
      </c>
      <c r="M4190">
        <v>4.2</v>
      </c>
      <c r="N4190">
        <v>2546.25</v>
      </c>
    </row>
    <row r="4191" spans="1:14" x14ac:dyDescent="0.2">
      <c r="A4191" s="1">
        <v>45823</v>
      </c>
      <c r="B4191" s="2" t="s">
        <v>17</v>
      </c>
      <c r="C4191" s="2" t="s">
        <v>28</v>
      </c>
      <c r="D4191" s="2" t="s">
        <v>22</v>
      </c>
      <c r="E4191">
        <v>8134</v>
      </c>
      <c r="F4191">
        <v>283</v>
      </c>
      <c r="G4191">
        <v>16</v>
      </c>
      <c r="H4191">
        <v>486.47</v>
      </c>
      <c r="I4191">
        <v>1438.29</v>
      </c>
      <c r="J4191">
        <v>3.48</v>
      </c>
      <c r="K4191">
        <v>5.65</v>
      </c>
      <c r="L4191">
        <v>30.4</v>
      </c>
      <c r="M4191">
        <v>2.96</v>
      </c>
      <c r="N4191">
        <v>951.82</v>
      </c>
    </row>
    <row r="4192" spans="1:14" x14ac:dyDescent="0.2">
      <c r="A4192" s="1">
        <v>45823</v>
      </c>
      <c r="B4192" s="2" t="s">
        <v>20</v>
      </c>
      <c r="C4192" s="2" t="s">
        <v>18</v>
      </c>
      <c r="D4192" s="2" t="s">
        <v>36</v>
      </c>
      <c r="E4192">
        <v>9010</v>
      </c>
      <c r="F4192">
        <v>314</v>
      </c>
      <c r="G4192">
        <v>17</v>
      </c>
      <c r="H4192">
        <v>325.70999999999998</v>
      </c>
      <c r="I4192">
        <v>1400.78</v>
      </c>
      <c r="J4192">
        <v>3.49</v>
      </c>
      <c r="K4192">
        <v>5.41</v>
      </c>
      <c r="L4192">
        <v>19.16</v>
      </c>
      <c r="M4192">
        <v>4.3</v>
      </c>
      <c r="N4192">
        <v>1075.07</v>
      </c>
    </row>
    <row r="4193" spans="1:14" x14ac:dyDescent="0.2">
      <c r="A4193" s="1">
        <v>45823</v>
      </c>
      <c r="B4193" s="2" t="s">
        <v>23</v>
      </c>
      <c r="C4193" s="2" t="s">
        <v>15</v>
      </c>
      <c r="D4193" s="2" t="s">
        <v>19</v>
      </c>
      <c r="E4193">
        <v>2401</v>
      </c>
      <c r="F4193">
        <v>48</v>
      </c>
      <c r="G4193">
        <v>5</v>
      </c>
      <c r="H4193">
        <v>671.26</v>
      </c>
      <c r="I4193">
        <v>1337.88</v>
      </c>
      <c r="J4193">
        <v>2</v>
      </c>
      <c r="K4193">
        <v>10.42</v>
      </c>
      <c r="L4193">
        <v>134.25</v>
      </c>
      <c r="M4193">
        <v>1.99</v>
      </c>
      <c r="N4193">
        <v>666.62</v>
      </c>
    </row>
    <row r="4194" spans="1:14" x14ac:dyDescent="0.2">
      <c r="A4194" s="1">
        <v>45823</v>
      </c>
      <c r="B4194" s="2" t="s">
        <v>24</v>
      </c>
      <c r="C4194" s="2" t="s">
        <v>21</v>
      </c>
      <c r="D4194" s="2" t="s">
        <v>16</v>
      </c>
      <c r="E4194">
        <v>11051</v>
      </c>
      <c r="F4194">
        <v>1704</v>
      </c>
      <c r="G4194">
        <v>236</v>
      </c>
      <c r="H4194">
        <v>142.84</v>
      </c>
      <c r="I4194">
        <v>27779.74</v>
      </c>
      <c r="J4194">
        <v>15.42</v>
      </c>
      <c r="K4194">
        <v>13.85</v>
      </c>
      <c r="L4194">
        <v>0.61</v>
      </c>
      <c r="M4194">
        <v>194.48</v>
      </c>
      <c r="N4194">
        <v>27636.9</v>
      </c>
    </row>
    <row r="4195" spans="1:14" x14ac:dyDescent="0.2">
      <c r="A4195" s="1">
        <v>45823</v>
      </c>
      <c r="B4195" s="2" t="s">
        <v>26</v>
      </c>
      <c r="C4195" s="2" t="s">
        <v>15</v>
      </c>
      <c r="D4195" s="2" t="s">
        <v>36</v>
      </c>
      <c r="E4195">
        <v>17958</v>
      </c>
      <c r="F4195">
        <v>763</v>
      </c>
      <c r="G4195">
        <v>116</v>
      </c>
      <c r="H4195">
        <v>0</v>
      </c>
      <c r="I4195">
        <v>14413.86</v>
      </c>
      <c r="J4195">
        <v>4.25</v>
      </c>
      <c r="K4195">
        <v>15.2</v>
      </c>
      <c r="L4195">
        <v>0</v>
      </c>
      <c r="M4195">
        <v>0</v>
      </c>
      <c r="N4195">
        <v>14413.86</v>
      </c>
    </row>
    <row r="4196" spans="1:14" x14ac:dyDescent="0.2">
      <c r="A4196" s="1">
        <v>45823</v>
      </c>
      <c r="B4196" s="2" t="s">
        <v>27</v>
      </c>
      <c r="C4196" s="2" t="s">
        <v>15</v>
      </c>
      <c r="D4196" s="2" t="s">
        <v>16</v>
      </c>
      <c r="E4196">
        <v>21855</v>
      </c>
      <c r="F4196">
        <v>355</v>
      </c>
      <c r="G4196">
        <v>11</v>
      </c>
      <c r="H4196">
        <v>574.54999999999995</v>
      </c>
      <c r="I4196">
        <v>1002.69</v>
      </c>
      <c r="J4196">
        <v>1.62</v>
      </c>
      <c r="K4196">
        <v>3.1</v>
      </c>
      <c r="L4196">
        <v>52.23</v>
      </c>
      <c r="M4196">
        <v>1.75</v>
      </c>
      <c r="N4196">
        <v>428.14</v>
      </c>
    </row>
    <row r="4197" spans="1:14" x14ac:dyDescent="0.2">
      <c r="A4197" s="1">
        <v>45823</v>
      </c>
      <c r="B4197" s="2" t="s">
        <v>29</v>
      </c>
      <c r="C4197" s="2" t="s">
        <v>28</v>
      </c>
      <c r="D4197" s="2" t="s">
        <v>36</v>
      </c>
      <c r="E4197">
        <v>9694</v>
      </c>
      <c r="F4197">
        <v>261</v>
      </c>
      <c r="G4197">
        <v>16</v>
      </c>
      <c r="H4197">
        <v>715.35</v>
      </c>
      <c r="I4197">
        <v>1875.28</v>
      </c>
      <c r="J4197">
        <v>2.69</v>
      </c>
      <c r="K4197">
        <v>6.13</v>
      </c>
      <c r="L4197">
        <v>44.71</v>
      </c>
      <c r="M4197">
        <v>2.62</v>
      </c>
      <c r="N4197">
        <v>1159.93</v>
      </c>
    </row>
    <row r="4198" spans="1:14" x14ac:dyDescent="0.2">
      <c r="A4198" s="1">
        <v>45823</v>
      </c>
      <c r="B4198" s="2" t="s">
        <v>30</v>
      </c>
      <c r="C4198" s="2" t="s">
        <v>32</v>
      </c>
      <c r="D4198" s="2" t="s">
        <v>16</v>
      </c>
      <c r="E4198">
        <v>7507</v>
      </c>
      <c r="F4198">
        <v>203</v>
      </c>
      <c r="G4198">
        <v>9</v>
      </c>
      <c r="H4198">
        <v>292.89</v>
      </c>
      <c r="I4198">
        <v>628.98</v>
      </c>
      <c r="J4198">
        <v>2.7</v>
      </c>
      <c r="K4198">
        <v>4.43</v>
      </c>
      <c r="L4198">
        <v>32.54</v>
      </c>
      <c r="M4198">
        <v>2.15</v>
      </c>
      <c r="N4198">
        <v>336.09</v>
      </c>
    </row>
    <row r="4199" spans="1:14" x14ac:dyDescent="0.2">
      <c r="A4199" s="1">
        <v>45823</v>
      </c>
      <c r="B4199" s="2" t="s">
        <v>31</v>
      </c>
      <c r="C4199" s="2" t="s">
        <v>18</v>
      </c>
      <c r="D4199" s="2" t="s">
        <v>22</v>
      </c>
      <c r="E4199">
        <v>12242</v>
      </c>
      <c r="F4199">
        <v>431</v>
      </c>
      <c r="G4199">
        <v>25</v>
      </c>
      <c r="H4199">
        <v>443.74</v>
      </c>
      <c r="I4199">
        <v>1846.09</v>
      </c>
      <c r="J4199">
        <v>3.52</v>
      </c>
      <c r="K4199">
        <v>5.8</v>
      </c>
      <c r="L4199">
        <v>17.75</v>
      </c>
      <c r="M4199">
        <v>4.16</v>
      </c>
      <c r="N4199">
        <v>1402.35</v>
      </c>
    </row>
    <row r="4200" spans="1:14" x14ac:dyDescent="0.2">
      <c r="A4200" s="1">
        <v>45823</v>
      </c>
      <c r="B4200" s="2" t="s">
        <v>33</v>
      </c>
      <c r="C4200" s="2" t="s">
        <v>28</v>
      </c>
      <c r="D4200" s="2" t="s">
        <v>36</v>
      </c>
      <c r="E4200">
        <v>3691</v>
      </c>
      <c r="F4200">
        <v>221</v>
      </c>
      <c r="G4200">
        <v>20</v>
      </c>
      <c r="H4200">
        <v>186.34</v>
      </c>
      <c r="I4200">
        <v>2739.35</v>
      </c>
      <c r="J4200">
        <v>5.99</v>
      </c>
      <c r="K4200">
        <v>9.0500000000000007</v>
      </c>
      <c r="L4200">
        <v>9.32</v>
      </c>
      <c r="M4200">
        <v>14.7</v>
      </c>
      <c r="N4200">
        <v>2553.0100000000002</v>
      </c>
    </row>
    <row r="4201" spans="1:14" x14ac:dyDescent="0.2">
      <c r="A4201" s="1">
        <v>45823</v>
      </c>
      <c r="B4201" s="2" t="s">
        <v>34</v>
      </c>
      <c r="C4201" s="2" t="s">
        <v>15</v>
      </c>
      <c r="D4201" s="2" t="s">
        <v>25</v>
      </c>
      <c r="E4201">
        <v>2932</v>
      </c>
      <c r="F4201">
        <v>264</v>
      </c>
      <c r="G4201">
        <v>32</v>
      </c>
      <c r="H4201">
        <v>44.91</v>
      </c>
      <c r="I4201">
        <v>4769.66</v>
      </c>
      <c r="J4201">
        <v>9</v>
      </c>
      <c r="K4201">
        <v>12.12</v>
      </c>
      <c r="L4201">
        <v>1.4</v>
      </c>
      <c r="M4201">
        <v>106.2</v>
      </c>
      <c r="N4201">
        <v>4724.75</v>
      </c>
    </row>
    <row r="4202" spans="1:14" x14ac:dyDescent="0.2">
      <c r="A4202" s="1">
        <v>45824</v>
      </c>
      <c r="B4202" s="2" t="s">
        <v>14</v>
      </c>
      <c r="C4202" s="2" t="s">
        <v>18</v>
      </c>
      <c r="D4202" s="2" t="s">
        <v>22</v>
      </c>
      <c r="E4202">
        <v>7824</v>
      </c>
      <c r="F4202">
        <v>346</v>
      </c>
      <c r="G4202">
        <v>34</v>
      </c>
      <c r="H4202">
        <v>991.93</v>
      </c>
      <c r="I4202">
        <v>4739.4799999999996</v>
      </c>
      <c r="J4202">
        <v>4.42</v>
      </c>
      <c r="K4202">
        <v>9.83</v>
      </c>
      <c r="L4202">
        <v>29.17</v>
      </c>
      <c r="M4202">
        <v>4.78</v>
      </c>
      <c r="N4202">
        <v>3747.55</v>
      </c>
    </row>
    <row r="4203" spans="1:14" x14ac:dyDescent="0.2">
      <c r="A4203" s="1">
        <v>45824</v>
      </c>
      <c r="B4203" s="2" t="s">
        <v>17</v>
      </c>
      <c r="C4203" s="2" t="s">
        <v>18</v>
      </c>
      <c r="D4203" s="2" t="s">
        <v>19</v>
      </c>
      <c r="E4203">
        <v>12588</v>
      </c>
      <c r="F4203">
        <v>358</v>
      </c>
      <c r="G4203">
        <v>21</v>
      </c>
      <c r="H4203">
        <v>751.65</v>
      </c>
      <c r="I4203">
        <v>2297.7199999999998</v>
      </c>
      <c r="J4203">
        <v>2.84</v>
      </c>
      <c r="K4203">
        <v>5.87</v>
      </c>
      <c r="L4203">
        <v>35.79</v>
      </c>
      <c r="M4203">
        <v>3.06</v>
      </c>
      <c r="N4203">
        <v>1546.07</v>
      </c>
    </row>
    <row r="4204" spans="1:14" x14ac:dyDescent="0.2">
      <c r="A4204" s="1">
        <v>45824</v>
      </c>
      <c r="B4204" s="2" t="s">
        <v>20</v>
      </c>
      <c r="C4204" s="2" t="s">
        <v>21</v>
      </c>
      <c r="D4204" s="2" t="s">
        <v>19</v>
      </c>
      <c r="E4204">
        <v>11807</v>
      </c>
      <c r="F4204">
        <v>354</v>
      </c>
      <c r="G4204">
        <v>13</v>
      </c>
      <c r="H4204">
        <v>808.47</v>
      </c>
      <c r="I4204">
        <v>1459.01</v>
      </c>
      <c r="J4204">
        <v>3</v>
      </c>
      <c r="K4204">
        <v>3.67</v>
      </c>
      <c r="L4204">
        <v>62.19</v>
      </c>
      <c r="M4204">
        <v>1.8</v>
      </c>
      <c r="N4204">
        <v>650.54</v>
      </c>
    </row>
    <row r="4205" spans="1:14" x14ac:dyDescent="0.2">
      <c r="A4205" s="1">
        <v>45824</v>
      </c>
      <c r="B4205" s="2" t="s">
        <v>23</v>
      </c>
      <c r="C4205" s="2" t="s">
        <v>21</v>
      </c>
      <c r="D4205" s="2" t="s">
        <v>25</v>
      </c>
      <c r="E4205">
        <v>2594</v>
      </c>
      <c r="F4205">
        <v>53</v>
      </c>
      <c r="G4205">
        <v>5</v>
      </c>
      <c r="H4205">
        <v>1057.51</v>
      </c>
      <c r="I4205">
        <v>1855.47</v>
      </c>
      <c r="J4205">
        <v>2.04</v>
      </c>
      <c r="K4205">
        <v>9.43</v>
      </c>
      <c r="L4205">
        <v>211.5</v>
      </c>
      <c r="M4205">
        <v>1.75</v>
      </c>
      <c r="N4205">
        <v>797.96</v>
      </c>
    </row>
    <row r="4206" spans="1:14" x14ac:dyDescent="0.2">
      <c r="A4206" s="1">
        <v>45824</v>
      </c>
      <c r="B4206" s="2" t="s">
        <v>24</v>
      </c>
      <c r="C4206" s="2" t="s">
        <v>28</v>
      </c>
      <c r="D4206" s="2" t="s">
        <v>16</v>
      </c>
      <c r="E4206">
        <v>12861</v>
      </c>
      <c r="F4206">
        <v>2126</v>
      </c>
      <c r="G4206">
        <v>230</v>
      </c>
      <c r="H4206">
        <v>139.05000000000001</v>
      </c>
      <c r="I4206">
        <v>39655.519999999997</v>
      </c>
      <c r="J4206">
        <v>16.53</v>
      </c>
      <c r="K4206">
        <v>10.82</v>
      </c>
      <c r="L4206">
        <v>0.6</v>
      </c>
      <c r="M4206">
        <v>285.19</v>
      </c>
      <c r="N4206">
        <v>39516.47</v>
      </c>
    </row>
    <row r="4207" spans="1:14" x14ac:dyDescent="0.2">
      <c r="A4207" s="1">
        <v>45824</v>
      </c>
      <c r="B4207" s="2" t="s">
        <v>26</v>
      </c>
      <c r="C4207" s="2" t="s">
        <v>21</v>
      </c>
      <c r="D4207" s="2" t="s">
        <v>36</v>
      </c>
      <c r="E4207">
        <v>21263</v>
      </c>
      <c r="F4207">
        <v>1536</v>
      </c>
      <c r="G4207">
        <v>204</v>
      </c>
      <c r="H4207">
        <v>0</v>
      </c>
      <c r="I4207">
        <v>24728.67</v>
      </c>
      <c r="J4207">
        <v>7.22</v>
      </c>
      <c r="K4207">
        <v>13.28</v>
      </c>
      <c r="L4207">
        <v>0</v>
      </c>
      <c r="M4207">
        <v>0</v>
      </c>
      <c r="N4207">
        <v>24728.67</v>
      </c>
    </row>
    <row r="4208" spans="1:14" x14ac:dyDescent="0.2">
      <c r="A4208" s="1">
        <v>45824</v>
      </c>
      <c r="B4208" s="2" t="s">
        <v>27</v>
      </c>
      <c r="C4208" s="2" t="s">
        <v>15</v>
      </c>
      <c r="D4208" s="2" t="s">
        <v>36</v>
      </c>
      <c r="E4208">
        <v>30923</v>
      </c>
      <c r="F4208">
        <v>414</v>
      </c>
      <c r="G4208">
        <v>14</v>
      </c>
      <c r="H4208">
        <v>1043.1199999999999</v>
      </c>
      <c r="I4208">
        <v>1718.12</v>
      </c>
      <c r="J4208">
        <v>1.34</v>
      </c>
      <c r="K4208">
        <v>3.38</v>
      </c>
      <c r="L4208">
        <v>74.510000000000005</v>
      </c>
      <c r="M4208">
        <v>1.65</v>
      </c>
      <c r="N4208">
        <v>675</v>
      </c>
    </row>
    <row r="4209" spans="1:14" x14ac:dyDescent="0.2">
      <c r="A4209" s="1">
        <v>45824</v>
      </c>
      <c r="B4209" s="2" t="s">
        <v>29</v>
      </c>
      <c r="C4209" s="2" t="s">
        <v>35</v>
      </c>
      <c r="D4209" s="2" t="s">
        <v>25</v>
      </c>
      <c r="E4209">
        <v>18170</v>
      </c>
      <c r="F4209">
        <v>337</v>
      </c>
      <c r="G4209">
        <v>22</v>
      </c>
      <c r="H4209">
        <v>914.66</v>
      </c>
      <c r="I4209">
        <v>2337.48</v>
      </c>
      <c r="J4209">
        <v>1.85</v>
      </c>
      <c r="K4209">
        <v>6.53</v>
      </c>
      <c r="L4209">
        <v>41.58</v>
      </c>
      <c r="M4209">
        <v>2.56</v>
      </c>
      <c r="N4209">
        <v>1422.82</v>
      </c>
    </row>
    <row r="4210" spans="1:14" x14ac:dyDescent="0.2">
      <c r="A4210" s="1">
        <v>45824</v>
      </c>
      <c r="B4210" s="2" t="s">
        <v>30</v>
      </c>
      <c r="C4210" s="2" t="s">
        <v>32</v>
      </c>
      <c r="D4210" s="2" t="s">
        <v>19</v>
      </c>
      <c r="E4210">
        <v>11793</v>
      </c>
      <c r="F4210">
        <v>361</v>
      </c>
      <c r="G4210">
        <v>12</v>
      </c>
      <c r="H4210">
        <v>482.97</v>
      </c>
      <c r="I4210">
        <v>1189.33</v>
      </c>
      <c r="J4210">
        <v>3.06</v>
      </c>
      <c r="K4210">
        <v>3.32</v>
      </c>
      <c r="L4210">
        <v>40.25</v>
      </c>
      <c r="M4210">
        <v>2.46</v>
      </c>
      <c r="N4210">
        <v>706.36</v>
      </c>
    </row>
    <row r="4211" spans="1:14" x14ac:dyDescent="0.2">
      <c r="A4211" s="1">
        <v>45824</v>
      </c>
      <c r="B4211" s="2" t="s">
        <v>31</v>
      </c>
      <c r="C4211" s="2" t="s">
        <v>15</v>
      </c>
      <c r="D4211" s="2" t="s">
        <v>36</v>
      </c>
      <c r="E4211">
        <v>16712</v>
      </c>
      <c r="F4211">
        <v>694</v>
      </c>
      <c r="G4211">
        <v>40</v>
      </c>
      <c r="H4211">
        <v>641.84</v>
      </c>
      <c r="I4211">
        <v>3779.07</v>
      </c>
      <c r="J4211">
        <v>4.1500000000000004</v>
      </c>
      <c r="K4211">
        <v>5.76</v>
      </c>
      <c r="L4211">
        <v>16.05</v>
      </c>
      <c r="M4211">
        <v>5.89</v>
      </c>
      <c r="N4211">
        <v>3137.23</v>
      </c>
    </row>
    <row r="4212" spans="1:14" x14ac:dyDescent="0.2">
      <c r="A4212" s="1">
        <v>45824</v>
      </c>
      <c r="B4212" s="2" t="s">
        <v>33</v>
      </c>
      <c r="C4212" s="2" t="s">
        <v>35</v>
      </c>
      <c r="D4212" s="2" t="s">
        <v>36</v>
      </c>
      <c r="E4212">
        <v>4469</v>
      </c>
      <c r="F4212">
        <v>303</v>
      </c>
      <c r="G4212">
        <v>27</v>
      </c>
      <c r="H4212">
        <v>383.89</v>
      </c>
      <c r="I4212">
        <v>3140.42</v>
      </c>
      <c r="J4212">
        <v>6.78</v>
      </c>
      <c r="K4212">
        <v>8.91</v>
      </c>
      <c r="L4212">
        <v>14.22</v>
      </c>
      <c r="M4212">
        <v>8.18</v>
      </c>
      <c r="N4212">
        <v>2756.53</v>
      </c>
    </row>
    <row r="4213" spans="1:14" x14ac:dyDescent="0.2">
      <c r="A4213" s="1">
        <v>45824</v>
      </c>
      <c r="B4213" s="2" t="s">
        <v>34</v>
      </c>
      <c r="C4213" s="2" t="s">
        <v>15</v>
      </c>
      <c r="D4213" s="2" t="s">
        <v>25</v>
      </c>
      <c r="E4213">
        <v>5317</v>
      </c>
      <c r="F4213">
        <v>370</v>
      </c>
      <c r="G4213">
        <v>51</v>
      </c>
      <c r="H4213">
        <v>135.16999999999999</v>
      </c>
      <c r="I4213">
        <v>7774.82</v>
      </c>
      <c r="J4213">
        <v>6.96</v>
      </c>
      <c r="K4213">
        <v>13.78</v>
      </c>
      <c r="L4213">
        <v>2.65</v>
      </c>
      <c r="M4213">
        <v>57.52</v>
      </c>
      <c r="N4213">
        <v>7639.65</v>
      </c>
    </row>
    <row r="4214" spans="1:14" x14ac:dyDescent="0.2">
      <c r="A4214" s="1">
        <v>45825</v>
      </c>
      <c r="B4214" s="2" t="s">
        <v>14</v>
      </c>
      <c r="C4214" s="2" t="s">
        <v>28</v>
      </c>
      <c r="D4214" s="2" t="s">
        <v>36</v>
      </c>
      <c r="E4214">
        <v>8703</v>
      </c>
      <c r="F4214">
        <v>296</v>
      </c>
      <c r="G4214">
        <v>29</v>
      </c>
      <c r="H4214">
        <v>862.5</v>
      </c>
      <c r="I4214">
        <v>4336.3100000000004</v>
      </c>
      <c r="J4214">
        <v>3.4</v>
      </c>
      <c r="K4214">
        <v>9.8000000000000007</v>
      </c>
      <c r="L4214">
        <v>29.74</v>
      </c>
      <c r="M4214">
        <v>5.03</v>
      </c>
      <c r="N4214">
        <v>3473.81</v>
      </c>
    </row>
    <row r="4215" spans="1:14" x14ac:dyDescent="0.2">
      <c r="A4215" s="1">
        <v>45825</v>
      </c>
      <c r="B4215" s="2" t="s">
        <v>17</v>
      </c>
      <c r="C4215" s="2" t="s">
        <v>32</v>
      </c>
      <c r="D4215" s="2" t="s">
        <v>19</v>
      </c>
      <c r="E4215">
        <v>13407</v>
      </c>
      <c r="F4215">
        <v>463</v>
      </c>
      <c r="G4215">
        <v>22</v>
      </c>
      <c r="H4215">
        <v>553.34</v>
      </c>
      <c r="I4215">
        <v>2633.57</v>
      </c>
      <c r="J4215">
        <v>3.45</v>
      </c>
      <c r="K4215">
        <v>4.75</v>
      </c>
      <c r="L4215">
        <v>25.15</v>
      </c>
      <c r="M4215">
        <v>4.76</v>
      </c>
      <c r="N4215">
        <v>2080.23</v>
      </c>
    </row>
    <row r="4216" spans="1:14" x14ac:dyDescent="0.2">
      <c r="A4216" s="1">
        <v>45825</v>
      </c>
      <c r="B4216" s="2" t="s">
        <v>20</v>
      </c>
      <c r="C4216" s="2" t="s">
        <v>21</v>
      </c>
      <c r="D4216" s="2" t="s">
        <v>36</v>
      </c>
      <c r="E4216">
        <v>9688</v>
      </c>
      <c r="F4216">
        <v>273</v>
      </c>
      <c r="G4216">
        <v>21</v>
      </c>
      <c r="H4216">
        <v>561.86</v>
      </c>
      <c r="I4216">
        <v>1837.54</v>
      </c>
      <c r="J4216">
        <v>2.82</v>
      </c>
      <c r="K4216">
        <v>7.69</v>
      </c>
      <c r="L4216">
        <v>26.76</v>
      </c>
      <c r="M4216">
        <v>3.27</v>
      </c>
      <c r="N4216">
        <v>1275.68</v>
      </c>
    </row>
    <row r="4217" spans="1:14" x14ac:dyDescent="0.2">
      <c r="A4217" s="1">
        <v>45825</v>
      </c>
      <c r="B4217" s="2" t="s">
        <v>23</v>
      </c>
      <c r="C4217" s="2" t="s">
        <v>18</v>
      </c>
      <c r="D4217" s="2" t="s">
        <v>16</v>
      </c>
      <c r="E4217">
        <v>2699</v>
      </c>
      <c r="F4217">
        <v>64</v>
      </c>
      <c r="G4217">
        <v>7</v>
      </c>
      <c r="H4217">
        <v>786.79</v>
      </c>
      <c r="I4217">
        <v>1753.25</v>
      </c>
      <c r="J4217">
        <v>2.37</v>
      </c>
      <c r="K4217">
        <v>10.94</v>
      </c>
      <c r="L4217">
        <v>112.4</v>
      </c>
      <c r="M4217">
        <v>2.23</v>
      </c>
      <c r="N4217">
        <v>966.46</v>
      </c>
    </row>
    <row r="4218" spans="1:14" x14ac:dyDescent="0.2">
      <c r="A4218" s="1">
        <v>45825</v>
      </c>
      <c r="B4218" s="2" t="s">
        <v>24</v>
      </c>
      <c r="C4218" s="2" t="s">
        <v>35</v>
      </c>
      <c r="D4218" s="2" t="s">
        <v>36</v>
      </c>
      <c r="E4218">
        <v>18715</v>
      </c>
      <c r="F4218">
        <v>4185</v>
      </c>
      <c r="G4218">
        <v>469</v>
      </c>
      <c r="H4218">
        <v>99.34</v>
      </c>
      <c r="I4218">
        <v>57384.13</v>
      </c>
      <c r="J4218">
        <v>22.36</v>
      </c>
      <c r="K4218">
        <v>11.21</v>
      </c>
      <c r="L4218">
        <v>0.21</v>
      </c>
      <c r="M4218">
        <v>577.65</v>
      </c>
      <c r="N4218">
        <v>57284.79</v>
      </c>
    </row>
    <row r="4219" spans="1:14" x14ac:dyDescent="0.2">
      <c r="A4219" s="1">
        <v>45825</v>
      </c>
      <c r="B4219" s="2" t="s">
        <v>26</v>
      </c>
      <c r="C4219" s="2" t="s">
        <v>28</v>
      </c>
      <c r="D4219" s="2" t="s">
        <v>22</v>
      </c>
      <c r="E4219">
        <v>21677</v>
      </c>
      <c r="F4219">
        <v>1683</v>
      </c>
      <c r="G4219">
        <v>175</v>
      </c>
      <c r="H4219">
        <v>0</v>
      </c>
      <c r="I4219">
        <v>22704.98</v>
      </c>
      <c r="J4219">
        <v>7.76</v>
      </c>
      <c r="K4219">
        <v>10.4</v>
      </c>
      <c r="L4219">
        <v>0</v>
      </c>
      <c r="M4219">
        <v>0</v>
      </c>
      <c r="N4219">
        <v>22704.98</v>
      </c>
    </row>
    <row r="4220" spans="1:14" x14ac:dyDescent="0.2">
      <c r="A4220" s="1">
        <v>45825</v>
      </c>
      <c r="B4220" s="2" t="s">
        <v>27</v>
      </c>
      <c r="C4220" s="2" t="s">
        <v>15</v>
      </c>
      <c r="D4220" s="2" t="s">
        <v>22</v>
      </c>
      <c r="E4220">
        <v>24158</v>
      </c>
      <c r="F4220">
        <v>414</v>
      </c>
      <c r="G4220">
        <v>16</v>
      </c>
      <c r="H4220">
        <v>1088.22</v>
      </c>
      <c r="I4220">
        <v>1943.94</v>
      </c>
      <c r="J4220">
        <v>1.71</v>
      </c>
      <c r="K4220">
        <v>3.86</v>
      </c>
      <c r="L4220">
        <v>68.010000000000005</v>
      </c>
      <c r="M4220">
        <v>1.79</v>
      </c>
      <c r="N4220">
        <v>855.72</v>
      </c>
    </row>
    <row r="4221" spans="1:14" x14ac:dyDescent="0.2">
      <c r="A4221" s="1">
        <v>45825</v>
      </c>
      <c r="B4221" s="2" t="s">
        <v>29</v>
      </c>
      <c r="C4221" s="2" t="s">
        <v>18</v>
      </c>
      <c r="D4221" s="2" t="s">
        <v>16</v>
      </c>
      <c r="E4221">
        <v>16570</v>
      </c>
      <c r="F4221">
        <v>362</v>
      </c>
      <c r="G4221">
        <v>25</v>
      </c>
      <c r="H4221">
        <v>793.73</v>
      </c>
      <c r="I4221">
        <v>2698.24</v>
      </c>
      <c r="J4221">
        <v>2.1800000000000002</v>
      </c>
      <c r="K4221">
        <v>6.91</v>
      </c>
      <c r="L4221">
        <v>31.75</v>
      </c>
      <c r="M4221">
        <v>3.4</v>
      </c>
      <c r="N4221">
        <v>1904.51</v>
      </c>
    </row>
    <row r="4222" spans="1:14" x14ac:dyDescent="0.2">
      <c r="A4222" s="1">
        <v>45825</v>
      </c>
      <c r="B4222" s="2" t="s">
        <v>30</v>
      </c>
      <c r="C4222" s="2" t="s">
        <v>15</v>
      </c>
      <c r="D4222" s="2" t="s">
        <v>16</v>
      </c>
      <c r="E4222">
        <v>11605</v>
      </c>
      <c r="F4222">
        <v>374</v>
      </c>
      <c r="G4222">
        <v>19</v>
      </c>
      <c r="H4222">
        <v>459.77</v>
      </c>
      <c r="I4222">
        <v>2161.23</v>
      </c>
      <c r="J4222">
        <v>3.22</v>
      </c>
      <c r="K4222">
        <v>5.08</v>
      </c>
      <c r="L4222">
        <v>24.2</v>
      </c>
      <c r="M4222">
        <v>4.7</v>
      </c>
      <c r="N4222">
        <v>1701.46</v>
      </c>
    </row>
    <row r="4223" spans="1:14" x14ac:dyDescent="0.2">
      <c r="A4223" s="1">
        <v>45825</v>
      </c>
      <c r="B4223" s="2" t="s">
        <v>31</v>
      </c>
      <c r="C4223" s="2" t="s">
        <v>18</v>
      </c>
      <c r="D4223" s="2" t="s">
        <v>36</v>
      </c>
      <c r="E4223">
        <v>18753</v>
      </c>
      <c r="F4223">
        <v>799</v>
      </c>
      <c r="G4223">
        <v>45</v>
      </c>
      <c r="H4223">
        <v>693.56</v>
      </c>
      <c r="I4223">
        <v>4207.93</v>
      </c>
      <c r="J4223">
        <v>4.26</v>
      </c>
      <c r="K4223">
        <v>5.63</v>
      </c>
      <c r="L4223">
        <v>15.41</v>
      </c>
      <c r="M4223">
        <v>6.07</v>
      </c>
      <c r="N4223">
        <v>3514.37</v>
      </c>
    </row>
    <row r="4224" spans="1:14" x14ac:dyDescent="0.2">
      <c r="A4224" s="1">
        <v>45825</v>
      </c>
      <c r="B4224" s="2" t="s">
        <v>33</v>
      </c>
      <c r="C4224" s="2" t="s">
        <v>15</v>
      </c>
      <c r="D4224" s="2" t="s">
        <v>16</v>
      </c>
      <c r="E4224">
        <v>7395</v>
      </c>
      <c r="F4224">
        <v>466</v>
      </c>
      <c r="G4224">
        <v>51</v>
      </c>
      <c r="H4224">
        <v>354.8</v>
      </c>
      <c r="I4224">
        <v>7513.4</v>
      </c>
      <c r="J4224">
        <v>6.3</v>
      </c>
      <c r="K4224">
        <v>10.94</v>
      </c>
      <c r="L4224">
        <v>6.96</v>
      </c>
      <c r="M4224">
        <v>21.18</v>
      </c>
      <c r="N4224">
        <v>7158.6</v>
      </c>
    </row>
    <row r="4225" spans="1:14" x14ac:dyDescent="0.2">
      <c r="A4225" s="1">
        <v>45825</v>
      </c>
      <c r="B4225" s="2" t="s">
        <v>34</v>
      </c>
      <c r="C4225" s="2" t="s">
        <v>21</v>
      </c>
      <c r="D4225" s="2" t="s">
        <v>36</v>
      </c>
      <c r="E4225">
        <v>2949</v>
      </c>
      <c r="F4225">
        <v>192</v>
      </c>
      <c r="G4225">
        <v>27</v>
      </c>
      <c r="H4225">
        <v>130.34</v>
      </c>
      <c r="I4225">
        <v>4831.08</v>
      </c>
      <c r="J4225">
        <v>6.51</v>
      </c>
      <c r="K4225">
        <v>14.06</v>
      </c>
      <c r="L4225">
        <v>4.83</v>
      </c>
      <c r="M4225">
        <v>37.07</v>
      </c>
      <c r="N4225">
        <v>4700.74</v>
      </c>
    </row>
    <row r="4226" spans="1:14" x14ac:dyDescent="0.2">
      <c r="A4226" s="1">
        <v>45826</v>
      </c>
      <c r="B4226" s="2" t="s">
        <v>14</v>
      </c>
      <c r="C4226" s="2" t="s">
        <v>32</v>
      </c>
      <c r="D4226" s="2" t="s">
        <v>19</v>
      </c>
      <c r="E4226">
        <v>8708</v>
      </c>
      <c r="F4226">
        <v>379</v>
      </c>
      <c r="G4226">
        <v>37</v>
      </c>
      <c r="H4226">
        <v>690.98</v>
      </c>
      <c r="I4226">
        <v>5251.07</v>
      </c>
      <c r="J4226">
        <v>4.3499999999999996</v>
      </c>
      <c r="K4226">
        <v>9.76</v>
      </c>
      <c r="L4226">
        <v>18.68</v>
      </c>
      <c r="M4226">
        <v>7.6</v>
      </c>
      <c r="N4226">
        <v>4560.09</v>
      </c>
    </row>
    <row r="4227" spans="1:14" x14ac:dyDescent="0.2">
      <c r="A4227" s="1">
        <v>45826</v>
      </c>
      <c r="B4227" s="2" t="s">
        <v>17</v>
      </c>
      <c r="C4227" s="2" t="s">
        <v>21</v>
      </c>
      <c r="D4227" s="2" t="s">
        <v>19</v>
      </c>
      <c r="E4227">
        <v>14471</v>
      </c>
      <c r="F4227">
        <v>537</v>
      </c>
      <c r="G4227">
        <v>29</v>
      </c>
      <c r="H4227">
        <v>982.31</v>
      </c>
      <c r="I4227">
        <v>3881.89</v>
      </c>
      <c r="J4227">
        <v>3.71</v>
      </c>
      <c r="K4227">
        <v>5.4</v>
      </c>
      <c r="L4227">
        <v>33.869999999999997</v>
      </c>
      <c r="M4227">
        <v>3.95</v>
      </c>
      <c r="N4227">
        <v>2899.58</v>
      </c>
    </row>
    <row r="4228" spans="1:14" x14ac:dyDescent="0.2">
      <c r="A4228" s="1">
        <v>45826</v>
      </c>
      <c r="B4228" s="2" t="s">
        <v>20</v>
      </c>
      <c r="C4228" s="2" t="s">
        <v>32</v>
      </c>
      <c r="D4228" s="2" t="s">
        <v>25</v>
      </c>
      <c r="E4228">
        <v>15172</v>
      </c>
      <c r="F4228">
        <v>669</v>
      </c>
      <c r="G4228">
        <v>39</v>
      </c>
      <c r="H4228">
        <v>548.78</v>
      </c>
      <c r="I4228">
        <v>3942.6</v>
      </c>
      <c r="J4228">
        <v>4.41</v>
      </c>
      <c r="K4228">
        <v>5.83</v>
      </c>
      <c r="L4228">
        <v>14.07</v>
      </c>
      <c r="M4228">
        <v>7.18</v>
      </c>
      <c r="N4228">
        <v>3393.82</v>
      </c>
    </row>
    <row r="4229" spans="1:14" x14ac:dyDescent="0.2">
      <c r="A4229" s="1">
        <v>45826</v>
      </c>
      <c r="B4229" s="2" t="s">
        <v>23</v>
      </c>
      <c r="C4229" s="2" t="s">
        <v>18</v>
      </c>
      <c r="D4229" s="2" t="s">
        <v>16</v>
      </c>
      <c r="E4229">
        <v>3820</v>
      </c>
      <c r="F4229">
        <v>107</v>
      </c>
      <c r="G4229">
        <v>13</v>
      </c>
      <c r="H4229">
        <v>945.41</v>
      </c>
      <c r="I4229">
        <v>3808.83</v>
      </c>
      <c r="J4229">
        <v>2.8</v>
      </c>
      <c r="K4229">
        <v>12.15</v>
      </c>
      <c r="L4229">
        <v>72.72</v>
      </c>
      <c r="M4229">
        <v>4.03</v>
      </c>
      <c r="N4229">
        <v>2863.42</v>
      </c>
    </row>
    <row r="4230" spans="1:14" x14ac:dyDescent="0.2">
      <c r="A4230" s="1">
        <v>45826</v>
      </c>
      <c r="B4230" s="2" t="s">
        <v>24</v>
      </c>
      <c r="C4230" s="2" t="s">
        <v>15</v>
      </c>
      <c r="D4230" s="2" t="s">
        <v>25</v>
      </c>
      <c r="E4230">
        <v>13073</v>
      </c>
      <c r="F4230">
        <v>2917</v>
      </c>
      <c r="G4230">
        <v>274</v>
      </c>
      <c r="H4230">
        <v>253.91</v>
      </c>
      <c r="I4230">
        <v>38341.81</v>
      </c>
      <c r="J4230">
        <v>22.31</v>
      </c>
      <c r="K4230">
        <v>9.39</v>
      </c>
      <c r="L4230">
        <v>0.93</v>
      </c>
      <c r="M4230">
        <v>151.01</v>
      </c>
      <c r="N4230">
        <v>38087.9</v>
      </c>
    </row>
    <row r="4231" spans="1:14" x14ac:dyDescent="0.2">
      <c r="A4231" s="1">
        <v>45826</v>
      </c>
      <c r="B4231" s="2" t="s">
        <v>26</v>
      </c>
      <c r="C4231" s="2" t="s">
        <v>28</v>
      </c>
      <c r="D4231" s="2" t="s">
        <v>36</v>
      </c>
      <c r="E4231">
        <v>29398</v>
      </c>
      <c r="F4231">
        <v>2056</v>
      </c>
      <c r="G4231">
        <v>211</v>
      </c>
      <c r="H4231">
        <v>0</v>
      </c>
      <c r="I4231">
        <v>31513.85</v>
      </c>
      <c r="J4231">
        <v>6.99</v>
      </c>
      <c r="K4231">
        <v>10.26</v>
      </c>
      <c r="L4231">
        <v>0</v>
      </c>
      <c r="M4231">
        <v>0</v>
      </c>
      <c r="N4231">
        <v>31513.85</v>
      </c>
    </row>
    <row r="4232" spans="1:14" x14ac:dyDescent="0.2">
      <c r="A4232" s="1">
        <v>45826</v>
      </c>
      <c r="B4232" s="2" t="s">
        <v>27</v>
      </c>
      <c r="C4232" s="2" t="s">
        <v>21</v>
      </c>
      <c r="D4232" s="2" t="s">
        <v>19</v>
      </c>
      <c r="E4232">
        <v>23284</v>
      </c>
      <c r="F4232">
        <v>397</v>
      </c>
      <c r="G4232">
        <v>11</v>
      </c>
      <c r="H4232">
        <v>685.6</v>
      </c>
      <c r="I4232">
        <v>1222.17</v>
      </c>
      <c r="J4232">
        <v>1.71</v>
      </c>
      <c r="K4232">
        <v>2.77</v>
      </c>
      <c r="L4232">
        <v>62.33</v>
      </c>
      <c r="M4232">
        <v>1.78</v>
      </c>
      <c r="N4232">
        <v>536.57000000000005</v>
      </c>
    </row>
    <row r="4233" spans="1:14" x14ac:dyDescent="0.2">
      <c r="A4233" s="1">
        <v>45826</v>
      </c>
      <c r="B4233" s="2" t="s">
        <v>29</v>
      </c>
      <c r="C4233" s="2" t="s">
        <v>15</v>
      </c>
      <c r="D4233" s="2" t="s">
        <v>36</v>
      </c>
      <c r="E4233">
        <v>18854</v>
      </c>
      <c r="F4233">
        <v>560</v>
      </c>
      <c r="G4233">
        <v>22</v>
      </c>
      <c r="H4233">
        <v>831.55</v>
      </c>
      <c r="I4233">
        <v>3161.43</v>
      </c>
      <c r="J4233">
        <v>2.97</v>
      </c>
      <c r="K4233">
        <v>3.93</v>
      </c>
      <c r="L4233">
        <v>37.799999999999997</v>
      </c>
      <c r="M4233">
        <v>3.8</v>
      </c>
      <c r="N4233">
        <v>2329.88</v>
      </c>
    </row>
    <row r="4234" spans="1:14" x14ac:dyDescent="0.2">
      <c r="A4234" s="1">
        <v>45826</v>
      </c>
      <c r="B4234" s="2" t="s">
        <v>30</v>
      </c>
      <c r="C4234" s="2" t="s">
        <v>28</v>
      </c>
      <c r="D4234" s="2" t="s">
        <v>25</v>
      </c>
      <c r="E4234">
        <v>7338</v>
      </c>
      <c r="F4234">
        <v>246</v>
      </c>
      <c r="G4234">
        <v>12</v>
      </c>
      <c r="H4234">
        <v>393.3</v>
      </c>
      <c r="I4234">
        <v>1102.52</v>
      </c>
      <c r="J4234">
        <v>3.35</v>
      </c>
      <c r="K4234">
        <v>4.88</v>
      </c>
      <c r="L4234">
        <v>32.78</v>
      </c>
      <c r="M4234">
        <v>2.8</v>
      </c>
      <c r="N4234">
        <v>709.22</v>
      </c>
    </row>
    <row r="4235" spans="1:14" x14ac:dyDescent="0.2">
      <c r="A4235" s="1">
        <v>45826</v>
      </c>
      <c r="B4235" s="2" t="s">
        <v>31</v>
      </c>
      <c r="C4235" s="2" t="s">
        <v>35</v>
      </c>
      <c r="D4235" s="2" t="s">
        <v>25</v>
      </c>
      <c r="E4235">
        <v>17387</v>
      </c>
      <c r="F4235">
        <v>718</v>
      </c>
      <c r="G4235">
        <v>38</v>
      </c>
      <c r="H4235">
        <v>515.85</v>
      </c>
      <c r="I4235">
        <v>3567.21</v>
      </c>
      <c r="J4235">
        <v>4.13</v>
      </c>
      <c r="K4235">
        <v>5.29</v>
      </c>
      <c r="L4235">
        <v>13.58</v>
      </c>
      <c r="M4235">
        <v>6.92</v>
      </c>
      <c r="N4235">
        <v>3051.36</v>
      </c>
    </row>
    <row r="4236" spans="1:14" x14ac:dyDescent="0.2">
      <c r="A4236" s="1">
        <v>45826</v>
      </c>
      <c r="B4236" s="2" t="s">
        <v>33</v>
      </c>
      <c r="C4236" s="2" t="s">
        <v>35</v>
      </c>
      <c r="D4236" s="2" t="s">
        <v>25</v>
      </c>
      <c r="E4236">
        <v>8230</v>
      </c>
      <c r="F4236">
        <v>487</v>
      </c>
      <c r="G4236">
        <v>54</v>
      </c>
      <c r="H4236">
        <v>528.92999999999995</v>
      </c>
      <c r="I4236">
        <v>7738.08</v>
      </c>
      <c r="J4236">
        <v>5.92</v>
      </c>
      <c r="K4236">
        <v>11.09</v>
      </c>
      <c r="L4236">
        <v>9.8000000000000007</v>
      </c>
      <c r="M4236">
        <v>14.63</v>
      </c>
      <c r="N4236">
        <v>7209.15</v>
      </c>
    </row>
    <row r="4237" spans="1:14" x14ac:dyDescent="0.2">
      <c r="A4237" s="1">
        <v>45826</v>
      </c>
      <c r="B4237" s="2" t="s">
        <v>34</v>
      </c>
      <c r="C4237" s="2" t="s">
        <v>32</v>
      </c>
      <c r="D4237" s="2" t="s">
        <v>16</v>
      </c>
      <c r="E4237">
        <v>4738</v>
      </c>
      <c r="F4237">
        <v>261</v>
      </c>
      <c r="G4237">
        <v>41</v>
      </c>
      <c r="H4237">
        <v>150.25</v>
      </c>
      <c r="I4237">
        <v>7056.65</v>
      </c>
      <c r="J4237">
        <v>5.51</v>
      </c>
      <c r="K4237">
        <v>15.71</v>
      </c>
      <c r="L4237">
        <v>3.66</v>
      </c>
      <c r="M4237">
        <v>46.97</v>
      </c>
      <c r="N4237">
        <v>6906.4</v>
      </c>
    </row>
    <row r="4238" spans="1:14" x14ac:dyDescent="0.2">
      <c r="A4238" s="1">
        <v>45827</v>
      </c>
      <c r="B4238" s="2" t="s">
        <v>14</v>
      </c>
      <c r="C4238" s="2" t="s">
        <v>18</v>
      </c>
      <c r="D4238" s="2" t="s">
        <v>36</v>
      </c>
      <c r="E4238">
        <v>8996</v>
      </c>
      <c r="F4238">
        <v>307</v>
      </c>
      <c r="G4238">
        <v>25</v>
      </c>
      <c r="H4238">
        <v>1185.6500000000001</v>
      </c>
      <c r="I4238">
        <v>3304.32</v>
      </c>
      <c r="J4238">
        <v>3.41</v>
      </c>
      <c r="K4238">
        <v>8.14</v>
      </c>
      <c r="L4238">
        <v>47.43</v>
      </c>
      <c r="M4238">
        <v>2.79</v>
      </c>
      <c r="N4238">
        <v>2118.67</v>
      </c>
    </row>
    <row r="4239" spans="1:14" x14ac:dyDescent="0.2">
      <c r="A4239" s="1">
        <v>45827</v>
      </c>
      <c r="B4239" s="2" t="s">
        <v>17</v>
      </c>
      <c r="C4239" s="2" t="s">
        <v>18</v>
      </c>
      <c r="D4239" s="2" t="s">
        <v>36</v>
      </c>
      <c r="E4239">
        <v>12785</v>
      </c>
      <c r="F4239">
        <v>332</v>
      </c>
      <c r="G4239">
        <v>28</v>
      </c>
      <c r="H4239">
        <v>611.52</v>
      </c>
      <c r="I4239">
        <v>3231.59</v>
      </c>
      <c r="J4239">
        <v>2.6</v>
      </c>
      <c r="K4239">
        <v>8.43</v>
      </c>
      <c r="L4239">
        <v>21.84</v>
      </c>
      <c r="M4239">
        <v>5.28</v>
      </c>
      <c r="N4239">
        <v>2620.0700000000002</v>
      </c>
    </row>
    <row r="4240" spans="1:14" x14ac:dyDescent="0.2">
      <c r="A4240" s="1">
        <v>45827</v>
      </c>
      <c r="B4240" s="2" t="s">
        <v>20</v>
      </c>
      <c r="C4240" s="2" t="s">
        <v>28</v>
      </c>
      <c r="D4240" s="2" t="s">
        <v>19</v>
      </c>
      <c r="E4240">
        <v>11555</v>
      </c>
      <c r="F4240">
        <v>392</v>
      </c>
      <c r="G4240">
        <v>26</v>
      </c>
      <c r="H4240">
        <v>475.14</v>
      </c>
      <c r="I4240">
        <v>2287.42</v>
      </c>
      <c r="J4240">
        <v>3.39</v>
      </c>
      <c r="K4240">
        <v>6.63</v>
      </c>
      <c r="L4240">
        <v>18.27</v>
      </c>
      <c r="M4240">
        <v>4.8099999999999996</v>
      </c>
      <c r="N4240">
        <v>1812.28</v>
      </c>
    </row>
    <row r="4241" spans="1:14" x14ac:dyDescent="0.2">
      <c r="A4241" s="1">
        <v>45827</v>
      </c>
      <c r="B4241" s="2" t="s">
        <v>23</v>
      </c>
      <c r="C4241" s="2" t="s">
        <v>28</v>
      </c>
      <c r="D4241" s="2" t="s">
        <v>36</v>
      </c>
      <c r="E4241">
        <v>3363</v>
      </c>
      <c r="F4241">
        <v>65</v>
      </c>
      <c r="G4241">
        <v>6</v>
      </c>
      <c r="H4241">
        <v>1310.32</v>
      </c>
      <c r="I4241">
        <v>1378.72</v>
      </c>
      <c r="J4241">
        <v>1.93</v>
      </c>
      <c r="K4241">
        <v>9.23</v>
      </c>
      <c r="L4241">
        <v>218.39</v>
      </c>
      <c r="M4241">
        <v>1.05</v>
      </c>
      <c r="N4241">
        <v>68.400000000000006</v>
      </c>
    </row>
    <row r="4242" spans="1:14" x14ac:dyDescent="0.2">
      <c r="A4242" s="1">
        <v>45827</v>
      </c>
      <c r="B4242" s="2" t="s">
        <v>24</v>
      </c>
      <c r="C4242" s="2" t="s">
        <v>28</v>
      </c>
      <c r="D4242" s="2" t="s">
        <v>16</v>
      </c>
      <c r="E4242">
        <v>13126</v>
      </c>
      <c r="F4242">
        <v>2301</v>
      </c>
      <c r="G4242">
        <v>195</v>
      </c>
      <c r="H4242">
        <v>217.53</v>
      </c>
      <c r="I4242">
        <v>25471.11</v>
      </c>
      <c r="J4242">
        <v>17.53</v>
      </c>
      <c r="K4242">
        <v>8.4700000000000006</v>
      </c>
      <c r="L4242">
        <v>1.1200000000000001</v>
      </c>
      <c r="M4242">
        <v>117.09</v>
      </c>
      <c r="N4242">
        <v>25253.58</v>
      </c>
    </row>
    <row r="4243" spans="1:14" x14ac:dyDescent="0.2">
      <c r="A4243" s="1">
        <v>45827</v>
      </c>
      <c r="B4243" s="2" t="s">
        <v>26</v>
      </c>
      <c r="C4243" s="2" t="s">
        <v>18</v>
      </c>
      <c r="D4243" s="2" t="s">
        <v>22</v>
      </c>
      <c r="E4243">
        <v>19417</v>
      </c>
      <c r="F4243">
        <v>867</v>
      </c>
      <c r="G4243">
        <v>103</v>
      </c>
      <c r="H4243">
        <v>0</v>
      </c>
      <c r="I4243">
        <v>11048.45</v>
      </c>
      <c r="J4243">
        <v>4.47</v>
      </c>
      <c r="K4243">
        <v>11.88</v>
      </c>
      <c r="L4243">
        <v>0</v>
      </c>
      <c r="M4243">
        <v>0</v>
      </c>
      <c r="N4243">
        <v>11048.45</v>
      </c>
    </row>
    <row r="4244" spans="1:14" x14ac:dyDescent="0.2">
      <c r="A4244" s="1">
        <v>45827</v>
      </c>
      <c r="B4244" s="2" t="s">
        <v>27</v>
      </c>
      <c r="C4244" s="2" t="s">
        <v>32</v>
      </c>
      <c r="D4244" s="2" t="s">
        <v>19</v>
      </c>
      <c r="E4244">
        <v>27710</v>
      </c>
      <c r="F4244">
        <v>280</v>
      </c>
      <c r="G4244">
        <v>7</v>
      </c>
      <c r="H4244">
        <v>674.24</v>
      </c>
      <c r="I4244">
        <v>650.33000000000004</v>
      </c>
      <c r="J4244">
        <v>1.01</v>
      </c>
      <c r="K4244">
        <v>2.5</v>
      </c>
      <c r="L4244">
        <v>96.32</v>
      </c>
      <c r="M4244">
        <v>0.96</v>
      </c>
      <c r="N4244">
        <v>-23.91</v>
      </c>
    </row>
    <row r="4245" spans="1:14" x14ac:dyDescent="0.2">
      <c r="A4245" s="1">
        <v>45827</v>
      </c>
      <c r="B4245" s="2" t="s">
        <v>29</v>
      </c>
      <c r="C4245" s="2" t="s">
        <v>15</v>
      </c>
      <c r="D4245" s="2" t="s">
        <v>22</v>
      </c>
      <c r="E4245">
        <v>20876</v>
      </c>
      <c r="F4245">
        <v>337</v>
      </c>
      <c r="G4245">
        <v>25</v>
      </c>
      <c r="H4245">
        <v>806.79</v>
      </c>
      <c r="I4245">
        <v>2783.06</v>
      </c>
      <c r="J4245">
        <v>1.61</v>
      </c>
      <c r="K4245">
        <v>7.42</v>
      </c>
      <c r="L4245">
        <v>32.270000000000003</v>
      </c>
      <c r="M4245">
        <v>3.45</v>
      </c>
      <c r="N4245">
        <v>1976.27</v>
      </c>
    </row>
    <row r="4246" spans="1:14" x14ac:dyDescent="0.2">
      <c r="A4246" s="1">
        <v>45827</v>
      </c>
      <c r="B4246" s="2" t="s">
        <v>30</v>
      </c>
      <c r="C4246" s="2" t="s">
        <v>28</v>
      </c>
      <c r="D4246" s="2" t="s">
        <v>36</v>
      </c>
      <c r="E4246">
        <v>8605</v>
      </c>
      <c r="F4246">
        <v>251</v>
      </c>
      <c r="G4246">
        <v>10</v>
      </c>
      <c r="H4246">
        <v>583.58000000000004</v>
      </c>
      <c r="I4246">
        <v>869.27</v>
      </c>
      <c r="J4246">
        <v>2.92</v>
      </c>
      <c r="K4246">
        <v>3.98</v>
      </c>
      <c r="L4246">
        <v>58.36</v>
      </c>
      <c r="M4246">
        <v>1.49</v>
      </c>
      <c r="N4246">
        <v>285.69</v>
      </c>
    </row>
    <row r="4247" spans="1:14" x14ac:dyDescent="0.2">
      <c r="A4247" s="1">
        <v>45827</v>
      </c>
      <c r="B4247" s="2" t="s">
        <v>31</v>
      </c>
      <c r="C4247" s="2" t="s">
        <v>21</v>
      </c>
      <c r="D4247" s="2" t="s">
        <v>19</v>
      </c>
      <c r="E4247">
        <v>20764</v>
      </c>
      <c r="F4247">
        <v>653</v>
      </c>
      <c r="G4247">
        <v>32</v>
      </c>
      <c r="H4247">
        <v>669.34</v>
      </c>
      <c r="I4247">
        <v>3146.98</v>
      </c>
      <c r="J4247">
        <v>3.14</v>
      </c>
      <c r="K4247">
        <v>4.9000000000000004</v>
      </c>
      <c r="L4247">
        <v>20.92</v>
      </c>
      <c r="M4247">
        <v>4.7</v>
      </c>
      <c r="N4247">
        <v>2477.64</v>
      </c>
    </row>
    <row r="4248" spans="1:14" x14ac:dyDescent="0.2">
      <c r="A4248" s="1">
        <v>45827</v>
      </c>
      <c r="B4248" s="2" t="s">
        <v>33</v>
      </c>
      <c r="C4248" s="2" t="s">
        <v>15</v>
      </c>
      <c r="D4248" s="2" t="s">
        <v>36</v>
      </c>
      <c r="E4248">
        <v>5398</v>
      </c>
      <c r="F4248">
        <v>243</v>
      </c>
      <c r="G4248">
        <v>23</v>
      </c>
      <c r="H4248">
        <v>381.01</v>
      </c>
      <c r="I4248">
        <v>2613.06</v>
      </c>
      <c r="J4248">
        <v>4.5</v>
      </c>
      <c r="K4248">
        <v>9.4700000000000006</v>
      </c>
      <c r="L4248">
        <v>16.57</v>
      </c>
      <c r="M4248">
        <v>6.86</v>
      </c>
      <c r="N4248">
        <v>2232.0500000000002</v>
      </c>
    </row>
    <row r="4249" spans="1:14" x14ac:dyDescent="0.2">
      <c r="A4249" s="1">
        <v>45827</v>
      </c>
      <c r="B4249" s="2" t="s">
        <v>34</v>
      </c>
      <c r="C4249" s="2" t="s">
        <v>28</v>
      </c>
      <c r="D4249" s="2" t="s">
        <v>16</v>
      </c>
      <c r="E4249">
        <v>3768</v>
      </c>
      <c r="F4249">
        <v>224</v>
      </c>
      <c r="G4249">
        <v>38</v>
      </c>
      <c r="H4249">
        <v>146.30000000000001</v>
      </c>
      <c r="I4249">
        <v>6776.84</v>
      </c>
      <c r="J4249">
        <v>5.94</v>
      </c>
      <c r="K4249">
        <v>16.96</v>
      </c>
      <c r="L4249">
        <v>3.85</v>
      </c>
      <c r="M4249">
        <v>46.32</v>
      </c>
      <c r="N4249">
        <v>6630.54</v>
      </c>
    </row>
    <row r="4250" spans="1:14" x14ac:dyDescent="0.2">
      <c r="A4250" s="1">
        <v>45828</v>
      </c>
      <c r="B4250" s="2" t="s">
        <v>14</v>
      </c>
      <c r="C4250" s="2" t="s">
        <v>32</v>
      </c>
      <c r="D4250" s="2" t="s">
        <v>36</v>
      </c>
      <c r="E4250">
        <v>9627</v>
      </c>
      <c r="F4250">
        <v>476</v>
      </c>
      <c r="G4250">
        <v>56</v>
      </c>
      <c r="H4250">
        <v>906.48</v>
      </c>
      <c r="I4250">
        <v>8074.71</v>
      </c>
      <c r="J4250">
        <v>4.9400000000000004</v>
      </c>
      <c r="K4250">
        <v>11.76</v>
      </c>
      <c r="L4250">
        <v>16.190000000000001</v>
      </c>
      <c r="M4250">
        <v>8.91</v>
      </c>
      <c r="N4250">
        <v>7168.23</v>
      </c>
    </row>
    <row r="4251" spans="1:14" x14ac:dyDescent="0.2">
      <c r="A4251" s="1">
        <v>45828</v>
      </c>
      <c r="B4251" s="2" t="s">
        <v>17</v>
      </c>
      <c r="C4251" s="2" t="s">
        <v>15</v>
      </c>
      <c r="D4251" s="2" t="s">
        <v>25</v>
      </c>
      <c r="E4251">
        <v>14121</v>
      </c>
      <c r="F4251">
        <v>314</v>
      </c>
      <c r="G4251">
        <v>17</v>
      </c>
      <c r="H4251">
        <v>804.45</v>
      </c>
      <c r="I4251">
        <v>1402.05</v>
      </c>
      <c r="J4251">
        <v>2.2200000000000002</v>
      </c>
      <c r="K4251">
        <v>5.41</v>
      </c>
      <c r="L4251">
        <v>47.32</v>
      </c>
      <c r="M4251">
        <v>1.74</v>
      </c>
      <c r="N4251">
        <v>597.6</v>
      </c>
    </row>
    <row r="4252" spans="1:14" x14ac:dyDescent="0.2">
      <c r="A4252" s="1">
        <v>45828</v>
      </c>
      <c r="B4252" s="2" t="s">
        <v>20</v>
      </c>
      <c r="C4252" s="2" t="s">
        <v>15</v>
      </c>
      <c r="D4252" s="2" t="s">
        <v>25</v>
      </c>
      <c r="E4252">
        <v>11337</v>
      </c>
      <c r="F4252">
        <v>464</v>
      </c>
      <c r="G4252">
        <v>23</v>
      </c>
      <c r="H4252">
        <v>506.37</v>
      </c>
      <c r="I4252">
        <v>2540.2399999999998</v>
      </c>
      <c r="J4252">
        <v>4.09</v>
      </c>
      <c r="K4252">
        <v>4.96</v>
      </c>
      <c r="L4252">
        <v>22.02</v>
      </c>
      <c r="M4252">
        <v>5.0199999999999996</v>
      </c>
      <c r="N4252">
        <v>2033.87</v>
      </c>
    </row>
    <row r="4253" spans="1:14" x14ac:dyDescent="0.2">
      <c r="A4253" s="1">
        <v>45828</v>
      </c>
      <c r="B4253" s="2" t="s">
        <v>23</v>
      </c>
      <c r="C4253" s="2" t="s">
        <v>32</v>
      </c>
      <c r="D4253" s="2" t="s">
        <v>36</v>
      </c>
      <c r="E4253">
        <v>2897</v>
      </c>
      <c r="F4253">
        <v>49</v>
      </c>
      <c r="G4253">
        <v>4</v>
      </c>
      <c r="H4253">
        <v>822.83</v>
      </c>
      <c r="I4253">
        <v>957.69</v>
      </c>
      <c r="J4253">
        <v>1.69</v>
      </c>
      <c r="K4253">
        <v>8.16</v>
      </c>
      <c r="L4253">
        <v>205.71</v>
      </c>
      <c r="M4253">
        <v>1.1599999999999999</v>
      </c>
      <c r="N4253">
        <v>134.86000000000001</v>
      </c>
    </row>
    <row r="4254" spans="1:14" x14ac:dyDescent="0.2">
      <c r="A4254" s="1">
        <v>45828</v>
      </c>
      <c r="B4254" s="2" t="s">
        <v>24</v>
      </c>
      <c r="C4254" s="2" t="s">
        <v>28</v>
      </c>
      <c r="D4254" s="2" t="s">
        <v>25</v>
      </c>
      <c r="E4254">
        <v>21142</v>
      </c>
      <c r="F4254">
        <v>4794</v>
      </c>
      <c r="G4254">
        <v>657</v>
      </c>
      <c r="H4254">
        <v>130.04</v>
      </c>
      <c r="I4254">
        <v>75008.78</v>
      </c>
      <c r="J4254">
        <v>22.68</v>
      </c>
      <c r="K4254">
        <v>13.7</v>
      </c>
      <c r="L4254">
        <v>0.2</v>
      </c>
      <c r="M4254">
        <v>576.80999999999995</v>
      </c>
      <c r="N4254">
        <v>74878.740000000005</v>
      </c>
    </row>
    <row r="4255" spans="1:14" x14ac:dyDescent="0.2">
      <c r="A4255" s="1">
        <v>45828</v>
      </c>
      <c r="B4255" s="2" t="s">
        <v>26</v>
      </c>
      <c r="C4255" s="2" t="s">
        <v>21</v>
      </c>
      <c r="D4255" s="2" t="s">
        <v>25</v>
      </c>
      <c r="E4255">
        <v>24147</v>
      </c>
      <c r="F4255">
        <v>1428</v>
      </c>
      <c r="G4255">
        <v>204</v>
      </c>
      <c r="H4255">
        <v>0</v>
      </c>
      <c r="I4255">
        <v>25307.41</v>
      </c>
      <c r="J4255">
        <v>5.91</v>
      </c>
      <c r="K4255">
        <v>14.29</v>
      </c>
      <c r="L4255">
        <v>0</v>
      </c>
      <c r="M4255">
        <v>0</v>
      </c>
      <c r="N4255">
        <v>25307.41</v>
      </c>
    </row>
    <row r="4256" spans="1:14" x14ac:dyDescent="0.2">
      <c r="A4256" s="1">
        <v>45828</v>
      </c>
      <c r="B4256" s="2" t="s">
        <v>27</v>
      </c>
      <c r="C4256" s="2" t="s">
        <v>18</v>
      </c>
      <c r="D4256" s="2" t="s">
        <v>36</v>
      </c>
      <c r="E4256">
        <v>24363</v>
      </c>
      <c r="F4256">
        <v>396</v>
      </c>
      <c r="G4256">
        <v>10</v>
      </c>
      <c r="H4256">
        <v>961.42</v>
      </c>
      <c r="I4256">
        <v>946.64</v>
      </c>
      <c r="J4256">
        <v>1.63</v>
      </c>
      <c r="K4256">
        <v>2.5299999999999998</v>
      </c>
      <c r="L4256">
        <v>96.14</v>
      </c>
      <c r="M4256">
        <v>0.98</v>
      </c>
      <c r="N4256">
        <v>-14.78</v>
      </c>
    </row>
    <row r="4257" spans="1:14" x14ac:dyDescent="0.2">
      <c r="A4257" s="1">
        <v>45828</v>
      </c>
      <c r="B4257" s="2" t="s">
        <v>29</v>
      </c>
      <c r="C4257" s="2" t="s">
        <v>35</v>
      </c>
      <c r="D4257" s="2" t="s">
        <v>36</v>
      </c>
      <c r="E4257">
        <v>18059</v>
      </c>
      <c r="F4257">
        <v>287</v>
      </c>
      <c r="G4257">
        <v>16</v>
      </c>
      <c r="H4257">
        <v>792.37</v>
      </c>
      <c r="I4257">
        <v>1852.65</v>
      </c>
      <c r="J4257">
        <v>1.59</v>
      </c>
      <c r="K4257">
        <v>5.57</v>
      </c>
      <c r="L4257">
        <v>49.52</v>
      </c>
      <c r="M4257">
        <v>2.34</v>
      </c>
      <c r="N4257">
        <v>1060.28</v>
      </c>
    </row>
    <row r="4258" spans="1:14" x14ac:dyDescent="0.2">
      <c r="A4258" s="1">
        <v>45828</v>
      </c>
      <c r="B4258" s="2" t="s">
        <v>30</v>
      </c>
      <c r="C4258" s="2" t="s">
        <v>32</v>
      </c>
      <c r="D4258" s="2" t="s">
        <v>36</v>
      </c>
      <c r="E4258">
        <v>10880</v>
      </c>
      <c r="F4258">
        <v>238</v>
      </c>
      <c r="G4258">
        <v>11</v>
      </c>
      <c r="H4258">
        <v>523.57000000000005</v>
      </c>
      <c r="I4258">
        <v>1060.96</v>
      </c>
      <c r="J4258">
        <v>2.19</v>
      </c>
      <c r="K4258">
        <v>4.62</v>
      </c>
      <c r="L4258">
        <v>47.6</v>
      </c>
      <c r="M4258">
        <v>2.0299999999999998</v>
      </c>
      <c r="N4258">
        <v>537.39</v>
      </c>
    </row>
    <row r="4259" spans="1:14" x14ac:dyDescent="0.2">
      <c r="A4259" s="1">
        <v>45828</v>
      </c>
      <c r="B4259" s="2" t="s">
        <v>31</v>
      </c>
      <c r="C4259" s="2" t="s">
        <v>32</v>
      </c>
      <c r="D4259" s="2" t="s">
        <v>19</v>
      </c>
      <c r="E4259">
        <v>17345</v>
      </c>
      <c r="F4259">
        <v>449</v>
      </c>
      <c r="G4259">
        <v>27</v>
      </c>
      <c r="H4259">
        <v>517.71</v>
      </c>
      <c r="I4259">
        <v>2685.88</v>
      </c>
      <c r="J4259">
        <v>2.59</v>
      </c>
      <c r="K4259">
        <v>6.01</v>
      </c>
      <c r="L4259">
        <v>19.170000000000002</v>
      </c>
      <c r="M4259">
        <v>5.19</v>
      </c>
      <c r="N4259">
        <v>2168.17</v>
      </c>
    </row>
    <row r="4260" spans="1:14" x14ac:dyDescent="0.2">
      <c r="A4260" s="1">
        <v>45828</v>
      </c>
      <c r="B4260" s="2" t="s">
        <v>33</v>
      </c>
      <c r="C4260" s="2" t="s">
        <v>35</v>
      </c>
      <c r="D4260" s="2" t="s">
        <v>19</v>
      </c>
      <c r="E4260">
        <v>7842</v>
      </c>
      <c r="F4260">
        <v>496</v>
      </c>
      <c r="G4260">
        <v>63</v>
      </c>
      <c r="H4260">
        <v>542.16999999999996</v>
      </c>
      <c r="I4260">
        <v>7687.43</v>
      </c>
      <c r="J4260">
        <v>6.32</v>
      </c>
      <c r="K4260">
        <v>12.7</v>
      </c>
      <c r="L4260">
        <v>8.61</v>
      </c>
      <c r="M4260">
        <v>14.18</v>
      </c>
      <c r="N4260">
        <v>7145.26</v>
      </c>
    </row>
    <row r="4261" spans="1:14" x14ac:dyDescent="0.2">
      <c r="A4261" s="1">
        <v>45828</v>
      </c>
      <c r="B4261" s="2" t="s">
        <v>34</v>
      </c>
      <c r="C4261" s="2" t="s">
        <v>18</v>
      </c>
      <c r="D4261" s="2" t="s">
        <v>16</v>
      </c>
      <c r="E4261">
        <v>3436</v>
      </c>
      <c r="F4261">
        <v>256</v>
      </c>
      <c r="G4261">
        <v>45</v>
      </c>
      <c r="H4261">
        <v>112.62</v>
      </c>
      <c r="I4261">
        <v>5558.57</v>
      </c>
      <c r="J4261">
        <v>7.45</v>
      </c>
      <c r="K4261">
        <v>17.579999999999998</v>
      </c>
      <c r="L4261">
        <v>2.5</v>
      </c>
      <c r="M4261">
        <v>49.36</v>
      </c>
      <c r="N4261">
        <v>5445.95</v>
      </c>
    </row>
    <row r="4262" spans="1:14" x14ac:dyDescent="0.2">
      <c r="A4262" s="1">
        <v>45829</v>
      </c>
      <c r="B4262" s="2" t="s">
        <v>14</v>
      </c>
      <c r="C4262" s="2" t="s">
        <v>32</v>
      </c>
      <c r="D4262" s="2" t="s">
        <v>16</v>
      </c>
      <c r="E4262">
        <v>5940</v>
      </c>
      <c r="F4262">
        <v>242</v>
      </c>
      <c r="G4262">
        <v>21</v>
      </c>
      <c r="H4262">
        <v>519.61</v>
      </c>
      <c r="I4262">
        <v>3198.28</v>
      </c>
      <c r="J4262">
        <v>4.07</v>
      </c>
      <c r="K4262">
        <v>8.68</v>
      </c>
      <c r="L4262">
        <v>24.74</v>
      </c>
      <c r="M4262">
        <v>6.16</v>
      </c>
      <c r="N4262">
        <v>2678.67</v>
      </c>
    </row>
    <row r="4263" spans="1:14" x14ac:dyDescent="0.2">
      <c r="A4263" s="1">
        <v>45829</v>
      </c>
      <c r="B4263" s="2" t="s">
        <v>17</v>
      </c>
      <c r="C4263" s="2" t="s">
        <v>21</v>
      </c>
      <c r="D4263" s="2" t="s">
        <v>19</v>
      </c>
      <c r="E4263">
        <v>7361</v>
      </c>
      <c r="F4263">
        <v>154</v>
      </c>
      <c r="G4263">
        <v>8</v>
      </c>
      <c r="H4263">
        <v>421.07</v>
      </c>
      <c r="I4263">
        <v>813.41</v>
      </c>
      <c r="J4263">
        <v>2.09</v>
      </c>
      <c r="K4263">
        <v>5.19</v>
      </c>
      <c r="L4263">
        <v>52.63</v>
      </c>
      <c r="M4263">
        <v>1.93</v>
      </c>
      <c r="N4263">
        <v>392.34</v>
      </c>
    </row>
    <row r="4264" spans="1:14" x14ac:dyDescent="0.2">
      <c r="A4264" s="1">
        <v>45829</v>
      </c>
      <c r="B4264" s="2" t="s">
        <v>20</v>
      </c>
      <c r="C4264" s="2" t="s">
        <v>35</v>
      </c>
      <c r="D4264" s="2" t="s">
        <v>25</v>
      </c>
      <c r="E4264">
        <v>8154</v>
      </c>
      <c r="F4264">
        <v>237</v>
      </c>
      <c r="G4264">
        <v>13</v>
      </c>
      <c r="H4264">
        <v>331</v>
      </c>
      <c r="I4264">
        <v>1260.1300000000001</v>
      </c>
      <c r="J4264">
        <v>2.91</v>
      </c>
      <c r="K4264">
        <v>5.49</v>
      </c>
      <c r="L4264">
        <v>25.46</v>
      </c>
      <c r="M4264">
        <v>3.81</v>
      </c>
      <c r="N4264">
        <v>929.13</v>
      </c>
    </row>
    <row r="4265" spans="1:14" x14ac:dyDescent="0.2">
      <c r="A4265" s="1">
        <v>45829</v>
      </c>
      <c r="B4265" s="2" t="s">
        <v>23</v>
      </c>
      <c r="C4265" s="2" t="s">
        <v>18</v>
      </c>
      <c r="D4265" s="2" t="s">
        <v>19</v>
      </c>
      <c r="E4265">
        <v>2905</v>
      </c>
      <c r="F4265">
        <v>50</v>
      </c>
      <c r="G4265">
        <v>4</v>
      </c>
      <c r="H4265">
        <v>911.9</v>
      </c>
      <c r="I4265">
        <v>743.11</v>
      </c>
      <c r="J4265">
        <v>1.72</v>
      </c>
      <c r="K4265">
        <v>8</v>
      </c>
      <c r="L4265">
        <v>227.98</v>
      </c>
      <c r="M4265">
        <v>0.81</v>
      </c>
      <c r="N4265">
        <v>-168.79</v>
      </c>
    </row>
    <row r="4266" spans="1:14" x14ac:dyDescent="0.2">
      <c r="A4266" s="1">
        <v>45829</v>
      </c>
      <c r="B4266" s="2" t="s">
        <v>24</v>
      </c>
      <c r="C4266" s="2" t="s">
        <v>28</v>
      </c>
      <c r="D4266" s="2" t="s">
        <v>16</v>
      </c>
      <c r="E4266">
        <v>14457</v>
      </c>
      <c r="F4266">
        <v>3321</v>
      </c>
      <c r="G4266">
        <v>420</v>
      </c>
      <c r="H4266">
        <v>121.5</v>
      </c>
      <c r="I4266">
        <v>50834.55</v>
      </c>
      <c r="J4266">
        <v>22.97</v>
      </c>
      <c r="K4266">
        <v>12.65</v>
      </c>
      <c r="L4266">
        <v>0.28999999999999998</v>
      </c>
      <c r="M4266">
        <v>418.39</v>
      </c>
      <c r="N4266">
        <v>50713.05</v>
      </c>
    </row>
    <row r="4267" spans="1:14" x14ac:dyDescent="0.2">
      <c r="A4267" s="1">
        <v>45829</v>
      </c>
      <c r="B4267" s="2" t="s">
        <v>26</v>
      </c>
      <c r="C4267" s="2" t="s">
        <v>28</v>
      </c>
      <c r="D4267" s="2" t="s">
        <v>19</v>
      </c>
      <c r="E4267">
        <v>19336</v>
      </c>
      <c r="F4267">
        <v>837</v>
      </c>
      <c r="G4267">
        <v>89</v>
      </c>
      <c r="H4267">
        <v>0</v>
      </c>
      <c r="I4267">
        <v>9147.7000000000007</v>
      </c>
      <c r="J4267">
        <v>4.33</v>
      </c>
      <c r="K4267">
        <v>10.63</v>
      </c>
      <c r="L4267">
        <v>0</v>
      </c>
      <c r="M4267">
        <v>0</v>
      </c>
      <c r="N4267">
        <v>9147.7000000000007</v>
      </c>
    </row>
    <row r="4268" spans="1:14" x14ac:dyDescent="0.2">
      <c r="A4268" s="1">
        <v>45829</v>
      </c>
      <c r="B4268" s="2" t="s">
        <v>27</v>
      </c>
      <c r="C4268" s="2" t="s">
        <v>35</v>
      </c>
      <c r="D4268" s="2" t="s">
        <v>36</v>
      </c>
      <c r="E4268">
        <v>22620</v>
      </c>
      <c r="F4268">
        <v>228</v>
      </c>
      <c r="G4268">
        <v>6</v>
      </c>
      <c r="H4268">
        <v>731.03</v>
      </c>
      <c r="I4268">
        <v>713.94</v>
      </c>
      <c r="J4268">
        <v>1.01</v>
      </c>
      <c r="K4268">
        <v>2.63</v>
      </c>
      <c r="L4268">
        <v>121.84</v>
      </c>
      <c r="M4268">
        <v>0.98</v>
      </c>
      <c r="N4268">
        <v>-17.09</v>
      </c>
    </row>
    <row r="4269" spans="1:14" x14ac:dyDescent="0.2">
      <c r="A4269" s="1">
        <v>45829</v>
      </c>
      <c r="B4269" s="2" t="s">
        <v>29</v>
      </c>
      <c r="C4269" s="2" t="s">
        <v>35</v>
      </c>
      <c r="D4269" s="2" t="s">
        <v>16</v>
      </c>
      <c r="E4269">
        <v>11681</v>
      </c>
      <c r="F4269">
        <v>217</v>
      </c>
      <c r="G4269">
        <v>16</v>
      </c>
      <c r="H4269">
        <v>821.54</v>
      </c>
      <c r="I4269">
        <v>1854.97</v>
      </c>
      <c r="J4269">
        <v>1.86</v>
      </c>
      <c r="K4269">
        <v>7.37</v>
      </c>
      <c r="L4269">
        <v>51.35</v>
      </c>
      <c r="M4269">
        <v>2.2599999999999998</v>
      </c>
      <c r="N4269">
        <v>1033.43</v>
      </c>
    </row>
    <row r="4270" spans="1:14" x14ac:dyDescent="0.2">
      <c r="A4270" s="1">
        <v>45829</v>
      </c>
      <c r="B4270" s="2" t="s">
        <v>30</v>
      </c>
      <c r="C4270" s="2" t="s">
        <v>15</v>
      </c>
      <c r="D4270" s="2" t="s">
        <v>22</v>
      </c>
      <c r="E4270">
        <v>7566</v>
      </c>
      <c r="F4270">
        <v>212</v>
      </c>
      <c r="G4270">
        <v>7</v>
      </c>
      <c r="H4270">
        <v>320.31</v>
      </c>
      <c r="I4270">
        <v>812.19</v>
      </c>
      <c r="J4270">
        <v>2.8</v>
      </c>
      <c r="K4270">
        <v>3.3</v>
      </c>
      <c r="L4270">
        <v>45.76</v>
      </c>
      <c r="M4270">
        <v>2.54</v>
      </c>
      <c r="N4270">
        <v>491.88</v>
      </c>
    </row>
    <row r="4271" spans="1:14" x14ac:dyDescent="0.2">
      <c r="A4271" s="1">
        <v>45829</v>
      </c>
      <c r="B4271" s="2" t="s">
        <v>31</v>
      </c>
      <c r="C4271" s="2" t="s">
        <v>21</v>
      </c>
      <c r="D4271" s="2" t="s">
        <v>22</v>
      </c>
      <c r="E4271">
        <v>15201</v>
      </c>
      <c r="F4271">
        <v>457</v>
      </c>
      <c r="G4271">
        <v>16</v>
      </c>
      <c r="H4271">
        <v>611.05999999999995</v>
      </c>
      <c r="I4271">
        <v>1164.0899999999999</v>
      </c>
      <c r="J4271">
        <v>3.01</v>
      </c>
      <c r="K4271">
        <v>3.5</v>
      </c>
      <c r="L4271">
        <v>38.19</v>
      </c>
      <c r="M4271">
        <v>1.91</v>
      </c>
      <c r="N4271">
        <v>553.03</v>
      </c>
    </row>
    <row r="4272" spans="1:14" x14ac:dyDescent="0.2">
      <c r="A4272" s="1">
        <v>45829</v>
      </c>
      <c r="B4272" s="2" t="s">
        <v>33</v>
      </c>
      <c r="C4272" s="2" t="s">
        <v>15</v>
      </c>
      <c r="D4272" s="2" t="s">
        <v>19</v>
      </c>
      <c r="E4272">
        <v>4082</v>
      </c>
      <c r="F4272">
        <v>195</v>
      </c>
      <c r="G4272">
        <v>23</v>
      </c>
      <c r="H4272">
        <v>347.32</v>
      </c>
      <c r="I4272">
        <v>3509.73</v>
      </c>
      <c r="J4272">
        <v>4.78</v>
      </c>
      <c r="K4272">
        <v>11.79</v>
      </c>
      <c r="L4272">
        <v>15.1</v>
      </c>
      <c r="M4272">
        <v>10.11</v>
      </c>
      <c r="N4272">
        <v>3162.41</v>
      </c>
    </row>
    <row r="4273" spans="1:14" x14ac:dyDescent="0.2">
      <c r="A4273" s="1">
        <v>45829</v>
      </c>
      <c r="B4273" s="2" t="s">
        <v>34</v>
      </c>
      <c r="C4273" s="2" t="s">
        <v>32</v>
      </c>
      <c r="D4273" s="2" t="s">
        <v>16</v>
      </c>
      <c r="E4273">
        <v>3095</v>
      </c>
      <c r="F4273">
        <v>240</v>
      </c>
      <c r="G4273">
        <v>37</v>
      </c>
      <c r="H4273">
        <v>45.94</v>
      </c>
      <c r="I4273">
        <v>4808.46</v>
      </c>
      <c r="J4273">
        <v>7.75</v>
      </c>
      <c r="K4273">
        <v>15.42</v>
      </c>
      <c r="L4273">
        <v>1.24</v>
      </c>
      <c r="M4273">
        <v>104.67</v>
      </c>
      <c r="N4273">
        <v>4762.5200000000004</v>
      </c>
    </row>
    <row r="4274" spans="1:14" x14ac:dyDescent="0.2">
      <c r="A4274" s="1">
        <v>45830</v>
      </c>
      <c r="B4274" s="2" t="s">
        <v>14</v>
      </c>
      <c r="C4274" s="2" t="s">
        <v>15</v>
      </c>
      <c r="D4274" s="2" t="s">
        <v>16</v>
      </c>
      <c r="E4274">
        <v>8670</v>
      </c>
      <c r="F4274">
        <v>281</v>
      </c>
      <c r="G4274">
        <v>27</v>
      </c>
      <c r="H4274">
        <v>625.96</v>
      </c>
      <c r="I4274">
        <v>5100.2</v>
      </c>
      <c r="J4274">
        <v>3.24</v>
      </c>
      <c r="K4274">
        <v>9.61</v>
      </c>
      <c r="L4274">
        <v>23.18</v>
      </c>
      <c r="M4274">
        <v>8.15</v>
      </c>
      <c r="N4274">
        <v>4474.24</v>
      </c>
    </row>
    <row r="4275" spans="1:14" x14ac:dyDescent="0.2">
      <c r="A4275" s="1">
        <v>45830</v>
      </c>
      <c r="B4275" s="2" t="s">
        <v>17</v>
      </c>
      <c r="C4275" s="2" t="s">
        <v>35</v>
      </c>
      <c r="D4275" s="2" t="s">
        <v>16</v>
      </c>
      <c r="E4275">
        <v>8689</v>
      </c>
      <c r="F4275">
        <v>270</v>
      </c>
      <c r="G4275">
        <v>22</v>
      </c>
      <c r="H4275">
        <v>570.76</v>
      </c>
      <c r="I4275">
        <v>2240.92</v>
      </c>
      <c r="J4275">
        <v>3.11</v>
      </c>
      <c r="K4275">
        <v>8.15</v>
      </c>
      <c r="L4275">
        <v>25.94</v>
      </c>
      <c r="M4275">
        <v>3.93</v>
      </c>
      <c r="N4275">
        <v>1670.16</v>
      </c>
    </row>
    <row r="4276" spans="1:14" x14ac:dyDescent="0.2">
      <c r="A4276" s="1">
        <v>45830</v>
      </c>
      <c r="B4276" s="2" t="s">
        <v>20</v>
      </c>
      <c r="C4276" s="2" t="s">
        <v>35</v>
      </c>
      <c r="D4276" s="2" t="s">
        <v>22</v>
      </c>
      <c r="E4276">
        <v>6719</v>
      </c>
      <c r="F4276">
        <v>204</v>
      </c>
      <c r="G4276">
        <v>7</v>
      </c>
      <c r="H4276">
        <v>408.79</v>
      </c>
      <c r="I4276">
        <v>560.12</v>
      </c>
      <c r="J4276">
        <v>3.04</v>
      </c>
      <c r="K4276">
        <v>3.43</v>
      </c>
      <c r="L4276">
        <v>58.4</v>
      </c>
      <c r="M4276">
        <v>1.37</v>
      </c>
      <c r="N4276">
        <v>151.33000000000001</v>
      </c>
    </row>
    <row r="4277" spans="1:14" x14ac:dyDescent="0.2">
      <c r="A4277" s="1">
        <v>45830</v>
      </c>
      <c r="B4277" s="2" t="s">
        <v>23</v>
      </c>
      <c r="C4277" s="2" t="s">
        <v>18</v>
      </c>
      <c r="D4277" s="2" t="s">
        <v>25</v>
      </c>
      <c r="E4277">
        <v>3156</v>
      </c>
      <c r="F4277">
        <v>91</v>
      </c>
      <c r="G4277">
        <v>9</v>
      </c>
      <c r="H4277">
        <v>978.9</v>
      </c>
      <c r="I4277">
        <v>2425.21</v>
      </c>
      <c r="J4277">
        <v>2.88</v>
      </c>
      <c r="K4277">
        <v>9.89</v>
      </c>
      <c r="L4277">
        <v>108.77</v>
      </c>
      <c r="M4277">
        <v>2.48</v>
      </c>
      <c r="N4277">
        <v>1446.31</v>
      </c>
    </row>
    <row r="4278" spans="1:14" x14ac:dyDescent="0.2">
      <c r="A4278" s="1">
        <v>45830</v>
      </c>
      <c r="B4278" s="2" t="s">
        <v>24</v>
      </c>
      <c r="C4278" s="2" t="s">
        <v>35</v>
      </c>
      <c r="D4278" s="2" t="s">
        <v>16</v>
      </c>
      <c r="E4278">
        <v>11250</v>
      </c>
      <c r="F4278">
        <v>1692</v>
      </c>
      <c r="G4278">
        <v>176</v>
      </c>
      <c r="H4278">
        <v>178.34</v>
      </c>
      <c r="I4278">
        <v>21209.46</v>
      </c>
      <c r="J4278">
        <v>15.04</v>
      </c>
      <c r="K4278">
        <v>10.4</v>
      </c>
      <c r="L4278">
        <v>1.01</v>
      </c>
      <c r="M4278">
        <v>118.93</v>
      </c>
      <c r="N4278">
        <v>21031.119999999999</v>
      </c>
    </row>
    <row r="4279" spans="1:14" x14ac:dyDescent="0.2">
      <c r="A4279" s="1">
        <v>45830</v>
      </c>
      <c r="B4279" s="2" t="s">
        <v>26</v>
      </c>
      <c r="C4279" s="2" t="s">
        <v>28</v>
      </c>
      <c r="D4279" s="2" t="s">
        <v>36</v>
      </c>
      <c r="E4279">
        <v>12021</v>
      </c>
      <c r="F4279">
        <v>924</v>
      </c>
      <c r="G4279">
        <v>110</v>
      </c>
      <c r="H4279">
        <v>0</v>
      </c>
      <c r="I4279">
        <v>13863.24</v>
      </c>
      <c r="J4279">
        <v>7.69</v>
      </c>
      <c r="K4279">
        <v>11.9</v>
      </c>
      <c r="L4279">
        <v>0</v>
      </c>
      <c r="M4279">
        <v>0</v>
      </c>
      <c r="N4279">
        <v>13863.24</v>
      </c>
    </row>
    <row r="4280" spans="1:14" x14ac:dyDescent="0.2">
      <c r="A4280" s="1">
        <v>45830</v>
      </c>
      <c r="B4280" s="2" t="s">
        <v>27</v>
      </c>
      <c r="C4280" s="2" t="s">
        <v>32</v>
      </c>
      <c r="D4280" s="2" t="s">
        <v>25</v>
      </c>
      <c r="E4280">
        <v>18594</v>
      </c>
      <c r="F4280">
        <v>240</v>
      </c>
      <c r="G4280">
        <v>10</v>
      </c>
      <c r="H4280">
        <v>768.87</v>
      </c>
      <c r="I4280">
        <v>1197.23</v>
      </c>
      <c r="J4280">
        <v>1.29</v>
      </c>
      <c r="K4280">
        <v>4.17</v>
      </c>
      <c r="L4280">
        <v>76.89</v>
      </c>
      <c r="M4280">
        <v>1.56</v>
      </c>
      <c r="N4280">
        <v>428.36</v>
      </c>
    </row>
    <row r="4281" spans="1:14" x14ac:dyDescent="0.2">
      <c r="A4281" s="1">
        <v>45830</v>
      </c>
      <c r="B4281" s="2" t="s">
        <v>29</v>
      </c>
      <c r="C4281" s="2" t="s">
        <v>28</v>
      </c>
      <c r="D4281" s="2" t="s">
        <v>19</v>
      </c>
      <c r="E4281">
        <v>13796</v>
      </c>
      <c r="F4281">
        <v>412</v>
      </c>
      <c r="G4281">
        <v>24</v>
      </c>
      <c r="H4281">
        <v>531.59</v>
      </c>
      <c r="I4281">
        <v>2204.3000000000002</v>
      </c>
      <c r="J4281">
        <v>2.99</v>
      </c>
      <c r="K4281">
        <v>5.83</v>
      </c>
      <c r="L4281">
        <v>22.15</v>
      </c>
      <c r="M4281">
        <v>4.1500000000000004</v>
      </c>
      <c r="N4281">
        <v>1672.71</v>
      </c>
    </row>
    <row r="4282" spans="1:14" x14ac:dyDescent="0.2">
      <c r="A4282" s="1">
        <v>45830</v>
      </c>
      <c r="B4282" s="2" t="s">
        <v>30</v>
      </c>
      <c r="C4282" s="2" t="s">
        <v>18</v>
      </c>
      <c r="D4282" s="2" t="s">
        <v>36</v>
      </c>
      <c r="E4282">
        <v>5378</v>
      </c>
      <c r="F4282">
        <v>123</v>
      </c>
      <c r="G4282">
        <v>6</v>
      </c>
      <c r="H4282">
        <v>269.64999999999998</v>
      </c>
      <c r="I4282">
        <v>470.64</v>
      </c>
      <c r="J4282">
        <v>2.29</v>
      </c>
      <c r="K4282">
        <v>4.88</v>
      </c>
      <c r="L4282">
        <v>44.94</v>
      </c>
      <c r="M4282">
        <v>1.75</v>
      </c>
      <c r="N4282">
        <v>200.99</v>
      </c>
    </row>
    <row r="4283" spans="1:14" x14ac:dyDescent="0.2">
      <c r="A4283" s="1">
        <v>45830</v>
      </c>
      <c r="B4283" s="2" t="s">
        <v>31</v>
      </c>
      <c r="C4283" s="2" t="s">
        <v>32</v>
      </c>
      <c r="D4283" s="2" t="s">
        <v>16</v>
      </c>
      <c r="E4283">
        <v>13247</v>
      </c>
      <c r="F4283">
        <v>508</v>
      </c>
      <c r="G4283">
        <v>35</v>
      </c>
      <c r="H4283">
        <v>411.5</v>
      </c>
      <c r="I4283">
        <v>2660.37</v>
      </c>
      <c r="J4283">
        <v>3.83</v>
      </c>
      <c r="K4283">
        <v>6.89</v>
      </c>
      <c r="L4283">
        <v>11.76</v>
      </c>
      <c r="M4283">
        <v>6.47</v>
      </c>
      <c r="N4283">
        <v>2248.87</v>
      </c>
    </row>
    <row r="4284" spans="1:14" x14ac:dyDescent="0.2">
      <c r="A4284" s="1">
        <v>45830</v>
      </c>
      <c r="B4284" s="2" t="s">
        <v>33</v>
      </c>
      <c r="C4284" s="2" t="s">
        <v>35</v>
      </c>
      <c r="D4284" s="2" t="s">
        <v>36</v>
      </c>
      <c r="E4284">
        <v>3556</v>
      </c>
      <c r="F4284">
        <v>185</v>
      </c>
      <c r="G4284">
        <v>18</v>
      </c>
      <c r="H4284">
        <v>272.58</v>
      </c>
      <c r="I4284">
        <v>2116.41</v>
      </c>
      <c r="J4284">
        <v>5.2</v>
      </c>
      <c r="K4284">
        <v>9.73</v>
      </c>
      <c r="L4284">
        <v>15.14</v>
      </c>
      <c r="M4284">
        <v>7.76</v>
      </c>
      <c r="N4284">
        <v>1843.83</v>
      </c>
    </row>
    <row r="4285" spans="1:14" x14ac:dyDescent="0.2">
      <c r="A4285" s="1">
        <v>45830</v>
      </c>
      <c r="B4285" s="2" t="s">
        <v>34</v>
      </c>
      <c r="C4285" s="2" t="s">
        <v>32</v>
      </c>
      <c r="D4285" s="2" t="s">
        <v>36</v>
      </c>
      <c r="E4285">
        <v>2689</v>
      </c>
      <c r="F4285">
        <v>180</v>
      </c>
      <c r="G4285">
        <v>27</v>
      </c>
      <c r="H4285">
        <v>109.55</v>
      </c>
      <c r="I4285">
        <v>4280.33</v>
      </c>
      <c r="J4285">
        <v>6.69</v>
      </c>
      <c r="K4285">
        <v>15</v>
      </c>
      <c r="L4285">
        <v>4.0599999999999996</v>
      </c>
      <c r="M4285">
        <v>39.07</v>
      </c>
      <c r="N4285">
        <v>4170.78</v>
      </c>
    </row>
    <row r="4286" spans="1:14" x14ac:dyDescent="0.2">
      <c r="A4286" s="1">
        <v>45831</v>
      </c>
      <c r="B4286" s="2" t="s">
        <v>14</v>
      </c>
      <c r="C4286" s="2" t="s">
        <v>35</v>
      </c>
      <c r="D4286" s="2" t="s">
        <v>25</v>
      </c>
      <c r="E4286">
        <v>11424</v>
      </c>
      <c r="F4286">
        <v>375</v>
      </c>
      <c r="G4286">
        <v>34</v>
      </c>
      <c r="H4286">
        <v>1271.0899999999999</v>
      </c>
      <c r="I4286">
        <v>4520.75</v>
      </c>
      <c r="J4286">
        <v>3.28</v>
      </c>
      <c r="K4286">
        <v>9.07</v>
      </c>
      <c r="L4286">
        <v>37.380000000000003</v>
      </c>
      <c r="M4286">
        <v>3.56</v>
      </c>
      <c r="N4286">
        <v>3249.66</v>
      </c>
    </row>
    <row r="4287" spans="1:14" x14ac:dyDescent="0.2">
      <c r="A4287" s="1">
        <v>45831</v>
      </c>
      <c r="B4287" s="2" t="s">
        <v>17</v>
      </c>
      <c r="C4287" s="2" t="s">
        <v>18</v>
      </c>
      <c r="D4287" s="2" t="s">
        <v>36</v>
      </c>
      <c r="E4287">
        <v>15630</v>
      </c>
      <c r="F4287">
        <v>507</v>
      </c>
      <c r="G4287">
        <v>36</v>
      </c>
      <c r="H4287">
        <v>722.63</v>
      </c>
      <c r="I4287">
        <v>4269.91</v>
      </c>
      <c r="J4287">
        <v>3.24</v>
      </c>
      <c r="K4287">
        <v>7.1</v>
      </c>
      <c r="L4287">
        <v>20.07</v>
      </c>
      <c r="M4287">
        <v>5.91</v>
      </c>
      <c r="N4287">
        <v>3547.28</v>
      </c>
    </row>
    <row r="4288" spans="1:14" x14ac:dyDescent="0.2">
      <c r="A4288" s="1">
        <v>45831</v>
      </c>
      <c r="B4288" s="2" t="s">
        <v>20</v>
      </c>
      <c r="C4288" s="2" t="s">
        <v>18</v>
      </c>
      <c r="D4288" s="2" t="s">
        <v>22</v>
      </c>
      <c r="E4288">
        <v>12845</v>
      </c>
      <c r="F4288">
        <v>401</v>
      </c>
      <c r="G4288">
        <v>24</v>
      </c>
      <c r="H4288">
        <v>508.09</v>
      </c>
      <c r="I4288">
        <v>2347.15</v>
      </c>
      <c r="J4288">
        <v>3.12</v>
      </c>
      <c r="K4288">
        <v>5.99</v>
      </c>
      <c r="L4288">
        <v>21.17</v>
      </c>
      <c r="M4288">
        <v>4.62</v>
      </c>
      <c r="N4288">
        <v>1839.06</v>
      </c>
    </row>
    <row r="4289" spans="1:14" x14ac:dyDescent="0.2">
      <c r="A4289" s="1">
        <v>45831</v>
      </c>
      <c r="B4289" s="2" t="s">
        <v>23</v>
      </c>
      <c r="C4289" s="2" t="s">
        <v>35</v>
      </c>
      <c r="D4289" s="2" t="s">
        <v>36</v>
      </c>
      <c r="E4289">
        <v>3057</v>
      </c>
      <c r="F4289">
        <v>60</v>
      </c>
      <c r="G4289">
        <v>7</v>
      </c>
      <c r="H4289">
        <v>1260.0899999999999</v>
      </c>
      <c r="I4289">
        <v>1516.15</v>
      </c>
      <c r="J4289">
        <v>1.96</v>
      </c>
      <c r="K4289">
        <v>11.67</v>
      </c>
      <c r="L4289">
        <v>180.01</v>
      </c>
      <c r="M4289">
        <v>1.2</v>
      </c>
      <c r="N4289">
        <v>256.06</v>
      </c>
    </row>
    <row r="4290" spans="1:14" x14ac:dyDescent="0.2">
      <c r="A4290" s="1">
        <v>45831</v>
      </c>
      <c r="B4290" s="2" t="s">
        <v>24</v>
      </c>
      <c r="C4290" s="2" t="s">
        <v>32</v>
      </c>
      <c r="D4290" s="2" t="s">
        <v>19</v>
      </c>
      <c r="E4290">
        <v>18082</v>
      </c>
      <c r="F4290">
        <v>3749</v>
      </c>
      <c r="G4290">
        <v>438</v>
      </c>
      <c r="H4290">
        <v>211.33</v>
      </c>
      <c r="I4290">
        <v>68347.070000000007</v>
      </c>
      <c r="J4290">
        <v>20.73</v>
      </c>
      <c r="K4290">
        <v>11.68</v>
      </c>
      <c r="L4290">
        <v>0.48</v>
      </c>
      <c r="M4290">
        <v>323.41000000000003</v>
      </c>
      <c r="N4290">
        <v>68135.740000000005</v>
      </c>
    </row>
    <row r="4291" spans="1:14" x14ac:dyDescent="0.2">
      <c r="A4291" s="1">
        <v>45831</v>
      </c>
      <c r="B4291" s="2" t="s">
        <v>26</v>
      </c>
      <c r="C4291" s="2" t="s">
        <v>21</v>
      </c>
      <c r="D4291" s="2" t="s">
        <v>25</v>
      </c>
      <c r="E4291">
        <v>17022</v>
      </c>
      <c r="F4291">
        <v>1166</v>
      </c>
      <c r="G4291">
        <v>149</v>
      </c>
      <c r="H4291">
        <v>0</v>
      </c>
      <c r="I4291">
        <v>20832.830000000002</v>
      </c>
      <c r="J4291">
        <v>6.85</v>
      </c>
      <c r="K4291">
        <v>12.78</v>
      </c>
      <c r="L4291">
        <v>0</v>
      </c>
      <c r="M4291">
        <v>0</v>
      </c>
      <c r="N4291">
        <v>20832.830000000002</v>
      </c>
    </row>
    <row r="4292" spans="1:14" x14ac:dyDescent="0.2">
      <c r="A4292" s="1">
        <v>45831</v>
      </c>
      <c r="B4292" s="2" t="s">
        <v>27</v>
      </c>
      <c r="C4292" s="2" t="s">
        <v>35</v>
      </c>
      <c r="D4292" s="2" t="s">
        <v>19</v>
      </c>
      <c r="E4292">
        <v>29285</v>
      </c>
      <c r="F4292">
        <v>505</v>
      </c>
      <c r="G4292">
        <v>22</v>
      </c>
      <c r="H4292">
        <v>878.52</v>
      </c>
      <c r="I4292">
        <v>2016.65</v>
      </c>
      <c r="J4292">
        <v>1.72</v>
      </c>
      <c r="K4292">
        <v>4.3600000000000003</v>
      </c>
      <c r="L4292">
        <v>39.93</v>
      </c>
      <c r="M4292">
        <v>2.2999999999999998</v>
      </c>
      <c r="N4292">
        <v>1138.1300000000001</v>
      </c>
    </row>
    <row r="4293" spans="1:14" x14ac:dyDescent="0.2">
      <c r="A4293" s="1">
        <v>45831</v>
      </c>
      <c r="B4293" s="2" t="s">
        <v>29</v>
      </c>
      <c r="C4293" s="2" t="s">
        <v>28</v>
      </c>
      <c r="D4293" s="2" t="s">
        <v>22</v>
      </c>
      <c r="E4293">
        <v>17284</v>
      </c>
      <c r="F4293">
        <v>362</v>
      </c>
      <c r="G4293">
        <v>22</v>
      </c>
      <c r="H4293">
        <v>1148.29</v>
      </c>
      <c r="I4293">
        <v>3214.07</v>
      </c>
      <c r="J4293">
        <v>2.09</v>
      </c>
      <c r="K4293">
        <v>6.08</v>
      </c>
      <c r="L4293">
        <v>52.2</v>
      </c>
      <c r="M4293">
        <v>2.8</v>
      </c>
      <c r="N4293">
        <v>2065.7800000000002</v>
      </c>
    </row>
    <row r="4294" spans="1:14" x14ac:dyDescent="0.2">
      <c r="A4294" s="1">
        <v>45831</v>
      </c>
      <c r="B4294" s="2" t="s">
        <v>30</v>
      </c>
      <c r="C4294" s="2" t="s">
        <v>28</v>
      </c>
      <c r="D4294" s="2" t="s">
        <v>16</v>
      </c>
      <c r="E4294">
        <v>8505</v>
      </c>
      <c r="F4294">
        <v>252</v>
      </c>
      <c r="G4294">
        <v>13</v>
      </c>
      <c r="H4294">
        <v>611.99</v>
      </c>
      <c r="I4294">
        <v>928.76</v>
      </c>
      <c r="J4294">
        <v>2.96</v>
      </c>
      <c r="K4294">
        <v>5.16</v>
      </c>
      <c r="L4294">
        <v>47.08</v>
      </c>
      <c r="M4294">
        <v>1.52</v>
      </c>
      <c r="N4294">
        <v>316.77</v>
      </c>
    </row>
    <row r="4295" spans="1:14" x14ac:dyDescent="0.2">
      <c r="A4295" s="1">
        <v>45831</v>
      </c>
      <c r="B4295" s="2" t="s">
        <v>31</v>
      </c>
      <c r="C4295" s="2" t="s">
        <v>32</v>
      </c>
      <c r="D4295" s="2" t="s">
        <v>22</v>
      </c>
      <c r="E4295">
        <v>24058</v>
      </c>
      <c r="F4295">
        <v>665</v>
      </c>
      <c r="G4295">
        <v>32</v>
      </c>
      <c r="H4295">
        <v>929.31</v>
      </c>
      <c r="I4295">
        <v>2458.6</v>
      </c>
      <c r="J4295">
        <v>2.76</v>
      </c>
      <c r="K4295">
        <v>4.8099999999999996</v>
      </c>
      <c r="L4295">
        <v>29.04</v>
      </c>
      <c r="M4295">
        <v>2.65</v>
      </c>
      <c r="N4295">
        <v>1529.29</v>
      </c>
    </row>
    <row r="4296" spans="1:14" x14ac:dyDescent="0.2">
      <c r="A4296" s="1">
        <v>45831</v>
      </c>
      <c r="B4296" s="2" t="s">
        <v>33</v>
      </c>
      <c r="C4296" s="2" t="s">
        <v>35</v>
      </c>
      <c r="D4296" s="2" t="s">
        <v>19</v>
      </c>
      <c r="E4296">
        <v>7094</v>
      </c>
      <c r="F4296">
        <v>401</v>
      </c>
      <c r="G4296">
        <v>34</v>
      </c>
      <c r="H4296">
        <v>521.07000000000005</v>
      </c>
      <c r="I4296">
        <v>5103.3</v>
      </c>
      <c r="J4296">
        <v>5.65</v>
      </c>
      <c r="K4296">
        <v>8.48</v>
      </c>
      <c r="L4296">
        <v>15.33</v>
      </c>
      <c r="M4296">
        <v>9.7899999999999991</v>
      </c>
      <c r="N4296">
        <v>4582.2299999999996</v>
      </c>
    </row>
    <row r="4297" spans="1:14" x14ac:dyDescent="0.2">
      <c r="A4297" s="1">
        <v>45831</v>
      </c>
      <c r="B4297" s="2" t="s">
        <v>34</v>
      </c>
      <c r="C4297" s="2" t="s">
        <v>18</v>
      </c>
      <c r="D4297" s="2" t="s">
        <v>19</v>
      </c>
      <c r="E4297">
        <v>2976</v>
      </c>
      <c r="F4297">
        <v>292</v>
      </c>
      <c r="G4297">
        <v>42</v>
      </c>
      <c r="H4297">
        <v>65.319999999999993</v>
      </c>
      <c r="I4297">
        <v>6970.07</v>
      </c>
      <c r="J4297">
        <v>9.81</v>
      </c>
      <c r="K4297">
        <v>14.38</v>
      </c>
      <c r="L4297">
        <v>1.56</v>
      </c>
      <c r="M4297">
        <v>106.71</v>
      </c>
      <c r="N4297">
        <v>6904.75</v>
      </c>
    </row>
    <row r="4298" spans="1:14" x14ac:dyDescent="0.2">
      <c r="A4298" s="1">
        <v>45832</v>
      </c>
      <c r="B4298" s="2" t="s">
        <v>14</v>
      </c>
      <c r="C4298" s="2" t="s">
        <v>32</v>
      </c>
      <c r="D4298" s="2" t="s">
        <v>36</v>
      </c>
      <c r="E4298">
        <v>7964</v>
      </c>
      <c r="F4298">
        <v>376</v>
      </c>
      <c r="G4298">
        <v>31</v>
      </c>
      <c r="H4298">
        <v>1044.8900000000001</v>
      </c>
      <c r="I4298">
        <v>3618.91</v>
      </c>
      <c r="J4298">
        <v>4.72</v>
      </c>
      <c r="K4298">
        <v>8.24</v>
      </c>
      <c r="L4298">
        <v>33.71</v>
      </c>
      <c r="M4298">
        <v>3.46</v>
      </c>
      <c r="N4298">
        <v>2574.02</v>
      </c>
    </row>
    <row r="4299" spans="1:14" x14ac:dyDescent="0.2">
      <c r="A4299" s="1">
        <v>45832</v>
      </c>
      <c r="B4299" s="2" t="s">
        <v>17</v>
      </c>
      <c r="C4299" s="2" t="s">
        <v>21</v>
      </c>
      <c r="D4299" s="2" t="s">
        <v>25</v>
      </c>
      <c r="E4299">
        <v>12008</v>
      </c>
      <c r="F4299">
        <v>426</v>
      </c>
      <c r="G4299">
        <v>29</v>
      </c>
      <c r="H4299">
        <v>708.55</v>
      </c>
      <c r="I4299">
        <v>3702.78</v>
      </c>
      <c r="J4299">
        <v>3.55</v>
      </c>
      <c r="K4299">
        <v>6.81</v>
      </c>
      <c r="L4299">
        <v>24.43</v>
      </c>
      <c r="M4299">
        <v>5.23</v>
      </c>
      <c r="N4299">
        <v>2994.23</v>
      </c>
    </row>
    <row r="4300" spans="1:14" x14ac:dyDescent="0.2">
      <c r="A4300" s="1">
        <v>45832</v>
      </c>
      <c r="B4300" s="2" t="s">
        <v>20</v>
      </c>
      <c r="C4300" s="2" t="s">
        <v>15</v>
      </c>
      <c r="D4300" s="2" t="s">
        <v>16</v>
      </c>
      <c r="E4300">
        <v>14325</v>
      </c>
      <c r="F4300">
        <v>596</v>
      </c>
      <c r="G4300">
        <v>37</v>
      </c>
      <c r="H4300">
        <v>675.34</v>
      </c>
      <c r="I4300">
        <v>3898.63</v>
      </c>
      <c r="J4300">
        <v>4.16</v>
      </c>
      <c r="K4300">
        <v>6.21</v>
      </c>
      <c r="L4300">
        <v>18.25</v>
      </c>
      <c r="M4300">
        <v>5.77</v>
      </c>
      <c r="N4300">
        <v>3223.29</v>
      </c>
    </row>
    <row r="4301" spans="1:14" x14ac:dyDescent="0.2">
      <c r="A4301" s="1">
        <v>45832</v>
      </c>
      <c r="B4301" s="2" t="s">
        <v>23</v>
      </c>
      <c r="C4301" s="2" t="s">
        <v>15</v>
      </c>
      <c r="D4301" s="2" t="s">
        <v>25</v>
      </c>
      <c r="E4301">
        <v>3264</v>
      </c>
      <c r="F4301">
        <v>96</v>
      </c>
      <c r="G4301">
        <v>10</v>
      </c>
      <c r="H4301">
        <v>1262.5999999999999</v>
      </c>
      <c r="I4301">
        <v>2591.66</v>
      </c>
      <c r="J4301">
        <v>2.94</v>
      </c>
      <c r="K4301">
        <v>10.42</v>
      </c>
      <c r="L4301">
        <v>126.26</v>
      </c>
      <c r="M4301">
        <v>2.0499999999999998</v>
      </c>
      <c r="N4301">
        <v>1329.06</v>
      </c>
    </row>
    <row r="4302" spans="1:14" x14ac:dyDescent="0.2">
      <c r="A4302" s="1">
        <v>45832</v>
      </c>
      <c r="B4302" s="2" t="s">
        <v>24</v>
      </c>
      <c r="C4302" s="2" t="s">
        <v>18</v>
      </c>
      <c r="D4302" s="2" t="s">
        <v>25</v>
      </c>
      <c r="E4302">
        <v>13928</v>
      </c>
      <c r="F4302">
        <v>2586</v>
      </c>
      <c r="G4302">
        <v>333</v>
      </c>
      <c r="H4302">
        <v>94.1</v>
      </c>
      <c r="I4302">
        <v>46020.9</v>
      </c>
      <c r="J4302">
        <v>18.57</v>
      </c>
      <c r="K4302">
        <v>12.88</v>
      </c>
      <c r="L4302">
        <v>0.28000000000000003</v>
      </c>
      <c r="M4302">
        <v>489.06</v>
      </c>
      <c r="N4302">
        <v>45926.8</v>
      </c>
    </row>
    <row r="4303" spans="1:14" x14ac:dyDescent="0.2">
      <c r="A4303" s="1">
        <v>45832</v>
      </c>
      <c r="B4303" s="2" t="s">
        <v>26</v>
      </c>
      <c r="C4303" s="2" t="s">
        <v>35</v>
      </c>
      <c r="D4303" s="2" t="s">
        <v>19</v>
      </c>
      <c r="E4303">
        <v>24630</v>
      </c>
      <c r="F4303">
        <v>1004</v>
      </c>
      <c r="G4303">
        <v>129</v>
      </c>
      <c r="H4303">
        <v>0</v>
      </c>
      <c r="I4303">
        <v>19989.28</v>
      </c>
      <c r="J4303">
        <v>4.08</v>
      </c>
      <c r="K4303">
        <v>12.85</v>
      </c>
      <c r="L4303">
        <v>0</v>
      </c>
      <c r="M4303">
        <v>0</v>
      </c>
      <c r="N4303">
        <v>19989.28</v>
      </c>
    </row>
    <row r="4304" spans="1:14" x14ac:dyDescent="0.2">
      <c r="A4304" s="1">
        <v>45832</v>
      </c>
      <c r="B4304" s="2" t="s">
        <v>27</v>
      </c>
      <c r="C4304" s="2" t="s">
        <v>18</v>
      </c>
      <c r="D4304" s="2" t="s">
        <v>25</v>
      </c>
      <c r="E4304">
        <v>27095</v>
      </c>
      <c r="F4304">
        <v>381</v>
      </c>
      <c r="G4304">
        <v>11</v>
      </c>
      <c r="H4304">
        <v>802.45</v>
      </c>
      <c r="I4304">
        <v>1331.46</v>
      </c>
      <c r="J4304">
        <v>1.41</v>
      </c>
      <c r="K4304">
        <v>2.89</v>
      </c>
      <c r="L4304">
        <v>72.95</v>
      </c>
      <c r="M4304">
        <v>1.66</v>
      </c>
      <c r="N4304">
        <v>529.01</v>
      </c>
    </row>
    <row r="4305" spans="1:14" x14ac:dyDescent="0.2">
      <c r="A4305" s="1">
        <v>45832</v>
      </c>
      <c r="B4305" s="2" t="s">
        <v>29</v>
      </c>
      <c r="C4305" s="2" t="s">
        <v>32</v>
      </c>
      <c r="D4305" s="2" t="s">
        <v>36</v>
      </c>
      <c r="E4305">
        <v>19212</v>
      </c>
      <c r="F4305">
        <v>441</v>
      </c>
      <c r="G4305">
        <v>22</v>
      </c>
      <c r="H4305">
        <v>1007.82</v>
      </c>
      <c r="I4305">
        <v>3175.25</v>
      </c>
      <c r="J4305">
        <v>2.2999999999999998</v>
      </c>
      <c r="K4305">
        <v>4.99</v>
      </c>
      <c r="L4305">
        <v>45.81</v>
      </c>
      <c r="M4305">
        <v>3.15</v>
      </c>
      <c r="N4305">
        <v>2167.4299999999998</v>
      </c>
    </row>
    <row r="4306" spans="1:14" x14ac:dyDescent="0.2">
      <c r="A4306" s="1">
        <v>45832</v>
      </c>
      <c r="B4306" s="2" t="s">
        <v>30</v>
      </c>
      <c r="C4306" s="2" t="s">
        <v>28</v>
      </c>
      <c r="D4306" s="2" t="s">
        <v>22</v>
      </c>
      <c r="E4306">
        <v>11104</v>
      </c>
      <c r="F4306">
        <v>272</v>
      </c>
      <c r="G4306">
        <v>12</v>
      </c>
      <c r="H4306">
        <v>675.72</v>
      </c>
      <c r="I4306">
        <v>1149.1099999999999</v>
      </c>
      <c r="J4306">
        <v>2.4500000000000002</v>
      </c>
      <c r="K4306">
        <v>4.41</v>
      </c>
      <c r="L4306">
        <v>56.31</v>
      </c>
      <c r="M4306">
        <v>1.7</v>
      </c>
      <c r="N4306">
        <v>473.39</v>
      </c>
    </row>
    <row r="4307" spans="1:14" x14ac:dyDescent="0.2">
      <c r="A4307" s="1">
        <v>45832</v>
      </c>
      <c r="B4307" s="2" t="s">
        <v>31</v>
      </c>
      <c r="C4307" s="2" t="s">
        <v>35</v>
      </c>
      <c r="D4307" s="2" t="s">
        <v>16</v>
      </c>
      <c r="E4307">
        <v>22598</v>
      </c>
      <c r="F4307">
        <v>957</v>
      </c>
      <c r="G4307">
        <v>62</v>
      </c>
      <c r="H4307">
        <v>593.19000000000005</v>
      </c>
      <c r="I4307">
        <v>4497.29</v>
      </c>
      <c r="J4307">
        <v>4.2300000000000004</v>
      </c>
      <c r="K4307">
        <v>6.48</v>
      </c>
      <c r="L4307">
        <v>9.57</v>
      </c>
      <c r="M4307">
        <v>7.58</v>
      </c>
      <c r="N4307">
        <v>3904.1</v>
      </c>
    </row>
    <row r="4308" spans="1:14" x14ac:dyDescent="0.2">
      <c r="A4308" s="1">
        <v>45832</v>
      </c>
      <c r="B4308" s="2" t="s">
        <v>33</v>
      </c>
      <c r="C4308" s="2" t="s">
        <v>15</v>
      </c>
      <c r="D4308" s="2" t="s">
        <v>19</v>
      </c>
      <c r="E4308">
        <v>7105</v>
      </c>
      <c r="F4308">
        <v>382</v>
      </c>
      <c r="G4308">
        <v>45</v>
      </c>
      <c r="H4308">
        <v>574.16</v>
      </c>
      <c r="I4308">
        <v>6665.04</v>
      </c>
      <c r="J4308">
        <v>5.38</v>
      </c>
      <c r="K4308">
        <v>11.78</v>
      </c>
      <c r="L4308">
        <v>12.76</v>
      </c>
      <c r="M4308">
        <v>11.61</v>
      </c>
      <c r="N4308">
        <v>6090.88</v>
      </c>
    </row>
    <row r="4309" spans="1:14" x14ac:dyDescent="0.2">
      <c r="A4309" s="1">
        <v>45832</v>
      </c>
      <c r="B4309" s="2" t="s">
        <v>34</v>
      </c>
      <c r="C4309" s="2" t="s">
        <v>32</v>
      </c>
      <c r="D4309" s="2" t="s">
        <v>19</v>
      </c>
      <c r="E4309">
        <v>5294</v>
      </c>
      <c r="F4309">
        <v>283</v>
      </c>
      <c r="G4309">
        <v>39</v>
      </c>
      <c r="H4309">
        <v>137.24</v>
      </c>
      <c r="I4309">
        <v>6153.28</v>
      </c>
      <c r="J4309">
        <v>5.35</v>
      </c>
      <c r="K4309">
        <v>13.78</v>
      </c>
      <c r="L4309">
        <v>3.52</v>
      </c>
      <c r="M4309">
        <v>44.84</v>
      </c>
      <c r="N4309">
        <v>6016.04</v>
      </c>
    </row>
    <row r="4310" spans="1:14" x14ac:dyDescent="0.2">
      <c r="A4310" s="1">
        <v>45833</v>
      </c>
      <c r="B4310" s="2" t="s">
        <v>14</v>
      </c>
      <c r="C4310" s="2" t="s">
        <v>28</v>
      </c>
      <c r="D4310" s="2" t="s">
        <v>25</v>
      </c>
      <c r="E4310">
        <v>11285</v>
      </c>
      <c r="F4310">
        <v>454</v>
      </c>
      <c r="G4310">
        <v>52</v>
      </c>
      <c r="H4310">
        <v>830.78</v>
      </c>
      <c r="I4310">
        <v>6256.57</v>
      </c>
      <c r="J4310">
        <v>4.0199999999999996</v>
      </c>
      <c r="K4310">
        <v>11.45</v>
      </c>
      <c r="L4310">
        <v>15.98</v>
      </c>
      <c r="M4310">
        <v>7.53</v>
      </c>
      <c r="N4310">
        <v>5425.79</v>
      </c>
    </row>
    <row r="4311" spans="1:14" x14ac:dyDescent="0.2">
      <c r="A4311" s="1">
        <v>45833</v>
      </c>
      <c r="B4311" s="2" t="s">
        <v>17</v>
      </c>
      <c r="C4311" s="2" t="s">
        <v>35</v>
      </c>
      <c r="D4311" s="2" t="s">
        <v>22</v>
      </c>
      <c r="E4311">
        <v>10416</v>
      </c>
      <c r="F4311">
        <v>263</v>
      </c>
      <c r="G4311">
        <v>22</v>
      </c>
      <c r="H4311">
        <v>993.82</v>
      </c>
      <c r="I4311">
        <v>2627.02</v>
      </c>
      <c r="J4311">
        <v>2.52</v>
      </c>
      <c r="K4311">
        <v>8.3699999999999992</v>
      </c>
      <c r="L4311">
        <v>45.17</v>
      </c>
      <c r="M4311">
        <v>2.64</v>
      </c>
      <c r="N4311">
        <v>1633.2</v>
      </c>
    </row>
    <row r="4312" spans="1:14" x14ac:dyDescent="0.2">
      <c r="A4312" s="1">
        <v>45833</v>
      </c>
      <c r="B4312" s="2" t="s">
        <v>20</v>
      </c>
      <c r="C4312" s="2" t="s">
        <v>28</v>
      </c>
      <c r="D4312" s="2" t="s">
        <v>36</v>
      </c>
      <c r="E4312">
        <v>8952</v>
      </c>
      <c r="F4312">
        <v>280</v>
      </c>
      <c r="G4312">
        <v>13</v>
      </c>
      <c r="H4312">
        <v>667.43</v>
      </c>
      <c r="I4312">
        <v>1284.07</v>
      </c>
      <c r="J4312">
        <v>3.13</v>
      </c>
      <c r="K4312">
        <v>4.6399999999999997</v>
      </c>
      <c r="L4312">
        <v>51.34</v>
      </c>
      <c r="M4312">
        <v>1.92</v>
      </c>
      <c r="N4312">
        <v>616.64</v>
      </c>
    </row>
    <row r="4313" spans="1:14" x14ac:dyDescent="0.2">
      <c r="A4313" s="1">
        <v>45833</v>
      </c>
      <c r="B4313" s="2" t="s">
        <v>23</v>
      </c>
      <c r="C4313" s="2" t="s">
        <v>35</v>
      </c>
      <c r="D4313" s="2" t="s">
        <v>25</v>
      </c>
      <c r="E4313">
        <v>2828</v>
      </c>
      <c r="F4313">
        <v>56</v>
      </c>
      <c r="G4313">
        <v>6</v>
      </c>
      <c r="H4313">
        <v>1198.1300000000001</v>
      </c>
      <c r="I4313">
        <v>1768.52</v>
      </c>
      <c r="J4313">
        <v>1.98</v>
      </c>
      <c r="K4313">
        <v>10.71</v>
      </c>
      <c r="L4313">
        <v>199.69</v>
      </c>
      <c r="M4313">
        <v>1.48</v>
      </c>
      <c r="N4313">
        <v>570.39</v>
      </c>
    </row>
    <row r="4314" spans="1:14" x14ac:dyDescent="0.2">
      <c r="A4314" s="1">
        <v>45833</v>
      </c>
      <c r="B4314" s="2" t="s">
        <v>24</v>
      </c>
      <c r="C4314" s="2" t="s">
        <v>32</v>
      </c>
      <c r="D4314" s="2" t="s">
        <v>36</v>
      </c>
      <c r="E4314">
        <v>18992</v>
      </c>
      <c r="F4314">
        <v>4556</v>
      </c>
      <c r="G4314">
        <v>391</v>
      </c>
      <c r="H4314">
        <v>242.07</v>
      </c>
      <c r="I4314">
        <v>53597.62</v>
      </c>
      <c r="J4314">
        <v>23.99</v>
      </c>
      <c r="K4314">
        <v>8.58</v>
      </c>
      <c r="L4314">
        <v>0.62</v>
      </c>
      <c r="M4314">
        <v>221.41</v>
      </c>
      <c r="N4314">
        <v>53355.55</v>
      </c>
    </row>
    <row r="4315" spans="1:14" x14ac:dyDescent="0.2">
      <c r="A4315" s="1">
        <v>45833</v>
      </c>
      <c r="B4315" s="2" t="s">
        <v>26</v>
      </c>
      <c r="C4315" s="2" t="s">
        <v>15</v>
      </c>
      <c r="D4315" s="2" t="s">
        <v>25</v>
      </c>
      <c r="E4315">
        <v>19881</v>
      </c>
      <c r="F4315">
        <v>1005</v>
      </c>
      <c r="G4315">
        <v>139</v>
      </c>
      <c r="H4315">
        <v>0</v>
      </c>
      <c r="I4315">
        <v>20321.37</v>
      </c>
      <c r="J4315">
        <v>5.0599999999999996</v>
      </c>
      <c r="K4315">
        <v>13.83</v>
      </c>
      <c r="L4315">
        <v>0</v>
      </c>
      <c r="M4315">
        <v>0</v>
      </c>
      <c r="N4315">
        <v>20321.37</v>
      </c>
    </row>
    <row r="4316" spans="1:14" x14ac:dyDescent="0.2">
      <c r="A4316" s="1">
        <v>45833</v>
      </c>
      <c r="B4316" s="2" t="s">
        <v>27</v>
      </c>
      <c r="C4316" s="2" t="s">
        <v>21</v>
      </c>
      <c r="D4316" s="2" t="s">
        <v>16</v>
      </c>
      <c r="E4316">
        <v>33758</v>
      </c>
      <c r="F4316">
        <v>396</v>
      </c>
      <c r="G4316">
        <v>14</v>
      </c>
      <c r="H4316">
        <v>647.94000000000005</v>
      </c>
      <c r="I4316">
        <v>1183.8900000000001</v>
      </c>
      <c r="J4316">
        <v>1.17</v>
      </c>
      <c r="K4316">
        <v>3.54</v>
      </c>
      <c r="L4316">
        <v>46.28</v>
      </c>
      <c r="M4316">
        <v>1.83</v>
      </c>
      <c r="N4316">
        <v>535.95000000000005</v>
      </c>
    </row>
    <row r="4317" spans="1:14" x14ac:dyDescent="0.2">
      <c r="A4317" s="1">
        <v>45833</v>
      </c>
      <c r="B4317" s="2" t="s">
        <v>29</v>
      </c>
      <c r="C4317" s="2" t="s">
        <v>15</v>
      </c>
      <c r="D4317" s="2" t="s">
        <v>25</v>
      </c>
      <c r="E4317">
        <v>14672</v>
      </c>
      <c r="F4317">
        <v>323</v>
      </c>
      <c r="G4317">
        <v>13</v>
      </c>
      <c r="H4317">
        <v>1178.76</v>
      </c>
      <c r="I4317">
        <v>1545</v>
      </c>
      <c r="J4317">
        <v>2.2000000000000002</v>
      </c>
      <c r="K4317">
        <v>4.0199999999999996</v>
      </c>
      <c r="L4317">
        <v>90.67</v>
      </c>
      <c r="M4317">
        <v>1.31</v>
      </c>
      <c r="N4317">
        <v>366.24</v>
      </c>
    </row>
    <row r="4318" spans="1:14" x14ac:dyDescent="0.2">
      <c r="A4318" s="1">
        <v>45833</v>
      </c>
      <c r="B4318" s="2" t="s">
        <v>30</v>
      </c>
      <c r="C4318" s="2" t="s">
        <v>21</v>
      </c>
      <c r="D4318" s="2" t="s">
        <v>25</v>
      </c>
      <c r="E4318">
        <v>6868</v>
      </c>
      <c r="F4318">
        <v>178</v>
      </c>
      <c r="G4318">
        <v>8</v>
      </c>
      <c r="H4318">
        <v>441.3</v>
      </c>
      <c r="I4318">
        <v>723.47</v>
      </c>
      <c r="J4318">
        <v>2.59</v>
      </c>
      <c r="K4318">
        <v>4.49</v>
      </c>
      <c r="L4318">
        <v>55.16</v>
      </c>
      <c r="M4318">
        <v>1.64</v>
      </c>
      <c r="N4318">
        <v>282.17</v>
      </c>
    </row>
    <row r="4319" spans="1:14" x14ac:dyDescent="0.2">
      <c r="A4319" s="1">
        <v>45833</v>
      </c>
      <c r="B4319" s="2" t="s">
        <v>31</v>
      </c>
      <c r="C4319" s="2" t="s">
        <v>28</v>
      </c>
      <c r="D4319" s="2" t="s">
        <v>22</v>
      </c>
      <c r="E4319">
        <v>18214</v>
      </c>
      <c r="F4319">
        <v>589</v>
      </c>
      <c r="G4319">
        <v>25</v>
      </c>
      <c r="H4319">
        <v>739.71</v>
      </c>
      <c r="I4319">
        <v>2379.34</v>
      </c>
      <c r="J4319">
        <v>3.23</v>
      </c>
      <c r="K4319">
        <v>4.24</v>
      </c>
      <c r="L4319">
        <v>29.59</v>
      </c>
      <c r="M4319">
        <v>3.22</v>
      </c>
      <c r="N4319">
        <v>1639.63</v>
      </c>
    </row>
    <row r="4320" spans="1:14" x14ac:dyDescent="0.2">
      <c r="A4320" s="1">
        <v>45833</v>
      </c>
      <c r="B4320" s="2" t="s">
        <v>33</v>
      </c>
      <c r="C4320" s="2" t="s">
        <v>15</v>
      </c>
      <c r="D4320" s="2" t="s">
        <v>36</v>
      </c>
      <c r="E4320">
        <v>5087</v>
      </c>
      <c r="F4320">
        <v>269</v>
      </c>
      <c r="G4320">
        <v>34</v>
      </c>
      <c r="H4320">
        <v>579.64</v>
      </c>
      <c r="I4320">
        <v>4786.53</v>
      </c>
      <c r="J4320">
        <v>5.29</v>
      </c>
      <c r="K4320">
        <v>12.64</v>
      </c>
      <c r="L4320">
        <v>17.05</v>
      </c>
      <c r="M4320">
        <v>8.26</v>
      </c>
      <c r="N4320">
        <v>4206.8900000000003</v>
      </c>
    </row>
    <row r="4321" spans="1:14" x14ac:dyDescent="0.2">
      <c r="A4321" s="1">
        <v>45833</v>
      </c>
      <c r="B4321" s="2" t="s">
        <v>34</v>
      </c>
      <c r="C4321" s="2" t="s">
        <v>35</v>
      </c>
      <c r="D4321" s="2" t="s">
        <v>25</v>
      </c>
      <c r="E4321">
        <v>5812</v>
      </c>
      <c r="F4321">
        <v>473</v>
      </c>
      <c r="G4321">
        <v>61</v>
      </c>
      <c r="H4321">
        <v>109.02</v>
      </c>
      <c r="I4321">
        <v>10390.870000000001</v>
      </c>
      <c r="J4321">
        <v>8.14</v>
      </c>
      <c r="K4321">
        <v>12.9</v>
      </c>
      <c r="L4321">
        <v>1.79</v>
      </c>
      <c r="M4321">
        <v>95.31</v>
      </c>
      <c r="N4321">
        <v>10281.85</v>
      </c>
    </row>
    <row r="4322" spans="1:14" x14ac:dyDescent="0.2">
      <c r="A4322" s="1">
        <v>45834</v>
      </c>
      <c r="B4322" s="2" t="s">
        <v>14</v>
      </c>
      <c r="C4322" s="2" t="s">
        <v>32</v>
      </c>
      <c r="D4322" s="2" t="s">
        <v>36</v>
      </c>
      <c r="E4322">
        <v>6886</v>
      </c>
      <c r="F4322">
        <v>289</v>
      </c>
      <c r="G4322">
        <v>31</v>
      </c>
      <c r="H4322">
        <v>905.33</v>
      </c>
      <c r="I4322">
        <v>5291.7</v>
      </c>
      <c r="J4322">
        <v>4.2</v>
      </c>
      <c r="K4322">
        <v>10.73</v>
      </c>
      <c r="L4322">
        <v>29.2</v>
      </c>
      <c r="M4322">
        <v>5.85</v>
      </c>
      <c r="N4322">
        <v>4386.37</v>
      </c>
    </row>
    <row r="4323" spans="1:14" x14ac:dyDescent="0.2">
      <c r="A4323" s="1">
        <v>45834</v>
      </c>
      <c r="B4323" s="2" t="s">
        <v>17</v>
      </c>
      <c r="C4323" s="2" t="s">
        <v>32</v>
      </c>
      <c r="D4323" s="2" t="s">
        <v>16</v>
      </c>
      <c r="E4323">
        <v>16294</v>
      </c>
      <c r="F4323">
        <v>419</v>
      </c>
      <c r="G4323">
        <v>30</v>
      </c>
      <c r="H4323">
        <v>598.53</v>
      </c>
      <c r="I4323">
        <v>2811.24</v>
      </c>
      <c r="J4323">
        <v>2.57</v>
      </c>
      <c r="K4323">
        <v>7.16</v>
      </c>
      <c r="L4323">
        <v>19.95</v>
      </c>
      <c r="M4323">
        <v>4.7</v>
      </c>
      <c r="N4323">
        <v>2212.71</v>
      </c>
    </row>
    <row r="4324" spans="1:14" x14ac:dyDescent="0.2">
      <c r="A4324" s="1">
        <v>45834</v>
      </c>
      <c r="B4324" s="2" t="s">
        <v>20</v>
      </c>
      <c r="C4324" s="2" t="s">
        <v>32</v>
      </c>
      <c r="D4324" s="2" t="s">
        <v>22</v>
      </c>
      <c r="E4324">
        <v>15159</v>
      </c>
      <c r="F4324">
        <v>550</v>
      </c>
      <c r="G4324">
        <v>34</v>
      </c>
      <c r="H4324">
        <v>763.45</v>
      </c>
      <c r="I4324">
        <v>2795.83</v>
      </c>
      <c r="J4324">
        <v>3.63</v>
      </c>
      <c r="K4324">
        <v>6.18</v>
      </c>
      <c r="L4324">
        <v>22.45</v>
      </c>
      <c r="M4324">
        <v>3.66</v>
      </c>
      <c r="N4324">
        <v>2032.38</v>
      </c>
    </row>
    <row r="4325" spans="1:14" x14ac:dyDescent="0.2">
      <c r="A4325" s="1">
        <v>45834</v>
      </c>
      <c r="B4325" s="2" t="s">
        <v>23</v>
      </c>
      <c r="C4325" s="2" t="s">
        <v>35</v>
      </c>
      <c r="D4325" s="2" t="s">
        <v>36</v>
      </c>
      <c r="E4325">
        <v>4235</v>
      </c>
      <c r="F4325">
        <v>66</v>
      </c>
      <c r="G4325">
        <v>7</v>
      </c>
      <c r="H4325">
        <v>1030.6300000000001</v>
      </c>
      <c r="I4325">
        <v>1546.11</v>
      </c>
      <c r="J4325">
        <v>1.56</v>
      </c>
      <c r="K4325">
        <v>10.61</v>
      </c>
      <c r="L4325">
        <v>147.22999999999999</v>
      </c>
      <c r="M4325">
        <v>1.5</v>
      </c>
      <c r="N4325">
        <v>515.48</v>
      </c>
    </row>
    <row r="4326" spans="1:14" x14ac:dyDescent="0.2">
      <c r="A4326" s="1">
        <v>45834</v>
      </c>
      <c r="B4326" s="2" t="s">
        <v>24</v>
      </c>
      <c r="C4326" s="2" t="s">
        <v>21</v>
      </c>
      <c r="D4326" s="2" t="s">
        <v>22</v>
      </c>
      <c r="E4326">
        <v>20010</v>
      </c>
      <c r="F4326">
        <v>3020</v>
      </c>
      <c r="G4326">
        <v>348</v>
      </c>
      <c r="H4326">
        <v>209.83</v>
      </c>
      <c r="I4326">
        <v>41974.400000000001</v>
      </c>
      <c r="J4326">
        <v>15.09</v>
      </c>
      <c r="K4326">
        <v>11.52</v>
      </c>
      <c r="L4326">
        <v>0.6</v>
      </c>
      <c r="M4326">
        <v>200.04</v>
      </c>
      <c r="N4326">
        <v>41764.57</v>
      </c>
    </row>
    <row r="4327" spans="1:14" x14ac:dyDescent="0.2">
      <c r="A4327" s="1">
        <v>45834</v>
      </c>
      <c r="B4327" s="2" t="s">
        <v>26</v>
      </c>
      <c r="C4327" s="2" t="s">
        <v>21</v>
      </c>
      <c r="D4327" s="2" t="s">
        <v>19</v>
      </c>
      <c r="E4327">
        <v>20722</v>
      </c>
      <c r="F4327">
        <v>1141</v>
      </c>
      <c r="G4327">
        <v>168</v>
      </c>
      <c r="H4327">
        <v>0</v>
      </c>
      <c r="I4327">
        <v>23315.69</v>
      </c>
      <c r="J4327">
        <v>5.51</v>
      </c>
      <c r="K4327">
        <v>14.72</v>
      </c>
      <c r="L4327">
        <v>0</v>
      </c>
      <c r="M4327">
        <v>0</v>
      </c>
      <c r="N4327">
        <v>23315.69</v>
      </c>
    </row>
    <row r="4328" spans="1:14" x14ac:dyDescent="0.2">
      <c r="A4328" s="1">
        <v>45834</v>
      </c>
      <c r="B4328" s="2" t="s">
        <v>27</v>
      </c>
      <c r="C4328" s="2" t="s">
        <v>28</v>
      </c>
      <c r="D4328" s="2" t="s">
        <v>36</v>
      </c>
      <c r="E4328">
        <v>23902</v>
      </c>
      <c r="F4328">
        <v>444</v>
      </c>
      <c r="G4328">
        <v>16</v>
      </c>
      <c r="H4328">
        <v>1048.5899999999999</v>
      </c>
      <c r="I4328">
        <v>1721.81</v>
      </c>
      <c r="J4328">
        <v>1.86</v>
      </c>
      <c r="K4328">
        <v>3.6</v>
      </c>
      <c r="L4328">
        <v>65.540000000000006</v>
      </c>
      <c r="M4328">
        <v>1.64</v>
      </c>
      <c r="N4328">
        <v>673.22</v>
      </c>
    </row>
    <row r="4329" spans="1:14" x14ac:dyDescent="0.2">
      <c r="A4329" s="1">
        <v>45834</v>
      </c>
      <c r="B4329" s="2" t="s">
        <v>29</v>
      </c>
      <c r="C4329" s="2" t="s">
        <v>35</v>
      </c>
      <c r="D4329" s="2" t="s">
        <v>16</v>
      </c>
      <c r="E4329">
        <v>16962</v>
      </c>
      <c r="F4329">
        <v>289</v>
      </c>
      <c r="G4329">
        <v>16</v>
      </c>
      <c r="H4329">
        <v>967.83</v>
      </c>
      <c r="I4329">
        <v>2375.73</v>
      </c>
      <c r="J4329">
        <v>1.7</v>
      </c>
      <c r="K4329">
        <v>5.54</v>
      </c>
      <c r="L4329">
        <v>60.49</v>
      </c>
      <c r="M4329">
        <v>2.4500000000000002</v>
      </c>
      <c r="N4329">
        <v>1407.9</v>
      </c>
    </row>
    <row r="4330" spans="1:14" x14ac:dyDescent="0.2">
      <c r="A4330" s="1">
        <v>45834</v>
      </c>
      <c r="B4330" s="2" t="s">
        <v>30</v>
      </c>
      <c r="C4330" s="2" t="s">
        <v>15</v>
      </c>
      <c r="D4330" s="2" t="s">
        <v>22</v>
      </c>
      <c r="E4330">
        <v>10354</v>
      </c>
      <c r="F4330">
        <v>246</v>
      </c>
      <c r="G4330">
        <v>12</v>
      </c>
      <c r="H4330">
        <v>557.49</v>
      </c>
      <c r="I4330">
        <v>1114.53</v>
      </c>
      <c r="J4330">
        <v>2.38</v>
      </c>
      <c r="K4330">
        <v>4.88</v>
      </c>
      <c r="L4330">
        <v>46.46</v>
      </c>
      <c r="M4330">
        <v>2</v>
      </c>
      <c r="N4330">
        <v>557.04</v>
      </c>
    </row>
    <row r="4331" spans="1:14" x14ac:dyDescent="0.2">
      <c r="A4331" s="1">
        <v>45834</v>
      </c>
      <c r="B4331" s="2" t="s">
        <v>31</v>
      </c>
      <c r="C4331" s="2" t="s">
        <v>28</v>
      </c>
      <c r="D4331" s="2" t="s">
        <v>19</v>
      </c>
      <c r="E4331">
        <v>20503</v>
      </c>
      <c r="F4331">
        <v>692</v>
      </c>
      <c r="G4331">
        <v>45</v>
      </c>
      <c r="H4331">
        <v>770.58</v>
      </c>
      <c r="I4331">
        <v>4239.95</v>
      </c>
      <c r="J4331">
        <v>3.38</v>
      </c>
      <c r="K4331">
        <v>6.5</v>
      </c>
      <c r="L4331">
        <v>17.12</v>
      </c>
      <c r="M4331">
        <v>5.5</v>
      </c>
      <c r="N4331">
        <v>3469.37</v>
      </c>
    </row>
    <row r="4332" spans="1:14" x14ac:dyDescent="0.2">
      <c r="A4332" s="1">
        <v>45834</v>
      </c>
      <c r="B4332" s="2" t="s">
        <v>33</v>
      </c>
      <c r="C4332" s="2" t="s">
        <v>35</v>
      </c>
      <c r="D4332" s="2" t="s">
        <v>22</v>
      </c>
      <c r="E4332">
        <v>7302</v>
      </c>
      <c r="F4332">
        <v>435</v>
      </c>
      <c r="G4332">
        <v>51</v>
      </c>
      <c r="H4332">
        <v>408.16</v>
      </c>
      <c r="I4332">
        <v>8023.46</v>
      </c>
      <c r="J4332">
        <v>5.96</v>
      </c>
      <c r="K4332">
        <v>11.72</v>
      </c>
      <c r="L4332">
        <v>8</v>
      </c>
      <c r="M4332">
        <v>19.66</v>
      </c>
      <c r="N4332">
        <v>7615.3</v>
      </c>
    </row>
    <row r="4333" spans="1:14" x14ac:dyDescent="0.2">
      <c r="A4333" s="1">
        <v>45834</v>
      </c>
      <c r="B4333" s="2" t="s">
        <v>34</v>
      </c>
      <c r="C4333" s="2" t="s">
        <v>35</v>
      </c>
      <c r="D4333" s="2" t="s">
        <v>25</v>
      </c>
      <c r="E4333">
        <v>2776</v>
      </c>
      <c r="F4333">
        <v>168</v>
      </c>
      <c r="G4333">
        <v>27</v>
      </c>
      <c r="H4333">
        <v>132.08000000000001</v>
      </c>
      <c r="I4333">
        <v>3575.36</v>
      </c>
      <c r="J4333">
        <v>6.05</v>
      </c>
      <c r="K4333">
        <v>16.07</v>
      </c>
      <c r="L4333">
        <v>4.8899999999999997</v>
      </c>
      <c r="M4333">
        <v>27.07</v>
      </c>
      <c r="N4333">
        <v>3443.28</v>
      </c>
    </row>
    <row r="4334" spans="1:14" x14ac:dyDescent="0.2">
      <c r="A4334" s="1">
        <v>45835</v>
      </c>
      <c r="B4334" s="2" t="s">
        <v>14</v>
      </c>
      <c r="C4334" s="2" t="s">
        <v>21</v>
      </c>
      <c r="D4334" s="2" t="s">
        <v>36</v>
      </c>
      <c r="E4334">
        <v>7823</v>
      </c>
      <c r="F4334">
        <v>253</v>
      </c>
      <c r="G4334">
        <v>21</v>
      </c>
      <c r="H4334">
        <v>1127.02</v>
      </c>
      <c r="I4334">
        <v>3857.91</v>
      </c>
      <c r="J4334">
        <v>3.23</v>
      </c>
      <c r="K4334">
        <v>8.3000000000000007</v>
      </c>
      <c r="L4334">
        <v>53.67</v>
      </c>
      <c r="M4334">
        <v>3.42</v>
      </c>
      <c r="N4334">
        <v>2730.89</v>
      </c>
    </row>
    <row r="4335" spans="1:14" x14ac:dyDescent="0.2">
      <c r="A4335" s="1">
        <v>45835</v>
      </c>
      <c r="B4335" s="2" t="s">
        <v>17</v>
      </c>
      <c r="C4335" s="2" t="s">
        <v>21</v>
      </c>
      <c r="D4335" s="2" t="s">
        <v>16</v>
      </c>
      <c r="E4335">
        <v>14348</v>
      </c>
      <c r="F4335">
        <v>491</v>
      </c>
      <c r="G4335">
        <v>37</v>
      </c>
      <c r="H4335">
        <v>811.36</v>
      </c>
      <c r="I4335">
        <v>4671.22</v>
      </c>
      <c r="J4335">
        <v>3.42</v>
      </c>
      <c r="K4335">
        <v>7.54</v>
      </c>
      <c r="L4335">
        <v>21.93</v>
      </c>
      <c r="M4335">
        <v>5.76</v>
      </c>
      <c r="N4335">
        <v>3859.86</v>
      </c>
    </row>
    <row r="4336" spans="1:14" x14ac:dyDescent="0.2">
      <c r="A4336" s="1">
        <v>45835</v>
      </c>
      <c r="B4336" s="2" t="s">
        <v>20</v>
      </c>
      <c r="C4336" s="2" t="s">
        <v>21</v>
      </c>
      <c r="D4336" s="2" t="s">
        <v>22</v>
      </c>
      <c r="E4336">
        <v>14002</v>
      </c>
      <c r="F4336">
        <v>351</v>
      </c>
      <c r="G4336">
        <v>17</v>
      </c>
      <c r="H4336">
        <v>515.65</v>
      </c>
      <c r="I4336">
        <v>1531.1</v>
      </c>
      <c r="J4336">
        <v>2.5099999999999998</v>
      </c>
      <c r="K4336">
        <v>4.84</v>
      </c>
      <c r="L4336">
        <v>30.33</v>
      </c>
      <c r="M4336">
        <v>2.97</v>
      </c>
      <c r="N4336">
        <v>1015.45</v>
      </c>
    </row>
    <row r="4337" spans="1:14" x14ac:dyDescent="0.2">
      <c r="A4337" s="1">
        <v>45835</v>
      </c>
      <c r="B4337" s="2" t="s">
        <v>23</v>
      </c>
      <c r="C4337" s="2" t="s">
        <v>18</v>
      </c>
      <c r="D4337" s="2" t="s">
        <v>22</v>
      </c>
      <c r="E4337">
        <v>4388</v>
      </c>
      <c r="F4337">
        <v>124</v>
      </c>
      <c r="G4337">
        <v>14</v>
      </c>
      <c r="H4337">
        <v>1157.1400000000001</v>
      </c>
      <c r="I4337">
        <v>3257.91</v>
      </c>
      <c r="J4337">
        <v>2.83</v>
      </c>
      <c r="K4337">
        <v>11.29</v>
      </c>
      <c r="L4337">
        <v>82.65</v>
      </c>
      <c r="M4337">
        <v>2.82</v>
      </c>
      <c r="N4337">
        <v>2100.77</v>
      </c>
    </row>
    <row r="4338" spans="1:14" x14ac:dyDescent="0.2">
      <c r="A4338" s="1">
        <v>45835</v>
      </c>
      <c r="B4338" s="2" t="s">
        <v>24</v>
      </c>
      <c r="C4338" s="2" t="s">
        <v>35</v>
      </c>
      <c r="D4338" s="2" t="s">
        <v>36</v>
      </c>
      <c r="E4338">
        <v>13199</v>
      </c>
      <c r="F4338">
        <v>2942</v>
      </c>
      <c r="G4338">
        <v>315</v>
      </c>
      <c r="H4338">
        <v>130.13999999999999</v>
      </c>
      <c r="I4338">
        <v>50000.76</v>
      </c>
      <c r="J4338">
        <v>22.29</v>
      </c>
      <c r="K4338">
        <v>10.71</v>
      </c>
      <c r="L4338">
        <v>0.41</v>
      </c>
      <c r="M4338">
        <v>384.21</v>
      </c>
      <c r="N4338">
        <v>49870.62</v>
      </c>
    </row>
    <row r="4339" spans="1:14" x14ac:dyDescent="0.2">
      <c r="A4339" s="1">
        <v>45835</v>
      </c>
      <c r="B4339" s="2" t="s">
        <v>26</v>
      </c>
      <c r="C4339" s="2" t="s">
        <v>28</v>
      </c>
      <c r="D4339" s="2" t="s">
        <v>25</v>
      </c>
      <c r="E4339">
        <v>27891</v>
      </c>
      <c r="F4339">
        <v>1757</v>
      </c>
      <c r="G4339">
        <v>260</v>
      </c>
      <c r="H4339">
        <v>0</v>
      </c>
      <c r="I4339">
        <v>35062.04</v>
      </c>
      <c r="J4339">
        <v>6.3</v>
      </c>
      <c r="K4339">
        <v>14.8</v>
      </c>
      <c r="L4339">
        <v>0</v>
      </c>
      <c r="M4339">
        <v>0</v>
      </c>
      <c r="N4339">
        <v>35062.04</v>
      </c>
    </row>
    <row r="4340" spans="1:14" x14ac:dyDescent="0.2">
      <c r="A4340" s="1">
        <v>45835</v>
      </c>
      <c r="B4340" s="2" t="s">
        <v>27</v>
      </c>
      <c r="C4340" s="2" t="s">
        <v>28</v>
      </c>
      <c r="D4340" s="2" t="s">
        <v>36</v>
      </c>
      <c r="E4340">
        <v>25611</v>
      </c>
      <c r="F4340">
        <v>498</v>
      </c>
      <c r="G4340">
        <v>12</v>
      </c>
      <c r="H4340">
        <v>901.22</v>
      </c>
      <c r="I4340">
        <v>1179.5999999999999</v>
      </c>
      <c r="J4340">
        <v>1.94</v>
      </c>
      <c r="K4340">
        <v>2.41</v>
      </c>
      <c r="L4340">
        <v>75.099999999999994</v>
      </c>
      <c r="M4340">
        <v>1.31</v>
      </c>
      <c r="N4340">
        <v>278.38</v>
      </c>
    </row>
    <row r="4341" spans="1:14" x14ac:dyDescent="0.2">
      <c r="A4341" s="1">
        <v>45835</v>
      </c>
      <c r="B4341" s="2" t="s">
        <v>29</v>
      </c>
      <c r="C4341" s="2" t="s">
        <v>15</v>
      </c>
      <c r="D4341" s="2" t="s">
        <v>16</v>
      </c>
      <c r="E4341">
        <v>16732</v>
      </c>
      <c r="F4341">
        <v>442</v>
      </c>
      <c r="G4341">
        <v>17</v>
      </c>
      <c r="H4341">
        <v>721.26</v>
      </c>
      <c r="I4341">
        <v>2144.06</v>
      </c>
      <c r="J4341">
        <v>2.64</v>
      </c>
      <c r="K4341">
        <v>3.85</v>
      </c>
      <c r="L4341">
        <v>42.43</v>
      </c>
      <c r="M4341">
        <v>2.97</v>
      </c>
      <c r="N4341">
        <v>1422.8</v>
      </c>
    </row>
    <row r="4342" spans="1:14" x14ac:dyDescent="0.2">
      <c r="A4342" s="1">
        <v>45835</v>
      </c>
      <c r="B4342" s="2" t="s">
        <v>30</v>
      </c>
      <c r="C4342" s="2" t="s">
        <v>21</v>
      </c>
      <c r="D4342" s="2" t="s">
        <v>22</v>
      </c>
      <c r="E4342">
        <v>11682</v>
      </c>
      <c r="F4342">
        <v>340</v>
      </c>
      <c r="G4342">
        <v>19</v>
      </c>
      <c r="H4342">
        <v>391.83</v>
      </c>
      <c r="I4342">
        <v>2104.2399999999998</v>
      </c>
      <c r="J4342">
        <v>2.91</v>
      </c>
      <c r="K4342">
        <v>5.59</v>
      </c>
      <c r="L4342">
        <v>20.62</v>
      </c>
      <c r="M4342">
        <v>5.37</v>
      </c>
      <c r="N4342">
        <v>1712.41</v>
      </c>
    </row>
    <row r="4343" spans="1:14" x14ac:dyDescent="0.2">
      <c r="A4343" s="1">
        <v>45835</v>
      </c>
      <c r="B4343" s="2" t="s">
        <v>31</v>
      </c>
      <c r="C4343" s="2" t="s">
        <v>35</v>
      </c>
      <c r="D4343" s="2" t="s">
        <v>22</v>
      </c>
      <c r="E4343">
        <v>24144</v>
      </c>
      <c r="F4343">
        <v>814</v>
      </c>
      <c r="G4343">
        <v>45</v>
      </c>
      <c r="H4343">
        <v>586.54999999999995</v>
      </c>
      <c r="I4343">
        <v>4062</v>
      </c>
      <c r="J4343">
        <v>3.37</v>
      </c>
      <c r="K4343">
        <v>5.53</v>
      </c>
      <c r="L4343">
        <v>13.03</v>
      </c>
      <c r="M4343">
        <v>6.93</v>
      </c>
      <c r="N4343">
        <v>3475.45</v>
      </c>
    </row>
    <row r="4344" spans="1:14" x14ac:dyDescent="0.2">
      <c r="A4344" s="1">
        <v>45835</v>
      </c>
      <c r="B4344" s="2" t="s">
        <v>33</v>
      </c>
      <c r="C4344" s="2" t="s">
        <v>18</v>
      </c>
      <c r="D4344" s="2" t="s">
        <v>19</v>
      </c>
      <c r="E4344">
        <v>4374</v>
      </c>
      <c r="F4344">
        <v>179</v>
      </c>
      <c r="G4344">
        <v>22</v>
      </c>
      <c r="H4344">
        <v>362.85</v>
      </c>
      <c r="I4344">
        <v>2174.7600000000002</v>
      </c>
      <c r="J4344">
        <v>4.09</v>
      </c>
      <c r="K4344">
        <v>12.29</v>
      </c>
      <c r="L4344">
        <v>16.489999999999998</v>
      </c>
      <c r="M4344">
        <v>5.99</v>
      </c>
      <c r="N4344">
        <v>1811.91</v>
      </c>
    </row>
    <row r="4345" spans="1:14" x14ac:dyDescent="0.2">
      <c r="A4345" s="1">
        <v>45835</v>
      </c>
      <c r="B4345" s="2" t="s">
        <v>34</v>
      </c>
      <c r="C4345" s="2" t="s">
        <v>35</v>
      </c>
      <c r="D4345" s="2" t="s">
        <v>25</v>
      </c>
      <c r="E4345">
        <v>5187</v>
      </c>
      <c r="F4345">
        <v>508</v>
      </c>
      <c r="G4345">
        <v>88</v>
      </c>
      <c r="H4345">
        <v>143.99</v>
      </c>
      <c r="I4345">
        <v>13524.1</v>
      </c>
      <c r="J4345">
        <v>9.7899999999999991</v>
      </c>
      <c r="K4345">
        <v>17.32</v>
      </c>
      <c r="L4345">
        <v>1.64</v>
      </c>
      <c r="M4345">
        <v>93.92</v>
      </c>
      <c r="N4345">
        <v>13380.11</v>
      </c>
    </row>
    <row r="4346" spans="1:14" x14ac:dyDescent="0.2">
      <c r="A4346" s="1">
        <v>45836</v>
      </c>
      <c r="B4346" s="2" t="s">
        <v>14</v>
      </c>
      <c r="C4346" s="2" t="s">
        <v>21</v>
      </c>
      <c r="D4346" s="2" t="s">
        <v>16</v>
      </c>
      <c r="E4346">
        <v>6304</v>
      </c>
      <c r="F4346">
        <v>245</v>
      </c>
      <c r="G4346">
        <v>27</v>
      </c>
      <c r="H4346">
        <v>716.52</v>
      </c>
      <c r="I4346">
        <v>3816.21</v>
      </c>
      <c r="J4346">
        <v>3.89</v>
      </c>
      <c r="K4346">
        <v>11.02</v>
      </c>
      <c r="L4346">
        <v>26.54</v>
      </c>
      <c r="M4346">
        <v>5.33</v>
      </c>
      <c r="N4346">
        <v>3099.69</v>
      </c>
    </row>
    <row r="4347" spans="1:14" x14ac:dyDescent="0.2">
      <c r="A4347" s="1">
        <v>45836</v>
      </c>
      <c r="B4347" s="2" t="s">
        <v>17</v>
      </c>
      <c r="C4347" s="2" t="s">
        <v>15</v>
      </c>
      <c r="D4347" s="2" t="s">
        <v>36</v>
      </c>
      <c r="E4347">
        <v>10765</v>
      </c>
      <c r="F4347">
        <v>296</v>
      </c>
      <c r="G4347">
        <v>22</v>
      </c>
      <c r="H4347">
        <v>522.52</v>
      </c>
      <c r="I4347">
        <v>2190.9499999999998</v>
      </c>
      <c r="J4347">
        <v>2.75</v>
      </c>
      <c r="K4347">
        <v>7.43</v>
      </c>
      <c r="L4347">
        <v>23.75</v>
      </c>
      <c r="M4347">
        <v>4.1900000000000004</v>
      </c>
      <c r="N4347">
        <v>1668.43</v>
      </c>
    </row>
    <row r="4348" spans="1:14" x14ac:dyDescent="0.2">
      <c r="A4348" s="1">
        <v>45836</v>
      </c>
      <c r="B4348" s="2" t="s">
        <v>20</v>
      </c>
      <c r="C4348" s="2" t="s">
        <v>18</v>
      </c>
      <c r="D4348" s="2" t="s">
        <v>16</v>
      </c>
      <c r="E4348">
        <v>9674</v>
      </c>
      <c r="F4348">
        <v>424</v>
      </c>
      <c r="G4348">
        <v>22</v>
      </c>
      <c r="H4348">
        <v>341.02</v>
      </c>
      <c r="I4348">
        <v>1984.13</v>
      </c>
      <c r="J4348">
        <v>4.38</v>
      </c>
      <c r="K4348">
        <v>5.19</v>
      </c>
      <c r="L4348">
        <v>15.5</v>
      </c>
      <c r="M4348">
        <v>5.82</v>
      </c>
      <c r="N4348">
        <v>1643.11</v>
      </c>
    </row>
    <row r="4349" spans="1:14" x14ac:dyDescent="0.2">
      <c r="A4349" s="1">
        <v>45836</v>
      </c>
      <c r="B4349" s="2" t="s">
        <v>23</v>
      </c>
      <c r="C4349" s="2" t="s">
        <v>18</v>
      </c>
      <c r="D4349" s="2" t="s">
        <v>19</v>
      </c>
      <c r="E4349">
        <v>3481</v>
      </c>
      <c r="F4349">
        <v>102</v>
      </c>
      <c r="G4349">
        <v>10</v>
      </c>
      <c r="H4349">
        <v>928.21</v>
      </c>
      <c r="I4349">
        <v>2404.2399999999998</v>
      </c>
      <c r="J4349">
        <v>2.93</v>
      </c>
      <c r="K4349">
        <v>9.8000000000000007</v>
      </c>
      <c r="L4349">
        <v>92.82</v>
      </c>
      <c r="M4349">
        <v>2.59</v>
      </c>
      <c r="N4349">
        <v>1476.03</v>
      </c>
    </row>
    <row r="4350" spans="1:14" x14ac:dyDescent="0.2">
      <c r="A4350" s="1">
        <v>45836</v>
      </c>
      <c r="B4350" s="2" t="s">
        <v>24</v>
      </c>
      <c r="C4350" s="2" t="s">
        <v>32</v>
      </c>
      <c r="D4350" s="2" t="s">
        <v>19</v>
      </c>
      <c r="E4350">
        <v>13342</v>
      </c>
      <c r="F4350">
        <v>2413</v>
      </c>
      <c r="G4350">
        <v>286</v>
      </c>
      <c r="H4350">
        <v>60.26</v>
      </c>
      <c r="I4350">
        <v>42523.62</v>
      </c>
      <c r="J4350">
        <v>18.09</v>
      </c>
      <c r="K4350">
        <v>11.85</v>
      </c>
      <c r="L4350">
        <v>0.21</v>
      </c>
      <c r="M4350">
        <v>705.67</v>
      </c>
      <c r="N4350">
        <v>42463.360000000001</v>
      </c>
    </row>
    <row r="4351" spans="1:14" x14ac:dyDescent="0.2">
      <c r="A4351" s="1">
        <v>45836</v>
      </c>
      <c r="B4351" s="2" t="s">
        <v>26</v>
      </c>
      <c r="C4351" s="2" t="s">
        <v>18</v>
      </c>
      <c r="D4351" s="2" t="s">
        <v>36</v>
      </c>
      <c r="E4351">
        <v>18724</v>
      </c>
      <c r="F4351">
        <v>947</v>
      </c>
      <c r="G4351">
        <v>120</v>
      </c>
      <c r="H4351">
        <v>0</v>
      </c>
      <c r="I4351">
        <v>15289.34</v>
      </c>
      <c r="J4351">
        <v>5.0599999999999996</v>
      </c>
      <c r="K4351">
        <v>12.67</v>
      </c>
      <c r="L4351">
        <v>0</v>
      </c>
      <c r="M4351">
        <v>0</v>
      </c>
      <c r="N4351">
        <v>15289.34</v>
      </c>
    </row>
    <row r="4352" spans="1:14" x14ac:dyDescent="0.2">
      <c r="A4352" s="1">
        <v>45836</v>
      </c>
      <c r="B4352" s="2" t="s">
        <v>27</v>
      </c>
      <c r="C4352" s="2" t="s">
        <v>35</v>
      </c>
      <c r="D4352" s="2" t="s">
        <v>16</v>
      </c>
      <c r="E4352">
        <v>15022</v>
      </c>
      <c r="F4352">
        <v>154</v>
      </c>
      <c r="G4352">
        <v>3</v>
      </c>
      <c r="H4352">
        <v>601.63</v>
      </c>
      <c r="I4352">
        <v>299.41000000000003</v>
      </c>
      <c r="J4352">
        <v>1.03</v>
      </c>
      <c r="K4352">
        <v>1.95</v>
      </c>
      <c r="L4352">
        <v>200.54</v>
      </c>
      <c r="M4352">
        <v>0.5</v>
      </c>
      <c r="N4352">
        <v>-302.22000000000003</v>
      </c>
    </row>
    <row r="4353" spans="1:14" x14ac:dyDescent="0.2">
      <c r="A4353" s="1">
        <v>45836</v>
      </c>
      <c r="B4353" s="2" t="s">
        <v>29</v>
      </c>
      <c r="C4353" s="2" t="s">
        <v>28</v>
      </c>
      <c r="D4353" s="2" t="s">
        <v>22</v>
      </c>
      <c r="E4353">
        <v>10999</v>
      </c>
      <c r="F4353">
        <v>224</v>
      </c>
      <c r="G4353">
        <v>13</v>
      </c>
      <c r="H4353">
        <v>768.15</v>
      </c>
      <c r="I4353">
        <v>1335.72</v>
      </c>
      <c r="J4353">
        <v>2.04</v>
      </c>
      <c r="K4353">
        <v>5.8</v>
      </c>
      <c r="L4353">
        <v>59.09</v>
      </c>
      <c r="M4353">
        <v>1.74</v>
      </c>
      <c r="N4353">
        <v>567.57000000000005</v>
      </c>
    </row>
    <row r="4354" spans="1:14" x14ac:dyDescent="0.2">
      <c r="A4354" s="1">
        <v>45836</v>
      </c>
      <c r="B4354" s="2" t="s">
        <v>30</v>
      </c>
      <c r="C4354" s="2" t="s">
        <v>21</v>
      </c>
      <c r="D4354" s="2" t="s">
        <v>16</v>
      </c>
      <c r="E4354">
        <v>5510</v>
      </c>
      <c r="F4354">
        <v>139</v>
      </c>
      <c r="G4354">
        <v>7</v>
      </c>
      <c r="H4354">
        <v>298.72000000000003</v>
      </c>
      <c r="I4354">
        <v>715.97</v>
      </c>
      <c r="J4354">
        <v>2.52</v>
      </c>
      <c r="K4354">
        <v>5.04</v>
      </c>
      <c r="L4354">
        <v>42.67</v>
      </c>
      <c r="M4354">
        <v>2.4</v>
      </c>
      <c r="N4354">
        <v>417.25</v>
      </c>
    </row>
    <row r="4355" spans="1:14" x14ac:dyDescent="0.2">
      <c r="A4355" s="1">
        <v>45836</v>
      </c>
      <c r="B4355" s="2" t="s">
        <v>31</v>
      </c>
      <c r="C4355" s="2" t="s">
        <v>32</v>
      </c>
      <c r="D4355" s="2" t="s">
        <v>25</v>
      </c>
      <c r="E4355">
        <v>16546</v>
      </c>
      <c r="F4355">
        <v>613</v>
      </c>
      <c r="G4355">
        <v>36</v>
      </c>
      <c r="H4355">
        <v>634.89</v>
      </c>
      <c r="I4355">
        <v>3239.66</v>
      </c>
      <c r="J4355">
        <v>3.7</v>
      </c>
      <c r="K4355">
        <v>5.87</v>
      </c>
      <c r="L4355">
        <v>17.64</v>
      </c>
      <c r="M4355">
        <v>5.0999999999999996</v>
      </c>
      <c r="N4355">
        <v>2604.77</v>
      </c>
    </row>
    <row r="4356" spans="1:14" x14ac:dyDescent="0.2">
      <c r="A4356" s="1">
        <v>45836</v>
      </c>
      <c r="B4356" s="2" t="s">
        <v>33</v>
      </c>
      <c r="C4356" s="2" t="s">
        <v>18</v>
      </c>
      <c r="D4356" s="2" t="s">
        <v>25</v>
      </c>
      <c r="E4356">
        <v>5598</v>
      </c>
      <c r="F4356">
        <v>349</v>
      </c>
      <c r="G4356">
        <v>30</v>
      </c>
      <c r="H4356">
        <v>190.91</v>
      </c>
      <c r="I4356">
        <v>3402.31</v>
      </c>
      <c r="J4356">
        <v>6.23</v>
      </c>
      <c r="K4356">
        <v>8.6</v>
      </c>
      <c r="L4356">
        <v>6.36</v>
      </c>
      <c r="M4356">
        <v>17.82</v>
      </c>
      <c r="N4356">
        <v>3211.4</v>
      </c>
    </row>
    <row r="4357" spans="1:14" x14ac:dyDescent="0.2">
      <c r="A4357" s="1">
        <v>45836</v>
      </c>
      <c r="B4357" s="2" t="s">
        <v>34</v>
      </c>
      <c r="C4357" s="2" t="s">
        <v>15</v>
      </c>
      <c r="D4357" s="2" t="s">
        <v>25</v>
      </c>
      <c r="E4357">
        <v>2500</v>
      </c>
      <c r="F4357">
        <v>150</v>
      </c>
      <c r="G4357">
        <v>23</v>
      </c>
      <c r="H4357">
        <v>117.88</v>
      </c>
      <c r="I4357">
        <v>4429.84</v>
      </c>
      <c r="J4357">
        <v>6</v>
      </c>
      <c r="K4357">
        <v>15.33</v>
      </c>
      <c r="L4357">
        <v>5.13</v>
      </c>
      <c r="M4357">
        <v>37.58</v>
      </c>
      <c r="N4357">
        <v>4311.96</v>
      </c>
    </row>
    <row r="4358" spans="1:14" x14ac:dyDescent="0.2">
      <c r="A4358" s="1">
        <v>45837</v>
      </c>
      <c r="B4358" s="2" t="s">
        <v>14</v>
      </c>
      <c r="C4358" s="2" t="s">
        <v>32</v>
      </c>
      <c r="D4358" s="2" t="s">
        <v>19</v>
      </c>
      <c r="E4358">
        <v>6032</v>
      </c>
      <c r="F4358">
        <v>206</v>
      </c>
      <c r="G4358">
        <v>22</v>
      </c>
      <c r="H4358">
        <v>648.85</v>
      </c>
      <c r="I4358">
        <v>2924.64</v>
      </c>
      <c r="J4358">
        <v>3.42</v>
      </c>
      <c r="K4358">
        <v>10.68</v>
      </c>
      <c r="L4358">
        <v>29.49</v>
      </c>
      <c r="M4358">
        <v>4.51</v>
      </c>
      <c r="N4358">
        <v>2275.79</v>
      </c>
    </row>
    <row r="4359" spans="1:14" x14ac:dyDescent="0.2">
      <c r="A4359" s="1">
        <v>45837</v>
      </c>
      <c r="B4359" s="2" t="s">
        <v>17</v>
      </c>
      <c r="C4359" s="2" t="s">
        <v>28</v>
      </c>
      <c r="D4359" s="2" t="s">
        <v>16</v>
      </c>
      <c r="E4359">
        <v>10258</v>
      </c>
      <c r="F4359">
        <v>260</v>
      </c>
      <c r="G4359">
        <v>13</v>
      </c>
      <c r="H4359">
        <v>363.8</v>
      </c>
      <c r="I4359">
        <v>1285.2</v>
      </c>
      <c r="J4359">
        <v>2.5299999999999998</v>
      </c>
      <c r="K4359">
        <v>5</v>
      </c>
      <c r="L4359">
        <v>27.98</v>
      </c>
      <c r="M4359">
        <v>3.53</v>
      </c>
      <c r="N4359">
        <v>921.4</v>
      </c>
    </row>
    <row r="4360" spans="1:14" x14ac:dyDescent="0.2">
      <c r="A4360" s="1">
        <v>45837</v>
      </c>
      <c r="B4360" s="2" t="s">
        <v>20</v>
      </c>
      <c r="C4360" s="2" t="s">
        <v>21</v>
      </c>
      <c r="D4360" s="2" t="s">
        <v>25</v>
      </c>
      <c r="E4360">
        <v>10251</v>
      </c>
      <c r="F4360">
        <v>400</v>
      </c>
      <c r="G4360">
        <v>23</v>
      </c>
      <c r="H4360">
        <v>328.73</v>
      </c>
      <c r="I4360">
        <v>1940.04</v>
      </c>
      <c r="J4360">
        <v>3.9</v>
      </c>
      <c r="K4360">
        <v>5.75</v>
      </c>
      <c r="L4360">
        <v>14.29</v>
      </c>
      <c r="M4360">
        <v>5.9</v>
      </c>
      <c r="N4360">
        <v>1611.31</v>
      </c>
    </row>
    <row r="4361" spans="1:14" x14ac:dyDescent="0.2">
      <c r="A4361" s="1">
        <v>45837</v>
      </c>
      <c r="B4361" s="2" t="s">
        <v>23</v>
      </c>
      <c r="C4361" s="2" t="s">
        <v>18</v>
      </c>
      <c r="D4361" s="2" t="s">
        <v>19</v>
      </c>
      <c r="E4361">
        <v>2989</v>
      </c>
      <c r="F4361">
        <v>71</v>
      </c>
      <c r="G4361">
        <v>8</v>
      </c>
      <c r="H4361">
        <v>767.92</v>
      </c>
      <c r="I4361">
        <v>2347.21</v>
      </c>
      <c r="J4361">
        <v>2.38</v>
      </c>
      <c r="K4361">
        <v>11.27</v>
      </c>
      <c r="L4361">
        <v>95.99</v>
      </c>
      <c r="M4361">
        <v>3.06</v>
      </c>
      <c r="N4361">
        <v>1579.29</v>
      </c>
    </row>
    <row r="4362" spans="1:14" x14ac:dyDescent="0.2">
      <c r="A4362" s="1">
        <v>45837</v>
      </c>
      <c r="B4362" s="2" t="s">
        <v>24</v>
      </c>
      <c r="C4362" s="2" t="s">
        <v>35</v>
      </c>
      <c r="D4362" s="2" t="s">
        <v>25</v>
      </c>
      <c r="E4362">
        <v>13340</v>
      </c>
      <c r="F4362">
        <v>3001</v>
      </c>
      <c r="G4362">
        <v>285</v>
      </c>
      <c r="H4362">
        <v>142.79</v>
      </c>
      <c r="I4362">
        <v>43207.199999999997</v>
      </c>
      <c r="J4362">
        <v>22.5</v>
      </c>
      <c r="K4362">
        <v>9.5</v>
      </c>
      <c r="L4362">
        <v>0.5</v>
      </c>
      <c r="M4362">
        <v>302.58999999999997</v>
      </c>
      <c r="N4362">
        <v>43064.41</v>
      </c>
    </row>
    <row r="4363" spans="1:14" x14ac:dyDescent="0.2">
      <c r="A4363" s="1">
        <v>45837</v>
      </c>
      <c r="B4363" s="2" t="s">
        <v>26</v>
      </c>
      <c r="C4363" s="2" t="s">
        <v>15</v>
      </c>
      <c r="D4363" s="2" t="s">
        <v>36</v>
      </c>
      <c r="E4363">
        <v>15209</v>
      </c>
      <c r="F4363">
        <v>888</v>
      </c>
      <c r="G4363">
        <v>110</v>
      </c>
      <c r="H4363">
        <v>0</v>
      </c>
      <c r="I4363">
        <v>14162.66</v>
      </c>
      <c r="J4363">
        <v>5.84</v>
      </c>
      <c r="K4363">
        <v>12.39</v>
      </c>
      <c r="L4363">
        <v>0</v>
      </c>
      <c r="M4363">
        <v>0</v>
      </c>
      <c r="N4363">
        <v>14162.66</v>
      </c>
    </row>
    <row r="4364" spans="1:14" x14ac:dyDescent="0.2">
      <c r="A4364" s="1">
        <v>45837</v>
      </c>
      <c r="B4364" s="2" t="s">
        <v>27</v>
      </c>
      <c r="C4364" s="2" t="s">
        <v>15</v>
      </c>
      <c r="D4364" s="2" t="s">
        <v>22</v>
      </c>
      <c r="E4364">
        <v>15750</v>
      </c>
      <c r="F4364">
        <v>203</v>
      </c>
      <c r="G4364">
        <v>8</v>
      </c>
      <c r="H4364">
        <v>558.52</v>
      </c>
      <c r="I4364">
        <v>772.76</v>
      </c>
      <c r="J4364">
        <v>1.29</v>
      </c>
      <c r="K4364">
        <v>3.94</v>
      </c>
      <c r="L4364">
        <v>69.819999999999993</v>
      </c>
      <c r="M4364">
        <v>1.38</v>
      </c>
      <c r="N4364">
        <v>214.24</v>
      </c>
    </row>
    <row r="4365" spans="1:14" x14ac:dyDescent="0.2">
      <c r="A4365" s="1">
        <v>45837</v>
      </c>
      <c r="B4365" s="2" t="s">
        <v>29</v>
      </c>
      <c r="C4365" s="2" t="s">
        <v>28</v>
      </c>
      <c r="D4365" s="2" t="s">
        <v>22</v>
      </c>
      <c r="E4365">
        <v>9581</v>
      </c>
      <c r="F4365">
        <v>168</v>
      </c>
      <c r="G4365">
        <v>12</v>
      </c>
      <c r="H4365">
        <v>759.01</v>
      </c>
      <c r="I4365">
        <v>1635.66</v>
      </c>
      <c r="J4365">
        <v>1.75</v>
      </c>
      <c r="K4365">
        <v>7.14</v>
      </c>
      <c r="L4365">
        <v>63.25</v>
      </c>
      <c r="M4365">
        <v>2.15</v>
      </c>
      <c r="N4365">
        <v>876.65</v>
      </c>
    </row>
    <row r="4366" spans="1:14" x14ac:dyDescent="0.2">
      <c r="A4366" s="1">
        <v>45837</v>
      </c>
      <c r="B4366" s="2" t="s">
        <v>30</v>
      </c>
      <c r="C4366" s="2" t="s">
        <v>21</v>
      </c>
      <c r="D4366" s="2" t="s">
        <v>16</v>
      </c>
      <c r="E4366">
        <v>5250</v>
      </c>
      <c r="F4366">
        <v>136</v>
      </c>
      <c r="G4366">
        <v>5</v>
      </c>
      <c r="H4366">
        <v>444.56</v>
      </c>
      <c r="I4366">
        <v>493.29</v>
      </c>
      <c r="J4366">
        <v>2.59</v>
      </c>
      <c r="K4366">
        <v>3.68</v>
      </c>
      <c r="L4366">
        <v>88.91</v>
      </c>
      <c r="M4366">
        <v>1.1100000000000001</v>
      </c>
      <c r="N4366">
        <v>48.73</v>
      </c>
    </row>
    <row r="4367" spans="1:14" x14ac:dyDescent="0.2">
      <c r="A4367" s="1">
        <v>45837</v>
      </c>
      <c r="B4367" s="2" t="s">
        <v>31</v>
      </c>
      <c r="C4367" s="2" t="s">
        <v>21</v>
      </c>
      <c r="D4367" s="2" t="s">
        <v>22</v>
      </c>
      <c r="E4367">
        <v>14316</v>
      </c>
      <c r="F4367">
        <v>435</v>
      </c>
      <c r="G4367">
        <v>17</v>
      </c>
      <c r="H4367">
        <v>441.14</v>
      </c>
      <c r="I4367">
        <v>1889.33</v>
      </c>
      <c r="J4367">
        <v>3.04</v>
      </c>
      <c r="K4367">
        <v>3.91</v>
      </c>
      <c r="L4367">
        <v>25.95</v>
      </c>
      <c r="M4367">
        <v>4.28</v>
      </c>
      <c r="N4367">
        <v>1448.19</v>
      </c>
    </row>
    <row r="4368" spans="1:14" x14ac:dyDescent="0.2">
      <c r="A4368" s="1">
        <v>45837</v>
      </c>
      <c r="B4368" s="2" t="s">
        <v>33</v>
      </c>
      <c r="C4368" s="2" t="s">
        <v>35</v>
      </c>
      <c r="D4368" s="2" t="s">
        <v>36</v>
      </c>
      <c r="E4368">
        <v>5330</v>
      </c>
      <c r="F4368">
        <v>330</v>
      </c>
      <c r="G4368">
        <v>32</v>
      </c>
      <c r="H4368">
        <v>192.1</v>
      </c>
      <c r="I4368">
        <v>4331.6899999999996</v>
      </c>
      <c r="J4368">
        <v>6.19</v>
      </c>
      <c r="K4368">
        <v>9.6999999999999993</v>
      </c>
      <c r="L4368">
        <v>6</v>
      </c>
      <c r="M4368">
        <v>22.55</v>
      </c>
      <c r="N4368">
        <v>4139.59</v>
      </c>
    </row>
    <row r="4369" spans="1:14" x14ac:dyDescent="0.2">
      <c r="A4369" s="1">
        <v>45837</v>
      </c>
      <c r="B4369" s="2" t="s">
        <v>34</v>
      </c>
      <c r="C4369" s="2" t="s">
        <v>28</v>
      </c>
      <c r="D4369" s="2" t="s">
        <v>19</v>
      </c>
      <c r="E4369">
        <v>3508</v>
      </c>
      <c r="F4369">
        <v>200</v>
      </c>
      <c r="G4369">
        <v>33</v>
      </c>
      <c r="H4369">
        <v>32.04</v>
      </c>
      <c r="I4369">
        <v>4416.83</v>
      </c>
      <c r="J4369">
        <v>5.7</v>
      </c>
      <c r="K4369">
        <v>16.5</v>
      </c>
      <c r="L4369">
        <v>0.97</v>
      </c>
      <c r="M4369">
        <v>137.85</v>
      </c>
      <c r="N4369">
        <v>4384.79</v>
      </c>
    </row>
    <row r="4370" spans="1:14" x14ac:dyDescent="0.2">
      <c r="A4370" s="1">
        <v>45838</v>
      </c>
      <c r="B4370" s="2" t="s">
        <v>14</v>
      </c>
      <c r="C4370" s="2" t="s">
        <v>32</v>
      </c>
      <c r="D4370" s="2" t="s">
        <v>16</v>
      </c>
      <c r="E4370">
        <v>9637</v>
      </c>
      <c r="F4370">
        <v>340</v>
      </c>
      <c r="G4370">
        <v>34</v>
      </c>
      <c r="H4370">
        <v>1181.1300000000001</v>
      </c>
      <c r="I4370">
        <v>5358.75</v>
      </c>
      <c r="J4370">
        <v>3.53</v>
      </c>
      <c r="K4370">
        <v>10</v>
      </c>
      <c r="L4370">
        <v>34.74</v>
      </c>
      <c r="M4370">
        <v>4.54</v>
      </c>
      <c r="N4370">
        <v>4177.62</v>
      </c>
    </row>
    <row r="4371" spans="1:14" x14ac:dyDescent="0.2">
      <c r="A4371" s="1">
        <v>45838</v>
      </c>
      <c r="B4371" s="2" t="s">
        <v>17</v>
      </c>
      <c r="C4371" s="2" t="s">
        <v>28</v>
      </c>
      <c r="D4371" s="2" t="s">
        <v>25</v>
      </c>
      <c r="E4371">
        <v>12644</v>
      </c>
      <c r="F4371">
        <v>420</v>
      </c>
      <c r="G4371">
        <v>22</v>
      </c>
      <c r="H4371">
        <v>693.71</v>
      </c>
      <c r="I4371">
        <v>1953.65</v>
      </c>
      <c r="J4371">
        <v>3.32</v>
      </c>
      <c r="K4371">
        <v>5.24</v>
      </c>
      <c r="L4371">
        <v>31.53</v>
      </c>
      <c r="M4371">
        <v>2.82</v>
      </c>
      <c r="N4371">
        <v>1259.94</v>
      </c>
    </row>
    <row r="4372" spans="1:14" x14ac:dyDescent="0.2">
      <c r="A4372" s="1">
        <v>45838</v>
      </c>
      <c r="B4372" s="2" t="s">
        <v>20</v>
      </c>
      <c r="C4372" s="2" t="s">
        <v>35</v>
      </c>
      <c r="D4372" s="2" t="s">
        <v>16</v>
      </c>
      <c r="E4372">
        <v>14838</v>
      </c>
      <c r="F4372">
        <v>566</v>
      </c>
      <c r="G4372">
        <v>38</v>
      </c>
      <c r="H4372">
        <v>432.67</v>
      </c>
      <c r="I4372">
        <v>3065.29</v>
      </c>
      <c r="J4372">
        <v>3.81</v>
      </c>
      <c r="K4372">
        <v>6.71</v>
      </c>
      <c r="L4372">
        <v>11.39</v>
      </c>
      <c r="M4372">
        <v>7.08</v>
      </c>
      <c r="N4372">
        <v>2632.62</v>
      </c>
    </row>
    <row r="4373" spans="1:14" x14ac:dyDescent="0.2">
      <c r="A4373" s="1">
        <v>45838</v>
      </c>
      <c r="B4373" s="2" t="s">
        <v>23</v>
      </c>
      <c r="C4373" s="2" t="s">
        <v>35</v>
      </c>
      <c r="D4373" s="2" t="s">
        <v>25</v>
      </c>
      <c r="E4373">
        <v>3126</v>
      </c>
      <c r="F4373">
        <v>88</v>
      </c>
      <c r="G4373">
        <v>11</v>
      </c>
      <c r="H4373">
        <v>822.23</v>
      </c>
      <c r="I4373">
        <v>3169.99</v>
      </c>
      <c r="J4373">
        <v>2.82</v>
      </c>
      <c r="K4373">
        <v>12.5</v>
      </c>
      <c r="L4373">
        <v>74.75</v>
      </c>
      <c r="M4373">
        <v>3.86</v>
      </c>
      <c r="N4373">
        <v>2347.7600000000002</v>
      </c>
    </row>
    <row r="4374" spans="1:14" x14ac:dyDescent="0.2">
      <c r="A4374" s="1">
        <v>45838</v>
      </c>
      <c r="B4374" s="2" t="s">
        <v>24</v>
      </c>
      <c r="C4374" s="2" t="s">
        <v>28</v>
      </c>
      <c r="D4374" s="2" t="s">
        <v>36</v>
      </c>
      <c r="E4374">
        <v>12843</v>
      </c>
      <c r="F4374">
        <v>2255</v>
      </c>
      <c r="G4374">
        <v>216</v>
      </c>
      <c r="H4374">
        <v>121.29</v>
      </c>
      <c r="I4374">
        <v>32165.119999999999</v>
      </c>
      <c r="J4374">
        <v>17.559999999999999</v>
      </c>
      <c r="K4374">
        <v>9.58</v>
      </c>
      <c r="L4374">
        <v>0.56000000000000005</v>
      </c>
      <c r="M4374">
        <v>265.19</v>
      </c>
      <c r="N4374">
        <v>32043.83</v>
      </c>
    </row>
    <row r="4375" spans="1:14" x14ac:dyDescent="0.2">
      <c r="A4375" s="1">
        <v>45838</v>
      </c>
      <c r="B4375" s="2" t="s">
        <v>26</v>
      </c>
      <c r="C4375" s="2" t="s">
        <v>15</v>
      </c>
      <c r="D4375" s="2" t="s">
        <v>22</v>
      </c>
      <c r="E4375">
        <v>22190</v>
      </c>
      <c r="F4375">
        <v>1308</v>
      </c>
      <c r="G4375">
        <v>163</v>
      </c>
      <c r="H4375">
        <v>0</v>
      </c>
      <c r="I4375">
        <v>25060.66</v>
      </c>
      <c r="J4375">
        <v>5.89</v>
      </c>
      <c r="K4375">
        <v>12.46</v>
      </c>
      <c r="L4375">
        <v>0</v>
      </c>
      <c r="M4375">
        <v>0</v>
      </c>
      <c r="N4375">
        <v>25060.66</v>
      </c>
    </row>
    <row r="4376" spans="1:14" x14ac:dyDescent="0.2">
      <c r="A4376" s="1">
        <v>45838</v>
      </c>
      <c r="B4376" s="2" t="s">
        <v>27</v>
      </c>
      <c r="C4376" s="2" t="s">
        <v>35</v>
      </c>
      <c r="D4376" s="2" t="s">
        <v>22</v>
      </c>
      <c r="E4376">
        <v>33206</v>
      </c>
      <c r="F4376">
        <v>544</v>
      </c>
      <c r="G4376">
        <v>26</v>
      </c>
      <c r="H4376">
        <v>652.72</v>
      </c>
      <c r="I4376">
        <v>2903.67</v>
      </c>
      <c r="J4376">
        <v>1.64</v>
      </c>
      <c r="K4376">
        <v>4.78</v>
      </c>
      <c r="L4376">
        <v>25.1</v>
      </c>
      <c r="M4376">
        <v>4.45</v>
      </c>
      <c r="N4376">
        <v>2250.9499999999998</v>
      </c>
    </row>
    <row r="4377" spans="1:14" x14ac:dyDescent="0.2">
      <c r="A4377" s="1">
        <v>45838</v>
      </c>
      <c r="B4377" s="2" t="s">
        <v>29</v>
      </c>
      <c r="C4377" s="2" t="s">
        <v>35</v>
      </c>
      <c r="D4377" s="2" t="s">
        <v>36</v>
      </c>
      <c r="E4377">
        <v>16973</v>
      </c>
      <c r="F4377">
        <v>294</v>
      </c>
      <c r="G4377">
        <v>11</v>
      </c>
      <c r="H4377">
        <v>1184.56</v>
      </c>
      <c r="I4377">
        <v>1216.06</v>
      </c>
      <c r="J4377">
        <v>1.73</v>
      </c>
      <c r="K4377">
        <v>3.74</v>
      </c>
      <c r="L4377">
        <v>107.69</v>
      </c>
      <c r="M4377">
        <v>1.03</v>
      </c>
      <c r="N4377">
        <v>31.5</v>
      </c>
    </row>
    <row r="4378" spans="1:14" x14ac:dyDescent="0.2">
      <c r="A4378" s="1">
        <v>45838</v>
      </c>
      <c r="B4378" s="2" t="s">
        <v>30</v>
      </c>
      <c r="C4378" s="2" t="s">
        <v>15</v>
      </c>
      <c r="D4378" s="2" t="s">
        <v>19</v>
      </c>
      <c r="E4378">
        <v>8190</v>
      </c>
      <c r="F4378">
        <v>170</v>
      </c>
      <c r="G4378">
        <v>7</v>
      </c>
      <c r="H4378">
        <v>389.93</v>
      </c>
      <c r="I4378">
        <v>590.92999999999995</v>
      </c>
      <c r="J4378">
        <v>2.08</v>
      </c>
      <c r="K4378">
        <v>4.12</v>
      </c>
      <c r="L4378">
        <v>55.7</v>
      </c>
      <c r="M4378">
        <v>1.52</v>
      </c>
      <c r="N4378">
        <v>201</v>
      </c>
    </row>
    <row r="4379" spans="1:14" x14ac:dyDescent="0.2">
      <c r="A4379" s="1">
        <v>45838</v>
      </c>
      <c r="B4379" s="2" t="s">
        <v>31</v>
      </c>
      <c r="C4379" s="2" t="s">
        <v>35</v>
      </c>
      <c r="D4379" s="2" t="s">
        <v>16</v>
      </c>
      <c r="E4379">
        <v>23253</v>
      </c>
      <c r="F4379">
        <v>1045</v>
      </c>
      <c r="G4379">
        <v>69</v>
      </c>
      <c r="H4379">
        <v>916.75</v>
      </c>
      <c r="I4379">
        <v>7273.74</v>
      </c>
      <c r="J4379">
        <v>4.49</v>
      </c>
      <c r="K4379">
        <v>6.6</v>
      </c>
      <c r="L4379">
        <v>13.29</v>
      </c>
      <c r="M4379">
        <v>7.93</v>
      </c>
      <c r="N4379">
        <v>6356.99</v>
      </c>
    </row>
    <row r="4380" spans="1:14" x14ac:dyDescent="0.2">
      <c r="A4380" s="1">
        <v>45838</v>
      </c>
      <c r="B4380" s="2" t="s">
        <v>33</v>
      </c>
      <c r="C4380" s="2" t="s">
        <v>15</v>
      </c>
      <c r="D4380" s="2" t="s">
        <v>25</v>
      </c>
      <c r="E4380">
        <v>8196</v>
      </c>
      <c r="F4380">
        <v>421</v>
      </c>
      <c r="G4380">
        <v>52</v>
      </c>
      <c r="H4380">
        <v>354.44</v>
      </c>
      <c r="I4380">
        <v>6712.32</v>
      </c>
      <c r="J4380">
        <v>5.14</v>
      </c>
      <c r="K4380">
        <v>12.35</v>
      </c>
      <c r="L4380">
        <v>6.82</v>
      </c>
      <c r="M4380">
        <v>18.940000000000001</v>
      </c>
      <c r="N4380">
        <v>6357.88</v>
      </c>
    </row>
    <row r="4381" spans="1:14" x14ac:dyDescent="0.2">
      <c r="A4381" s="1">
        <v>45838</v>
      </c>
      <c r="B4381" s="2" t="s">
        <v>34</v>
      </c>
      <c r="C4381" s="2" t="s">
        <v>18</v>
      </c>
      <c r="D4381" s="2" t="s">
        <v>16</v>
      </c>
      <c r="E4381">
        <v>2999</v>
      </c>
      <c r="F4381">
        <v>191</v>
      </c>
      <c r="G4381">
        <v>29</v>
      </c>
      <c r="H4381">
        <v>48.92</v>
      </c>
      <c r="I4381">
        <v>4286.34</v>
      </c>
      <c r="J4381">
        <v>6.37</v>
      </c>
      <c r="K4381">
        <v>15.18</v>
      </c>
      <c r="L4381">
        <v>1.69</v>
      </c>
      <c r="M4381">
        <v>87.62</v>
      </c>
      <c r="N4381">
        <v>4237.42</v>
      </c>
    </row>
    <row r="4382" spans="1:14" x14ac:dyDescent="0.2">
      <c r="A4382" s="1">
        <v>45839</v>
      </c>
      <c r="B4382" s="2" t="s">
        <v>14</v>
      </c>
      <c r="C4382" s="2" t="s">
        <v>15</v>
      </c>
      <c r="D4382" s="2" t="s">
        <v>22</v>
      </c>
      <c r="E4382">
        <v>7285</v>
      </c>
      <c r="F4382">
        <v>362</v>
      </c>
      <c r="G4382">
        <v>40</v>
      </c>
      <c r="H4382">
        <v>1231.8399999999999</v>
      </c>
      <c r="I4382">
        <v>6436.85</v>
      </c>
      <c r="J4382">
        <v>4.97</v>
      </c>
      <c r="K4382">
        <v>11.05</v>
      </c>
      <c r="L4382">
        <v>30.8</v>
      </c>
      <c r="M4382">
        <v>5.23</v>
      </c>
      <c r="N4382">
        <v>5205.01</v>
      </c>
    </row>
    <row r="4383" spans="1:14" x14ac:dyDescent="0.2">
      <c r="A4383" s="1">
        <v>45839</v>
      </c>
      <c r="B4383" s="2" t="s">
        <v>17</v>
      </c>
      <c r="C4383" s="2" t="s">
        <v>35</v>
      </c>
      <c r="D4383" s="2" t="s">
        <v>25</v>
      </c>
      <c r="E4383">
        <v>11390</v>
      </c>
      <c r="F4383">
        <v>344</v>
      </c>
      <c r="G4383">
        <v>22</v>
      </c>
      <c r="H4383">
        <v>682.05</v>
      </c>
      <c r="I4383">
        <v>2900.48</v>
      </c>
      <c r="J4383">
        <v>3.02</v>
      </c>
      <c r="K4383">
        <v>6.4</v>
      </c>
      <c r="L4383">
        <v>31</v>
      </c>
      <c r="M4383">
        <v>4.25</v>
      </c>
      <c r="N4383">
        <v>2218.4299999999998</v>
      </c>
    </row>
    <row r="4384" spans="1:14" x14ac:dyDescent="0.2">
      <c r="A4384" s="1">
        <v>45839</v>
      </c>
      <c r="B4384" s="2" t="s">
        <v>20</v>
      </c>
      <c r="C4384" s="2" t="s">
        <v>28</v>
      </c>
      <c r="D4384" s="2" t="s">
        <v>19</v>
      </c>
      <c r="E4384">
        <v>11702</v>
      </c>
      <c r="F4384">
        <v>396</v>
      </c>
      <c r="G4384">
        <v>20</v>
      </c>
      <c r="H4384">
        <v>781.7</v>
      </c>
      <c r="I4384">
        <v>2480.92</v>
      </c>
      <c r="J4384">
        <v>3.38</v>
      </c>
      <c r="K4384">
        <v>5.05</v>
      </c>
      <c r="L4384">
        <v>39.08</v>
      </c>
      <c r="M4384">
        <v>3.17</v>
      </c>
      <c r="N4384">
        <v>1699.22</v>
      </c>
    </row>
    <row r="4385" spans="1:14" x14ac:dyDescent="0.2">
      <c r="A4385" s="1">
        <v>45839</v>
      </c>
      <c r="B4385" s="2" t="s">
        <v>23</v>
      </c>
      <c r="C4385" s="2" t="s">
        <v>15</v>
      </c>
      <c r="D4385" s="2" t="s">
        <v>19</v>
      </c>
      <c r="E4385">
        <v>4713</v>
      </c>
      <c r="F4385">
        <v>77</v>
      </c>
      <c r="G4385">
        <v>7</v>
      </c>
      <c r="H4385">
        <v>893.75</v>
      </c>
      <c r="I4385">
        <v>1549.13</v>
      </c>
      <c r="J4385">
        <v>1.63</v>
      </c>
      <c r="K4385">
        <v>9.09</v>
      </c>
      <c r="L4385">
        <v>127.68</v>
      </c>
      <c r="M4385">
        <v>1.73</v>
      </c>
      <c r="N4385">
        <v>655.38</v>
      </c>
    </row>
    <row r="4386" spans="1:14" x14ac:dyDescent="0.2">
      <c r="A4386" s="1">
        <v>45839</v>
      </c>
      <c r="B4386" s="2" t="s">
        <v>24</v>
      </c>
      <c r="C4386" s="2" t="s">
        <v>15</v>
      </c>
      <c r="D4386" s="2" t="s">
        <v>16</v>
      </c>
      <c r="E4386">
        <v>18818</v>
      </c>
      <c r="F4386">
        <v>3181</v>
      </c>
      <c r="G4386">
        <v>280</v>
      </c>
      <c r="H4386">
        <v>214.97</v>
      </c>
      <c r="I4386">
        <v>33963.68</v>
      </c>
      <c r="J4386">
        <v>16.899999999999999</v>
      </c>
      <c r="K4386">
        <v>8.8000000000000007</v>
      </c>
      <c r="L4386">
        <v>0.77</v>
      </c>
      <c r="M4386">
        <v>157.99</v>
      </c>
      <c r="N4386">
        <v>33748.71</v>
      </c>
    </row>
    <row r="4387" spans="1:14" x14ac:dyDescent="0.2">
      <c r="A4387" s="1">
        <v>45839</v>
      </c>
      <c r="B4387" s="2" t="s">
        <v>26</v>
      </c>
      <c r="C4387" s="2" t="s">
        <v>32</v>
      </c>
      <c r="D4387" s="2" t="s">
        <v>22</v>
      </c>
      <c r="E4387">
        <v>24491</v>
      </c>
      <c r="F4387">
        <v>1367</v>
      </c>
      <c r="G4387">
        <v>169</v>
      </c>
      <c r="H4387">
        <v>0</v>
      </c>
      <c r="I4387">
        <v>26691.7</v>
      </c>
      <c r="J4387">
        <v>5.58</v>
      </c>
      <c r="K4387">
        <v>12.36</v>
      </c>
      <c r="L4387">
        <v>0</v>
      </c>
      <c r="M4387">
        <v>0</v>
      </c>
      <c r="N4387">
        <v>26691.7</v>
      </c>
    </row>
    <row r="4388" spans="1:14" x14ac:dyDescent="0.2">
      <c r="A4388" s="1">
        <v>45839</v>
      </c>
      <c r="B4388" s="2" t="s">
        <v>27</v>
      </c>
      <c r="C4388" s="2" t="s">
        <v>28</v>
      </c>
      <c r="D4388" s="2" t="s">
        <v>36</v>
      </c>
      <c r="E4388">
        <v>30636</v>
      </c>
      <c r="F4388">
        <v>413</v>
      </c>
      <c r="G4388">
        <v>11</v>
      </c>
      <c r="H4388">
        <v>638.15</v>
      </c>
      <c r="I4388">
        <v>955.77</v>
      </c>
      <c r="J4388">
        <v>1.35</v>
      </c>
      <c r="K4388">
        <v>2.66</v>
      </c>
      <c r="L4388">
        <v>58.01</v>
      </c>
      <c r="M4388">
        <v>1.5</v>
      </c>
      <c r="N4388">
        <v>317.62</v>
      </c>
    </row>
    <row r="4389" spans="1:14" x14ac:dyDescent="0.2">
      <c r="A4389" s="1">
        <v>45839</v>
      </c>
      <c r="B4389" s="2" t="s">
        <v>29</v>
      </c>
      <c r="C4389" s="2" t="s">
        <v>18</v>
      </c>
      <c r="D4389" s="2" t="s">
        <v>36</v>
      </c>
      <c r="E4389">
        <v>18707</v>
      </c>
      <c r="F4389">
        <v>545</v>
      </c>
      <c r="G4389">
        <v>26</v>
      </c>
      <c r="H4389">
        <v>734.77</v>
      </c>
      <c r="I4389">
        <v>3720.44</v>
      </c>
      <c r="J4389">
        <v>2.91</v>
      </c>
      <c r="K4389">
        <v>4.7699999999999996</v>
      </c>
      <c r="L4389">
        <v>28.26</v>
      </c>
      <c r="M4389">
        <v>5.0599999999999996</v>
      </c>
      <c r="N4389">
        <v>2985.67</v>
      </c>
    </row>
    <row r="4390" spans="1:14" x14ac:dyDescent="0.2">
      <c r="A4390" s="1">
        <v>45839</v>
      </c>
      <c r="B4390" s="2" t="s">
        <v>30</v>
      </c>
      <c r="C4390" s="2" t="s">
        <v>35</v>
      </c>
      <c r="D4390" s="2" t="s">
        <v>19</v>
      </c>
      <c r="E4390">
        <v>8317</v>
      </c>
      <c r="F4390">
        <v>250</v>
      </c>
      <c r="G4390">
        <v>11</v>
      </c>
      <c r="H4390">
        <v>531.79</v>
      </c>
      <c r="I4390">
        <v>992.86</v>
      </c>
      <c r="J4390">
        <v>3.01</v>
      </c>
      <c r="K4390">
        <v>4.4000000000000004</v>
      </c>
      <c r="L4390">
        <v>48.34</v>
      </c>
      <c r="M4390">
        <v>1.87</v>
      </c>
      <c r="N4390">
        <v>461.07</v>
      </c>
    </row>
    <row r="4391" spans="1:14" x14ac:dyDescent="0.2">
      <c r="A4391" s="1">
        <v>45839</v>
      </c>
      <c r="B4391" s="2" t="s">
        <v>31</v>
      </c>
      <c r="C4391" s="2" t="s">
        <v>18</v>
      </c>
      <c r="D4391" s="2" t="s">
        <v>22</v>
      </c>
      <c r="E4391">
        <v>16476</v>
      </c>
      <c r="F4391">
        <v>647</v>
      </c>
      <c r="G4391">
        <v>29</v>
      </c>
      <c r="H4391">
        <v>621.05999999999995</v>
      </c>
      <c r="I4391">
        <v>2926.29</v>
      </c>
      <c r="J4391">
        <v>3.93</v>
      </c>
      <c r="K4391">
        <v>4.4800000000000004</v>
      </c>
      <c r="L4391">
        <v>21.42</v>
      </c>
      <c r="M4391">
        <v>4.71</v>
      </c>
      <c r="N4391">
        <v>2305.23</v>
      </c>
    </row>
    <row r="4392" spans="1:14" x14ac:dyDescent="0.2">
      <c r="A4392" s="1">
        <v>45839</v>
      </c>
      <c r="B4392" s="2" t="s">
        <v>33</v>
      </c>
      <c r="C4392" s="2" t="s">
        <v>35</v>
      </c>
      <c r="D4392" s="2" t="s">
        <v>22</v>
      </c>
      <c r="E4392">
        <v>4942</v>
      </c>
      <c r="F4392">
        <v>310</v>
      </c>
      <c r="G4392">
        <v>27</v>
      </c>
      <c r="H4392">
        <v>260.16000000000003</v>
      </c>
      <c r="I4392">
        <v>3320.95</v>
      </c>
      <c r="J4392">
        <v>6.27</v>
      </c>
      <c r="K4392">
        <v>8.7100000000000009</v>
      </c>
      <c r="L4392">
        <v>9.64</v>
      </c>
      <c r="M4392">
        <v>12.77</v>
      </c>
      <c r="N4392">
        <v>3060.79</v>
      </c>
    </row>
    <row r="4393" spans="1:14" x14ac:dyDescent="0.2">
      <c r="A4393" s="1">
        <v>45839</v>
      </c>
      <c r="B4393" s="2" t="s">
        <v>34</v>
      </c>
      <c r="C4393" s="2" t="s">
        <v>21</v>
      </c>
      <c r="D4393" s="2" t="s">
        <v>36</v>
      </c>
      <c r="E4393">
        <v>5116</v>
      </c>
      <c r="F4393">
        <v>391</v>
      </c>
      <c r="G4393">
        <v>67</v>
      </c>
      <c r="H4393">
        <v>123.7</v>
      </c>
      <c r="I4393">
        <v>9450.74</v>
      </c>
      <c r="J4393">
        <v>7.64</v>
      </c>
      <c r="K4393">
        <v>17.14</v>
      </c>
      <c r="L4393">
        <v>1.85</v>
      </c>
      <c r="M4393">
        <v>76.400000000000006</v>
      </c>
      <c r="N4393">
        <v>9327.0400000000009</v>
      </c>
    </row>
    <row r="4394" spans="1:14" x14ac:dyDescent="0.2">
      <c r="A4394" s="1">
        <v>45840</v>
      </c>
      <c r="B4394" s="2" t="s">
        <v>14</v>
      </c>
      <c r="C4394" s="2" t="s">
        <v>15</v>
      </c>
      <c r="D4394" s="2" t="s">
        <v>19</v>
      </c>
      <c r="E4394">
        <v>6838</v>
      </c>
      <c r="F4394">
        <v>270</v>
      </c>
      <c r="G4394">
        <v>28</v>
      </c>
      <c r="H4394">
        <v>911.8</v>
      </c>
      <c r="I4394">
        <v>4575.7</v>
      </c>
      <c r="J4394">
        <v>3.95</v>
      </c>
      <c r="K4394">
        <v>10.37</v>
      </c>
      <c r="L4394">
        <v>32.56</v>
      </c>
      <c r="M4394">
        <v>5.0199999999999996</v>
      </c>
      <c r="N4394">
        <v>3663.9</v>
      </c>
    </row>
    <row r="4395" spans="1:14" x14ac:dyDescent="0.2">
      <c r="A4395" s="1">
        <v>45840</v>
      </c>
      <c r="B4395" s="2" t="s">
        <v>17</v>
      </c>
      <c r="C4395" s="2" t="s">
        <v>15</v>
      </c>
      <c r="D4395" s="2" t="s">
        <v>36</v>
      </c>
      <c r="E4395">
        <v>11134</v>
      </c>
      <c r="F4395">
        <v>432</v>
      </c>
      <c r="G4395">
        <v>22</v>
      </c>
      <c r="H4395">
        <v>782.97</v>
      </c>
      <c r="I4395">
        <v>2711.74</v>
      </c>
      <c r="J4395">
        <v>3.88</v>
      </c>
      <c r="K4395">
        <v>5.09</v>
      </c>
      <c r="L4395">
        <v>35.590000000000003</v>
      </c>
      <c r="M4395">
        <v>3.46</v>
      </c>
      <c r="N4395">
        <v>1928.77</v>
      </c>
    </row>
    <row r="4396" spans="1:14" x14ac:dyDescent="0.2">
      <c r="A4396" s="1">
        <v>45840</v>
      </c>
      <c r="B4396" s="2" t="s">
        <v>20</v>
      </c>
      <c r="C4396" s="2" t="s">
        <v>18</v>
      </c>
      <c r="D4396" s="2" t="s">
        <v>19</v>
      </c>
      <c r="E4396">
        <v>9422</v>
      </c>
      <c r="F4396">
        <v>364</v>
      </c>
      <c r="G4396">
        <v>15</v>
      </c>
      <c r="H4396">
        <v>713.46</v>
      </c>
      <c r="I4396">
        <v>1423.08</v>
      </c>
      <c r="J4396">
        <v>3.86</v>
      </c>
      <c r="K4396">
        <v>4.12</v>
      </c>
      <c r="L4396">
        <v>47.56</v>
      </c>
      <c r="M4396">
        <v>1.99</v>
      </c>
      <c r="N4396">
        <v>709.62</v>
      </c>
    </row>
    <row r="4397" spans="1:14" x14ac:dyDescent="0.2">
      <c r="A4397" s="1">
        <v>45840</v>
      </c>
      <c r="B4397" s="2" t="s">
        <v>23</v>
      </c>
      <c r="C4397" s="2" t="s">
        <v>18</v>
      </c>
      <c r="D4397" s="2" t="s">
        <v>36</v>
      </c>
      <c r="E4397">
        <v>3690</v>
      </c>
      <c r="F4397">
        <v>69</v>
      </c>
      <c r="G4397">
        <v>9</v>
      </c>
      <c r="H4397">
        <v>1207.71</v>
      </c>
      <c r="I4397">
        <v>1957.05</v>
      </c>
      <c r="J4397">
        <v>1.87</v>
      </c>
      <c r="K4397">
        <v>13.04</v>
      </c>
      <c r="L4397">
        <v>134.19</v>
      </c>
      <c r="M4397">
        <v>1.62</v>
      </c>
      <c r="N4397">
        <v>749.34</v>
      </c>
    </row>
    <row r="4398" spans="1:14" x14ac:dyDescent="0.2">
      <c r="A4398" s="1">
        <v>45840</v>
      </c>
      <c r="B4398" s="2" t="s">
        <v>24</v>
      </c>
      <c r="C4398" s="2" t="s">
        <v>28</v>
      </c>
      <c r="D4398" s="2" t="s">
        <v>36</v>
      </c>
      <c r="E4398">
        <v>14916</v>
      </c>
      <c r="F4398">
        <v>2598</v>
      </c>
      <c r="G4398">
        <v>267</v>
      </c>
      <c r="H4398">
        <v>104.59</v>
      </c>
      <c r="I4398">
        <v>36191.11</v>
      </c>
      <c r="J4398">
        <v>17.420000000000002</v>
      </c>
      <c r="K4398">
        <v>10.28</v>
      </c>
      <c r="L4398">
        <v>0.39</v>
      </c>
      <c r="M4398">
        <v>346.03</v>
      </c>
      <c r="N4398">
        <v>36086.519999999997</v>
      </c>
    </row>
    <row r="4399" spans="1:14" x14ac:dyDescent="0.2">
      <c r="A4399" s="1">
        <v>45840</v>
      </c>
      <c r="B4399" s="2" t="s">
        <v>26</v>
      </c>
      <c r="C4399" s="2" t="s">
        <v>35</v>
      </c>
      <c r="D4399" s="2" t="s">
        <v>36</v>
      </c>
      <c r="E4399">
        <v>22032</v>
      </c>
      <c r="F4399">
        <v>1101</v>
      </c>
      <c r="G4399">
        <v>158</v>
      </c>
      <c r="H4399">
        <v>0</v>
      </c>
      <c r="I4399">
        <v>17690.8</v>
      </c>
      <c r="J4399">
        <v>5</v>
      </c>
      <c r="K4399">
        <v>14.35</v>
      </c>
      <c r="L4399">
        <v>0</v>
      </c>
      <c r="M4399">
        <v>0</v>
      </c>
      <c r="N4399">
        <v>17690.8</v>
      </c>
    </row>
    <row r="4400" spans="1:14" x14ac:dyDescent="0.2">
      <c r="A4400" s="1">
        <v>45840</v>
      </c>
      <c r="B4400" s="2" t="s">
        <v>27</v>
      </c>
      <c r="C4400" s="2" t="s">
        <v>18</v>
      </c>
      <c r="D4400" s="2" t="s">
        <v>22</v>
      </c>
      <c r="E4400">
        <v>26336</v>
      </c>
      <c r="F4400">
        <v>412</v>
      </c>
      <c r="G4400">
        <v>15</v>
      </c>
      <c r="H4400">
        <v>789.83</v>
      </c>
      <c r="I4400">
        <v>1785.4</v>
      </c>
      <c r="J4400">
        <v>1.56</v>
      </c>
      <c r="K4400">
        <v>3.64</v>
      </c>
      <c r="L4400">
        <v>52.66</v>
      </c>
      <c r="M4400">
        <v>2.2599999999999998</v>
      </c>
      <c r="N4400">
        <v>995.57</v>
      </c>
    </row>
    <row r="4401" spans="1:14" x14ac:dyDescent="0.2">
      <c r="A4401" s="1">
        <v>45840</v>
      </c>
      <c r="B4401" s="2" t="s">
        <v>29</v>
      </c>
      <c r="C4401" s="2" t="s">
        <v>15</v>
      </c>
      <c r="D4401" s="2" t="s">
        <v>19</v>
      </c>
      <c r="E4401">
        <v>19425</v>
      </c>
      <c r="F4401">
        <v>368</v>
      </c>
      <c r="G4401">
        <v>27</v>
      </c>
      <c r="H4401">
        <v>1157.56</v>
      </c>
      <c r="I4401">
        <v>2599.54</v>
      </c>
      <c r="J4401">
        <v>1.89</v>
      </c>
      <c r="K4401">
        <v>7.34</v>
      </c>
      <c r="L4401">
        <v>42.87</v>
      </c>
      <c r="M4401">
        <v>2.25</v>
      </c>
      <c r="N4401">
        <v>1441.98</v>
      </c>
    </row>
    <row r="4402" spans="1:14" x14ac:dyDescent="0.2">
      <c r="A4402" s="1">
        <v>45840</v>
      </c>
      <c r="B4402" s="2" t="s">
        <v>30</v>
      </c>
      <c r="C4402" s="2" t="s">
        <v>32</v>
      </c>
      <c r="D4402" s="2" t="s">
        <v>16</v>
      </c>
      <c r="E4402">
        <v>10741</v>
      </c>
      <c r="F4402">
        <v>282</v>
      </c>
      <c r="G4402">
        <v>10</v>
      </c>
      <c r="H4402">
        <v>441.54</v>
      </c>
      <c r="I4402">
        <v>929.34</v>
      </c>
      <c r="J4402">
        <v>2.63</v>
      </c>
      <c r="K4402">
        <v>3.55</v>
      </c>
      <c r="L4402">
        <v>44.15</v>
      </c>
      <c r="M4402">
        <v>2.1</v>
      </c>
      <c r="N4402">
        <v>487.8</v>
      </c>
    </row>
    <row r="4403" spans="1:14" x14ac:dyDescent="0.2">
      <c r="A4403" s="1">
        <v>45840</v>
      </c>
      <c r="B4403" s="2" t="s">
        <v>31</v>
      </c>
      <c r="C4403" s="2" t="s">
        <v>35</v>
      </c>
      <c r="D4403" s="2" t="s">
        <v>36</v>
      </c>
      <c r="E4403">
        <v>18340</v>
      </c>
      <c r="F4403">
        <v>777</v>
      </c>
      <c r="G4403">
        <v>50</v>
      </c>
      <c r="H4403">
        <v>552.11</v>
      </c>
      <c r="I4403">
        <v>4437.28</v>
      </c>
      <c r="J4403">
        <v>4.24</v>
      </c>
      <c r="K4403">
        <v>6.44</v>
      </c>
      <c r="L4403">
        <v>11.04</v>
      </c>
      <c r="M4403">
        <v>8.0399999999999991</v>
      </c>
      <c r="N4403">
        <v>3885.17</v>
      </c>
    </row>
    <row r="4404" spans="1:14" x14ac:dyDescent="0.2">
      <c r="A4404" s="1">
        <v>45840</v>
      </c>
      <c r="B4404" s="2" t="s">
        <v>33</v>
      </c>
      <c r="C4404" s="2" t="s">
        <v>32</v>
      </c>
      <c r="D4404" s="2" t="s">
        <v>25</v>
      </c>
      <c r="E4404">
        <v>7820</v>
      </c>
      <c r="F4404">
        <v>346</v>
      </c>
      <c r="G4404">
        <v>28</v>
      </c>
      <c r="H4404">
        <v>545.66999999999996</v>
      </c>
      <c r="I4404">
        <v>3991.07</v>
      </c>
      <c r="J4404">
        <v>4.42</v>
      </c>
      <c r="K4404">
        <v>8.09</v>
      </c>
      <c r="L4404">
        <v>19.489999999999998</v>
      </c>
      <c r="M4404">
        <v>7.31</v>
      </c>
      <c r="N4404">
        <v>3445.4</v>
      </c>
    </row>
    <row r="4405" spans="1:14" x14ac:dyDescent="0.2">
      <c r="A4405" s="1">
        <v>45840</v>
      </c>
      <c r="B4405" s="2" t="s">
        <v>34</v>
      </c>
      <c r="C4405" s="2" t="s">
        <v>15</v>
      </c>
      <c r="D4405" s="2" t="s">
        <v>19</v>
      </c>
      <c r="E4405">
        <v>5270</v>
      </c>
      <c r="F4405">
        <v>389</v>
      </c>
      <c r="G4405">
        <v>55</v>
      </c>
      <c r="H4405">
        <v>151.81</v>
      </c>
      <c r="I4405">
        <v>9441.1200000000008</v>
      </c>
      <c r="J4405">
        <v>7.38</v>
      </c>
      <c r="K4405">
        <v>14.14</v>
      </c>
      <c r="L4405">
        <v>2.76</v>
      </c>
      <c r="M4405">
        <v>62.19</v>
      </c>
      <c r="N4405">
        <v>9289.31</v>
      </c>
    </row>
    <row r="4406" spans="1:14" x14ac:dyDescent="0.2">
      <c r="A4406" s="1">
        <v>45841</v>
      </c>
      <c r="B4406" s="2" t="s">
        <v>14</v>
      </c>
      <c r="C4406" s="2" t="s">
        <v>28</v>
      </c>
      <c r="D4406" s="2" t="s">
        <v>16</v>
      </c>
      <c r="E4406">
        <v>9579</v>
      </c>
      <c r="F4406">
        <v>388</v>
      </c>
      <c r="G4406">
        <v>44</v>
      </c>
      <c r="H4406">
        <v>1002.03</v>
      </c>
      <c r="I4406">
        <v>6754.48</v>
      </c>
      <c r="J4406">
        <v>4.05</v>
      </c>
      <c r="K4406">
        <v>11.34</v>
      </c>
      <c r="L4406">
        <v>22.77</v>
      </c>
      <c r="M4406">
        <v>6.74</v>
      </c>
      <c r="N4406">
        <v>5752.45</v>
      </c>
    </row>
    <row r="4407" spans="1:14" x14ac:dyDescent="0.2">
      <c r="A4407" s="1">
        <v>45841</v>
      </c>
      <c r="B4407" s="2" t="s">
        <v>17</v>
      </c>
      <c r="C4407" s="2" t="s">
        <v>18</v>
      </c>
      <c r="D4407" s="2" t="s">
        <v>22</v>
      </c>
      <c r="E4407">
        <v>14467</v>
      </c>
      <c r="F4407">
        <v>297</v>
      </c>
      <c r="G4407">
        <v>17</v>
      </c>
      <c r="H4407">
        <v>780.52</v>
      </c>
      <c r="I4407">
        <v>2070.39</v>
      </c>
      <c r="J4407">
        <v>2.0499999999999998</v>
      </c>
      <c r="K4407">
        <v>5.72</v>
      </c>
      <c r="L4407">
        <v>45.91</v>
      </c>
      <c r="M4407">
        <v>2.65</v>
      </c>
      <c r="N4407">
        <v>1289.8699999999999</v>
      </c>
    </row>
    <row r="4408" spans="1:14" x14ac:dyDescent="0.2">
      <c r="A4408" s="1">
        <v>45841</v>
      </c>
      <c r="B4408" s="2" t="s">
        <v>20</v>
      </c>
      <c r="C4408" s="2" t="s">
        <v>15</v>
      </c>
      <c r="D4408" s="2" t="s">
        <v>36</v>
      </c>
      <c r="E4408">
        <v>15218</v>
      </c>
      <c r="F4408">
        <v>438</v>
      </c>
      <c r="G4408">
        <v>28</v>
      </c>
      <c r="H4408">
        <v>461.32</v>
      </c>
      <c r="I4408">
        <v>2294.6999999999998</v>
      </c>
      <c r="J4408">
        <v>2.88</v>
      </c>
      <c r="K4408">
        <v>6.39</v>
      </c>
      <c r="L4408">
        <v>16.48</v>
      </c>
      <c r="M4408">
        <v>4.97</v>
      </c>
      <c r="N4408">
        <v>1833.38</v>
      </c>
    </row>
    <row r="4409" spans="1:14" x14ac:dyDescent="0.2">
      <c r="A4409" s="1">
        <v>45841</v>
      </c>
      <c r="B4409" s="2" t="s">
        <v>23</v>
      </c>
      <c r="C4409" s="2" t="s">
        <v>15</v>
      </c>
      <c r="D4409" s="2" t="s">
        <v>22</v>
      </c>
      <c r="E4409">
        <v>3470</v>
      </c>
      <c r="F4409">
        <v>77</v>
      </c>
      <c r="G4409">
        <v>8</v>
      </c>
      <c r="H4409">
        <v>1213.9100000000001</v>
      </c>
      <c r="I4409">
        <v>1684.95</v>
      </c>
      <c r="J4409">
        <v>2.2200000000000002</v>
      </c>
      <c r="K4409">
        <v>10.39</v>
      </c>
      <c r="L4409">
        <v>151.74</v>
      </c>
      <c r="M4409">
        <v>1.39</v>
      </c>
      <c r="N4409">
        <v>471.04</v>
      </c>
    </row>
    <row r="4410" spans="1:14" x14ac:dyDescent="0.2">
      <c r="A4410" s="1">
        <v>45841</v>
      </c>
      <c r="B4410" s="2" t="s">
        <v>24</v>
      </c>
      <c r="C4410" s="2" t="s">
        <v>18</v>
      </c>
      <c r="D4410" s="2" t="s">
        <v>36</v>
      </c>
      <c r="E4410">
        <v>16516</v>
      </c>
      <c r="F4410">
        <v>4037</v>
      </c>
      <c r="G4410">
        <v>351</v>
      </c>
      <c r="H4410">
        <v>242.05</v>
      </c>
      <c r="I4410">
        <v>40640.35</v>
      </c>
      <c r="J4410">
        <v>24.44</v>
      </c>
      <c r="K4410">
        <v>8.69</v>
      </c>
      <c r="L4410">
        <v>0.69</v>
      </c>
      <c r="M4410">
        <v>167.9</v>
      </c>
      <c r="N4410">
        <v>40398.300000000003</v>
      </c>
    </row>
    <row r="4411" spans="1:14" x14ac:dyDescent="0.2">
      <c r="A4411" s="1">
        <v>45841</v>
      </c>
      <c r="B4411" s="2" t="s">
        <v>26</v>
      </c>
      <c r="C4411" s="2" t="s">
        <v>21</v>
      </c>
      <c r="D4411" s="2" t="s">
        <v>19</v>
      </c>
      <c r="E4411">
        <v>29320</v>
      </c>
      <c r="F4411">
        <v>2209</v>
      </c>
      <c r="G4411">
        <v>278</v>
      </c>
      <c r="H4411">
        <v>0</v>
      </c>
      <c r="I4411">
        <v>36683.129999999997</v>
      </c>
      <c r="J4411">
        <v>7.53</v>
      </c>
      <c r="K4411">
        <v>12.58</v>
      </c>
      <c r="L4411">
        <v>0</v>
      </c>
      <c r="M4411">
        <v>0</v>
      </c>
      <c r="N4411">
        <v>36683.129999999997</v>
      </c>
    </row>
    <row r="4412" spans="1:14" x14ac:dyDescent="0.2">
      <c r="A4412" s="1">
        <v>45841</v>
      </c>
      <c r="B4412" s="2" t="s">
        <v>27</v>
      </c>
      <c r="C4412" s="2" t="s">
        <v>35</v>
      </c>
      <c r="D4412" s="2" t="s">
        <v>25</v>
      </c>
      <c r="E4412">
        <v>26247</v>
      </c>
      <c r="F4412">
        <v>323</v>
      </c>
      <c r="G4412">
        <v>6</v>
      </c>
      <c r="H4412">
        <v>905.82</v>
      </c>
      <c r="I4412">
        <v>620.52</v>
      </c>
      <c r="J4412">
        <v>1.23</v>
      </c>
      <c r="K4412">
        <v>1.86</v>
      </c>
      <c r="L4412">
        <v>150.97</v>
      </c>
      <c r="M4412">
        <v>0.69</v>
      </c>
      <c r="N4412">
        <v>-285.3</v>
      </c>
    </row>
    <row r="4413" spans="1:14" x14ac:dyDescent="0.2">
      <c r="A4413" s="1">
        <v>45841</v>
      </c>
      <c r="B4413" s="2" t="s">
        <v>29</v>
      </c>
      <c r="C4413" s="2" t="s">
        <v>18</v>
      </c>
      <c r="D4413" s="2" t="s">
        <v>16</v>
      </c>
      <c r="E4413">
        <v>18513</v>
      </c>
      <c r="F4413">
        <v>297</v>
      </c>
      <c r="G4413">
        <v>13</v>
      </c>
      <c r="H4413">
        <v>1133.51</v>
      </c>
      <c r="I4413">
        <v>1468.8</v>
      </c>
      <c r="J4413">
        <v>1.6</v>
      </c>
      <c r="K4413">
        <v>4.38</v>
      </c>
      <c r="L4413">
        <v>87.19</v>
      </c>
      <c r="M4413">
        <v>1.3</v>
      </c>
      <c r="N4413">
        <v>335.29</v>
      </c>
    </row>
    <row r="4414" spans="1:14" x14ac:dyDescent="0.2">
      <c r="A4414" s="1">
        <v>45841</v>
      </c>
      <c r="B4414" s="2" t="s">
        <v>30</v>
      </c>
      <c r="C4414" s="2" t="s">
        <v>21</v>
      </c>
      <c r="D4414" s="2" t="s">
        <v>22</v>
      </c>
      <c r="E4414">
        <v>9083</v>
      </c>
      <c r="F4414">
        <v>196</v>
      </c>
      <c r="G4414">
        <v>5</v>
      </c>
      <c r="H4414">
        <v>668.85</v>
      </c>
      <c r="I4414">
        <v>426.58</v>
      </c>
      <c r="J4414">
        <v>2.16</v>
      </c>
      <c r="K4414">
        <v>2.5499999999999998</v>
      </c>
      <c r="L4414">
        <v>133.77000000000001</v>
      </c>
      <c r="M4414">
        <v>0.64</v>
      </c>
      <c r="N4414">
        <v>-242.27</v>
      </c>
    </row>
    <row r="4415" spans="1:14" x14ac:dyDescent="0.2">
      <c r="A4415" s="1">
        <v>45841</v>
      </c>
      <c r="B4415" s="2" t="s">
        <v>31</v>
      </c>
      <c r="C4415" s="2" t="s">
        <v>32</v>
      </c>
      <c r="D4415" s="2" t="s">
        <v>22</v>
      </c>
      <c r="E4415">
        <v>16363</v>
      </c>
      <c r="F4415">
        <v>463</v>
      </c>
      <c r="G4415">
        <v>23</v>
      </c>
      <c r="H4415">
        <v>733.88</v>
      </c>
      <c r="I4415">
        <v>1701.15</v>
      </c>
      <c r="J4415">
        <v>2.83</v>
      </c>
      <c r="K4415">
        <v>4.97</v>
      </c>
      <c r="L4415">
        <v>31.91</v>
      </c>
      <c r="M4415">
        <v>2.3199999999999998</v>
      </c>
      <c r="N4415">
        <v>967.27</v>
      </c>
    </row>
    <row r="4416" spans="1:14" x14ac:dyDescent="0.2">
      <c r="A4416" s="1">
        <v>45841</v>
      </c>
      <c r="B4416" s="2" t="s">
        <v>33</v>
      </c>
      <c r="C4416" s="2" t="s">
        <v>32</v>
      </c>
      <c r="D4416" s="2" t="s">
        <v>36</v>
      </c>
      <c r="E4416">
        <v>5481</v>
      </c>
      <c r="F4416">
        <v>383</v>
      </c>
      <c r="G4416">
        <v>48</v>
      </c>
      <c r="H4416">
        <v>560.99</v>
      </c>
      <c r="I4416">
        <v>6640.11</v>
      </c>
      <c r="J4416">
        <v>6.99</v>
      </c>
      <c r="K4416">
        <v>12.53</v>
      </c>
      <c r="L4416">
        <v>11.69</v>
      </c>
      <c r="M4416">
        <v>11.84</v>
      </c>
      <c r="N4416">
        <v>6079.12</v>
      </c>
    </row>
    <row r="4417" spans="1:14" x14ac:dyDescent="0.2">
      <c r="A4417" s="1">
        <v>45841</v>
      </c>
      <c r="B4417" s="2" t="s">
        <v>34</v>
      </c>
      <c r="C4417" s="2" t="s">
        <v>35</v>
      </c>
      <c r="D4417" s="2" t="s">
        <v>36</v>
      </c>
      <c r="E4417">
        <v>4275</v>
      </c>
      <c r="F4417">
        <v>382</v>
      </c>
      <c r="G4417">
        <v>45</v>
      </c>
      <c r="H4417">
        <v>136.5</v>
      </c>
      <c r="I4417">
        <v>6475.86</v>
      </c>
      <c r="J4417">
        <v>8.94</v>
      </c>
      <c r="K4417">
        <v>11.78</v>
      </c>
      <c r="L4417">
        <v>3.03</v>
      </c>
      <c r="M4417">
        <v>47.44</v>
      </c>
      <c r="N4417">
        <v>6339.36</v>
      </c>
    </row>
    <row r="4418" spans="1:14" x14ac:dyDescent="0.2">
      <c r="A4418" s="1">
        <v>45842</v>
      </c>
      <c r="B4418" s="2" t="s">
        <v>14</v>
      </c>
      <c r="C4418" s="2" t="s">
        <v>28</v>
      </c>
      <c r="D4418" s="2" t="s">
        <v>22</v>
      </c>
      <c r="E4418">
        <v>7007</v>
      </c>
      <c r="F4418">
        <v>325</v>
      </c>
      <c r="G4418">
        <v>27</v>
      </c>
      <c r="H4418">
        <v>773.11</v>
      </c>
      <c r="I4418">
        <v>4439.1499999999996</v>
      </c>
      <c r="J4418">
        <v>4.6399999999999997</v>
      </c>
      <c r="K4418">
        <v>8.31</v>
      </c>
      <c r="L4418">
        <v>28.63</v>
      </c>
      <c r="M4418">
        <v>5.74</v>
      </c>
      <c r="N4418">
        <v>3666.04</v>
      </c>
    </row>
    <row r="4419" spans="1:14" x14ac:dyDescent="0.2">
      <c r="A4419" s="1">
        <v>45842</v>
      </c>
      <c r="B4419" s="2" t="s">
        <v>17</v>
      </c>
      <c r="C4419" s="2" t="s">
        <v>35</v>
      </c>
      <c r="D4419" s="2" t="s">
        <v>22</v>
      </c>
      <c r="E4419">
        <v>15229</v>
      </c>
      <c r="F4419">
        <v>530</v>
      </c>
      <c r="G4419">
        <v>32</v>
      </c>
      <c r="H4419">
        <v>708.05</v>
      </c>
      <c r="I4419">
        <v>4036.32</v>
      </c>
      <c r="J4419">
        <v>3.48</v>
      </c>
      <c r="K4419">
        <v>6.04</v>
      </c>
      <c r="L4419">
        <v>22.13</v>
      </c>
      <c r="M4419">
        <v>5.7</v>
      </c>
      <c r="N4419">
        <v>3328.27</v>
      </c>
    </row>
    <row r="4420" spans="1:14" x14ac:dyDescent="0.2">
      <c r="A4420" s="1">
        <v>45842</v>
      </c>
      <c r="B4420" s="2" t="s">
        <v>20</v>
      </c>
      <c r="C4420" s="2" t="s">
        <v>15</v>
      </c>
      <c r="D4420" s="2" t="s">
        <v>25</v>
      </c>
      <c r="E4420">
        <v>11218</v>
      </c>
      <c r="F4420">
        <v>447</v>
      </c>
      <c r="G4420">
        <v>34</v>
      </c>
      <c r="H4420">
        <v>704.43</v>
      </c>
      <c r="I4420">
        <v>3598.08</v>
      </c>
      <c r="J4420">
        <v>3.98</v>
      </c>
      <c r="K4420">
        <v>7.61</v>
      </c>
      <c r="L4420">
        <v>20.72</v>
      </c>
      <c r="M4420">
        <v>5.1100000000000003</v>
      </c>
      <c r="N4420">
        <v>2893.65</v>
      </c>
    </row>
    <row r="4421" spans="1:14" x14ac:dyDescent="0.2">
      <c r="A4421" s="1">
        <v>45842</v>
      </c>
      <c r="B4421" s="2" t="s">
        <v>23</v>
      </c>
      <c r="C4421" s="2" t="s">
        <v>35</v>
      </c>
      <c r="D4421" s="2" t="s">
        <v>19</v>
      </c>
      <c r="E4421">
        <v>3910</v>
      </c>
      <c r="F4421">
        <v>114</v>
      </c>
      <c r="G4421">
        <v>15</v>
      </c>
      <c r="H4421">
        <v>1014.46</v>
      </c>
      <c r="I4421">
        <v>4269.3500000000004</v>
      </c>
      <c r="J4421">
        <v>2.92</v>
      </c>
      <c r="K4421">
        <v>13.16</v>
      </c>
      <c r="L4421">
        <v>67.63</v>
      </c>
      <c r="M4421">
        <v>4.21</v>
      </c>
      <c r="N4421">
        <v>3254.89</v>
      </c>
    </row>
    <row r="4422" spans="1:14" x14ac:dyDescent="0.2">
      <c r="A4422" s="1">
        <v>45842</v>
      </c>
      <c r="B4422" s="2" t="s">
        <v>24</v>
      </c>
      <c r="C4422" s="2" t="s">
        <v>21</v>
      </c>
      <c r="D4422" s="2" t="s">
        <v>16</v>
      </c>
      <c r="E4422">
        <v>18976</v>
      </c>
      <c r="F4422">
        <v>2873</v>
      </c>
      <c r="G4422">
        <v>266</v>
      </c>
      <c r="H4422">
        <v>129.59</v>
      </c>
      <c r="I4422">
        <v>41069.83</v>
      </c>
      <c r="J4422">
        <v>15.14</v>
      </c>
      <c r="K4422">
        <v>9.26</v>
      </c>
      <c r="L4422">
        <v>0.49</v>
      </c>
      <c r="M4422">
        <v>316.92</v>
      </c>
      <c r="N4422">
        <v>40940.239999999998</v>
      </c>
    </row>
    <row r="4423" spans="1:14" x14ac:dyDescent="0.2">
      <c r="A4423" s="1">
        <v>45842</v>
      </c>
      <c r="B4423" s="2" t="s">
        <v>26</v>
      </c>
      <c r="C4423" s="2" t="s">
        <v>28</v>
      </c>
      <c r="D4423" s="2" t="s">
        <v>19</v>
      </c>
      <c r="E4423">
        <v>23675</v>
      </c>
      <c r="F4423">
        <v>1326</v>
      </c>
      <c r="G4423">
        <v>193</v>
      </c>
      <c r="H4423">
        <v>0</v>
      </c>
      <c r="I4423">
        <v>24516.59</v>
      </c>
      <c r="J4423">
        <v>5.6</v>
      </c>
      <c r="K4423">
        <v>14.56</v>
      </c>
      <c r="L4423">
        <v>0</v>
      </c>
      <c r="M4423">
        <v>0</v>
      </c>
      <c r="N4423">
        <v>24516.59</v>
      </c>
    </row>
    <row r="4424" spans="1:14" x14ac:dyDescent="0.2">
      <c r="A4424" s="1">
        <v>45842</v>
      </c>
      <c r="B4424" s="2" t="s">
        <v>27</v>
      </c>
      <c r="C4424" s="2" t="s">
        <v>21</v>
      </c>
      <c r="D4424" s="2" t="s">
        <v>36</v>
      </c>
      <c r="E4424">
        <v>22031</v>
      </c>
      <c r="F4424">
        <v>429</v>
      </c>
      <c r="G4424">
        <v>18</v>
      </c>
      <c r="H4424">
        <v>650.89</v>
      </c>
      <c r="I4424">
        <v>1645.83</v>
      </c>
      <c r="J4424">
        <v>1.95</v>
      </c>
      <c r="K4424">
        <v>4.2</v>
      </c>
      <c r="L4424">
        <v>36.159999999999997</v>
      </c>
      <c r="M4424">
        <v>2.5299999999999998</v>
      </c>
      <c r="N4424">
        <v>994.94</v>
      </c>
    </row>
    <row r="4425" spans="1:14" x14ac:dyDescent="0.2">
      <c r="A4425" s="1">
        <v>45842</v>
      </c>
      <c r="B4425" s="2" t="s">
        <v>29</v>
      </c>
      <c r="C4425" s="2" t="s">
        <v>28</v>
      </c>
      <c r="D4425" s="2" t="s">
        <v>25</v>
      </c>
      <c r="E4425">
        <v>14597</v>
      </c>
      <c r="F4425">
        <v>240</v>
      </c>
      <c r="G4425">
        <v>11</v>
      </c>
      <c r="H4425">
        <v>746.35</v>
      </c>
      <c r="I4425">
        <v>1120.8900000000001</v>
      </c>
      <c r="J4425">
        <v>1.64</v>
      </c>
      <c r="K4425">
        <v>4.58</v>
      </c>
      <c r="L4425">
        <v>67.849999999999994</v>
      </c>
      <c r="M4425">
        <v>1.5</v>
      </c>
      <c r="N4425">
        <v>374.54</v>
      </c>
    </row>
    <row r="4426" spans="1:14" x14ac:dyDescent="0.2">
      <c r="A4426" s="1">
        <v>45842</v>
      </c>
      <c r="B4426" s="2" t="s">
        <v>30</v>
      </c>
      <c r="C4426" s="2" t="s">
        <v>21</v>
      </c>
      <c r="D4426" s="2" t="s">
        <v>16</v>
      </c>
      <c r="E4426">
        <v>11888</v>
      </c>
      <c r="F4426">
        <v>357</v>
      </c>
      <c r="G4426">
        <v>17</v>
      </c>
      <c r="H4426">
        <v>524.53</v>
      </c>
      <c r="I4426">
        <v>1700.73</v>
      </c>
      <c r="J4426">
        <v>3</v>
      </c>
      <c r="K4426">
        <v>4.76</v>
      </c>
      <c r="L4426">
        <v>30.85</v>
      </c>
      <c r="M4426">
        <v>3.24</v>
      </c>
      <c r="N4426">
        <v>1176.2</v>
      </c>
    </row>
    <row r="4427" spans="1:14" x14ac:dyDescent="0.2">
      <c r="A4427" s="1">
        <v>45842</v>
      </c>
      <c r="B4427" s="2" t="s">
        <v>31</v>
      </c>
      <c r="C4427" s="2" t="s">
        <v>18</v>
      </c>
      <c r="D4427" s="2" t="s">
        <v>25</v>
      </c>
      <c r="E4427">
        <v>22209</v>
      </c>
      <c r="F4427">
        <v>836</v>
      </c>
      <c r="G4427">
        <v>44</v>
      </c>
      <c r="H4427">
        <v>646.73</v>
      </c>
      <c r="I4427">
        <v>5046.04</v>
      </c>
      <c r="J4427">
        <v>3.76</v>
      </c>
      <c r="K4427">
        <v>5.26</v>
      </c>
      <c r="L4427">
        <v>14.7</v>
      </c>
      <c r="M4427">
        <v>7.8</v>
      </c>
      <c r="N4427">
        <v>4399.3100000000004</v>
      </c>
    </row>
    <row r="4428" spans="1:14" x14ac:dyDescent="0.2">
      <c r="A4428" s="1">
        <v>45842</v>
      </c>
      <c r="B4428" s="2" t="s">
        <v>33</v>
      </c>
      <c r="C4428" s="2" t="s">
        <v>15</v>
      </c>
      <c r="D4428" s="2" t="s">
        <v>25</v>
      </c>
      <c r="E4428">
        <v>6112</v>
      </c>
      <c r="F4428">
        <v>324</v>
      </c>
      <c r="G4428">
        <v>32</v>
      </c>
      <c r="H4428">
        <v>591.09</v>
      </c>
      <c r="I4428">
        <v>3767.83</v>
      </c>
      <c r="J4428">
        <v>5.3</v>
      </c>
      <c r="K4428">
        <v>9.8800000000000008</v>
      </c>
      <c r="L4428">
        <v>18.47</v>
      </c>
      <c r="M4428">
        <v>6.37</v>
      </c>
      <c r="N4428">
        <v>3176.74</v>
      </c>
    </row>
    <row r="4429" spans="1:14" x14ac:dyDescent="0.2">
      <c r="A4429" s="1">
        <v>45842</v>
      </c>
      <c r="B4429" s="2" t="s">
        <v>34</v>
      </c>
      <c r="C4429" s="2" t="s">
        <v>15</v>
      </c>
      <c r="D4429" s="2" t="s">
        <v>22</v>
      </c>
      <c r="E4429">
        <v>4814</v>
      </c>
      <c r="F4429">
        <v>295</v>
      </c>
      <c r="G4429">
        <v>39</v>
      </c>
      <c r="H4429">
        <v>61.63</v>
      </c>
      <c r="I4429">
        <v>6061.67</v>
      </c>
      <c r="J4429">
        <v>6.13</v>
      </c>
      <c r="K4429">
        <v>13.22</v>
      </c>
      <c r="L4429">
        <v>1.58</v>
      </c>
      <c r="M4429">
        <v>98.36</v>
      </c>
      <c r="N4429">
        <v>6000.04</v>
      </c>
    </row>
    <row r="4430" spans="1:14" x14ac:dyDescent="0.2">
      <c r="A4430" s="1">
        <v>45843</v>
      </c>
      <c r="B4430" s="2" t="s">
        <v>14</v>
      </c>
      <c r="C4430" s="2" t="s">
        <v>18</v>
      </c>
      <c r="D4430" s="2" t="s">
        <v>36</v>
      </c>
      <c r="E4430">
        <v>7618</v>
      </c>
      <c r="F4430">
        <v>252</v>
      </c>
      <c r="G4430">
        <v>23</v>
      </c>
      <c r="H4430">
        <v>623.41</v>
      </c>
      <c r="I4430">
        <v>3766.29</v>
      </c>
      <c r="J4430">
        <v>3.31</v>
      </c>
      <c r="K4430">
        <v>9.1300000000000008</v>
      </c>
      <c r="L4430">
        <v>27.1</v>
      </c>
      <c r="M4430">
        <v>6.04</v>
      </c>
      <c r="N4430">
        <v>3142.88</v>
      </c>
    </row>
    <row r="4431" spans="1:14" x14ac:dyDescent="0.2">
      <c r="A4431" s="1">
        <v>45843</v>
      </c>
      <c r="B4431" s="2" t="s">
        <v>17</v>
      </c>
      <c r="C4431" s="2" t="s">
        <v>21</v>
      </c>
      <c r="D4431" s="2" t="s">
        <v>19</v>
      </c>
      <c r="E4431">
        <v>7516</v>
      </c>
      <c r="F4431">
        <v>229</v>
      </c>
      <c r="G4431">
        <v>19</v>
      </c>
      <c r="H4431">
        <v>375.38</v>
      </c>
      <c r="I4431">
        <v>1835.87</v>
      </c>
      <c r="J4431">
        <v>3.05</v>
      </c>
      <c r="K4431">
        <v>8.3000000000000007</v>
      </c>
      <c r="L4431">
        <v>19.760000000000002</v>
      </c>
      <c r="M4431">
        <v>4.8899999999999997</v>
      </c>
      <c r="N4431">
        <v>1460.49</v>
      </c>
    </row>
    <row r="4432" spans="1:14" x14ac:dyDescent="0.2">
      <c r="A4432" s="1">
        <v>45843</v>
      </c>
      <c r="B4432" s="2" t="s">
        <v>20</v>
      </c>
      <c r="C4432" s="2" t="s">
        <v>15</v>
      </c>
      <c r="D4432" s="2" t="s">
        <v>22</v>
      </c>
      <c r="E4432">
        <v>6909</v>
      </c>
      <c r="F4432">
        <v>250</v>
      </c>
      <c r="G4432">
        <v>19</v>
      </c>
      <c r="H4432">
        <v>452.69</v>
      </c>
      <c r="I4432">
        <v>1659.26</v>
      </c>
      <c r="J4432">
        <v>3.62</v>
      </c>
      <c r="K4432">
        <v>7.6</v>
      </c>
      <c r="L4432">
        <v>23.83</v>
      </c>
      <c r="M4432">
        <v>3.67</v>
      </c>
      <c r="N4432">
        <v>1206.57</v>
      </c>
    </row>
    <row r="4433" spans="1:14" x14ac:dyDescent="0.2">
      <c r="A4433" s="1">
        <v>45843</v>
      </c>
      <c r="B4433" s="2" t="s">
        <v>23</v>
      </c>
      <c r="C4433" s="2" t="s">
        <v>18</v>
      </c>
      <c r="D4433" s="2" t="s">
        <v>36</v>
      </c>
      <c r="E4433">
        <v>2140</v>
      </c>
      <c r="F4433">
        <v>38</v>
      </c>
      <c r="G4433">
        <v>5</v>
      </c>
      <c r="H4433">
        <v>786.88</v>
      </c>
      <c r="I4433">
        <v>1025.08</v>
      </c>
      <c r="J4433">
        <v>1.78</v>
      </c>
      <c r="K4433">
        <v>13.16</v>
      </c>
      <c r="L4433">
        <v>157.38</v>
      </c>
      <c r="M4433">
        <v>1.3</v>
      </c>
      <c r="N4433">
        <v>238.2</v>
      </c>
    </row>
    <row r="4434" spans="1:14" x14ac:dyDescent="0.2">
      <c r="A4434" s="1">
        <v>45843</v>
      </c>
      <c r="B4434" s="2" t="s">
        <v>24</v>
      </c>
      <c r="C4434" s="2" t="s">
        <v>32</v>
      </c>
      <c r="D4434" s="2" t="s">
        <v>36</v>
      </c>
      <c r="E4434">
        <v>9126</v>
      </c>
      <c r="F4434">
        <v>1427</v>
      </c>
      <c r="G4434">
        <v>171</v>
      </c>
      <c r="H4434">
        <v>151.84</v>
      </c>
      <c r="I4434">
        <v>24953.4</v>
      </c>
      <c r="J4434">
        <v>15.64</v>
      </c>
      <c r="K4434">
        <v>11.98</v>
      </c>
      <c r="L4434">
        <v>0.89</v>
      </c>
      <c r="M4434">
        <v>164.34</v>
      </c>
      <c r="N4434">
        <v>24801.56</v>
      </c>
    </row>
    <row r="4435" spans="1:14" x14ac:dyDescent="0.2">
      <c r="A4435" s="1">
        <v>45843</v>
      </c>
      <c r="B4435" s="2" t="s">
        <v>26</v>
      </c>
      <c r="C4435" s="2" t="s">
        <v>32</v>
      </c>
      <c r="D4435" s="2" t="s">
        <v>19</v>
      </c>
      <c r="E4435">
        <v>16517</v>
      </c>
      <c r="F4435">
        <v>887</v>
      </c>
      <c r="G4435">
        <v>98</v>
      </c>
      <c r="H4435">
        <v>0</v>
      </c>
      <c r="I4435">
        <v>13797.14</v>
      </c>
      <c r="J4435">
        <v>5.37</v>
      </c>
      <c r="K4435">
        <v>11.05</v>
      </c>
      <c r="L4435">
        <v>0</v>
      </c>
      <c r="M4435">
        <v>0</v>
      </c>
      <c r="N4435">
        <v>13797.14</v>
      </c>
    </row>
    <row r="4436" spans="1:14" x14ac:dyDescent="0.2">
      <c r="A4436" s="1">
        <v>45843</v>
      </c>
      <c r="B4436" s="2" t="s">
        <v>27</v>
      </c>
      <c r="C4436" s="2" t="s">
        <v>21</v>
      </c>
      <c r="D4436" s="2" t="s">
        <v>16</v>
      </c>
      <c r="E4436">
        <v>19844</v>
      </c>
      <c r="F4436">
        <v>306</v>
      </c>
      <c r="G4436">
        <v>7</v>
      </c>
      <c r="H4436">
        <v>614.92999999999995</v>
      </c>
      <c r="I4436">
        <v>636.14</v>
      </c>
      <c r="J4436">
        <v>1.54</v>
      </c>
      <c r="K4436">
        <v>2.29</v>
      </c>
      <c r="L4436">
        <v>87.85</v>
      </c>
      <c r="M4436">
        <v>1.03</v>
      </c>
      <c r="N4436">
        <v>21.21</v>
      </c>
    </row>
    <row r="4437" spans="1:14" x14ac:dyDescent="0.2">
      <c r="A4437" s="1">
        <v>45843</v>
      </c>
      <c r="B4437" s="2" t="s">
        <v>29</v>
      </c>
      <c r="C4437" s="2" t="s">
        <v>35</v>
      </c>
      <c r="D4437" s="2" t="s">
        <v>22</v>
      </c>
      <c r="E4437">
        <v>10365</v>
      </c>
      <c r="F4437">
        <v>225</v>
      </c>
      <c r="G4437">
        <v>10</v>
      </c>
      <c r="H4437">
        <v>730.99</v>
      </c>
      <c r="I4437">
        <v>1306.28</v>
      </c>
      <c r="J4437">
        <v>2.17</v>
      </c>
      <c r="K4437">
        <v>4.4400000000000004</v>
      </c>
      <c r="L4437">
        <v>73.099999999999994</v>
      </c>
      <c r="M4437">
        <v>1.79</v>
      </c>
      <c r="N4437">
        <v>575.29</v>
      </c>
    </row>
    <row r="4438" spans="1:14" x14ac:dyDescent="0.2">
      <c r="A4438" s="1">
        <v>45843</v>
      </c>
      <c r="B4438" s="2" t="s">
        <v>30</v>
      </c>
      <c r="C4438" s="2" t="s">
        <v>32</v>
      </c>
      <c r="D4438" s="2" t="s">
        <v>16</v>
      </c>
      <c r="E4438">
        <v>7249</v>
      </c>
      <c r="F4438">
        <v>213</v>
      </c>
      <c r="G4438">
        <v>7</v>
      </c>
      <c r="H4438">
        <v>285.45</v>
      </c>
      <c r="I4438">
        <v>808.55</v>
      </c>
      <c r="J4438">
        <v>2.94</v>
      </c>
      <c r="K4438">
        <v>3.29</v>
      </c>
      <c r="L4438">
        <v>40.78</v>
      </c>
      <c r="M4438">
        <v>2.83</v>
      </c>
      <c r="N4438">
        <v>523.1</v>
      </c>
    </row>
    <row r="4439" spans="1:14" x14ac:dyDescent="0.2">
      <c r="A4439" s="1">
        <v>45843</v>
      </c>
      <c r="B4439" s="2" t="s">
        <v>31</v>
      </c>
      <c r="C4439" s="2" t="s">
        <v>18</v>
      </c>
      <c r="D4439" s="2" t="s">
        <v>25</v>
      </c>
      <c r="E4439">
        <v>12617</v>
      </c>
      <c r="F4439">
        <v>515</v>
      </c>
      <c r="G4439">
        <v>33</v>
      </c>
      <c r="H4439">
        <v>630.23</v>
      </c>
      <c r="I4439">
        <v>3198.42</v>
      </c>
      <c r="J4439">
        <v>4.08</v>
      </c>
      <c r="K4439">
        <v>6.41</v>
      </c>
      <c r="L4439">
        <v>19.100000000000001</v>
      </c>
      <c r="M4439">
        <v>5.08</v>
      </c>
      <c r="N4439">
        <v>2568.19</v>
      </c>
    </row>
    <row r="4440" spans="1:14" x14ac:dyDescent="0.2">
      <c r="A4440" s="1">
        <v>45843</v>
      </c>
      <c r="B4440" s="2" t="s">
        <v>33</v>
      </c>
      <c r="C4440" s="2" t="s">
        <v>28</v>
      </c>
      <c r="D4440" s="2" t="s">
        <v>36</v>
      </c>
      <c r="E4440">
        <v>3881</v>
      </c>
      <c r="F4440">
        <v>166</v>
      </c>
      <c r="G4440">
        <v>17</v>
      </c>
      <c r="H4440">
        <v>342</v>
      </c>
      <c r="I4440">
        <v>2024.69</v>
      </c>
      <c r="J4440">
        <v>4.28</v>
      </c>
      <c r="K4440">
        <v>10.24</v>
      </c>
      <c r="L4440">
        <v>20.12</v>
      </c>
      <c r="M4440">
        <v>5.92</v>
      </c>
      <c r="N4440">
        <v>1682.69</v>
      </c>
    </row>
    <row r="4441" spans="1:14" x14ac:dyDescent="0.2">
      <c r="A4441" s="1">
        <v>45843</v>
      </c>
      <c r="B4441" s="2" t="s">
        <v>34</v>
      </c>
      <c r="C4441" s="2" t="s">
        <v>15</v>
      </c>
      <c r="D4441" s="2" t="s">
        <v>36</v>
      </c>
      <c r="E4441">
        <v>1870</v>
      </c>
      <c r="F4441">
        <v>107</v>
      </c>
      <c r="G4441">
        <v>14</v>
      </c>
      <c r="H4441">
        <v>97.05</v>
      </c>
      <c r="I4441">
        <v>2135.04</v>
      </c>
      <c r="J4441">
        <v>5.72</v>
      </c>
      <c r="K4441">
        <v>13.08</v>
      </c>
      <c r="L4441">
        <v>6.93</v>
      </c>
      <c r="M4441">
        <v>22</v>
      </c>
      <c r="N4441">
        <v>2037.99</v>
      </c>
    </row>
    <row r="4442" spans="1:14" x14ac:dyDescent="0.2">
      <c r="A4442" s="1">
        <v>45844</v>
      </c>
      <c r="B4442" s="2" t="s">
        <v>14</v>
      </c>
      <c r="C4442" s="2" t="s">
        <v>18</v>
      </c>
      <c r="D4442" s="2" t="s">
        <v>22</v>
      </c>
      <c r="E4442">
        <v>8184</v>
      </c>
      <c r="F4442">
        <v>293</v>
      </c>
      <c r="G4442">
        <v>27</v>
      </c>
      <c r="H4442">
        <v>784.63</v>
      </c>
      <c r="I4442">
        <v>5134.04</v>
      </c>
      <c r="J4442">
        <v>3.58</v>
      </c>
      <c r="K4442">
        <v>9.2200000000000006</v>
      </c>
      <c r="L4442">
        <v>29.06</v>
      </c>
      <c r="M4442">
        <v>6.54</v>
      </c>
      <c r="N4442">
        <v>4349.41</v>
      </c>
    </row>
    <row r="4443" spans="1:14" x14ac:dyDescent="0.2">
      <c r="A4443" s="1">
        <v>45844</v>
      </c>
      <c r="B4443" s="2" t="s">
        <v>17</v>
      </c>
      <c r="C4443" s="2" t="s">
        <v>15</v>
      </c>
      <c r="D4443" s="2" t="s">
        <v>22</v>
      </c>
      <c r="E4443">
        <v>8069</v>
      </c>
      <c r="F4443">
        <v>278</v>
      </c>
      <c r="G4443">
        <v>18</v>
      </c>
      <c r="H4443">
        <v>383.31</v>
      </c>
      <c r="I4443">
        <v>2399.7199999999998</v>
      </c>
      <c r="J4443">
        <v>3.45</v>
      </c>
      <c r="K4443">
        <v>6.47</v>
      </c>
      <c r="L4443">
        <v>21.3</v>
      </c>
      <c r="M4443">
        <v>6.26</v>
      </c>
      <c r="N4443">
        <v>2016.41</v>
      </c>
    </row>
    <row r="4444" spans="1:14" x14ac:dyDescent="0.2">
      <c r="A4444" s="1">
        <v>45844</v>
      </c>
      <c r="B4444" s="2" t="s">
        <v>20</v>
      </c>
      <c r="C4444" s="2" t="s">
        <v>21</v>
      </c>
      <c r="D4444" s="2" t="s">
        <v>19</v>
      </c>
      <c r="E4444">
        <v>8700</v>
      </c>
      <c r="F4444">
        <v>355</v>
      </c>
      <c r="G4444">
        <v>18</v>
      </c>
      <c r="H4444">
        <v>440.11</v>
      </c>
      <c r="I4444">
        <v>1996.98</v>
      </c>
      <c r="J4444">
        <v>4.08</v>
      </c>
      <c r="K4444">
        <v>5.07</v>
      </c>
      <c r="L4444">
        <v>24.45</v>
      </c>
      <c r="M4444">
        <v>4.54</v>
      </c>
      <c r="N4444">
        <v>1556.87</v>
      </c>
    </row>
    <row r="4445" spans="1:14" x14ac:dyDescent="0.2">
      <c r="A4445" s="1">
        <v>45844</v>
      </c>
      <c r="B4445" s="2" t="s">
        <v>23</v>
      </c>
      <c r="C4445" s="2" t="s">
        <v>35</v>
      </c>
      <c r="D4445" s="2" t="s">
        <v>36</v>
      </c>
      <c r="E4445">
        <v>3152</v>
      </c>
      <c r="F4445">
        <v>59</v>
      </c>
      <c r="G4445">
        <v>8</v>
      </c>
      <c r="H4445">
        <v>968.8</v>
      </c>
      <c r="I4445">
        <v>2833.88</v>
      </c>
      <c r="J4445">
        <v>1.87</v>
      </c>
      <c r="K4445">
        <v>13.56</v>
      </c>
      <c r="L4445">
        <v>121.1</v>
      </c>
      <c r="M4445">
        <v>2.93</v>
      </c>
      <c r="N4445">
        <v>1865.08</v>
      </c>
    </row>
    <row r="4446" spans="1:14" x14ac:dyDescent="0.2">
      <c r="A4446" s="1">
        <v>45844</v>
      </c>
      <c r="B4446" s="2" t="s">
        <v>24</v>
      </c>
      <c r="C4446" s="2" t="s">
        <v>28</v>
      </c>
      <c r="D4446" s="2" t="s">
        <v>22</v>
      </c>
      <c r="E4446">
        <v>13179</v>
      </c>
      <c r="F4446">
        <v>2104</v>
      </c>
      <c r="G4446">
        <v>182</v>
      </c>
      <c r="H4446">
        <v>151.87</v>
      </c>
      <c r="I4446">
        <v>21282.74</v>
      </c>
      <c r="J4446">
        <v>15.96</v>
      </c>
      <c r="K4446">
        <v>8.65</v>
      </c>
      <c r="L4446">
        <v>0.83</v>
      </c>
      <c r="M4446">
        <v>140.13999999999999</v>
      </c>
      <c r="N4446">
        <v>21130.87</v>
      </c>
    </row>
    <row r="4447" spans="1:14" x14ac:dyDescent="0.2">
      <c r="A4447" s="1">
        <v>45844</v>
      </c>
      <c r="B4447" s="2" t="s">
        <v>26</v>
      </c>
      <c r="C4447" s="2" t="s">
        <v>28</v>
      </c>
      <c r="D4447" s="2" t="s">
        <v>22</v>
      </c>
      <c r="E4447">
        <v>15847</v>
      </c>
      <c r="F4447">
        <v>713</v>
      </c>
      <c r="G4447">
        <v>108</v>
      </c>
      <c r="H4447">
        <v>0</v>
      </c>
      <c r="I4447">
        <v>14452.68</v>
      </c>
      <c r="J4447">
        <v>4.5</v>
      </c>
      <c r="K4447">
        <v>15.15</v>
      </c>
      <c r="L4447">
        <v>0</v>
      </c>
      <c r="M4447">
        <v>0</v>
      </c>
      <c r="N4447">
        <v>14452.68</v>
      </c>
    </row>
    <row r="4448" spans="1:14" x14ac:dyDescent="0.2">
      <c r="A4448" s="1">
        <v>45844</v>
      </c>
      <c r="B4448" s="2" t="s">
        <v>27</v>
      </c>
      <c r="C4448" s="2" t="s">
        <v>32</v>
      </c>
      <c r="D4448" s="2" t="s">
        <v>22</v>
      </c>
      <c r="E4448">
        <v>18050</v>
      </c>
      <c r="F4448">
        <v>265</v>
      </c>
      <c r="G4448">
        <v>11</v>
      </c>
      <c r="H4448">
        <v>771.22</v>
      </c>
      <c r="I4448">
        <v>1223.92</v>
      </c>
      <c r="J4448">
        <v>1.47</v>
      </c>
      <c r="K4448">
        <v>4.1500000000000004</v>
      </c>
      <c r="L4448">
        <v>70.11</v>
      </c>
      <c r="M4448">
        <v>1.59</v>
      </c>
      <c r="N4448">
        <v>452.7</v>
      </c>
    </row>
    <row r="4449" spans="1:14" x14ac:dyDescent="0.2">
      <c r="A4449" s="1">
        <v>45844</v>
      </c>
      <c r="B4449" s="2" t="s">
        <v>29</v>
      </c>
      <c r="C4449" s="2" t="s">
        <v>35</v>
      </c>
      <c r="D4449" s="2" t="s">
        <v>22</v>
      </c>
      <c r="E4449">
        <v>9110</v>
      </c>
      <c r="F4449">
        <v>173</v>
      </c>
      <c r="G4449">
        <v>8</v>
      </c>
      <c r="H4449">
        <v>532.19000000000005</v>
      </c>
      <c r="I4449">
        <v>1147.9100000000001</v>
      </c>
      <c r="J4449">
        <v>1.9</v>
      </c>
      <c r="K4449">
        <v>4.62</v>
      </c>
      <c r="L4449">
        <v>66.52</v>
      </c>
      <c r="M4449">
        <v>2.16</v>
      </c>
      <c r="N4449">
        <v>615.72</v>
      </c>
    </row>
    <row r="4450" spans="1:14" x14ac:dyDescent="0.2">
      <c r="A4450" s="1">
        <v>45844</v>
      </c>
      <c r="B4450" s="2" t="s">
        <v>30</v>
      </c>
      <c r="C4450" s="2" t="s">
        <v>28</v>
      </c>
      <c r="D4450" s="2" t="s">
        <v>22</v>
      </c>
      <c r="E4450">
        <v>5475</v>
      </c>
      <c r="F4450">
        <v>128</v>
      </c>
      <c r="G4450">
        <v>5</v>
      </c>
      <c r="H4450">
        <v>332.61</v>
      </c>
      <c r="I4450">
        <v>412.8</v>
      </c>
      <c r="J4450">
        <v>2.34</v>
      </c>
      <c r="K4450">
        <v>3.91</v>
      </c>
      <c r="L4450">
        <v>66.52</v>
      </c>
      <c r="M4450">
        <v>1.24</v>
      </c>
      <c r="N4450">
        <v>80.19</v>
      </c>
    </row>
    <row r="4451" spans="1:14" x14ac:dyDescent="0.2">
      <c r="A4451" s="1">
        <v>45844</v>
      </c>
      <c r="B4451" s="2" t="s">
        <v>31</v>
      </c>
      <c r="C4451" s="2" t="s">
        <v>28</v>
      </c>
      <c r="D4451" s="2" t="s">
        <v>22</v>
      </c>
      <c r="E4451">
        <v>10884</v>
      </c>
      <c r="F4451">
        <v>286</v>
      </c>
      <c r="G4451">
        <v>11</v>
      </c>
      <c r="H4451">
        <v>451.46</v>
      </c>
      <c r="I4451">
        <v>748.47</v>
      </c>
      <c r="J4451">
        <v>2.63</v>
      </c>
      <c r="K4451">
        <v>3.85</v>
      </c>
      <c r="L4451">
        <v>41.04</v>
      </c>
      <c r="M4451">
        <v>1.66</v>
      </c>
      <c r="N4451">
        <v>297.01</v>
      </c>
    </row>
    <row r="4452" spans="1:14" x14ac:dyDescent="0.2">
      <c r="A4452" s="1">
        <v>45844</v>
      </c>
      <c r="B4452" s="2" t="s">
        <v>33</v>
      </c>
      <c r="C4452" s="2" t="s">
        <v>18</v>
      </c>
      <c r="D4452" s="2" t="s">
        <v>19</v>
      </c>
      <c r="E4452">
        <v>3639</v>
      </c>
      <c r="F4452">
        <v>200</v>
      </c>
      <c r="G4452">
        <v>17</v>
      </c>
      <c r="H4452">
        <v>235.15</v>
      </c>
      <c r="I4452">
        <v>1884.15</v>
      </c>
      <c r="J4452">
        <v>5.5</v>
      </c>
      <c r="K4452">
        <v>8.5</v>
      </c>
      <c r="L4452">
        <v>13.83</v>
      </c>
      <c r="M4452">
        <v>8.01</v>
      </c>
      <c r="N4452">
        <v>1649</v>
      </c>
    </row>
    <row r="4453" spans="1:14" x14ac:dyDescent="0.2">
      <c r="A4453" s="1">
        <v>45844</v>
      </c>
      <c r="B4453" s="2" t="s">
        <v>34</v>
      </c>
      <c r="C4453" s="2" t="s">
        <v>35</v>
      </c>
      <c r="D4453" s="2" t="s">
        <v>22</v>
      </c>
      <c r="E4453">
        <v>2334</v>
      </c>
      <c r="F4453">
        <v>157</v>
      </c>
      <c r="G4453">
        <v>26</v>
      </c>
      <c r="H4453">
        <v>86.96</v>
      </c>
      <c r="I4453">
        <v>3106.54</v>
      </c>
      <c r="J4453">
        <v>6.73</v>
      </c>
      <c r="K4453">
        <v>16.559999999999999</v>
      </c>
      <c r="L4453">
        <v>3.34</v>
      </c>
      <c r="M4453">
        <v>35.72</v>
      </c>
      <c r="N4453">
        <v>3019.58</v>
      </c>
    </row>
    <row r="4454" spans="1:14" x14ac:dyDescent="0.2">
      <c r="A4454" s="1">
        <v>45845</v>
      </c>
      <c r="B4454" s="2" t="s">
        <v>14</v>
      </c>
      <c r="C4454" s="2" t="s">
        <v>32</v>
      </c>
      <c r="D4454" s="2" t="s">
        <v>36</v>
      </c>
      <c r="E4454">
        <v>9810</v>
      </c>
      <c r="F4454">
        <v>353</v>
      </c>
      <c r="G4454">
        <v>32</v>
      </c>
      <c r="H4454">
        <v>832.98</v>
      </c>
      <c r="I4454">
        <v>5122.3599999999997</v>
      </c>
      <c r="J4454">
        <v>3.6</v>
      </c>
      <c r="K4454">
        <v>9.07</v>
      </c>
      <c r="L4454">
        <v>26.03</v>
      </c>
      <c r="M4454">
        <v>6.15</v>
      </c>
      <c r="N4454">
        <v>4289.38</v>
      </c>
    </row>
    <row r="4455" spans="1:14" x14ac:dyDescent="0.2">
      <c r="A4455" s="1">
        <v>45845</v>
      </c>
      <c r="B4455" s="2" t="s">
        <v>17</v>
      </c>
      <c r="C4455" s="2" t="s">
        <v>21</v>
      </c>
      <c r="D4455" s="2" t="s">
        <v>19</v>
      </c>
      <c r="E4455">
        <v>13957</v>
      </c>
      <c r="F4455">
        <v>494</v>
      </c>
      <c r="G4455">
        <v>40</v>
      </c>
      <c r="H4455">
        <v>641.84</v>
      </c>
      <c r="I4455">
        <v>3336.88</v>
      </c>
      <c r="J4455">
        <v>3.54</v>
      </c>
      <c r="K4455">
        <v>8.1</v>
      </c>
      <c r="L4455">
        <v>16.05</v>
      </c>
      <c r="M4455">
        <v>5.2</v>
      </c>
      <c r="N4455">
        <v>2695.04</v>
      </c>
    </row>
    <row r="4456" spans="1:14" x14ac:dyDescent="0.2">
      <c r="A4456" s="1">
        <v>45845</v>
      </c>
      <c r="B4456" s="2" t="s">
        <v>20</v>
      </c>
      <c r="C4456" s="2" t="s">
        <v>32</v>
      </c>
      <c r="D4456" s="2" t="s">
        <v>36</v>
      </c>
      <c r="E4456">
        <v>11348</v>
      </c>
      <c r="F4456">
        <v>328</v>
      </c>
      <c r="G4456">
        <v>20</v>
      </c>
      <c r="H4456">
        <v>563.85</v>
      </c>
      <c r="I4456">
        <v>1780</v>
      </c>
      <c r="J4456">
        <v>2.89</v>
      </c>
      <c r="K4456">
        <v>6.1</v>
      </c>
      <c r="L4456">
        <v>28.19</v>
      </c>
      <c r="M4456">
        <v>3.16</v>
      </c>
      <c r="N4456">
        <v>1216.1500000000001</v>
      </c>
    </row>
    <row r="4457" spans="1:14" x14ac:dyDescent="0.2">
      <c r="A4457" s="1">
        <v>45845</v>
      </c>
      <c r="B4457" s="2" t="s">
        <v>23</v>
      </c>
      <c r="C4457" s="2" t="s">
        <v>18</v>
      </c>
      <c r="D4457" s="2" t="s">
        <v>16</v>
      </c>
      <c r="E4457">
        <v>2578</v>
      </c>
      <c r="F4457">
        <v>56</v>
      </c>
      <c r="G4457">
        <v>5</v>
      </c>
      <c r="H4457">
        <v>1109.56</v>
      </c>
      <c r="I4457">
        <v>1074.03</v>
      </c>
      <c r="J4457">
        <v>2.17</v>
      </c>
      <c r="K4457">
        <v>8.93</v>
      </c>
      <c r="L4457">
        <v>221.91</v>
      </c>
      <c r="M4457">
        <v>0.97</v>
      </c>
      <c r="N4457">
        <v>-35.53</v>
      </c>
    </row>
    <row r="4458" spans="1:14" x14ac:dyDescent="0.2">
      <c r="A4458" s="1">
        <v>45845</v>
      </c>
      <c r="B4458" s="2" t="s">
        <v>24</v>
      </c>
      <c r="C4458" s="2" t="s">
        <v>28</v>
      </c>
      <c r="D4458" s="2" t="s">
        <v>22</v>
      </c>
      <c r="E4458">
        <v>14675</v>
      </c>
      <c r="F4458">
        <v>3060</v>
      </c>
      <c r="G4458">
        <v>426</v>
      </c>
      <c r="H4458">
        <v>248.92</v>
      </c>
      <c r="I4458">
        <v>58446.84</v>
      </c>
      <c r="J4458">
        <v>20.85</v>
      </c>
      <c r="K4458">
        <v>13.92</v>
      </c>
      <c r="L4458">
        <v>0.57999999999999996</v>
      </c>
      <c r="M4458">
        <v>234.8</v>
      </c>
      <c r="N4458">
        <v>58197.919999999998</v>
      </c>
    </row>
    <row r="4459" spans="1:14" x14ac:dyDescent="0.2">
      <c r="A4459" s="1">
        <v>45845</v>
      </c>
      <c r="B4459" s="2" t="s">
        <v>26</v>
      </c>
      <c r="C4459" s="2" t="s">
        <v>35</v>
      </c>
      <c r="D4459" s="2" t="s">
        <v>36</v>
      </c>
      <c r="E4459">
        <v>20147</v>
      </c>
      <c r="F4459">
        <v>986</v>
      </c>
      <c r="G4459">
        <v>136</v>
      </c>
      <c r="H4459">
        <v>0</v>
      </c>
      <c r="I4459">
        <v>16873.560000000001</v>
      </c>
      <c r="J4459">
        <v>4.8899999999999997</v>
      </c>
      <c r="K4459">
        <v>13.79</v>
      </c>
      <c r="L4459">
        <v>0</v>
      </c>
      <c r="M4459">
        <v>0</v>
      </c>
      <c r="N4459">
        <v>16873.560000000001</v>
      </c>
    </row>
    <row r="4460" spans="1:14" x14ac:dyDescent="0.2">
      <c r="A4460" s="1">
        <v>45845</v>
      </c>
      <c r="B4460" s="2" t="s">
        <v>27</v>
      </c>
      <c r="C4460" s="2" t="s">
        <v>15</v>
      </c>
      <c r="D4460" s="2" t="s">
        <v>22</v>
      </c>
      <c r="E4460">
        <v>28245</v>
      </c>
      <c r="F4460">
        <v>340</v>
      </c>
      <c r="G4460">
        <v>12</v>
      </c>
      <c r="H4460">
        <v>615.63</v>
      </c>
      <c r="I4460">
        <v>1575.24</v>
      </c>
      <c r="J4460">
        <v>1.2</v>
      </c>
      <c r="K4460">
        <v>3.53</v>
      </c>
      <c r="L4460">
        <v>51.3</v>
      </c>
      <c r="M4460">
        <v>2.56</v>
      </c>
      <c r="N4460">
        <v>959.61</v>
      </c>
    </row>
    <row r="4461" spans="1:14" x14ac:dyDescent="0.2">
      <c r="A4461" s="1">
        <v>45845</v>
      </c>
      <c r="B4461" s="2" t="s">
        <v>29</v>
      </c>
      <c r="C4461" s="2" t="s">
        <v>15</v>
      </c>
      <c r="D4461" s="2" t="s">
        <v>36</v>
      </c>
      <c r="E4461">
        <v>20103</v>
      </c>
      <c r="F4461">
        <v>445</v>
      </c>
      <c r="G4461">
        <v>30</v>
      </c>
      <c r="H4461">
        <v>1159.06</v>
      </c>
      <c r="I4461">
        <v>4224.91</v>
      </c>
      <c r="J4461">
        <v>2.21</v>
      </c>
      <c r="K4461">
        <v>6.74</v>
      </c>
      <c r="L4461">
        <v>38.64</v>
      </c>
      <c r="M4461">
        <v>3.65</v>
      </c>
      <c r="N4461">
        <v>3065.85</v>
      </c>
    </row>
    <row r="4462" spans="1:14" x14ac:dyDescent="0.2">
      <c r="A4462" s="1">
        <v>45845</v>
      </c>
      <c r="B4462" s="2" t="s">
        <v>30</v>
      </c>
      <c r="C4462" s="2" t="s">
        <v>15</v>
      </c>
      <c r="D4462" s="2" t="s">
        <v>36</v>
      </c>
      <c r="E4462">
        <v>11287</v>
      </c>
      <c r="F4462">
        <v>254</v>
      </c>
      <c r="G4462">
        <v>9</v>
      </c>
      <c r="H4462">
        <v>577.33000000000004</v>
      </c>
      <c r="I4462">
        <v>741.69</v>
      </c>
      <c r="J4462">
        <v>2.25</v>
      </c>
      <c r="K4462">
        <v>3.54</v>
      </c>
      <c r="L4462">
        <v>64.150000000000006</v>
      </c>
      <c r="M4462">
        <v>1.28</v>
      </c>
      <c r="N4462">
        <v>164.36</v>
      </c>
    </row>
    <row r="4463" spans="1:14" x14ac:dyDescent="0.2">
      <c r="A4463" s="1">
        <v>45845</v>
      </c>
      <c r="B4463" s="2" t="s">
        <v>31</v>
      </c>
      <c r="C4463" s="2" t="s">
        <v>15</v>
      </c>
      <c r="D4463" s="2" t="s">
        <v>25</v>
      </c>
      <c r="E4463">
        <v>24424</v>
      </c>
      <c r="F4463">
        <v>1096</v>
      </c>
      <c r="G4463">
        <v>44</v>
      </c>
      <c r="H4463">
        <v>527.89</v>
      </c>
      <c r="I4463">
        <v>4664.1000000000004</v>
      </c>
      <c r="J4463">
        <v>4.49</v>
      </c>
      <c r="K4463">
        <v>4.01</v>
      </c>
      <c r="L4463">
        <v>12</v>
      </c>
      <c r="M4463">
        <v>8.84</v>
      </c>
      <c r="N4463">
        <v>4136.21</v>
      </c>
    </row>
    <row r="4464" spans="1:14" x14ac:dyDescent="0.2">
      <c r="A4464" s="1">
        <v>45845</v>
      </c>
      <c r="B4464" s="2" t="s">
        <v>33</v>
      </c>
      <c r="C4464" s="2" t="s">
        <v>35</v>
      </c>
      <c r="D4464" s="2" t="s">
        <v>16</v>
      </c>
      <c r="E4464">
        <v>6349</v>
      </c>
      <c r="F4464">
        <v>324</v>
      </c>
      <c r="G4464">
        <v>41</v>
      </c>
      <c r="H4464">
        <v>294.85000000000002</v>
      </c>
      <c r="I4464">
        <v>4277.32</v>
      </c>
      <c r="J4464">
        <v>5.0999999999999996</v>
      </c>
      <c r="K4464">
        <v>12.65</v>
      </c>
      <c r="L4464">
        <v>7.19</v>
      </c>
      <c r="M4464">
        <v>14.51</v>
      </c>
      <c r="N4464">
        <v>3982.47</v>
      </c>
    </row>
    <row r="4465" spans="1:14" x14ac:dyDescent="0.2">
      <c r="A4465" s="1">
        <v>45845</v>
      </c>
      <c r="B4465" s="2" t="s">
        <v>34</v>
      </c>
      <c r="C4465" s="2" t="s">
        <v>18</v>
      </c>
      <c r="D4465" s="2" t="s">
        <v>25</v>
      </c>
      <c r="E4465">
        <v>4417</v>
      </c>
      <c r="F4465">
        <v>367</v>
      </c>
      <c r="G4465">
        <v>54</v>
      </c>
      <c r="H4465">
        <v>70.239999999999995</v>
      </c>
      <c r="I4465">
        <v>8146.81</v>
      </c>
      <c r="J4465">
        <v>8.31</v>
      </c>
      <c r="K4465">
        <v>14.71</v>
      </c>
      <c r="L4465">
        <v>1.3</v>
      </c>
      <c r="M4465">
        <v>115.99</v>
      </c>
      <c r="N4465">
        <v>8076.57</v>
      </c>
    </row>
    <row r="4466" spans="1:14" x14ac:dyDescent="0.2">
      <c r="A4466" s="1">
        <v>45846</v>
      </c>
      <c r="B4466" s="2" t="s">
        <v>14</v>
      </c>
      <c r="C4466" s="2" t="s">
        <v>18</v>
      </c>
      <c r="D4466" s="2" t="s">
        <v>16</v>
      </c>
      <c r="E4466">
        <v>11900</v>
      </c>
      <c r="F4466">
        <v>369</v>
      </c>
      <c r="G4466">
        <v>43</v>
      </c>
      <c r="H4466">
        <v>831.9</v>
      </c>
      <c r="I4466">
        <v>6379.56</v>
      </c>
      <c r="J4466">
        <v>3.1</v>
      </c>
      <c r="K4466">
        <v>11.65</v>
      </c>
      <c r="L4466">
        <v>19.350000000000001</v>
      </c>
      <c r="M4466">
        <v>7.67</v>
      </c>
      <c r="N4466">
        <v>5547.66</v>
      </c>
    </row>
    <row r="4467" spans="1:14" x14ac:dyDescent="0.2">
      <c r="A4467" s="1">
        <v>45846</v>
      </c>
      <c r="B4467" s="2" t="s">
        <v>17</v>
      </c>
      <c r="C4467" s="2" t="s">
        <v>35</v>
      </c>
      <c r="D4467" s="2" t="s">
        <v>22</v>
      </c>
      <c r="E4467">
        <v>11374</v>
      </c>
      <c r="F4467">
        <v>402</v>
      </c>
      <c r="G4467">
        <v>19</v>
      </c>
      <c r="H4467">
        <v>512.74</v>
      </c>
      <c r="I4467">
        <v>1909.27</v>
      </c>
      <c r="J4467">
        <v>3.53</v>
      </c>
      <c r="K4467">
        <v>4.7300000000000004</v>
      </c>
      <c r="L4467">
        <v>26.99</v>
      </c>
      <c r="M4467">
        <v>3.72</v>
      </c>
      <c r="N4467">
        <v>1396.53</v>
      </c>
    </row>
    <row r="4468" spans="1:14" x14ac:dyDescent="0.2">
      <c r="A4468" s="1">
        <v>45846</v>
      </c>
      <c r="B4468" s="2" t="s">
        <v>20</v>
      </c>
      <c r="C4468" s="2" t="s">
        <v>28</v>
      </c>
      <c r="D4468" s="2" t="s">
        <v>19</v>
      </c>
      <c r="E4468">
        <v>10925</v>
      </c>
      <c r="F4468">
        <v>420</v>
      </c>
      <c r="G4468">
        <v>17</v>
      </c>
      <c r="H4468">
        <v>733.35</v>
      </c>
      <c r="I4468">
        <v>1675.91</v>
      </c>
      <c r="J4468">
        <v>3.84</v>
      </c>
      <c r="K4468">
        <v>4.05</v>
      </c>
      <c r="L4468">
        <v>43.14</v>
      </c>
      <c r="M4468">
        <v>2.29</v>
      </c>
      <c r="N4468">
        <v>942.56</v>
      </c>
    </row>
    <row r="4469" spans="1:14" x14ac:dyDescent="0.2">
      <c r="A4469" s="1">
        <v>45846</v>
      </c>
      <c r="B4469" s="2" t="s">
        <v>23</v>
      </c>
      <c r="C4469" s="2" t="s">
        <v>32</v>
      </c>
      <c r="D4469" s="2" t="s">
        <v>25</v>
      </c>
      <c r="E4469">
        <v>2563</v>
      </c>
      <c r="F4469">
        <v>58</v>
      </c>
      <c r="G4469">
        <v>8</v>
      </c>
      <c r="H4469">
        <v>1438.09</v>
      </c>
      <c r="I4469">
        <v>2604.88</v>
      </c>
      <c r="J4469">
        <v>2.2599999999999998</v>
      </c>
      <c r="K4469">
        <v>13.79</v>
      </c>
      <c r="L4469">
        <v>179.76</v>
      </c>
      <c r="M4469">
        <v>1.81</v>
      </c>
      <c r="N4469">
        <v>1166.79</v>
      </c>
    </row>
    <row r="4470" spans="1:14" x14ac:dyDescent="0.2">
      <c r="A4470" s="1">
        <v>45846</v>
      </c>
      <c r="B4470" s="2" t="s">
        <v>24</v>
      </c>
      <c r="C4470" s="2" t="s">
        <v>15</v>
      </c>
      <c r="D4470" s="2" t="s">
        <v>16</v>
      </c>
      <c r="E4470">
        <v>19685</v>
      </c>
      <c r="F4470">
        <v>4170</v>
      </c>
      <c r="G4470">
        <v>561</v>
      </c>
      <c r="H4470">
        <v>121.18</v>
      </c>
      <c r="I4470">
        <v>72885.08</v>
      </c>
      <c r="J4470">
        <v>21.18</v>
      </c>
      <c r="K4470">
        <v>13.45</v>
      </c>
      <c r="L4470">
        <v>0.22</v>
      </c>
      <c r="M4470">
        <v>601.46</v>
      </c>
      <c r="N4470">
        <v>72763.899999999994</v>
      </c>
    </row>
    <row r="4471" spans="1:14" x14ac:dyDescent="0.2">
      <c r="A4471" s="1">
        <v>45846</v>
      </c>
      <c r="B4471" s="2" t="s">
        <v>26</v>
      </c>
      <c r="C4471" s="2" t="s">
        <v>18</v>
      </c>
      <c r="D4471" s="2" t="s">
        <v>19</v>
      </c>
      <c r="E4471">
        <v>29727</v>
      </c>
      <c r="F4471">
        <v>1207</v>
      </c>
      <c r="G4471">
        <v>179</v>
      </c>
      <c r="H4471">
        <v>0</v>
      </c>
      <c r="I4471">
        <v>19775.37</v>
      </c>
      <c r="J4471">
        <v>4.0599999999999996</v>
      </c>
      <c r="K4471">
        <v>14.83</v>
      </c>
      <c r="L4471">
        <v>0</v>
      </c>
      <c r="M4471">
        <v>0</v>
      </c>
      <c r="N4471">
        <v>19775.37</v>
      </c>
    </row>
    <row r="4472" spans="1:14" x14ac:dyDescent="0.2">
      <c r="A4472" s="1">
        <v>45846</v>
      </c>
      <c r="B4472" s="2" t="s">
        <v>27</v>
      </c>
      <c r="C4472" s="2" t="s">
        <v>32</v>
      </c>
      <c r="D4472" s="2" t="s">
        <v>25</v>
      </c>
      <c r="E4472">
        <v>24752</v>
      </c>
      <c r="F4472">
        <v>279</v>
      </c>
      <c r="G4472">
        <v>11</v>
      </c>
      <c r="H4472">
        <v>806.58</v>
      </c>
      <c r="I4472">
        <v>1389.03</v>
      </c>
      <c r="J4472">
        <v>1.1299999999999999</v>
      </c>
      <c r="K4472">
        <v>3.94</v>
      </c>
      <c r="L4472">
        <v>73.33</v>
      </c>
      <c r="M4472">
        <v>1.72</v>
      </c>
      <c r="N4472">
        <v>582.45000000000005</v>
      </c>
    </row>
    <row r="4473" spans="1:14" x14ac:dyDescent="0.2">
      <c r="A4473" s="1">
        <v>45846</v>
      </c>
      <c r="B4473" s="2" t="s">
        <v>29</v>
      </c>
      <c r="C4473" s="2" t="s">
        <v>28</v>
      </c>
      <c r="D4473" s="2" t="s">
        <v>19</v>
      </c>
      <c r="E4473">
        <v>16269</v>
      </c>
      <c r="F4473">
        <v>368</v>
      </c>
      <c r="G4473">
        <v>20</v>
      </c>
      <c r="H4473">
        <v>989.83</v>
      </c>
      <c r="I4473">
        <v>2292.33</v>
      </c>
      <c r="J4473">
        <v>2.2599999999999998</v>
      </c>
      <c r="K4473">
        <v>5.43</v>
      </c>
      <c r="L4473">
        <v>49.49</v>
      </c>
      <c r="M4473">
        <v>2.3199999999999998</v>
      </c>
      <c r="N4473">
        <v>1302.5</v>
      </c>
    </row>
    <row r="4474" spans="1:14" x14ac:dyDescent="0.2">
      <c r="A4474" s="1">
        <v>45846</v>
      </c>
      <c r="B4474" s="2" t="s">
        <v>30</v>
      </c>
      <c r="C4474" s="2" t="s">
        <v>28</v>
      </c>
      <c r="D4474" s="2" t="s">
        <v>19</v>
      </c>
      <c r="E4474">
        <v>8673</v>
      </c>
      <c r="F4474">
        <v>220</v>
      </c>
      <c r="G4474">
        <v>6</v>
      </c>
      <c r="H4474">
        <v>515.88</v>
      </c>
      <c r="I4474">
        <v>469.73</v>
      </c>
      <c r="J4474">
        <v>2.54</v>
      </c>
      <c r="K4474">
        <v>2.73</v>
      </c>
      <c r="L4474">
        <v>85.98</v>
      </c>
      <c r="M4474">
        <v>0.91</v>
      </c>
      <c r="N4474">
        <v>-46.15</v>
      </c>
    </row>
    <row r="4475" spans="1:14" x14ac:dyDescent="0.2">
      <c r="A4475" s="1">
        <v>45846</v>
      </c>
      <c r="B4475" s="2" t="s">
        <v>31</v>
      </c>
      <c r="C4475" s="2" t="s">
        <v>21</v>
      </c>
      <c r="D4475" s="2" t="s">
        <v>25</v>
      </c>
      <c r="E4475">
        <v>20572</v>
      </c>
      <c r="F4475">
        <v>850</v>
      </c>
      <c r="G4475">
        <v>30</v>
      </c>
      <c r="H4475">
        <v>680.82</v>
      </c>
      <c r="I4475">
        <v>2292.14</v>
      </c>
      <c r="J4475">
        <v>4.13</v>
      </c>
      <c r="K4475">
        <v>3.53</v>
      </c>
      <c r="L4475">
        <v>22.69</v>
      </c>
      <c r="M4475">
        <v>3.37</v>
      </c>
      <c r="N4475">
        <v>1611.32</v>
      </c>
    </row>
    <row r="4476" spans="1:14" x14ac:dyDescent="0.2">
      <c r="A4476" s="1">
        <v>45846</v>
      </c>
      <c r="B4476" s="2" t="s">
        <v>33</v>
      </c>
      <c r="C4476" s="2" t="s">
        <v>18</v>
      </c>
      <c r="D4476" s="2" t="s">
        <v>25</v>
      </c>
      <c r="E4476">
        <v>7781</v>
      </c>
      <c r="F4476">
        <v>374</v>
      </c>
      <c r="G4476">
        <v>45</v>
      </c>
      <c r="H4476">
        <v>450.4</v>
      </c>
      <c r="I4476">
        <v>6453.79</v>
      </c>
      <c r="J4476">
        <v>4.8099999999999996</v>
      </c>
      <c r="K4476">
        <v>12.03</v>
      </c>
      <c r="L4476">
        <v>10.01</v>
      </c>
      <c r="M4476">
        <v>14.33</v>
      </c>
      <c r="N4476">
        <v>6003.39</v>
      </c>
    </row>
    <row r="4477" spans="1:14" x14ac:dyDescent="0.2">
      <c r="A4477" s="1">
        <v>45846</v>
      </c>
      <c r="B4477" s="2" t="s">
        <v>34</v>
      </c>
      <c r="C4477" s="2" t="s">
        <v>21</v>
      </c>
      <c r="D4477" s="2" t="s">
        <v>19</v>
      </c>
      <c r="E4477">
        <v>5598</v>
      </c>
      <c r="F4477">
        <v>316</v>
      </c>
      <c r="G4477">
        <v>38</v>
      </c>
      <c r="H4477">
        <v>135.74</v>
      </c>
      <c r="I4477">
        <v>5496.78</v>
      </c>
      <c r="J4477">
        <v>5.64</v>
      </c>
      <c r="K4477">
        <v>12.03</v>
      </c>
      <c r="L4477">
        <v>3.57</v>
      </c>
      <c r="M4477">
        <v>40.49</v>
      </c>
      <c r="N4477">
        <v>5361.04</v>
      </c>
    </row>
    <row r="4478" spans="1:14" x14ac:dyDescent="0.2">
      <c r="A4478" s="1">
        <v>45847</v>
      </c>
      <c r="B4478" s="2" t="s">
        <v>14</v>
      </c>
      <c r="C4478" s="2" t="s">
        <v>21</v>
      </c>
      <c r="D4478" s="2" t="s">
        <v>25</v>
      </c>
      <c r="E4478">
        <v>10087</v>
      </c>
      <c r="F4478">
        <v>373</v>
      </c>
      <c r="G4478">
        <v>31</v>
      </c>
      <c r="H4478">
        <v>1082.05</v>
      </c>
      <c r="I4478">
        <v>6036.45</v>
      </c>
      <c r="J4478">
        <v>3.7</v>
      </c>
      <c r="K4478">
        <v>8.31</v>
      </c>
      <c r="L4478">
        <v>34.9</v>
      </c>
      <c r="M4478">
        <v>5.58</v>
      </c>
      <c r="N4478">
        <v>4954.3999999999996</v>
      </c>
    </row>
    <row r="4479" spans="1:14" x14ac:dyDescent="0.2">
      <c r="A4479" s="1">
        <v>45847</v>
      </c>
      <c r="B4479" s="2" t="s">
        <v>17</v>
      </c>
      <c r="C4479" s="2" t="s">
        <v>28</v>
      </c>
      <c r="D4479" s="2" t="s">
        <v>19</v>
      </c>
      <c r="E4479">
        <v>10757</v>
      </c>
      <c r="F4479">
        <v>365</v>
      </c>
      <c r="G4479">
        <v>21</v>
      </c>
      <c r="H4479">
        <v>660.88</v>
      </c>
      <c r="I4479">
        <v>3217.46</v>
      </c>
      <c r="J4479">
        <v>3.39</v>
      </c>
      <c r="K4479">
        <v>5.75</v>
      </c>
      <c r="L4479">
        <v>31.47</v>
      </c>
      <c r="M4479">
        <v>4.87</v>
      </c>
      <c r="N4479">
        <v>2556.58</v>
      </c>
    </row>
    <row r="4480" spans="1:14" x14ac:dyDescent="0.2">
      <c r="A4480" s="1">
        <v>45847</v>
      </c>
      <c r="B4480" s="2" t="s">
        <v>20</v>
      </c>
      <c r="C4480" s="2" t="s">
        <v>28</v>
      </c>
      <c r="D4480" s="2" t="s">
        <v>22</v>
      </c>
      <c r="E4480">
        <v>11073</v>
      </c>
      <c r="F4480">
        <v>342</v>
      </c>
      <c r="G4480">
        <v>18</v>
      </c>
      <c r="H4480">
        <v>503.13</v>
      </c>
      <c r="I4480">
        <v>1394.36</v>
      </c>
      <c r="J4480">
        <v>3.09</v>
      </c>
      <c r="K4480">
        <v>5.26</v>
      </c>
      <c r="L4480">
        <v>27.95</v>
      </c>
      <c r="M4480">
        <v>2.77</v>
      </c>
      <c r="N4480">
        <v>891.23</v>
      </c>
    </row>
    <row r="4481" spans="1:14" x14ac:dyDescent="0.2">
      <c r="A4481" s="1">
        <v>45847</v>
      </c>
      <c r="B4481" s="2" t="s">
        <v>23</v>
      </c>
      <c r="C4481" s="2" t="s">
        <v>18</v>
      </c>
      <c r="D4481" s="2" t="s">
        <v>19</v>
      </c>
      <c r="E4481">
        <v>2825</v>
      </c>
      <c r="F4481">
        <v>74</v>
      </c>
      <c r="G4481">
        <v>10</v>
      </c>
      <c r="H4481">
        <v>1349.24</v>
      </c>
      <c r="I4481">
        <v>3367.16</v>
      </c>
      <c r="J4481">
        <v>2.62</v>
      </c>
      <c r="K4481">
        <v>13.51</v>
      </c>
      <c r="L4481">
        <v>134.91999999999999</v>
      </c>
      <c r="M4481">
        <v>2.5</v>
      </c>
      <c r="N4481">
        <v>2017.92</v>
      </c>
    </row>
    <row r="4482" spans="1:14" x14ac:dyDescent="0.2">
      <c r="A4482" s="1">
        <v>45847</v>
      </c>
      <c r="B4482" s="2" t="s">
        <v>24</v>
      </c>
      <c r="C4482" s="2" t="s">
        <v>15</v>
      </c>
      <c r="D4482" s="2" t="s">
        <v>25</v>
      </c>
      <c r="E4482">
        <v>14825</v>
      </c>
      <c r="F4482">
        <v>2296</v>
      </c>
      <c r="G4482">
        <v>213</v>
      </c>
      <c r="H4482">
        <v>143.31</v>
      </c>
      <c r="I4482">
        <v>36436.25</v>
      </c>
      <c r="J4482">
        <v>15.49</v>
      </c>
      <c r="K4482">
        <v>9.2799999999999994</v>
      </c>
      <c r="L4482">
        <v>0.67</v>
      </c>
      <c r="M4482">
        <v>254.25</v>
      </c>
      <c r="N4482">
        <v>36292.94</v>
      </c>
    </row>
    <row r="4483" spans="1:14" x14ac:dyDescent="0.2">
      <c r="A4483" s="1">
        <v>45847</v>
      </c>
      <c r="B4483" s="2" t="s">
        <v>26</v>
      </c>
      <c r="C4483" s="2" t="s">
        <v>28</v>
      </c>
      <c r="D4483" s="2" t="s">
        <v>22</v>
      </c>
      <c r="E4483">
        <v>18549</v>
      </c>
      <c r="F4483">
        <v>1315</v>
      </c>
      <c r="G4483">
        <v>164</v>
      </c>
      <c r="H4483">
        <v>0</v>
      </c>
      <c r="I4483">
        <v>20776.52</v>
      </c>
      <c r="J4483">
        <v>7.09</v>
      </c>
      <c r="K4483">
        <v>12.47</v>
      </c>
      <c r="L4483">
        <v>0</v>
      </c>
      <c r="M4483">
        <v>0</v>
      </c>
      <c r="N4483">
        <v>20776.52</v>
      </c>
    </row>
    <row r="4484" spans="1:14" x14ac:dyDescent="0.2">
      <c r="A4484" s="1">
        <v>45847</v>
      </c>
      <c r="B4484" s="2" t="s">
        <v>27</v>
      </c>
      <c r="C4484" s="2" t="s">
        <v>35</v>
      </c>
      <c r="D4484" s="2" t="s">
        <v>16</v>
      </c>
      <c r="E4484">
        <v>21268</v>
      </c>
      <c r="F4484">
        <v>310</v>
      </c>
      <c r="G4484">
        <v>9</v>
      </c>
      <c r="H4484">
        <v>646.54</v>
      </c>
      <c r="I4484">
        <v>999.09</v>
      </c>
      <c r="J4484">
        <v>1.46</v>
      </c>
      <c r="K4484">
        <v>2.9</v>
      </c>
      <c r="L4484">
        <v>71.84</v>
      </c>
      <c r="M4484">
        <v>1.55</v>
      </c>
      <c r="N4484">
        <v>352.55</v>
      </c>
    </row>
    <row r="4485" spans="1:14" x14ac:dyDescent="0.2">
      <c r="A4485" s="1">
        <v>45847</v>
      </c>
      <c r="B4485" s="2" t="s">
        <v>29</v>
      </c>
      <c r="C4485" s="2" t="s">
        <v>35</v>
      </c>
      <c r="D4485" s="2" t="s">
        <v>16</v>
      </c>
      <c r="E4485">
        <v>12999</v>
      </c>
      <c r="F4485">
        <v>357</v>
      </c>
      <c r="G4485">
        <v>21</v>
      </c>
      <c r="H4485">
        <v>1099.32</v>
      </c>
      <c r="I4485">
        <v>2534.0100000000002</v>
      </c>
      <c r="J4485">
        <v>2.75</v>
      </c>
      <c r="K4485">
        <v>5.88</v>
      </c>
      <c r="L4485">
        <v>52.35</v>
      </c>
      <c r="M4485">
        <v>2.31</v>
      </c>
      <c r="N4485">
        <v>1434.69</v>
      </c>
    </row>
    <row r="4486" spans="1:14" x14ac:dyDescent="0.2">
      <c r="A4486" s="1">
        <v>45847</v>
      </c>
      <c r="B4486" s="2" t="s">
        <v>30</v>
      </c>
      <c r="C4486" s="2" t="s">
        <v>21</v>
      </c>
      <c r="D4486" s="2" t="s">
        <v>36</v>
      </c>
      <c r="E4486">
        <v>8135</v>
      </c>
      <c r="F4486">
        <v>224</v>
      </c>
      <c r="G4486">
        <v>10</v>
      </c>
      <c r="H4486">
        <v>530.32000000000005</v>
      </c>
      <c r="I4486">
        <v>730.34</v>
      </c>
      <c r="J4486">
        <v>2.75</v>
      </c>
      <c r="K4486">
        <v>4.46</v>
      </c>
      <c r="L4486">
        <v>53.03</v>
      </c>
      <c r="M4486">
        <v>1.38</v>
      </c>
      <c r="N4486">
        <v>200.02</v>
      </c>
    </row>
    <row r="4487" spans="1:14" x14ac:dyDescent="0.2">
      <c r="A4487" s="1">
        <v>45847</v>
      </c>
      <c r="B4487" s="2" t="s">
        <v>31</v>
      </c>
      <c r="C4487" s="2" t="s">
        <v>35</v>
      </c>
      <c r="D4487" s="2" t="s">
        <v>19</v>
      </c>
      <c r="E4487">
        <v>17024</v>
      </c>
      <c r="F4487">
        <v>623</v>
      </c>
      <c r="G4487">
        <v>19</v>
      </c>
      <c r="H4487">
        <v>681.17</v>
      </c>
      <c r="I4487">
        <v>1640.78</v>
      </c>
      <c r="J4487">
        <v>3.66</v>
      </c>
      <c r="K4487">
        <v>3.05</v>
      </c>
      <c r="L4487">
        <v>35.85</v>
      </c>
      <c r="M4487">
        <v>2.41</v>
      </c>
      <c r="N4487">
        <v>959.61</v>
      </c>
    </row>
    <row r="4488" spans="1:14" x14ac:dyDescent="0.2">
      <c r="A4488" s="1">
        <v>45847</v>
      </c>
      <c r="B4488" s="2" t="s">
        <v>33</v>
      </c>
      <c r="C4488" s="2" t="s">
        <v>28</v>
      </c>
      <c r="D4488" s="2" t="s">
        <v>19</v>
      </c>
      <c r="E4488">
        <v>7850</v>
      </c>
      <c r="F4488">
        <v>338</v>
      </c>
      <c r="G4488">
        <v>32</v>
      </c>
      <c r="H4488">
        <v>546.20000000000005</v>
      </c>
      <c r="I4488">
        <v>3972.48</v>
      </c>
      <c r="J4488">
        <v>4.3099999999999996</v>
      </c>
      <c r="K4488">
        <v>9.4700000000000006</v>
      </c>
      <c r="L4488">
        <v>17.07</v>
      </c>
      <c r="M4488">
        <v>7.27</v>
      </c>
      <c r="N4488">
        <v>3426.28</v>
      </c>
    </row>
    <row r="4489" spans="1:14" x14ac:dyDescent="0.2">
      <c r="A4489" s="1">
        <v>45847</v>
      </c>
      <c r="B4489" s="2" t="s">
        <v>34</v>
      </c>
      <c r="C4489" s="2" t="s">
        <v>35</v>
      </c>
      <c r="D4489" s="2" t="s">
        <v>25</v>
      </c>
      <c r="E4489">
        <v>3486</v>
      </c>
      <c r="F4489">
        <v>175</v>
      </c>
      <c r="G4489">
        <v>27</v>
      </c>
      <c r="H4489">
        <v>165.89</v>
      </c>
      <c r="I4489">
        <v>3935.83</v>
      </c>
      <c r="J4489">
        <v>5.0199999999999996</v>
      </c>
      <c r="K4489">
        <v>15.43</v>
      </c>
      <c r="L4489">
        <v>6.14</v>
      </c>
      <c r="M4489">
        <v>23.73</v>
      </c>
      <c r="N4489">
        <v>3769.94</v>
      </c>
    </row>
    <row r="4490" spans="1:14" x14ac:dyDescent="0.2">
      <c r="A4490" s="1">
        <v>45848</v>
      </c>
      <c r="B4490" s="2" t="s">
        <v>14</v>
      </c>
      <c r="C4490" s="2" t="s">
        <v>35</v>
      </c>
      <c r="D4490" s="2" t="s">
        <v>25</v>
      </c>
      <c r="E4490">
        <v>9231</v>
      </c>
      <c r="F4490">
        <v>294</v>
      </c>
      <c r="G4490">
        <v>31</v>
      </c>
      <c r="H4490">
        <v>1132.68</v>
      </c>
      <c r="I4490">
        <v>4402.12</v>
      </c>
      <c r="J4490">
        <v>3.18</v>
      </c>
      <c r="K4490">
        <v>10.54</v>
      </c>
      <c r="L4490">
        <v>36.54</v>
      </c>
      <c r="M4490">
        <v>3.89</v>
      </c>
      <c r="N4490">
        <v>3269.44</v>
      </c>
    </row>
    <row r="4491" spans="1:14" x14ac:dyDescent="0.2">
      <c r="A4491" s="1">
        <v>45848</v>
      </c>
      <c r="B4491" s="2" t="s">
        <v>17</v>
      </c>
      <c r="C4491" s="2" t="s">
        <v>35</v>
      </c>
      <c r="D4491" s="2" t="s">
        <v>36</v>
      </c>
      <c r="E4491">
        <v>13034</v>
      </c>
      <c r="F4491">
        <v>326</v>
      </c>
      <c r="G4491">
        <v>26</v>
      </c>
      <c r="H4491">
        <v>555.16999999999996</v>
      </c>
      <c r="I4491">
        <v>3477.12</v>
      </c>
      <c r="J4491">
        <v>2.5</v>
      </c>
      <c r="K4491">
        <v>7.98</v>
      </c>
      <c r="L4491">
        <v>21.35</v>
      </c>
      <c r="M4491">
        <v>6.26</v>
      </c>
      <c r="N4491">
        <v>2921.95</v>
      </c>
    </row>
    <row r="4492" spans="1:14" x14ac:dyDescent="0.2">
      <c r="A4492" s="1">
        <v>45848</v>
      </c>
      <c r="B4492" s="2" t="s">
        <v>20</v>
      </c>
      <c r="C4492" s="2" t="s">
        <v>21</v>
      </c>
      <c r="D4492" s="2" t="s">
        <v>19</v>
      </c>
      <c r="E4492">
        <v>14480</v>
      </c>
      <c r="F4492">
        <v>398</v>
      </c>
      <c r="G4492">
        <v>19</v>
      </c>
      <c r="H4492">
        <v>586.74</v>
      </c>
      <c r="I4492">
        <v>1766.42</v>
      </c>
      <c r="J4492">
        <v>2.75</v>
      </c>
      <c r="K4492">
        <v>4.7699999999999996</v>
      </c>
      <c r="L4492">
        <v>30.88</v>
      </c>
      <c r="M4492">
        <v>3.01</v>
      </c>
      <c r="N4492">
        <v>1179.68</v>
      </c>
    </row>
    <row r="4493" spans="1:14" x14ac:dyDescent="0.2">
      <c r="A4493" s="1">
        <v>45848</v>
      </c>
      <c r="B4493" s="2" t="s">
        <v>23</v>
      </c>
      <c r="C4493" s="2" t="s">
        <v>15</v>
      </c>
      <c r="D4493" s="2" t="s">
        <v>36</v>
      </c>
      <c r="E4493">
        <v>4744</v>
      </c>
      <c r="F4493">
        <v>108</v>
      </c>
      <c r="G4493">
        <v>15</v>
      </c>
      <c r="H4493">
        <v>1157.49</v>
      </c>
      <c r="I4493">
        <v>3463.69</v>
      </c>
      <c r="J4493">
        <v>2.2799999999999998</v>
      </c>
      <c r="K4493">
        <v>13.89</v>
      </c>
      <c r="L4493">
        <v>77.17</v>
      </c>
      <c r="M4493">
        <v>2.99</v>
      </c>
      <c r="N4493">
        <v>2306.1999999999998</v>
      </c>
    </row>
    <row r="4494" spans="1:14" x14ac:dyDescent="0.2">
      <c r="A4494" s="1">
        <v>45848</v>
      </c>
      <c r="B4494" s="2" t="s">
        <v>24</v>
      </c>
      <c r="C4494" s="2" t="s">
        <v>21</v>
      </c>
      <c r="D4494" s="2" t="s">
        <v>25</v>
      </c>
      <c r="E4494">
        <v>16463</v>
      </c>
      <c r="F4494">
        <v>3184</v>
      </c>
      <c r="G4494">
        <v>338</v>
      </c>
      <c r="H4494">
        <v>125.2</v>
      </c>
      <c r="I4494">
        <v>49253.05</v>
      </c>
      <c r="J4494">
        <v>19.34</v>
      </c>
      <c r="K4494">
        <v>10.62</v>
      </c>
      <c r="L4494">
        <v>0.37</v>
      </c>
      <c r="M4494">
        <v>393.39</v>
      </c>
      <c r="N4494">
        <v>49127.85</v>
      </c>
    </row>
    <row r="4495" spans="1:14" x14ac:dyDescent="0.2">
      <c r="A4495" s="1">
        <v>45848</v>
      </c>
      <c r="B4495" s="2" t="s">
        <v>26</v>
      </c>
      <c r="C4495" s="2" t="s">
        <v>15</v>
      </c>
      <c r="D4495" s="2" t="s">
        <v>36</v>
      </c>
      <c r="E4495">
        <v>25186</v>
      </c>
      <c r="F4495">
        <v>1331</v>
      </c>
      <c r="G4495">
        <v>141</v>
      </c>
      <c r="H4495">
        <v>0</v>
      </c>
      <c r="I4495">
        <v>17496.759999999998</v>
      </c>
      <c r="J4495">
        <v>5.28</v>
      </c>
      <c r="K4495">
        <v>10.59</v>
      </c>
      <c r="L4495">
        <v>0</v>
      </c>
      <c r="M4495">
        <v>0</v>
      </c>
      <c r="N4495">
        <v>17496.759999999998</v>
      </c>
    </row>
    <row r="4496" spans="1:14" x14ac:dyDescent="0.2">
      <c r="A4496" s="1">
        <v>45848</v>
      </c>
      <c r="B4496" s="2" t="s">
        <v>27</v>
      </c>
      <c r="C4496" s="2" t="s">
        <v>18</v>
      </c>
      <c r="D4496" s="2" t="s">
        <v>22</v>
      </c>
      <c r="E4496">
        <v>32611</v>
      </c>
      <c r="F4496">
        <v>400</v>
      </c>
      <c r="G4496">
        <v>11</v>
      </c>
      <c r="H4496">
        <v>881.21</v>
      </c>
      <c r="I4496">
        <v>1320.18</v>
      </c>
      <c r="J4496">
        <v>1.23</v>
      </c>
      <c r="K4496">
        <v>2.75</v>
      </c>
      <c r="L4496">
        <v>80.11</v>
      </c>
      <c r="M4496">
        <v>1.5</v>
      </c>
      <c r="N4496">
        <v>438.97</v>
      </c>
    </row>
    <row r="4497" spans="1:14" x14ac:dyDescent="0.2">
      <c r="A4497" s="1">
        <v>45848</v>
      </c>
      <c r="B4497" s="2" t="s">
        <v>29</v>
      </c>
      <c r="C4497" s="2" t="s">
        <v>21</v>
      </c>
      <c r="D4497" s="2" t="s">
        <v>16</v>
      </c>
      <c r="E4497">
        <v>19833</v>
      </c>
      <c r="F4497">
        <v>354</v>
      </c>
      <c r="G4497">
        <v>25</v>
      </c>
      <c r="H4497">
        <v>1038.68</v>
      </c>
      <c r="I4497">
        <v>3352.96</v>
      </c>
      <c r="J4497">
        <v>1.78</v>
      </c>
      <c r="K4497">
        <v>7.06</v>
      </c>
      <c r="L4497">
        <v>41.55</v>
      </c>
      <c r="M4497">
        <v>3.23</v>
      </c>
      <c r="N4497">
        <v>2314.2800000000002</v>
      </c>
    </row>
    <row r="4498" spans="1:14" x14ac:dyDescent="0.2">
      <c r="A4498" s="1">
        <v>45848</v>
      </c>
      <c r="B4498" s="2" t="s">
        <v>30</v>
      </c>
      <c r="C4498" s="2" t="s">
        <v>21</v>
      </c>
      <c r="D4498" s="2" t="s">
        <v>22</v>
      </c>
      <c r="E4498">
        <v>9011</v>
      </c>
      <c r="F4498">
        <v>294</v>
      </c>
      <c r="G4498">
        <v>11</v>
      </c>
      <c r="H4498">
        <v>527.28</v>
      </c>
      <c r="I4498">
        <v>1323.59</v>
      </c>
      <c r="J4498">
        <v>3.26</v>
      </c>
      <c r="K4498">
        <v>3.74</v>
      </c>
      <c r="L4498">
        <v>47.93</v>
      </c>
      <c r="M4498">
        <v>2.5099999999999998</v>
      </c>
      <c r="N4498">
        <v>796.31</v>
      </c>
    </row>
    <row r="4499" spans="1:14" x14ac:dyDescent="0.2">
      <c r="A4499" s="1">
        <v>45848</v>
      </c>
      <c r="B4499" s="2" t="s">
        <v>31</v>
      </c>
      <c r="C4499" s="2" t="s">
        <v>18</v>
      </c>
      <c r="D4499" s="2" t="s">
        <v>36</v>
      </c>
      <c r="E4499">
        <v>19343</v>
      </c>
      <c r="F4499">
        <v>864</v>
      </c>
      <c r="G4499">
        <v>27</v>
      </c>
      <c r="H4499">
        <v>622.42999999999995</v>
      </c>
      <c r="I4499">
        <v>2288.2600000000002</v>
      </c>
      <c r="J4499">
        <v>4.47</v>
      </c>
      <c r="K4499">
        <v>3.12</v>
      </c>
      <c r="L4499">
        <v>23.05</v>
      </c>
      <c r="M4499">
        <v>3.68</v>
      </c>
      <c r="N4499">
        <v>1665.83</v>
      </c>
    </row>
    <row r="4500" spans="1:14" x14ac:dyDescent="0.2">
      <c r="A4500" s="1">
        <v>45848</v>
      </c>
      <c r="B4500" s="2" t="s">
        <v>33</v>
      </c>
      <c r="C4500" s="2" t="s">
        <v>35</v>
      </c>
      <c r="D4500" s="2" t="s">
        <v>22</v>
      </c>
      <c r="E4500">
        <v>6933</v>
      </c>
      <c r="F4500">
        <v>427</v>
      </c>
      <c r="G4500">
        <v>54</v>
      </c>
      <c r="H4500">
        <v>256.3</v>
      </c>
      <c r="I4500">
        <v>6896.49</v>
      </c>
      <c r="J4500">
        <v>6.16</v>
      </c>
      <c r="K4500">
        <v>12.65</v>
      </c>
      <c r="L4500">
        <v>4.75</v>
      </c>
      <c r="M4500">
        <v>26.91</v>
      </c>
      <c r="N4500">
        <v>6640.19</v>
      </c>
    </row>
    <row r="4501" spans="1:14" x14ac:dyDescent="0.2">
      <c r="A4501" s="1">
        <v>45848</v>
      </c>
      <c r="B4501" s="2" t="s">
        <v>34</v>
      </c>
      <c r="C4501" s="2" t="s">
        <v>15</v>
      </c>
      <c r="D4501" s="2" t="s">
        <v>36</v>
      </c>
      <c r="E4501">
        <v>2664</v>
      </c>
      <c r="F4501">
        <v>250</v>
      </c>
      <c r="G4501">
        <v>39</v>
      </c>
      <c r="H4501">
        <v>127.09</v>
      </c>
      <c r="I4501">
        <v>5943.72</v>
      </c>
      <c r="J4501">
        <v>9.3800000000000008</v>
      </c>
      <c r="K4501">
        <v>15.6</v>
      </c>
      <c r="L4501">
        <v>3.26</v>
      </c>
      <c r="M4501">
        <v>46.77</v>
      </c>
      <c r="N4501">
        <v>5816.63</v>
      </c>
    </row>
    <row r="4502" spans="1:14" x14ac:dyDescent="0.2">
      <c r="A4502" s="1">
        <v>45849</v>
      </c>
      <c r="B4502" s="2" t="s">
        <v>14</v>
      </c>
      <c r="C4502" s="2" t="s">
        <v>28</v>
      </c>
      <c r="D4502" s="2" t="s">
        <v>16</v>
      </c>
      <c r="E4502">
        <v>12493</v>
      </c>
      <c r="F4502">
        <v>404</v>
      </c>
      <c r="G4502">
        <v>37</v>
      </c>
      <c r="H4502">
        <v>940.55</v>
      </c>
      <c r="I4502">
        <v>4868.01</v>
      </c>
      <c r="J4502">
        <v>3.23</v>
      </c>
      <c r="K4502">
        <v>9.16</v>
      </c>
      <c r="L4502">
        <v>25.42</v>
      </c>
      <c r="M4502">
        <v>5.18</v>
      </c>
      <c r="N4502">
        <v>3927.46</v>
      </c>
    </row>
    <row r="4503" spans="1:14" x14ac:dyDescent="0.2">
      <c r="A4503" s="1">
        <v>45849</v>
      </c>
      <c r="B4503" s="2" t="s">
        <v>17</v>
      </c>
      <c r="C4503" s="2" t="s">
        <v>28</v>
      </c>
      <c r="D4503" s="2" t="s">
        <v>16</v>
      </c>
      <c r="E4503">
        <v>15586</v>
      </c>
      <c r="F4503">
        <v>411</v>
      </c>
      <c r="G4503">
        <v>22</v>
      </c>
      <c r="H4503">
        <v>658.26</v>
      </c>
      <c r="I4503">
        <v>2883.42</v>
      </c>
      <c r="J4503">
        <v>2.64</v>
      </c>
      <c r="K4503">
        <v>5.35</v>
      </c>
      <c r="L4503">
        <v>29.92</v>
      </c>
      <c r="M4503">
        <v>4.38</v>
      </c>
      <c r="N4503">
        <v>2225.16</v>
      </c>
    </row>
    <row r="4504" spans="1:14" x14ac:dyDescent="0.2">
      <c r="A4504" s="1">
        <v>45849</v>
      </c>
      <c r="B4504" s="2" t="s">
        <v>20</v>
      </c>
      <c r="C4504" s="2" t="s">
        <v>28</v>
      </c>
      <c r="D4504" s="2" t="s">
        <v>19</v>
      </c>
      <c r="E4504">
        <v>8723</v>
      </c>
      <c r="F4504">
        <v>387</v>
      </c>
      <c r="G4504">
        <v>28</v>
      </c>
      <c r="H4504">
        <v>819.39</v>
      </c>
      <c r="I4504">
        <v>2810.93</v>
      </c>
      <c r="J4504">
        <v>4.4400000000000004</v>
      </c>
      <c r="K4504">
        <v>7.24</v>
      </c>
      <c r="L4504">
        <v>29.26</v>
      </c>
      <c r="M4504">
        <v>3.43</v>
      </c>
      <c r="N4504">
        <v>1991.54</v>
      </c>
    </row>
    <row r="4505" spans="1:14" x14ac:dyDescent="0.2">
      <c r="A4505" s="1">
        <v>45849</v>
      </c>
      <c r="B4505" s="2" t="s">
        <v>23</v>
      </c>
      <c r="C4505" s="2" t="s">
        <v>15</v>
      </c>
      <c r="D4505" s="2" t="s">
        <v>25</v>
      </c>
      <c r="E4505">
        <v>2750</v>
      </c>
      <c r="F4505">
        <v>81</v>
      </c>
      <c r="G4505">
        <v>8</v>
      </c>
      <c r="H4505">
        <v>1318.44</v>
      </c>
      <c r="I4505">
        <v>2403.6</v>
      </c>
      <c r="J4505">
        <v>2.95</v>
      </c>
      <c r="K4505">
        <v>9.8800000000000008</v>
      </c>
      <c r="L4505">
        <v>164.8</v>
      </c>
      <c r="M4505">
        <v>1.82</v>
      </c>
      <c r="N4505">
        <v>1085.1600000000001</v>
      </c>
    </row>
    <row r="4506" spans="1:14" x14ac:dyDescent="0.2">
      <c r="A4506" s="1">
        <v>45849</v>
      </c>
      <c r="B4506" s="2" t="s">
        <v>24</v>
      </c>
      <c r="C4506" s="2" t="s">
        <v>28</v>
      </c>
      <c r="D4506" s="2" t="s">
        <v>36</v>
      </c>
      <c r="E4506">
        <v>20341</v>
      </c>
      <c r="F4506">
        <v>3548</v>
      </c>
      <c r="G4506">
        <v>410</v>
      </c>
      <c r="H4506">
        <v>153.83000000000001</v>
      </c>
      <c r="I4506">
        <v>45199.44</v>
      </c>
      <c r="J4506">
        <v>17.440000000000001</v>
      </c>
      <c r="K4506">
        <v>11.56</v>
      </c>
      <c r="L4506">
        <v>0.38</v>
      </c>
      <c r="M4506">
        <v>293.83</v>
      </c>
      <c r="N4506">
        <v>45045.61</v>
      </c>
    </row>
    <row r="4507" spans="1:14" x14ac:dyDescent="0.2">
      <c r="A4507" s="1">
        <v>45849</v>
      </c>
      <c r="B4507" s="2" t="s">
        <v>26</v>
      </c>
      <c r="C4507" s="2" t="s">
        <v>28</v>
      </c>
      <c r="D4507" s="2" t="s">
        <v>16</v>
      </c>
      <c r="E4507">
        <v>23028</v>
      </c>
      <c r="F4507">
        <v>1103</v>
      </c>
      <c r="G4507">
        <v>124</v>
      </c>
      <c r="H4507">
        <v>0</v>
      </c>
      <c r="I4507">
        <v>17364.03</v>
      </c>
      <c r="J4507">
        <v>4.79</v>
      </c>
      <c r="K4507">
        <v>11.24</v>
      </c>
      <c r="L4507">
        <v>0</v>
      </c>
      <c r="M4507">
        <v>0</v>
      </c>
      <c r="N4507">
        <v>17364.03</v>
      </c>
    </row>
    <row r="4508" spans="1:14" x14ac:dyDescent="0.2">
      <c r="A4508" s="1">
        <v>45849</v>
      </c>
      <c r="B4508" s="2" t="s">
        <v>27</v>
      </c>
      <c r="C4508" s="2" t="s">
        <v>15</v>
      </c>
      <c r="D4508" s="2" t="s">
        <v>22</v>
      </c>
      <c r="E4508">
        <v>30935</v>
      </c>
      <c r="F4508">
        <v>419</v>
      </c>
      <c r="G4508">
        <v>18</v>
      </c>
      <c r="H4508">
        <v>890.9</v>
      </c>
      <c r="I4508">
        <v>2439.94</v>
      </c>
      <c r="J4508">
        <v>1.35</v>
      </c>
      <c r="K4508">
        <v>4.3</v>
      </c>
      <c r="L4508">
        <v>49.49</v>
      </c>
      <c r="M4508">
        <v>2.74</v>
      </c>
      <c r="N4508">
        <v>1549.04</v>
      </c>
    </row>
    <row r="4509" spans="1:14" x14ac:dyDescent="0.2">
      <c r="A4509" s="1">
        <v>45849</v>
      </c>
      <c r="B4509" s="2" t="s">
        <v>29</v>
      </c>
      <c r="C4509" s="2" t="s">
        <v>18</v>
      </c>
      <c r="D4509" s="2" t="s">
        <v>19</v>
      </c>
      <c r="E4509">
        <v>18518</v>
      </c>
      <c r="F4509">
        <v>374</v>
      </c>
      <c r="G4509">
        <v>22</v>
      </c>
      <c r="H4509">
        <v>704.59</v>
      </c>
      <c r="I4509">
        <v>2166.98</v>
      </c>
      <c r="J4509">
        <v>2.02</v>
      </c>
      <c r="K4509">
        <v>5.88</v>
      </c>
      <c r="L4509">
        <v>32.03</v>
      </c>
      <c r="M4509">
        <v>3.08</v>
      </c>
      <c r="N4509">
        <v>1462.39</v>
      </c>
    </row>
    <row r="4510" spans="1:14" x14ac:dyDescent="0.2">
      <c r="A4510" s="1">
        <v>45849</v>
      </c>
      <c r="B4510" s="2" t="s">
        <v>30</v>
      </c>
      <c r="C4510" s="2" t="s">
        <v>18</v>
      </c>
      <c r="D4510" s="2" t="s">
        <v>22</v>
      </c>
      <c r="E4510">
        <v>11785</v>
      </c>
      <c r="F4510">
        <v>369</v>
      </c>
      <c r="G4510">
        <v>15</v>
      </c>
      <c r="H4510">
        <v>480.5</v>
      </c>
      <c r="I4510">
        <v>1791.23</v>
      </c>
      <c r="J4510">
        <v>3.13</v>
      </c>
      <c r="K4510">
        <v>4.07</v>
      </c>
      <c r="L4510">
        <v>32.03</v>
      </c>
      <c r="M4510">
        <v>3.73</v>
      </c>
      <c r="N4510">
        <v>1310.73</v>
      </c>
    </row>
    <row r="4511" spans="1:14" x14ac:dyDescent="0.2">
      <c r="A4511" s="1">
        <v>45849</v>
      </c>
      <c r="B4511" s="2" t="s">
        <v>31</v>
      </c>
      <c r="C4511" s="2" t="s">
        <v>35</v>
      </c>
      <c r="D4511" s="2" t="s">
        <v>22</v>
      </c>
      <c r="E4511">
        <v>22809</v>
      </c>
      <c r="F4511">
        <v>762</v>
      </c>
      <c r="G4511">
        <v>49</v>
      </c>
      <c r="H4511">
        <v>871.56</v>
      </c>
      <c r="I4511">
        <v>3772.82</v>
      </c>
      <c r="J4511">
        <v>3.34</v>
      </c>
      <c r="K4511">
        <v>6.43</v>
      </c>
      <c r="L4511">
        <v>17.79</v>
      </c>
      <c r="M4511">
        <v>4.33</v>
      </c>
      <c r="N4511">
        <v>2901.26</v>
      </c>
    </row>
    <row r="4512" spans="1:14" x14ac:dyDescent="0.2">
      <c r="A4512" s="1">
        <v>45849</v>
      </c>
      <c r="B4512" s="2" t="s">
        <v>33</v>
      </c>
      <c r="C4512" s="2" t="s">
        <v>21</v>
      </c>
      <c r="D4512" s="2" t="s">
        <v>25</v>
      </c>
      <c r="E4512">
        <v>7094</v>
      </c>
      <c r="F4512">
        <v>354</v>
      </c>
      <c r="G4512">
        <v>31</v>
      </c>
      <c r="H4512">
        <v>279.25</v>
      </c>
      <c r="I4512">
        <v>4626.84</v>
      </c>
      <c r="J4512">
        <v>4.99</v>
      </c>
      <c r="K4512">
        <v>8.76</v>
      </c>
      <c r="L4512">
        <v>9.01</v>
      </c>
      <c r="M4512">
        <v>16.57</v>
      </c>
      <c r="N4512">
        <v>4347.59</v>
      </c>
    </row>
    <row r="4513" spans="1:14" x14ac:dyDescent="0.2">
      <c r="A4513" s="1">
        <v>45849</v>
      </c>
      <c r="B4513" s="2" t="s">
        <v>34</v>
      </c>
      <c r="C4513" s="2" t="s">
        <v>35</v>
      </c>
      <c r="D4513" s="2" t="s">
        <v>25</v>
      </c>
      <c r="E4513">
        <v>5618</v>
      </c>
      <c r="F4513">
        <v>470</v>
      </c>
      <c r="G4513">
        <v>70</v>
      </c>
      <c r="H4513">
        <v>144.97999999999999</v>
      </c>
      <c r="I4513">
        <v>10377.81</v>
      </c>
      <c r="J4513">
        <v>8.3699999999999992</v>
      </c>
      <c r="K4513">
        <v>14.89</v>
      </c>
      <c r="L4513">
        <v>2.0699999999999998</v>
      </c>
      <c r="M4513">
        <v>71.58</v>
      </c>
      <c r="N4513">
        <v>10232.83</v>
      </c>
    </row>
    <row r="4514" spans="1:14" x14ac:dyDescent="0.2">
      <c r="A4514" s="1">
        <v>45850</v>
      </c>
      <c r="B4514" s="2" t="s">
        <v>14</v>
      </c>
      <c r="C4514" s="2" t="s">
        <v>15</v>
      </c>
      <c r="D4514" s="2" t="s">
        <v>25</v>
      </c>
      <c r="E4514">
        <v>7089</v>
      </c>
      <c r="F4514">
        <v>348</v>
      </c>
      <c r="G4514">
        <v>38</v>
      </c>
      <c r="H4514">
        <v>709.72</v>
      </c>
      <c r="I4514">
        <v>5363.71</v>
      </c>
      <c r="J4514">
        <v>4.91</v>
      </c>
      <c r="K4514">
        <v>10.92</v>
      </c>
      <c r="L4514">
        <v>18.68</v>
      </c>
      <c r="M4514">
        <v>7.56</v>
      </c>
      <c r="N4514">
        <v>4653.99</v>
      </c>
    </row>
    <row r="4515" spans="1:14" x14ac:dyDescent="0.2">
      <c r="A4515" s="1">
        <v>45850</v>
      </c>
      <c r="B4515" s="2" t="s">
        <v>17</v>
      </c>
      <c r="C4515" s="2" t="s">
        <v>21</v>
      </c>
      <c r="D4515" s="2" t="s">
        <v>25</v>
      </c>
      <c r="E4515">
        <v>8111</v>
      </c>
      <c r="F4515">
        <v>316</v>
      </c>
      <c r="G4515">
        <v>17</v>
      </c>
      <c r="H4515">
        <v>460.58</v>
      </c>
      <c r="I4515">
        <v>1567.3</v>
      </c>
      <c r="J4515">
        <v>3.9</v>
      </c>
      <c r="K4515">
        <v>5.38</v>
      </c>
      <c r="L4515">
        <v>27.09</v>
      </c>
      <c r="M4515">
        <v>3.4</v>
      </c>
      <c r="N4515">
        <v>1106.72</v>
      </c>
    </row>
    <row r="4516" spans="1:14" x14ac:dyDescent="0.2">
      <c r="A4516" s="1">
        <v>45850</v>
      </c>
      <c r="B4516" s="2" t="s">
        <v>20</v>
      </c>
      <c r="C4516" s="2" t="s">
        <v>18</v>
      </c>
      <c r="D4516" s="2" t="s">
        <v>25</v>
      </c>
      <c r="E4516">
        <v>6502</v>
      </c>
      <c r="F4516">
        <v>246</v>
      </c>
      <c r="G4516">
        <v>13</v>
      </c>
      <c r="H4516">
        <v>448.62</v>
      </c>
      <c r="I4516">
        <v>1409.78</v>
      </c>
      <c r="J4516">
        <v>3.78</v>
      </c>
      <c r="K4516">
        <v>5.28</v>
      </c>
      <c r="L4516">
        <v>34.51</v>
      </c>
      <c r="M4516">
        <v>3.14</v>
      </c>
      <c r="N4516">
        <v>961.16</v>
      </c>
    </row>
    <row r="4517" spans="1:14" x14ac:dyDescent="0.2">
      <c r="A4517" s="1">
        <v>45850</v>
      </c>
      <c r="B4517" s="2" t="s">
        <v>23</v>
      </c>
      <c r="C4517" s="2" t="s">
        <v>32</v>
      </c>
      <c r="D4517" s="2" t="s">
        <v>22</v>
      </c>
      <c r="E4517">
        <v>2037</v>
      </c>
      <c r="F4517">
        <v>54</v>
      </c>
      <c r="G4517">
        <v>5</v>
      </c>
      <c r="H4517">
        <v>697.62</v>
      </c>
      <c r="I4517">
        <v>1604.45</v>
      </c>
      <c r="J4517">
        <v>2.65</v>
      </c>
      <c r="K4517">
        <v>9.26</v>
      </c>
      <c r="L4517">
        <v>139.52000000000001</v>
      </c>
      <c r="M4517">
        <v>2.2999999999999998</v>
      </c>
      <c r="N4517">
        <v>906.83</v>
      </c>
    </row>
    <row r="4518" spans="1:14" x14ac:dyDescent="0.2">
      <c r="A4518" s="1">
        <v>45850</v>
      </c>
      <c r="B4518" s="2" t="s">
        <v>24</v>
      </c>
      <c r="C4518" s="2" t="s">
        <v>28</v>
      </c>
      <c r="D4518" s="2" t="s">
        <v>16</v>
      </c>
      <c r="E4518">
        <v>9493</v>
      </c>
      <c r="F4518">
        <v>1423</v>
      </c>
      <c r="G4518">
        <v>161</v>
      </c>
      <c r="H4518">
        <v>120.72</v>
      </c>
      <c r="I4518">
        <v>18118.54</v>
      </c>
      <c r="J4518">
        <v>14.99</v>
      </c>
      <c r="K4518">
        <v>11.31</v>
      </c>
      <c r="L4518">
        <v>0.75</v>
      </c>
      <c r="M4518">
        <v>150.09</v>
      </c>
      <c r="N4518">
        <v>17997.82</v>
      </c>
    </row>
    <row r="4519" spans="1:14" x14ac:dyDescent="0.2">
      <c r="A4519" s="1">
        <v>45850</v>
      </c>
      <c r="B4519" s="2" t="s">
        <v>26</v>
      </c>
      <c r="C4519" s="2" t="s">
        <v>21</v>
      </c>
      <c r="D4519" s="2" t="s">
        <v>36</v>
      </c>
      <c r="E4519">
        <v>15671</v>
      </c>
      <c r="F4519">
        <v>677</v>
      </c>
      <c r="G4519">
        <v>104</v>
      </c>
      <c r="H4519">
        <v>0</v>
      </c>
      <c r="I4519">
        <v>12940.56</v>
      </c>
      <c r="J4519">
        <v>4.32</v>
      </c>
      <c r="K4519">
        <v>15.36</v>
      </c>
      <c r="L4519">
        <v>0</v>
      </c>
      <c r="M4519">
        <v>0</v>
      </c>
      <c r="N4519">
        <v>12940.56</v>
      </c>
    </row>
    <row r="4520" spans="1:14" x14ac:dyDescent="0.2">
      <c r="A4520" s="1">
        <v>45850</v>
      </c>
      <c r="B4520" s="2" t="s">
        <v>27</v>
      </c>
      <c r="C4520" s="2" t="s">
        <v>15</v>
      </c>
      <c r="D4520" s="2" t="s">
        <v>16</v>
      </c>
      <c r="E4520">
        <v>15594</v>
      </c>
      <c r="F4520">
        <v>224</v>
      </c>
      <c r="G4520">
        <v>7</v>
      </c>
      <c r="H4520">
        <v>436.38</v>
      </c>
      <c r="I4520">
        <v>728.83</v>
      </c>
      <c r="J4520">
        <v>1.44</v>
      </c>
      <c r="K4520">
        <v>3.12</v>
      </c>
      <c r="L4520">
        <v>62.34</v>
      </c>
      <c r="M4520">
        <v>1.67</v>
      </c>
      <c r="N4520">
        <v>292.45</v>
      </c>
    </row>
    <row r="4521" spans="1:14" x14ac:dyDescent="0.2">
      <c r="A4521" s="1">
        <v>45850</v>
      </c>
      <c r="B4521" s="2" t="s">
        <v>29</v>
      </c>
      <c r="C4521" s="2" t="s">
        <v>35</v>
      </c>
      <c r="D4521" s="2" t="s">
        <v>16</v>
      </c>
      <c r="E4521">
        <v>14033</v>
      </c>
      <c r="F4521">
        <v>308</v>
      </c>
      <c r="G4521">
        <v>14</v>
      </c>
      <c r="H4521">
        <v>745.04</v>
      </c>
      <c r="I4521">
        <v>1361.8</v>
      </c>
      <c r="J4521">
        <v>2.19</v>
      </c>
      <c r="K4521">
        <v>4.55</v>
      </c>
      <c r="L4521">
        <v>53.22</v>
      </c>
      <c r="M4521">
        <v>1.83</v>
      </c>
      <c r="N4521">
        <v>616.76</v>
      </c>
    </row>
    <row r="4522" spans="1:14" x14ac:dyDescent="0.2">
      <c r="A4522" s="1">
        <v>45850</v>
      </c>
      <c r="B4522" s="2" t="s">
        <v>30</v>
      </c>
      <c r="C4522" s="2" t="s">
        <v>35</v>
      </c>
      <c r="D4522" s="2" t="s">
        <v>16</v>
      </c>
      <c r="E4522">
        <v>6713</v>
      </c>
      <c r="F4522">
        <v>141</v>
      </c>
      <c r="G4522">
        <v>7</v>
      </c>
      <c r="H4522">
        <v>311.94</v>
      </c>
      <c r="I4522">
        <v>786.16</v>
      </c>
      <c r="J4522">
        <v>2.1</v>
      </c>
      <c r="K4522">
        <v>4.96</v>
      </c>
      <c r="L4522">
        <v>44.56</v>
      </c>
      <c r="M4522">
        <v>2.52</v>
      </c>
      <c r="N4522">
        <v>474.22</v>
      </c>
    </row>
    <row r="4523" spans="1:14" x14ac:dyDescent="0.2">
      <c r="A4523" s="1">
        <v>45850</v>
      </c>
      <c r="B4523" s="2" t="s">
        <v>31</v>
      </c>
      <c r="C4523" s="2" t="s">
        <v>28</v>
      </c>
      <c r="D4523" s="2" t="s">
        <v>19</v>
      </c>
      <c r="E4523">
        <v>16479</v>
      </c>
      <c r="F4523">
        <v>540</v>
      </c>
      <c r="G4523">
        <v>24</v>
      </c>
      <c r="H4523">
        <v>504.99</v>
      </c>
      <c r="I4523">
        <v>2240.5700000000002</v>
      </c>
      <c r="J4523">
        <v>3.28</v>
      </c>
      <c r="K4523">
        <v>4.4400000000000004</v>
      </c>
      <c r="L4523">
        <v>21.04</v>
      </c>
      <c r="M4523">
        <v>4.4400000000000004</v>
      </c>
      <c r="N4523">
        <v>1735.58</v>
      </c>
    </row>
    <row r="4524" spans="1:14" x14ac:dyDescent="0.2">
      <c r="A4524" s="1">
        <v>45850</v>
      </c>
      <c r="B4524" s="2" t="s">
        <v>33</v>
      </c>
      <c r="C4524" s="2" t="s">
        <v>32</v>
      </c>
      <c r="D4524" s="2" t="s">
        <v>16</v>
      </c>
      <c r="E4524">
        <v>3805</v>
      </c>
      <c r="F4524">
        <v>263</v>
      </c>
      <c r="G4524">
        <v>32</v>
      </c>
      <c r="H4524">
        <v>202.19</v>
      </c>
      <c r="I4524">
        <v>3690.93</v>
      </c>
      <c r="J4524">
        <v>6.91</v>
      </c>
      <c r="K4524">
        <v>12.17</v>
      </c>
      <c r="L4524">
        <v>6.32</v>
      </c>
      <c r="M4524">
        <v>18.25</v>
      </c>
      <c r="N4524">
        <v>3488.74</v>
      </c>
    </row>
    <row r="4525" spans="1:14" x14ac:dyDescent="0.2">
      <c r="A4525" s="1">
        <v>45850</v>
      </c>
      <c r="B4525" s="2" t="s">
        <v>34</v>
      </c>
      <c r="C4525" s="2" t="s">
        <v>35</v>
      </c>
      <c r="D4525" s="2" t="s">
        <v>22</v>
      </c>
      <c r="E4525">
        <v>3323</v>
      </c>
      <c r="F4525">
        <v>331</v>
      </c>
      <c r="G4525">
        <v>45</v>
      </c>
      <c r="H4525">
        <v>79.069999999999993</v>
      </c>
      <c r="I4525">
        <v>5464.62</v>
      </c>
      <c r="J4525">
        <v>9.9600000000000009</v>
      </c>
      <c r="K4525">
        <v>13.6</v>
      </c>
      <c r="L4525">
        <v>1.76</v>
      </c>
      <c r="M4525">
        <v>69.11</v>
      </c>
      <c r="N4525">
        <v>5385.55</v>
      </c>
    </row>
    <row r="4526" spans="1:14" x14ac:dyDescent="0.2">
      <c r="A4526" s="1">
        <v>45851</v>
      </c>
      <c r="B4526" s="2" t="s">
        <v>14</v>
      </c>
      <c r="C4526" s="2" t="s">
        <v>18</v>
      </c>
      <c r="D4526" s="2" t="s">
        <v>16</v>
      </c>
      <c r="E4526">
        <v>6631</v>
      </c>
      <c r="F4526">
        <v>330</v>
      </c>
      <c r="G4526">
        <v>38</v>
      </c>
      <c r="H4526">
        <v>637.87</v>
      </c>
      <c r="I4526">
        <v>6270.52</v>
      </c>
      <c r="J4526">
        <v>4.9800000000000004</v>
      </c>
      <c r="K4526">
        <v>11.52</v>
      </c>
      <c r="L4526">
        <v>16.79</v>
      </c>
      <c r="M4526">
        <v>9.83</v>
      </c>
      <c r="N4526">
        <v>5632.65</v>
      </c>
    </row>
    <row r="4527" spans="1:14" x14ac:dyDescent="0.2">
      <c r="A4527" s="1">
        <v>45851</v>
      </c>
      <c r="B4527" s="2" t="s">
        <v>17</v>
      </c>
      <c r="C4527" s="2" t="s">
        <v>28</v>
      </c>
      <c r="D4527" s="2" t="s">
        <v>36</v>
      </c>
      <c r="E4527">
        <v>9378</v>
      </c>
      <c r="F4527">
        <v>345</v>
      </c>
      <c r="G4527">
        <v>20</v>
      </c>
      <c r="H4527">
        <v>674.78</v>
      </c>
      <c r="I4527">
        <v>1748.39</v>
      </c>
      <c r="J4527">
        <v>3.68</v>
      </c>
      <c r="K4527">
        <v>5.8</v>
      </c>
      <c r="L4527">
        <v>33.74</v>
      </c>
      <c r="M4527">
        <v>2.59</v>
      </c>
      <c r="N4527">
        <v>1073.6099999999999</v>
      </c>
    </row>
    <row r="4528" spans="1:14" x14ac:dyDescent="0.2">
      <c r="A4528" s="1">
        <v>45851</v>
      </c>
      <c r="B4528" s="2" t="s">
        <v>20</v>
      </c>
      <c r="C4528" s="2" t="s">
        <v>28</v>
      </c>
      <c r="D4528" s="2" t="s">
        <v>19</v>
      </c>
      <c r="E4528">
        <v>9982</v>
      </c>
      <c r="F4528">
        <v>434</v>
      </c>
      <c r="G4528">
        <v>25</v>
      </c>
      <c r="H4528">
        <v>446.7</v>
      </c>
      <c r="I4528">
        <v>1998.54</v>
      </c>
      <c r="J4528">
        <v>4.3499999999999996</v>
      </c>
      <c r="K4528">
        <v>5.76</v>
      </c>
      <c r="L4528">
        <v>17.87</v>
      </c>
      <c r="M4528">
        <v>4.47</v>
      </c>
      <c r="N4528">
        <v>1551.84</v>
      </c>
    </row>
    <row r="4529" spans="1:14" x14ac:dyDescent="0.2">
      <c r="A4529" s="1">
        <v>45851</v>
      </c>
      <c r="B4529" s="2" t="s">
        <v>23</v>
      </c>
      <c r="C4529" s="2" t="s">
        <v>32</v>
      </c>
      <c r="D4529" s="2" t="s">
        <v>16</v>
      </c>
      <c r="E4529">
        <v>2981</v>
      </c>
      <c r="F4529">
        <v>80</v>
      </c>
      <c r="G4529">
        <v>9</v>
      </c>
      <c r="H4529">
        <v>819.03</v>
      </c>
      <c r="I4529">
        <v>2242.15</v>
      </c>
      <c r="J4529">
        <v>2.68</v>
      </c>
      <c r="K4529">
        <v>11.25</v>
      </c>
      <c r="L4529">
        <v>91</v>
      </c>
      <c r="M4529">
        <v>2.74</v>
      </c>
      <c r="N4529">
        <v>1423.12</v>
      </c>
    </row>
    <row r="4530" spans="1:14" x14ac:dyDescent="0.2">
      <c r="A4530" s="1">
        <v>45851</v>
      </c>
      <c r="B4530" s="2" t="s">
        <v>24</v>
      </c>
      <c r="C4530" s="2" t="s">
        <v>35</v>
      </c>
      <c r="D4530" s="2" t="s">
        <v>16</v>
      </c>
      <c r="E4530">
        <v>14053</v>
      </c>
      <c r="F4530">
        <v>2570</v>
      </c>
      <c r="G4530">
        <v>235</v>
      </c>
      <c r="H4530">
        <v>144.29</v>
      </c>
      <c r="I4530">
        <v>30700.83</v>
      </c>
      <c r="J4530">
        <v>18.29</v>
      </c>
      <c r="K4530">
        <v>9.14</v>
      </c>
      <c r="L4530">
        <v>0.61</v>
      </c>
      <c r="M4530">
        <v>212.77</v>
      </c>
      <c r="N4530">
        <v>30556.54</v>
      </c>
    </row>
    <row r="4531" spans="1:14" x14ac:dyDescent="0.2">
      <c r="A4531" s="1">
        <v>45851</v>
      </c>
      <c r="B4531" s="2" t="s">
        <v>26</v>
      </c>
      <c r="C4531" s="2" t="s">
        <v>15</v>
      </c>
      <c r="D4531" s="2" t="s">
        <v>25</v>
      </c>
      <c r="E4531">
        <v>18940</v>
      </c>
      <c r="F4531">
        <v>1035</v>
      </c>
      <c r="G4531">
        <v>131</v>
      </c>
      <c r="H4531">
        <v>0</v>
      </c>
      <c r="I4531">
        <v>16267.98</v>
      </c>
      <c r="J4531">
        <v>5.46</v>
      </c>
      <c r="K4531">
        <v>12.66</v>
      </c>
      <c r="L4531">
        <v>0</v>
      </c>
      <c r="M4531">
        <v>0</v>
      </c>
      <c r="N4531">
        <v>16267.98</v>
      </c>
    </row>
    <row r="4532" spans="1:14" x14ac:dyDescent="0.2">
      <c r="A4532" s="1">
        <v>45851</v>
      </c>
      <c r="B4532" s="2" t="s">
        <v>27</v>
      </c>
      <c r="C4532" s="2" t="s">
        <v>28</v>
      </c>
      <c r="D4532" s="2" t="s">
        <v>19</v>
      </c>
      <c r="E4532">
        <v>21808</v>
      </c>
      <c r="F4532">
        <v>232</v>
      </c>
      <c r="G4532">
        <v>7</v>
      </c>
      <c r="H4532">
        <v>482.75</v>
      </c>
      <c r="I4532">
        <v>628.02</v>
      </c>
      <c r="J4532">
        <v>1.06</v>
      </c>
      <c r="K4532">
        <v>3.02</v>
      </c>
      <c r="L4532">
        <v>68.959999999999994</v>
      </c>
      <c r="M4532">
        <v>1.3</v>
      </c>
      <c r="N4532">
        <v>145.27000000000001</v>
      </c>
    </row>
    <row r="4533" spans="1:14" x14ac:dyDescent="0.2">
      <c r="A4533" s="1">
        <v>45851</v>
      </c>
      <c r="B4533" s="2" t="s">
        <v>29</v>
      </c>
      <c r="C4533" s="2" t="s">
        <v>15</v>
      </c>
      <c r="D4533" s="2" t="s">
        <v>25</v>
      </c>
      <c r="E4533">
        <v>10192</v>
      </c>
      <c r="F4533">
        <v>204</v>
      </c>
      <c r="G4533">
        <v>8</v>
      </c>
      <c r="H4533">
        <v>553.85</v>
      </c>
      <c r="I4533">
        <v>1131.7</v>
      </c>
      <c r="J4533">
        <v>2</v>
      </c>
      <c r="K4533">
        <v>3.92</v>
      </c>
      <c r="L4533">
        <v>69.23</v>
      </c>
      <c r="M4533">
        <v>2.04</v>
      </c>
      <c r="N4533">
        <v>577.85</v>
      </c>
    </row>
    <row r="4534" spans="1:14" x14ac:dyDescent="0.2">
      <c r="A4534" s="1">
        <v>45851</v>
      </c>
      <c r="B4534" s="2" t="s">
        <v>30</v>
      </c>
      <c r="C4534" s="2" t="s">
        <v>21</v>
      </c>
      <c r="D4534" s="2" t="s">
        <v>22</v>
      </c>
      <c r="E4534">
        <v>7317</v>
      </c>
      <c r="F4534">
        <v>151</v>
      </c>
      <c r="G4534">
        <v>5</v>
      </c>
      <c r="H4534">
        <v>303.29000000000002</v>
      </c>
      <c r="I4534">
        <v>465.41</v>
      </c>
      <c r="J4534">
        <v>2.06</v>
      </c>
      <c r="K4534">
        <v>3.31</v>
      </c>
      <c r="L4534">
        <v>60.66</v>
      </c>
      <c r="M4534">
        <v>1.53</v>
      </c>
      <c r="N4534">
        <v>162.12</v>
      </c>
    </row>
    <row r="4535" spans="1:14" x14ac:dyDescent="0.2">
      <c r="A4535" s="1">
        <v>45851</v>
      </c>
      <c r="B4535" s="2" t="s">
        <v>31</v>
      </c>
      <c r="C4535" s="2" t="s">
        <v>18</v>
      </c>
      <c r="D4535" s="2" t="s">
        <v>19</v>
      </c>
      <c r="E4535">
        <v>17573</v>
      </c>
      <c r="F4535">
        <v>521</v>
      </c>
      <c r="G4535">
        <v>31</v>
      </c>
      <c r="H4535">
        <v>460.03</v>
      </c>
      <c r="I4535">
        <v>2683.28</v>
      </c>
      <c r="J4535">
        <v>2.96</v>
      </c>
      <c r="K4535">
        <v>5.95</v>
      </c>
      <c r="L4535">
        <v>14.84</v>
      </c>
      <c r="M4535">
        <v>5.83</v>
      </c>
      <c r="N4535">
        <v>2223.25</v>
      </c>
    </row>
    <row r="4536" spans="1:14" x14ac:dyDescent="0.2">
      <c r="A4536" s="1">
        <v>45851</v>
      </c>
      <c r="B4536" s="2" t="s">
        <v>33</v>
      </c>
      <c r="C4536" s="2" t="s">
        <v>35</v>
      </c>
      <c r="D4536" s="2" t="s">
        <v>16</v>
      </c>
      <c r="E4536">
        <v>5025</v>
      </c>
      <c r="F4536">
        <v>280</v>
      </c>
      <c r="G4536">
        <v>31</v>
      </c>
      <c r="H4536">
        <v>183.03</v>
      </c>
      <c r="I4536">
        <v>3074.75</v>
      </c>
      <c r="J4536">
        <v>5.57</v>
      </c>
      <c r="K4536">
        <v>11.07</v>
      </c>
      <c r="L4536">
        <v>5.9</v>
      </c>
      <c r="M4536">
        <v>16.8</v>
      </c>
      <c r="N4536">
        <v>2891.72</v>
      </c>
    </row>
    <row r="4537" spans="1:14" x14ac:dyDescent="0.2">
      <c r="A4537" s="1">
        <v>45851</v>
      </c>
      <c r="B4537" s="2" t="s">
        <v>34</v>
      </c>
      <c r="C4537" s="2" t="s">
        <v>15</v>
      </c>
      <c r="D4537" s="2" t="s">
        <v>16</v>
      </c>
      <c r="E4537">
        <v>2179</v>
      </c>
      <c r="F4537">
        <v>192</v>
      </c>
      <c r="G4537">
        <v>24</v>
      </c>
      <c r="H4537">
        <v>111.8</v>
      </c>
      <c r="I4537">
        <v>3260.49</v>
      </c>
      <c r="J4537">
        <v>8.81</v>
      </c>
      <c r="K4537">
        <v>12.5</v>
      </c>
      <c r="L4537">
        <v>4.66</v>
      </c>
      <c r="M4537">
        <v>29.16</v>
      </c>
      <c r="N4537">
        <v>3148.69</v>
      </c>
    </row>
    <row r="4538" spans="1:14" x14ac:dyDescent="0.2">
      <c r="A4538" s="1">
        <v>45852</v>
      </c>
      <c r="B4538" s="2" t="s">
        <v>14</v>
      </c>
      <c r="C4538" s="2" t="s">
        <v>32</v>
      </c>
      <c r="D4538" s="2" t="s">
        <v>25</v>
      </c>
      <c r="E4538">
        <v>7251</v>
      </c>
      <c r="F4538">
        <v>348</v>
      </c>
      <c r="G4538">
        <v>37</v>
      </c>
      <c r="H4538">
        <v>689.37</v>
      </c>
      <c r="I4538">
        <v>5442.89</v>
      </c>
      <c r="J4538">
        <v>4.8</v>
      </c>
      <c r="K4538">
        <v>10.63</v>
      </c>
      <c r="L4538">
        <v>18.63</v>
      </c>
      <c r="M4538">
        <v>7.9</v>
      </c>
      <c r="N4538">
        <v>4753.5200000000004</v>
      </c>
    </row>
    <row r="4539" spans="1:14" x14ac:dyDescent="0.2">
      <c r="A4539" s="1">
        <v>45852</v>
      </c>
      <c r="B4539" s="2" t="s">
        <v>17</v>
      </c>
      <c r="C4539" s="2" t="s">
        <v>28</v>
      </c>
      <c r="D4539" s="2" t="s">
        <v>16</v>
      </c>
      <c r="E4539">
        <v>11313</v>
      </c>
      <c r="F4539">
        <v>439</v>
      </c>
      <c r="G4539">
        <v>37</v>
      </c>
      <c r="H4539">
        <v>956.19</v>
      </c>
      <c r="I4539">
        <v>3362.28</v>
      </c>
      <c r="J4539">
        <v>3.88</v>
      </c>
      <c r="K4539">
        <v>8.43</v>
      </c>
      <c r="L4539">
        <v>25.84</v>
      </c>
      <c r="M4539">
        <v>3.52</v>
      </c>
      <c r="N4539">
        <v>2406.09</v>
      </c>
    </row>
    <row r="4540" spans="1:14" x14ac:dyDescent="0.2">
      <c r="A4540" s="1">
        <v>45852</v>
      </c>
      <c r="B4540" s="2" t="s">
        <v>20</v>
      </c>
      <c r="C4540" s="2" t="s">
        <v>28</v>
      </c>
      <c r="D4540" s="2" t="s">
        <v>19</v>
      </c>
      <c r="E4540">
        <v>13740</v>
      </c>
      <c r="F4540">
        <v>365</v>
      </c>
      <c r="G4540">
        <v>22</v>
      </c>
      <c r="H4540">
        <v>644.36</v>
      </c>
      <c r="I4540">
        <v>2759.49</v>
      </c>
      <c r="J4540">
        <v>2.66</v>
      </c>
      <c r="K4540">
        <v>6.03</v>
      </c>
      <c r="L4540">
        <v>29.29</v>
      </c>
      <c r="M4540">
        <v>4.28</v>
      </c>
      <c r="N4540">
        <v>2115.13</v>
      </c>
    </row>
    <row r="4541" spans="1:14" x14ac:dyDescent="0.2">
      <c r="A4541" s="1">
        <v>45852</v>
      </c>
      <c r="B4541" s="2" t="s">
        <v>23</v>
      </c>
      <c r="C4541" s="2" t="s">
        <v>21</v>
      </c>
      <c r="D4541" s="2" t="s">
        <v>22</v>
      </c>
      <c r="E4541">
        <v>4059</v>
      </c>
      <c r="F4541">
        <v>102</v>
      </c>
      <c r="G4541">
        <v>10</v>
      </c>
      <c r="H4541">
        <v>1510.04</v>
      </c>
      <c r="I4541">
        <v>2581.1799999999998</v>
      </c>
      <c r="J4541">
        <v>2.5099999999999998</v>
      </c>
      <c r="K4541">
        <v>9.8000000000000007</v>
      </c>
      <c r="L4541">
        <v>151</v>
      </c>
      <c r="M4541">
        <v>1.71</v>
      </c>
      <c r="N4541">
        <v>1071.1400000000001</v>
      </c>
    </row>
    <row r="4542" spans="1:14" x14ac:dyDescent="0.2">
      <c r="A4542" s="1">
        <v>45852</v>
      </c>
      <c r="B4542" s="2" t="s">
        <v>24</v>
      </c>
      <c r="C4542" s="2" t="s">
        <v>28</v>
      </c>
      <c r="D4542" s="2" t="s">
        <v>16</v>
      </c>
      <c r="E4542">
        <v>20609</v>
      </c>
      <c r="F4542">
        <v>4973</v>
      </c>
      <c r="G4542">
        <v>622</v>
      </c>
      <c r="H4542">
        <v>112.96</v>
      </c>
      <c r="I4542">
        <v>73356.58</v>
      </c>
      <c r="J4542">
        <v>24.13</v>
      </c>
      <c r="K4542">
        <v>12.51</v>
      </c>
      <c r="L4542">
        <v>0.18</v>
      </c>
      <c r="M4542">
        <v>649.4</v>
      </c>
      <c r="N4542">
        <v>73243.62</v>
      </c>
    </row>
    <row r="4543" spans="1:14" x14ac:dyDescent="0.2">
      <c r="A4543" s="1">
        <v>45852</v>
      </c>
      <c r="B4543" s="2" t="s">
        <v>26</v>
      </c>
      <c r="C4543" s="2" t="s">
        <v>18</v>
      </c>
      <c r="D4543" s="2" t="s">
        <v>22</v>
      </c>
      <c r="E4543">
        <v>22213</v>
      </c>
      <c r="F4543">
        <v>1581</v>
      </c>
      <c r="G4543">
        <v>187</v>
      </c>
      <c r="H4543">
        <v>0</v>
      </c>
      <c r="I4543">
        <v>24619.83</v>
      </c>
      <c r="J4543">
        <v>7.12</v>
      </c>
      <c r="K4543">
        <v>11.83</v>
      </c>
      <c r="L4543">
        <v>0</v>
      </c>
      <c r="M4543">
        <v>0</v>
      </c>
      <c r="N4543">
        <v>24619.83</v>
      </c>
    </row>
    <row r="4544" spans="1:14" x14ac:dyDescent="0.2">
      <c r="A4544" s="1">
        <v>45852</v>
      </c>
      <c r="B4544" s="2" t="s">
        <v>27</v>
      </c>
      <c r="C4544" s="2" t="s">
        <v>21</v>
      </c>
      <c r="D4544" s="2" t="s">
        <v>36</v>
      </c>
      <c r="E4544">
        <v>24874</v>
      </c>
      <c r="F4544">
        <v>378</v>
      </c>
      <c r="G4544">
        <v>15</v>
      </c>
      <c r="H4544">
        <v>968.35</v>
      </c>
      <c r="I4544">
        <v>1366.11</v>
      </c>
      <c r="J4544">
        <v>1.52</v>
      </c>
      <c r="K4544">
        <v>3.97</v>
      </c>
      <c r="L4544">
        <v>64.56</v>
      </c>
      <c r="M4544">
        <v>1.41</v>
      </c>
      <c r="N4544">
        <v>397.76</v>
      </c>
    </row>
    <row r="4545" spans="1:14" x14ac:dyDescent="0.2">
      <c r="A4545" s="1">
        <v>45852</v>
      </c>
      <c r="B4545" s="2" t="s">
        <v>29</v>
      </c>
      <c r="C4545" s="2" t="s">
        <v>28</v>
      </c>
      <c r="D4545" s="2" t="s">
        <v>19</v>
      </c>
      <c r="E4545">
        <v>15543</v>
      </c>
      <c r="F4545">
        <v>447</v>
      </c>
      <c r="G4545">
        <v>29</v>
      </c>
      <c r="H4545">
        <v>922.78</v>
      </c>
      <c r="I4545">
        <v>3012.32</v>
      </c>
      <c r="J4545">
        <v>2.88</v>
      </c>
      <c r="K4545">
        <v>6.49</v>
      </c>
      <c r="L4545">
        <v>31.82</v>
      </c>
      <c r="M4545">
        <v>3.26</v>
      </c>
      <c r="N4545">
        <v>2089.54</v>
      </c>
    </row>
    <row r="4546" spans="1:14" x14ac:dyDescent="0.2">
      <c r="A4546" s="1">
        <v>45852</v>
      </c>
      <c r="B4546" s="2" t="s">
        <v>30</v>
      </c>
      <c r="C4546" s="2" t="s">
        <v>15</v>
      </c>
      <c r="D4546" s="2" t="s">
        <v>22</v>
      </c>
      <c r="E4546">
        <v>9782</v>
      </c>
      <c r="F4546">
        <v>225</v>
      </c>
      <c r="G4546">
        <v>11</v>
      </c>
      <c r="H4546">
        <v>508.27</v>
      </c>
      <c r="I4546">
        <v>1111.4100000000001</v>
      </c>
      <c r="J4546">
        <v>2.2999999999999998</v>
      </c>
      <c r="K4546">
        <v>4.8899999999999997</v>
      </c>
      <c r="L4546">
        <v>46.21</v>
      </c>
      <c r="M4546">
        <v>2.19</v>
      </c>
      <c r="N4546">
        <v>603.14</v>
      </c>
    </row>
    <row r="4547" spans="1:14" x14ac:dyDescent="0.2">
      <c r="A4547" s="1">
        <v>45852</v>
      </c>
      <c r="B4547" s="2" t="s">
        <v>31</v>
      </c>
      <c r="C4547" s="2" t="s">
        <v>18</v>
      </c>
      <c r="D4547" s="2" t="s">
        <v>19</v>
      </c>
      <c r="E4547">
        <v>16728</v>
      </c>
      <c r="F4547">
        <v>482</v>
      </c>
      <c r="G4547">
        <v>25</v>
      </c>
      <c r="H4547">
        <v>644.29999999999995</v>
      </c>
      <c r="I4547">
        <v>2336.1799999999998</v>
      </c>
      <c r="J4547">
        <v>2.88</v>
      </c>
      <c r="K4547">
        <v>5.19</v>
      </c>
      <c r="L4547">
        <v>25.77</v>
      </c>
      <c r="M4547">
        <v>3.63</v>
      </c>
      <c r="N4547">
        <v>1691.88</v>
      </c>
    </row>
    <row r="4548" spans="1:14" x14ac:dyDescent="0.2">
      <c r="A4548" s="1">
        <v>45852</v>
      </c>
      <c r="B4548" s="2" t="s">
        <v>33</v>
      </c>
      <c r="C4548" s="2" t="s">
        <v>28</v>
      </c>
      <c r="D4548" s="2" t="s">
        <v>36</v>
      </c>
      <c r="E4548">
        <v>5774</v>
      </c>
      <c r="F4548">
        <v>299</v>
      </c>
      <c r="G4548">
        <v>32</v>
      </c>
      <c r="H4548">
        <v>510.76</v>
      </c>
      <c r="I4548">
        <v>3532.43</v>
      </c>
      <c r="J4548">
        <v>5.18</v>
      </c>
      <c r="K4548">
        <v>10.7</v>
      </c>
      <c r="L4548">
        <v>15.96</v>
      </c>
      <c r="M4548">
        <v>6.92</v>
      </c>
      <c r="N4548">
        <v>3021.67</v>
      </c>
    </row>
    <row r="4549" spans="1:14" x14ac:dyDescent="0.2">
      <c r="A4549" s="1">
        <v>45852</v>
      </c>
      <c r="B4549" s="2" t="s">
        <v>34</v>
      </c>
      <c r="C4549" s="2" t="s">
        <v>15</v>
      </c>
      <c r="D4549" s="2" t="s">
        <v>19</v>
      </c>
      <c r="E4549">
        <v>4723</v>
      </c>
      <c r="F4549">
        <v>438</v>
      </c>
      <c r="G4549">
        <v>73</v>
      </c>
      <c r="H4549">
        <v>168.39</v>
      </c>
      <c r="I4549">
        <v>8153.54</v>
      </c>
      <c r="J4549">
        <v>9.27</v>
      </c>
      <c r="K4549">
        <v>16.670000000000002</v>
      </c>
      <c r="L4549">
        <v>2.31</v>
      </c>
      <c r="M4549">
        <v>48.42</v>
      </c>
      <c r="N4549">
        <v>7985.15</v>
      </c>
    </row>
    <row r="4550" spans="1:14" x14ac:dyDescent="0.2">
      <c r="A4550" s="1">
        <v>45853</v>
      </c>
      <c r="B4550" s="2" t="s">
        <v>14</v>
      </c>
      <c r="C4550" s="2" t="s">
        <v>15</v>
      </c>
      <c r="D4550" s="2" t="s">
        <v>25</v>
      </c>
      <c r="E4550">
        <v>11084</v>
      </c>
      <c r="F4550">
        <v>467</v>
      </c>
      <c r="G4550">
        <v>37</v>
      </c>
      <c r="H4550">
        <v>1116.22</v>
      </c>
      <c r="I4550">
        <v>5119.3</v>
      </c>
      <c r="J4550">
        <v>4.21</v>
      </c>
      <c r="K4550">
        <v>7.92</v>
      </c>
      <c r="L4550">
        <v>30.17</v>
      </c>
      <c r="M4550">
        <v>4.59</v>
      </c>
      <c r="N4550">
        <v>4003.08</v>
      </c>
    </row>
    <row r="4551" spans="1:14" x14ac:dyDescent="0.2">
      <c r="A4551" s="1">
        <v>45853</v>
      </c>
      <c r="B4551" s="2" t="s">
        <v>17</v>
      </c>
      <c r="C4551" s="2" t="s">
        <v>21</v>
      </c>
      <c r="D4551" s="2" t="s">
        <v>19</v>
      </c>
      <c r="E4551">
        <v>13443</v>
      </c>
      <c r="F4551">
        <v>360</v>
      </c>
      <c r="G4551">
        <v>22</v>
      </c>
      <c r="H4551">
        <v>641.1</v>
      </c>
      <c r="I4551">
        <v>2817.11</v>
      </c>
      <c r="J4551">
        <v>2.68</v>
      </c>
      <c r="K4551">
        <v>6.11</v>
      </c>
      <c r="L4551">
        <v>29.14</v>
      </c>
      <c r="M4551">
        <v>4.3899999999999997</v>
      </c>
      <c r="N4551">
        <v>2176.0100000000002</v>
      </c>
    </row>
    <row r="4552" spans="1:14" x14ac:dyDescent="0.2">
      <c r="A4552" s="1">
        <v>45853</v>
      </c>
      <c r="B4552" s="2" t="s">
        <v>20</v>
      </c>
      <c r="C4552" s="2" t="s">
        <v>15</v>
      </c>
      <c r="D4552" s="2" t="s">
        <v>16</v>
      </c>
      <c r="E4552">
        <v>10241</v>
      </c>
      <c r="F4552">
        <v>438</v>
      </c>
      <c r="G4552">
        <v>23</v>
      </c>
      <c r="H4552">
        <v>506.76</v>
      </c>
      <c r="I4552">
        <v>2473.06</v>
      </c>
      <c r="J4552">
        <v>4.28</v>
      </c>
      <c r="K4552">
        <v>5.25</v>
      </c>
      <c r="L4552">
        <v>22.03</v>
      </c>
      <c r="M4552">
        <v>4.88</v>
      </c>
      <c r="N4552">
        <v>1966.3</v>
      </c>
    </row>
    <row r="4553" spans="1:14" x14ac:dyDescent="0.2">
      <c r="A4553" s="1">
        <v>45853</v>
      </c>
      <c r="B4553" s="2" t="s">
        <v>23</v>
      </c>
      <c r="C4553" s="2" t="s">
        <v>35</v>
      </c>
      <c r="D4553" s="2" t="s">
        <v>25</v>
      </c>
      <c r="E4553">
        <v>4004</v>
      </c>
      <c r="F4553">
        <v>117</v>
      </c>
      <c r="G4553">
        <v>12</v>
      </c>
      <c r="H4553">
        <v>957.28</v>
      </c>
      <c r="I4553">
        <v>3229.89</v>
      </c>
      <c r="J4553">
        <v>2.92</v>
      </c>
      <c r="K4553">
        <v>10.26</v>
      </c>
      <c r="L4553">
        <v>79.77</v>
      </c>
      <c r="M4553">
        <v>3.37</v>
      </c>
      <c r="N4553">
        <v>2272.61</v>
      </c>
    </row>
    <row r="4554" spans="1:14" x14ac:dyDescent="0.2">
      <c r="A4554" s="1">
        <v>45853</v>
      </c>
      <c r="B4554" s="2" t="s">
        <v>24</v>
      </c>
      <c r="C4554" s="2" t="s">
        <v>21</v>
      </c>
      <c r="D4554" s="2" t="s">
        <v>36</v>
      </c>
      <c r="E4554">
        <v>20228</v>
      </c>
      <c r="F4554">
        <v>3443</v>
      </c>
      <c r="G4554">
        <v>465</v>
      </c>
      <c r="H4554">
        <v>96.49</v>
      </c>
      <c r="I4554">
        <v>71367.570000000007</v>
      </c>
      <c r="J4554">
        <v>17.02</v>
      </c>
      <c r="K4554">
        <v>13.51</v>
      </c>
      <c r="L4554">
        <v>0.21</v>
      </c>
      <c r="M4554">
        <v>739.64</v>
      </c>
      <c r="N4554">
        <v>71271.08</v>
      </c>
    </row>
    <row r="4555" spans="1:14" x14ac:dyDescent="0.2">
      <c r="A4555" s="1">
        <v>45853</v>
      </c>
      <c r="B4555" s="2" t="s">
        <v>26</v>
      </c>
      <c r="C4555" s="2" t="s">
        <v>28</v>
      </c>
      <c r="D4555" s="2" t="s">
        <v>36</v>
      </c>
      <c r="E4555">
        <v>27018</v>
      </c>
      <c r="F4555">
        <v>1306</v>
      </c>
      <c r="G4555">
        <v>193</v>
      </c>
      <c r="H4555">
        <v>0</v>
      </c>
      <c r="I4555">
        <v>26623.43</v>
      </c>
      <c r="J4555">
        <v>4.83</v>
      </c>
      <c r="K4555">
        <v>14.78</v>
      </c>
      <c r="L4555">
        <v>0</v>
      </c>
      <c r="M4555">
        <v>0</v>
      </c>
      <c r="N4555">
        <v>26623.43</v>
      </c>
    </row>
    <row r="4556" spans="1:14" x14ac:dyDescent="0.2">
      <c r="A4556" s="1">
        <v>45853</v>
      </c>
      <c r="B4556" s="2" t="s">
        <v>27</v>
      </c>
      <c r="C4556" s="2" t="s">
        <v>28</v>
      </c>
      <c r="D4556" s="2" t="s">
        <v>19</v>
      </c>
      <c r="E4556">
        <v>22602</v>
      </c>
      <c r="F4556">
        <v>244</v>
      </c>
      <c r="G4556">
        <v>6</v>
      </c>
      <c r="H4556">
        <v>1052.72</v>
      </c>
      <c r="I4556">
        <v>629.75</v>
      </c>
      <c r="J4556">
        <v>1.08</v>
      </c>
      <c r="K4556">
        <v>2.46</v>
      </c>
      <c r="L4556">
        <v>175.45</v>
      </c>
      <c r="M4556">
        <v>0.6</v>
      </c>
      <c r="N4556">
        <v>-422.97</v>
      </c>
    </row>
    <row r="4557" spans="1:14" x14ac:dyDescent="0.2">
      <c r="A4557" s="1">
        <v>45853</v>
      </c>
      <c r="B4557" s="2" t="s">
        <v>29</v>
      </c>
      <c r="C4557" s="2" t="s">
        <v>32</v>
      </c>
      <c r="D4557" s="2" t="s">
        <v>25</v>
      </c>
      <c r="E4557">
        <v>19431</v>
      </c>
      <c r="F4557">
        <v>513</v>
      </c>
      <c r="G4557">
        <v>28</v>
      </c>
      <c r="H4557">
        <v>993.1</v>
      </c>
      <c r="I4557">
        <v>3998.49</v>
      </c>
      <c r="J4557">
        <v>2.64</v>
      </c>
      <c r="K4557">
        <v>5.46</v>
      </c>
      <c r="L4557">
        <v>35.47</v>
      </c>
      <c r="M4557">
        <v>4.03</v>
      </c>
      <c r="N4557">
        <v>3005.39</v>
      </c>
    </row>
    <row r="4558" spans="1:14" x14ac:dyDescent="0.2">
      <c r="A4558" s="1">
        <v>45853</v>
      </c>
      <c r="B4558" s="2" t="s">
        <v>30</v>
      </c>
      <c r="C4558" s="2" t="s">
        <v>28</v>
      </c>
      <c r="D4558" s="2" t="s">
        <v>16</v>
      </c>
      <c r="E4558">
        <v>8309</v>
      </c>
      <c r="F4558">
        <v>173</v>
      </c>
      <c r="G4558">
        <v>6</v>
      </c>
      <c r="H4558">
        <v>594.4</v>
      </c>
      <c r="I4558">
        <v>584.02</v>
      </c>
      <c r="J4558">
        <v>2.08</v>
      </c>
      <c r="K4558">
        <v>3.47</v>
      </c>
      <c r="L4558">
        <v>99.07</v>
      </c>
      <c r="M4558">
        <v>0.98</v>
      </c>
      <c r="N4558">
        <v>-10.38</v>
      </c>
    </row>
    <row r="4559" spans="1:14" x14ac:dyDescent="0.2">
      <c r="A4559" s="1">
        <v>45853</v>
      </c>
      <c r="B4559" s="2" t="s">
        <v>31</v>
      </c>
      <c r="C4559" s="2" t="s">
        <v>28</v>
      </c>
      <c r="D4559" s="2" t="s">
        <v>19</v>
      </c>
      <c r="E4559">
        <v>19145</v>
      </c>
      <c r="F4559">
        <v>674</v>
      </c>
      <c r="G4559">
        <v>41</v>
      </c>
      <c r="H4559">
        <v>881.76</v>
      </c>
      <c r="I4559">
        <v>3790.53</v>
      </c>
      <c r="J4559">
        <v>3.52</v>
      </c>
      <c r="K4559">
        <v>6.08</v>
      </c>
      <c r="L4559">
        <v>21.51</v>
      </c>
      <c r="M4559">
        <v>4.3</v>
      </c>
      <c r="N4559">
        <v>2908.77</v>
      </c>
    </row>
    <row r="4560" spans="1:14" x14ac:dyDescent="0.2">
      <c r="A4560" s="1">
        <v>45853</v>
      </c>
      <c r="B4560" s="2" t="s">
        <v>33</v>
      </c>
      <c r="C4560" s="2" t="s">
        <v>32</v>
      </c>
      <c r="D4560" s="2" t="s">
        <v>22</v>
      </c>
      <c r="E4560">
        <v>5573</v>
      </c>
      <c r="F4560">
        <v>323</v>
      </c>
      <c r="G4560">
        <v>39</v>
      </c>
      <c r="H4560">
        <v>585.89</v>
      </c>
      <c r="I4560">
        <v>4704.8500000000004</v>
      </c>
      <c r="J4560">
        <v>5.8</v>
      </c>
      <c r="K4560">
        <v>12.07</v>
      </c>
      <c r="L4560">
        <v>15.02</v>
      </c>
      <c r="M4560">
        <v>8.0299999999999994</v>
      </c>
      <c r="N4560">
        <v>4118.96</v>
      </c>
    </row>
    <row r="4561" spans="1:14" x14ac:dyDescent="0.2">
      <c r="A4561" s="1">
        <v>45853</v>
      </c>
      <c r="B4561" s="2" t="s">
        <v>34</v>
      </c>
      <c r="C4561" s="2" t="s">
        <v>28</v>
      </c>
      <c r="D4561" s="2" t="s">
        <v>36</v>
      </c>
      <c r="E4561">
        <v>5421</v>
      </c>
      <c r="F4561">
        <v>413</v>
      </c>
      <c r="G4561">
        <v>69</v>
      </c>
      <c r="H4561">
        <v>54.79</v>
      </c>
      <c r="I4561">
        <v>9473.7099999999991</v>
      </c>
      <c r="J4561">
        <v>7.62</v>
      </c>
      <c r="K4561">
        <v>16.71</v>
      </c>
      <c r="L4561">
        <v>0.79</v>
      </c>
      <c r="M4561">
        <v>172.91</v>
      </c>
      <c r="N4561">
        <v>9418.92</v>
      </c>
    </row>
    <row r="4562" spans="1:14" x14ac:dyDescent="0.2">
      <c r="A4562" s="1">
        <v>45854</v>
      </c>
      <c r="B4562" s="2" t="s">
        <v>14</v>
      </c>
      <c r="C4562" s="2" t="s">
        <v>18</v>
      </c>
      <c r="D4562" s="2" t="s">
        <v>16</v>
      </c>
      <c r="E4562">
        <v>8307</v>
      </c>
      <c r="F4562">
        <v>257</v>
      </c>
      <c r="G4562">
        <v>20</v>
      </c>
      <c r="H4562">
        <v>681.59</v>
      </c>
      <c r="I4562">
        <v>2400.61</v>
      </c>
      <c r="J4562">
        <v>3.09</v>
      </c>
      <c r="K4562">
        <v>7.78</v>
      </c>
      <c r="L4562">
        <v>34.08</v>
      </c>
      <c r="M4562">
        <v>3.52</v>
      </c>
      <c r="N4562">
        <v>1719.02</v>
      </c>
    </row>
    <row r="4563" spans="1:14" x14ac:dyDescent="0.2">
      <c r="A4563" s="1">
        <v>45854</v>
      </c>
      <c r="B4563" s="2" t="s">
        <v>17</v>
      </c>
      <c r="C4563" s="2" t="s">
        <v>32</v>
      </c>
      <c r="D4563" s="2" t="s">
        <v>19</v>
      </c>
      <c r="E4563">
        <v>10715</v>
      </c>
      <c r="F4563">
        <v>425</v>
      </c>
      <c r="G4563">
        <v>21</v>
      </c>
      <c r="H4563">
        <v>708.6</v>
      </c>
      <c r="I4563">
        <v>1884.37</v>
      </c>
      <c r="J4563">
        <v>3.97</v>
      </c>
      <c r="K4563">
        <v>4.9400000000000004</v>
      </c>
      <c r="L4563">
        <v>33.74</v>
      </c>
      <c r="M4563">
        <v>2.66</v>
      </c>
      <c r="N4563">
        <v>1175.77</v>
      </c>
    </row>
    <row r="4564" spans="1:14" x14ac:dyDescent="0.2">
      <c r="A4564" s="1">
        <v>45854</v>
      </c>
      <c r="B4564" s="2" t="s">
        <v>20</v>
      </c>
      <c r="C4564" s="2" t="s">
        <v>28</v>
      </c>
      <c r="D4564" s="2" t="s">
        <v>22</v>
      </c>
      <c r="E4564">
        <v>14743</v>
      </c>
      <c r="F4564">
        <v>610</v>
      </c>
      <c r="G4564">
        <v>33</v>
      </c>
      <c r="H4564">
        <v>835.95</v>
      </c>
      <c r="I4564">
        <v>3098.73</v>
      </c>
      <c r="J4564">
        <v>4.1399999999999997</v>
      </c>
      <c r="K4564">
        <v>5.41</v>
      </c>
      <c r="L4564">
        <v>25.33</v>
      </c>
      <c r="M4564">
        <v>3.71</v>
      </c>
      <c r="N4564">
        <v>2262.7800000000002</v>
      </c>
    </row>
    <row r="4565" spans="1:14" x14ac:dyDescent="0.2">
      <c r="A4565" s="1">
        <v>45854</v>
      </c>
      <c r="B4565" s="2" t="s">
        <v>23</v>
      </c>
      <c r="C4565" s="2" t="s">
        <v>15</v>
      </c>
      <c r="D4565" s="2" t="s">
        <v>22</v>
      </c>
      <c r="E4565">
        <v>3319</v>
      </c>
      <c r="F4565">
        <v>90</v>
      </c>
      <c r="G4565">
        <v>11</v>
      </c>
      <c r="H4565">
        <v>1308.05</v>
      </c>
      <c r="I4565">
        <v>2951.95</v>
      </c>
      <c r="J4565">
        <v>2.71</v>
      </c>
      <c r="K4565">
        <v>12.22</v>
      </c>
      <c r="L4565">
        <v>118.91</v>
      </c>
      <c r="M4565">
        <v>2.2599999999999998</v>
      </c>
      <c r="N4565">
        <v>1643.9</v>
      </c>
    </row>
    <row r="4566" spans="1:14" x14ac:dyDescent="0.2">
      <c r="A4566" s="1">
        <v>45854</v>
      </c>
      <c r="B4566" s="2" t="s">
        <v>24</v>
      </c>
      <c r="C4566" s="2" t="s">
        <v>28</v>
      </c>
      <c r="D4566" s="2" t="s">
        <v>25</v>
      </c>
      <c r="E4566">
        <v>20764</v>
      </c>
      <c r="F4566">
        <v>4780</v>
      </c>
      <c r="G4566">
        <v>583</v>
      </c>
      <c r="H4566">
        <v>234.69</v>
      </c>
      <c r="I4566">
        <v>64095.89</v>
      </c>
      <c r="J4566">
        <v>23.02</v>
      </c>
      <c r="K4566">
        <v>12.2</v>
      </c>
      <c r="L4566">
        <v>0.4</v>
      </c>
      <c r="M4566">
        <v>273.11</v>
      </c>
      <c r="N4566">
        <v>63861.2</v>
      </c>
    </row>
    <row r="4567" spans="1:14" x14ac:dyDescent="0.2">
      <c r="A4567" s="1">
        <v>45854</v>
      </c>
      <c r="B4567" s="2" t="s">
        <v>26</v>
      </c>
      <c r="C4567" s="2" t="s">
        <v>15</v>
      </c>
      <c r="D4567" s="2" t="s">
        <v>25</v>
      </c>
      <c r="E4567">
        <v>21134</v>
      </c>
      <c r="F4567">
        <v>1123</v>
      </c>
      <c r="G4567">
        <v>153</v>
      </c>
      <c r="H4567">
        <v>0</v>
      </c>
      <c r="I4567">
        <v>16889.3</v>
      </c>
      <c r="J4567">
        <v>5.31</v>
      </c>
      <c r="K4567">
        <v>13.62</v>
      </c>
      <c r="L4567">
        <v>0</v>
      </c>
      <c r="M4567">
        <v>0</v>
      </c>
      <c r="N4567">
        <v>16889.3</v>
      </c>
    </row>
    <row r="4568" spans="1:14" x14ac:dyDescent="0.2">
      <c r="A4568" s="1">
        <v>45854</v>
      </c>
      <c r="B4568" s="2" t="s">
        <v>27</v>
      </c>
      <c r="C4568" s="2" t="s">
        <v>18</v>
      </c>
      <c r="D4568" s="2" t="s">
        <v>19</v>
      </c>
      <c r="E4568">
        <v>33748</v>
      </c>
      <c r="F4568">
        <v>522</v>
      </c>
      <c r="G4568">
        <v>18</v>
      </c>
      <c r="H4568">
        <v>967.99</v>
      </c>
      <c r="I4568">
        <v>2432.66</v>
      </c>
      <c r="J4568">
        <v>1.55</v>
      </c>
      <c r="K4568">
        <v>3.45</v>
      </c>
      <c r="L4568">
        <v>53.78</v>
      </c>
      <c r="M4568">
        <v>2.5099999999999998</v>
      </c>
      <c r="N4568">
        <v>1464.67</v>
      </c>
    </row>
    <row r="4569" spans="1:14" x14ac:dyDescent="0.2">
      <c r="A4569" s="1">
        <v>45854</v>
      </c>
      <c r="B4569" s="2" t="s">
        <v>29</v>
      </c>
      <c r="C4569" s="2" t="s">
        <v>28</v>
      </c>
      <c r="D4569" s="2" t="s">
        <v>36</v>
      </c>
      <c r="E4569">
        <v>15373</v>
      </c>
      <c r="F4569">
        <v>368</v>
      </c>
      <c r="G4569">
        <v>24</v>
      </c>
      <c r="H4569">
        <v>957.42</v>
      </c>
      <c r="I4569">
        <v>3354.73</v>
      </c>
      <c r="J4569">
        <v>2.39</v>
      </c>
      <c r="K4569">
        <v>6.52</v>
      </c>
      <c r="L4569">
        <v>39.89</v>
      </c>
      <c r="M4569">
        <v>3.5</v>
      </c>
      <c r="N4569">
        <v>2397.31</v>
      </c>
    </row>
    <row r="4570" spans="1:14" x14ac:dyDescent="0.2">
      <c r="A4570" s="1">
        <v>45854</v>
      </c>
      <c r="B4570" s="2" t="s">
        <v>30</v>
      </c>
      <c r="C4570" s="2" t="s">
        <v>18</v>
      </c>
      <c r="D4570" s="2" t="s">
        <v>36</v>
      </c>
      <c r="E4570">
        <v>10574</v>
      </c>
      <c r="F4570">
        <v>261</v>
      </c>
      <c r="G4570">
        <v>10</v>
      </c>
      <c r="H4570">
        <v>374.37</v>
      </c>
      <c r="I4570">
        <v>959.44</v>
      </c>
      <c r="J4570">
        <v>2.4700000000000002</v>
      </c>
      <c r="K4570">
        <v>3.83</v>
      </c>
      <c r="L4570">
        <v>37.44</v>
      </c>
      <c r="M4570">
        <v>2.56</v>
      </c>
      <c r="N4570">
        <v>585.07000000000005</v>
      </c>
    </row>
    <row r="4571" spans="1:14" x14ac:dyDescent="0.2">
      <c r="A4571" s="1">
        <v>45854</v>
      </c>
      <c r="B4571" s="2" t="s">
        <v>31</v>
      </c>
      <c r="C4571" s="2" t="s">
        <v>35</v>
      </c>
      <c r="D4571" s="2" t="s">
        <v>22</v>
      </c>
      <c r="E4571">
        <v>17557</v>
      </c>
      <c r="F4571">
        <v>689</v>
      </c>
      <c r="G4571">
        <v>34</v>
      </c>
      <c r="H4571">
        <v>516.52</v>
      </c>
      <c r="I4571">
        <v>3280.54</v>
      </c>
      <c r="J4571">
        <v>3.92</v>
      </c>
      <c r="K4571">
        <v>4.93</v>
      </c>
      <c r="L4571">
        <v>15.19</v>
      </c>
      <c r="M4571">
        <v>6.35</v>
      </c>
      <c r="N4571">
        <v>2764.02</v>
      </c>
    </row>
    <row r="4572" spans="1:14" x14ac:dyDescent="0.2">
      <c r="A4572" s="1">
        <v>45854</v>
      </c>
      <c r="B4572" s="2" t="s">
        <v>33</v>
      </c>
      <c r="C4572" s="2" t="s">
        <v>21</v>
      </c>
      <c r="D4572" s="2" t="s">
        <v>19</v>
      </c>
      <c r="E4572">
        <v>5806</v>
      </c>
      <c r="F4572">
        <v>268</v>
      </c>
      <c r="G4572">
        <v>30</v>
      </c>
      <c r="H4572">
        <v>463.63</v>
      </c>
      <c r="I4572">
        <v>4392.9799999999996</v>
      </c>
      <c r="J4572">
        <v>4.62</v>
      </c>
      <c r="K4572">
        <v>11.19</v>
      </c>
      <c r="L4572">
        <v>15.45</v>
      </c>
      <c r="M4572">
        <v>9.48</v>
      </c>
      <c r="N4572">
        <v>3929.35</v>
      </c>
    </row>
    <row r="4573" spans="1:14" x14ac:dyDescent="0.2">
      <c r="A4573" s="1">
        <v>45854</v>
      </c>
      <c r="B4573" s="2" t="s">
        <v>34</v>
      </c>
      <c r="C4573" s="2" t="s">
        <v>21</v>
      </c>
      <c r="D4573" s="2" t="s">
        <v>25</v>
      </c>
      <c r="E4573">
        <v>3264</v>
      </c>
      <c r="F4573">
        <v>280</v>
      </c>
      <c r="G4573">
        <v>45</v>
      </c>
      <c r="H4573">
        <v>129.18</v>
      </c>
      <c r="I4573">
        <v>8494.19</v>
      </c>
      <c r="J4573">
        <v>8.58</v>
      </c>
      <c r="K4573">
        <v>16.07</v>
      </c>
      <c r="L4573">
        <v>2.87</v>
      </c>
      <c r="M4573">
        <v>65.75</v>
      </c>
      <c r="N4573">
        <v>8365.01</v>
      </c>
    </row>
    <row r="4574" spans="1:14" x14ac:dyDescent="0.2">
      <c r="A4574" s="1">
        <v>45855</v>
      </c>
      <c r="B4574" s="2" t="s">
        <v>14</v>
      </c>
      <c r="C4574" s="2" t="s">
        <v>28</v>
      </c>
      <c r="D4574" s="2" t="s">
        <v>19</v>
      </c>
      <c r="E4574">
        <v>9886</v>
      </c>
      <c r="F4574">
        <v>344</v>
      </c>
      <c r="G4574">
        <v>37</v>
      </c>
      <c r="H4574">
        <v>740.98</v>
      </c>
      <c r="I4574">
        <v>5326.95</v>
      </c>
      <c r="J4574">
        <v>3.48</v>
      </c>
      <c r="K4574">
        <v>10.76</v>
      </c>
      <c r="L4574">
        <v>20.03</v>
      </c>
      <c r="M4574">
        <v>7.19</v>
      </c>
      <c r="N4574">
        <v>4585.97</v>
      </c>
    </row>
    <row r="4575" spans="1:14" x14ac:dyDescent="0.2">
      <c r="A4575" s="1">
        <v>45855</v>
      </c>
      <c r="B4575" s="2" t="s">
        <v>17</v>
      </c>
      <c r="C4575" s="2" t="s">
        <v>32</v>
      </c>
      <c r="D4575" s="2" t="s">
        <v>16</v>
      </c>
      <c r="E4575">
        <v>15634</v>
      </c>
      <c r="F4575">
        <v>425</v>
      </c>
      <c r="G4575">
        <v>28</v>
      </c>
      <c r="H4575">
        <v>738.97</v>
      </c>
      <c r="I4575">
        <v>3169.75</v>
      </c>
      <c r="J4575">
        <v>2.72</v>
      </c>
      <c r="K4575">
        <v>6.59</v>
      </c>
      <c r="L4575">
        <v>26.39</v>
      </c>
      <c r="M4575">
        <v>4.29</v>
      </c>
      <c r="N4575">
        <v>2430.7800000000002</v>
      </c>
    </row>
    <row r="4576" spans="1:14" x14ac:dyDescent="0.2">
      <c r="A4576" s="1">
        <v>45855</v>
      </c>
      <c r="B4576" s="2" t="s">
        <v>20</v>
      </c>
      <c r="C4576" s="2" t="s">
        <v>32</v>
      </c>
      <c r="D4576" s="2" t="s">
        <v>16</v>
      </c>
      <c r="E4576">
        <v>13749</v>
      </c>
      <c r="F4576">
        <v>494</v>
      </c>
      <c r="G4576">
        <v>33</v>
      </c>
      <c r="H4576">
        <v>734.48</v>
      </c>
      <c r="I4576">
        <v>3286.74</v>
      </c>
      <c r="J4576">
        <v>3.59</v>
      </c>
      <c r="K4576">
        <v>6.68</v>
      </c>
      <c r="L4576">
        <v>22.26</v>
      </c>
      <c r="M4576">
        <v>4.47</v>
      </c>
      <c r="N4576">
        <v>2552.2600000000002</v>
      </c>
    </row>
    <row r="4577" spans="1:14" x14ac:dyDescent="0.2">
      <c r="A4577" s="1">
        <v>45855</v>
      </c>
      <c r="B4577" s="2" t="s">
        <v>23</v>
      </c>
      <c r="C4577" s="2" t="s">
        <v>18</v>
      </c>
      <c r="D4577" s="2" t="s">
        <v>25</v>
      </c>
      <c r="E4577">
        <v>5071</v>
      </c>
      <c r="F4577">
        <v>117</v>
      </c>
      <c r="G4577">
        <v>11</v>
      </c>
      <c r="H4577">
        <v>880.72</v>
      </c>
      <c r="I4577">
        <v>2397.77</v>
      </c>
      <c r="J4577">
        <v>2.31</v>
      </c>
      <c r="K4577">
        <v>9.4</v>
      </c>
      <c r="L4577">
        <v>80.069999999999993</v>
      </c>
      <c r="M4577">
        <v>2.72</v>
      </c>
      <c r="N4577">
        <v>1517.05</v>
      </c>
    </row>
    <row r="4578" spans="1:14" x14ac:dyDescent="0.2">
      <c r="A4578" s="1">
        <v>45855</v>
      </c>
      <c r="B4578" s="2" t="s">
        <v>24</v>
      </c>
      <c r="C4578" s="2" t="s">
        <v>18</v>
      </c>
      <c r="D4578" s="2" t="s">
        <v>25</v>
      </c>
      <c r="E4578">
        <v>16341</v>
      </c>
      <c r="F4578">
        <v>3223</v>
      </c>
      <c r="G4578">
        <v>341</v>
      </c>
      <c r="H4578">
        <v>200.48</v>
      </c>
      <c r="I4578">
        <v>39392.089999999997</v>
      </c>
      <c r="J4578">
        <v>19.72</v>
      </c>
      <c r="K4578">
        <v>10.58</v>
      </c>
      <c r="L4578">
        <v>0.59</v>
      </c>
      <c r="M4578">
        <v>196.49</v>
      </c>
      <c r="N4578">
        <v>39191.61</v>
      </c>
    </row>
    <row r="4579" spans="1:14" x14ac:dyDescent="0.2">
      <c r="A4579" s="1">
        <v>45855</v>
      </c>
      <c r="B4579" s="2" t="s">
        <v>26</v>
      </c>
      <c r="C4579" s="2" t="s">
        <v>28</v>
      </c>
      <c r="D4579" s="2" t="s">
        <v>36</v>
      </c>
      <c r="E4579">
        <v>18859</v>
      </c>
      <c r="F4579">
        <v>753</v>
      </c>
      <c r="G4579">
        <v>77</v>
      </c>
      <c r="H4579">
        <v>0</v>
      </c>
      <c r="I4579">
        <v>10850.45</v>
      </c>
      <c r="J4579">
        <v>3.99</v>
      </c>
      <c r="K4579">
        <v>10.23</v>
      </c>
      <c r="L4579">
        <v>0</v>
      </c>
      <c r="M4579">
        <v>0</v>
      </c>
      <c r="N4579">
        <v>10850.45</v>
      </c>
    </row>
    <row r="4580" spans="1:14" x14ac:dyDescent="0.2">
      <c r="A4580" s="1">
        <v>45855</v>
      </c>
      <c r="B4580" s="2" t="s">
        <v>27</v>
      </c>
      <c r="C4580" s="2" t="s">
        <v>18</v>
      </c>
      <c r="D4580" s="2" t="s">
        <v>36</v>
      </c>
      <c r="E4580">
        <v>29305</v>
      </c>
      <c r="F4580">
        <v>396</v>
      </c>
      <c r="G4580">
        <v>18</v>
      </c>
      <c r="H4580">
        <v>859.96</v>
      </c>
      <c r="I4580">
        <v>2300.29</v>
      </c>
      <c r="J4580">
        <v>1.35</v>
      </c>
      <c r="K4580">
        <v>4.55</v>
      </c>
      <c r="L4580">
        <v>47.78</v>
      </c>
      <c r="M4580">
        <v>2.67</v>
      </c>
      <c r="N4580">
        <v>1440.33</v>
      </c>
    </row>
    <row r="4581" spans="1:14" x14ac:dyDescent="0.2">
      <c r="A4581" s="1">
        <v>45855</v>
      </c>
      <c r="B4581" s="2" t="s">
        <v>29</v>
      </c>
      <c r="C4581" s="2" t="s">
        <v>15</v>
      </c>
      <c r="D4581" s="2" t="s">
        <v>25</v>
      </c>
      <c r="E4581">
        <v>20546</v>
      </c>
      <c r="F4581">
        <v>562</v>
      </c>
      <c r="G4581">
        <v>34</v>
      </c>
      <c r="H4581">
        <v>699.62</v>
      </c>
      <c r="I4581">
        <v>3699.13</v>
      </c>
      <c r="J4581">
        <v>2.74</v>
      </c>
      <c r="K4581">
        <v>6.05</v>
      </c>
      <c r="L4581">
        <v>20.58</v>
      </c>
      <c r="M4581">
        <v>5.29</v>
      </c>
      <c r="N4581">
        <v>2999.51</v>
      </c>
    </row>
    <row r="4582" spans="1:14" x14ac:dyDescent="0.2">
      <c r="A4582" s="1">
        <v>45855</v>
      </c>
      <c r="B4582" s="2" t="s">
        <v>30</v>
      </c>
      <c r="C4582" s="2" t="s">
        <v>35</v>
      </c>
      <c r="D4582" s="2" t="s">
        <v>19</v>
      </c>
      <c r="E4582">
        <v>8875</v>
      </c>
      <c r="F4582">
        <v>270</v>
      </c>
      <c r="G4582">
        <v>11</v>
      </c>
      <c r="H4582">
        <v>616.22</v>
      </c>
      <c r="I4582">
        <v>1311.76</v>
      </c>
      <c r="J4582">
        <v>3.04</v>
      </c>
      <c r="K4582">
        <v>4.07</v>
      </c>
      <c r="L4582">
        <v>56.02</v>
      </c>
      <c r="M4582">
        <v>2.13</v>
      </c>
      <c r="N4582">
        <v>695.54</v>
      </c>
    </row>
    <row r="4583" spans="1:14" x14ac:dyDescent="0.2">
      <c r="A4583" s="1">
        <v>45855</v>
      </c>
      <c r="B4583" s="2" t="s">
        <v>31</v>
      </c>
      <c r="C4583" s="2" t="s">
        <v>35</v>
      </c>
      <c r="D4583" s="2" t="s">
        <v>25</v>
      </c>
      <c r="E4583">
        <v>16494</v>
      </c>
      <c r="F4583">
        <v>677</v>
      </c>
      <c r="G4583">
        <v>39</v>
      </c>
      <c r="H4583">
        <v>721.78</v>
      </c>
      <c r="I4583">
        <v>3585.18</v>
      </c>
      <c r="J4583">
        <v>4.0999999999999996</v>
      </c>
      <c r="K4583">
        <v>5.76</v>
      </c>
      <c r="L4583">
        <v>18.510000000000002</v>
      </c>
      <c r="M4583">
        <v>4.97</v>
      </c>
      <c r="N4583">
        <v>2863.4</v>
      </c>
    </row>
    <row r="4584" spans="1:14" x14ac:dyDescent="0.2">
      <c r="A4584" s="1">
        <v>45855</v>
      </c>
      <c r="B4584" s="2" t="s">
        <v>33</v>
      </c>
      <c r="C4584" s="2" t="s">
        <v>18</v>
      </c>
      <c r="D4584" s="2" t="s">
        <v>25</v>
      </c>
      <c r="E4584">
        <v>4632</v>
      </c>
      <c r="F4584">
        <v>237</v>
      </c>
      <c r="G4584">
        <v>22</v>
      </c>
      <c r="H4584">
        <v>414.28</v>
      </c>
      <c r="I4584">
        <v>2522.12</v>
      </c>
      <c r="J4584">
        <v>5.12</v>
      </c>
      <c r="K4584">
        <v>9.2799999999999994</v>
      </c>
      <c r="L4584">
        <v>18.829999999999998</v>
      </c>
      <c r="M4584">
        <v>6.09</v>
      </c>
      <c r="N4584">
        <v>2107.84</v>
      </c>
    </row>
    <row r="4585" spans="1:14" x14ac:dyDescent="0.2">
      <c r="A4585" s="1">
        <v>45855</v>
      </c>
      <c r="B4585" s="2" t="s">
        <v>34</v>
      </c>
      <c r="C4585" s="2" t="s">
        <v>18</v>
      </c>
      <c r="D4585" s="2" t="s">
        <v>16</v>
      </c>
      <c r="E4585">
        <v>4376</v>
      </c>
      <c r="F4585">
        <v>276</v>
      </c>
      <c r="G4585">
        <v>45</v>
      </c>
      <c r="H4585">
        <v>123.21</v>
      </c>
      <c r="I4585">
        <v>5828.88</v>
      </c>
      <c r="J4585">
        <v>6.31</v>
      </c>
      <c r="K4585">
        <v>16.3</v>
      </c>
      <c r="L4585">
        <v>2.74</v>
      </c>
      <c r="M4585">
        <v>47.31</v>
      </c>
      <c r="N4585">
        <v>5705.67</v>
      </c>
    </row>
    <row r="4586" spans="1:14" x14ac:dyDescent="0.2">
      <c r="A4586" s="1">
        <v>45856</v>
      </c>
      <c r="B4586" s="2" t="s">
        <v>14</v>
      </c>
      <c r="C4586" s="2" t="s">
        <v>15</v>
      </c>
      <c r="D4586" s="2" t="s">
        <v>36</v>
      </c>
      <c r="E4586">
        <v>11132</v>
      </c>
      <c r="F4586">
        <v>428</v>
      </c>
      <c r="G4586">
        <v>37</v>
      </c>
      <c r="H4586">
        <v>883.85</v>
      </c>
      <c r="I4586">
        <v>5107.99</v>
      </c>
      <c r="J4586">
        <v>3.84</v>
      </c>
      <c r="K4586">
        <v>8.64</v>
      </c>
      <c r="L4586">
        <v>23.89</v>
      </c>
      <c r="M4586">
        <v>5.78</v>
      </c>
      <c r="N4586">
        <v>4224.1400000000003</v>
      </c>
    </row>
    <row r="4587" spans="1:14" x14ac:dyDescent="0.2">
      <c r="A4587" s="1">
        <v>45856</v>
      </c>
      <c r="B4587" s="2" t="s">
        <v>17</v>
      </c>
      <c r="C4587" s="2" t="s">
        <v>21</v>
      </c>
      <c r="D4587" s="2" t="s">
        <v>22</v>
      </c>
      <c r="E4587">
        <v>15050</v>
      </c>
      <c r="F4587">
        <v>593</v>
      </c>
      <c r="G4587">
        <v>35</v>
      </c>
      <c r="H4587">
        <v>860.24</v>
      </c>
      <c r="I4587">
        <v>4505.12</v>
      </c>
      <c r="J4587">
        <v>3.94</v>
      </c>
      <c r="K4587">
        <v>5.9</v>
      </c>
      <c r="L4587">
        <v>24.58</v>
      </c>
      <c r="M4587">
        <v>5.24</v>
      </c>
      <c r="N4587">
        <v>3644.88</v>
      </c>
    </row>
    <row r="4588" spans="1:14" x14ac:dyDescent="0.2">
      <c r="A4588" s="1">
        <v>45856</v>
      </c>
      <c r="B4588" s="2" t="s">
        <v>20</v>
      </c>
      <c r="C4588" s="2" t="s">
        <v>28</v>
      </c>
      <c r="D4588" s="2" t="s">
        <v>16</v>
      </c>
      <c r="E4588">
        <v>9978</v>
      </c>
      <c r="F4588">
        <v>283</v>
      </c>
      <c r="G4588">
        <v>22</v>
      </c>
      <c r="H4588">
        <v>541.64</v>
      </c>
      <c r="I4588">
        <v>1818.08</v>
      </c>
      <c r="J4588">
        <v>2.84</v>
      </c>
      <c r="K4588">
        <v>7.77</v>
      </c>
      <c r="L4588">
        <v>24.62</v>
      </c>
      <c r="M4588">
        <v>3.36</v>
      </c>
      <c r="N4588">
        <v>1276.44</v>
      </c>
    </row>
    <row r="4589" spans="1:14" x14ac:dyDescent="0.2">
      <c r="A4589" s="1">
        <v>45856</v>
      </c>
      <c r="B4589" s="2" t="s">
        <v>23</v>
      </c>
      <c r="C4589" s="2" t="s">
        <v>18</v>
      </c>
      <c r="D4589" s="2" t="s">
        <v>36</v>
      </c>
      <c r="E4589">
        <v>2963</v>
      </c>
      <c r="F4589">
        <v>70</v>
      </c>
      <c r="G4589">
        <v>9</v>
      </c>
      <c r="H4589">
        <v>1083.75</v>
      </c>
      <c r="I4589">
        <v>2850.95</v>
      </c>
      <c r="J4589">
        <v>2.36</v>
      </c>
      <c r="K4589">
        <v>12.86</v>
      </c>
      <c r="L4589">
        <v>120.42</v>
      </c>
      <c r="M4589">
        <v>2.63</v>
      </c>
      <c r="N4589">
        <v>1767.2</v>
      </c>
    </row>
    <row r="4590" spans="1:14" x14ac:dyDescent="0.2">
      <c r="A4590" s="1">
        <v>45856</v>
      </c>
      <c r="B4590" s="2" t="s">
        <v>24</v>
      </c>
      <c r="C4590" s="2" t="s">
        <v>15</v>
      </c>
      <c r="D4590" s="2" t="s">
        <v>19</v>
      </c>
      <c r="E4590">
        <v>18904</v>
      </c>
      <c r="F4590">
        <v>4405</v>
      </c>
      <c r="G4590">
        <v>375</v>
      </c>
      <c r="H4590">
        <v>199.77</v>
      </c>
      <c r="I4590">
        <v>39994.15</v>
      </c>
      <c r="J4590">
        <v>23.3</v>
      </c>
      <c r="K4590">
        <v>8.51</v>
      </c>
      <c r="L4590">
        <v>0.53</v>
      </c>
      <c r="M4590">
        <v>200.2</v>
      </c>
      <c r="N4590">
        <v>39794.379999999997</v>
      </c>
    </row>
    <row r="4591" spans="1:14" x14ac:dyDescent="0.2">
      <c r="A4591" s="1">
        <v>45856</v>
      </c>
      <c r="B4591" s="2" t="s">
        <v>26</v>
      </c>
      <c r="C4591" s="2" t="s">
        <v>35</v>
      </c>
      <c r="D4591" s="2" t="s">
        <v>25</v>
      </c>
      <c r="E4591">
        <v>21174</v>
      </c>
      <c r="F4591">
        <v>1013</v>
      </c>
      <c r="G4591">
        <v>113</v>
      </c>
      <c r="H4591">
        <v>0</v>
      </c>
      <c r="I4591">
        <v>15743.73</v>
      </c>
      <c r="J4591">
        <v>4.78</v>
      </c>
      <c r="K4591">
        <v>11.15</v>
      </c>
      <c r="L4591">
        <v>0</v>
      </c>
      <c r="M4591">
        <v>0</v>
      </c>
      <c r="N4591">
        <v>15743.73</v>
      </c>
    </row>
    <row r="4592" spans="1:14" x14ac:dyDescent="0.2">
      <c r="A4592" s="1">
        <v>45856</v>
      </c>
      <c r="B4592" s="2" t="s">
        <v>27</v>
      </c>
      <c r="C4592" s="2" t="s">
        <v>15</v>
      </c>
      <c r="D4592" s="2" t="s">
        <v>36</v>
      </c>
      <c r="E4592">
        <v>22946</v>
      </c>
      <c r="F4592">
        <v>277</v>
      </c>
      <c r="G4592">
        <v>10</v>
      </c>
      <c r="H4592">
        <v>827.78</v>
      </c>
      <c r="I4592">
        <v>1213.51</v>
      </c>
      <c r="J4592">
        <v>1.21</v>
      </c>
      <c r="K4592">
        <v>3.61</v>
      </c>
      <c r="L4592">
        <v>82.78</v>
      </c>
      <c r="M4592">
        <v>1.47</v>
      </c>
      <c r="N4592">
        <v>385.73</v>
      </c>
    </row>
    <row r="4593" spans="1:14" x14ac:dyDescent="0.2">
      <c r="A4593" s="1">
        <v>45856</v>
      </c>
      <c r="B4593" s="2" t="s">
        <v>29</v>
      </c>
      <c r="C4593" s="2" t="s">
        <v>15</v>
      </c>
      <c r="D4593" s="2" t="s">
        <v>36</v>
      </c>
      <c r="E4593">
        <v>15044</v>
      </c>
      <c r="F4593">
        <v>436</v>
      </c>
      <c r="G4593">
        <v>30</v>
      </c>
      <c r="H4593">
        <v>895.78</v>
      </c>
      <c r="I4593">
        <v>4042.23</v>
      </c>
      <c r="J4593">
        <v>2.9</v>
      </c>
      <c r="K4593">
        <v>6.88</v>
      </c>
      <c r="L4593">
        <v>29.86</v>
      </c>
      <c r="M4593">
        <v>4.51</v>
      </c>
      <c r="N4593">
        <v>3146.45</v>
      </c>
    </row>
    <row r="4594" spans="1:14" x14ac:dyDescent="0.2">
      <c r="A4594" s="1">
        <v>45856</v>
      </c>
      <c r="B4594" s="2" t="s">
        <v>30</v>
      </c>
      <c r="C4594" s="2" t="s">
        <v>32</v>
      </c>
      <c r="D4594" s="2" t="s">
        <v>19</v>
      </c>
      <c r="E4594">
        <v>7748</v>
      </c>
      <c r="F4594">
        <v>269</v>
      </c>
      <c r="G4594">
        <v>10</v>
      </c>
      <c r="H4594">
        <v>574.11</v>
      </c>
      <c r="I4594">
        <v>871.97</v>
      </c>
      <c r="J4594">
        <v>3.47</v>
      </c>
      <c r="K4594">
        <v>3.72</v>
      </c>
      <c r="L4594">
        <v>57.41</v>
      </c>
      <c r="M4594">
        <v>1.52</v>
      </c>
      <c r="N4594">
        <v>297.86</v>
      </c>
    </row>
    <row r="4595" spans="1:14" x14ac:dyDescent="0.2">
      <c r="A4595" s="1">
        <v>45856</v>
      </c>
      <c r="B4595" s="2" t="s">
        <v>31</v>
      </c>
      <c r="C4595" s="2" t="s">
        <v>35</v>
      </c>
      <c r="D4595" s="2" t="s">
        <v>22</v>
      </c>
      <c r="E4595">
        <v>17525</v>
      </c>
      <c r="F4595">
        <v>576</v>
      </c>
      <c r="G4595">
        <v>35</v>
      </c>
      <c r="H4595">
        <v>628.35</v>
      </c>
      <c r="I4595">
        <v>3242.08</v>
      </c>
      <c r="J4595">
        <v>3.29</v>
      </c>
      <c r="K4595">
        <v>6.08</v>
      </c>
      <c r="L4595">
        <v>17.95</v>
      </c>
      <c r="M4595">
        <v>5.16</v>
      </c>
      <c r="N4595">
        <v>2613.73</v>
      </c>
    </row>
    <row r="4596" spans="1:14" x14ac:dyDescent="0.2">
      <c r="A4596" s="1">
        <v>45856</v>
      </c>
      <c r="B4596" s="2" t="s">
        <v>33</v>
      </c>
      <c r="C4596" s="2" t="s">
        <v>21</v>
      </c>
      <c r="D4596" s="2" t="s">
        <v>22</v>
      </c>
      <c r="E4596">
        <v>7564</v>
      </c>
      <c r="F4596">
        <v>523</v>
      </c>
      <c r="G4596">
        <v>52</v>
      </c>
      <c r="H4596">
        <v>430.55</v>
      </c>
      <c r="I4596">
        <v>7090.37</v>
      </c>
      <c r="J4596">
        <v>6.91</v>
      </c>
      <c r="K4596">
        <v>9.94</v>
      </c>
      <c r="L4596">
        <v>8.2799999999999994</v>
      </c>
      <c r="M4596">
        <v>16.47</v>
      </c>
      <c r="N4596">
        <v>6659.82</v>
      </c>
    </row>
    <row r="4597" spans="1:14" x14ac:dyDescent="0.2">
      <c r="A4597" s="1">
        <v>45856</v>
      </c>
      <c r="B4597" s="2" t="s">
        <v>34</v>
      </c>
      <c r="C4597" s="2" t="s">
        <v>18</v>
      </c>
      <c r="D4597" s="2" t="s">
        <v>25</v>
      </c>
      <c r="E4597">
        <v>4555</v>
      </c>
      <c r="F4597">
        <v>278</v>
      </c>
      <c r="G4597">
        <v>38</v>
      </c>
      <c r="H4597">
        <v>131.58000000000001</v>
      </c>
      <c r="I4597">
        <v>5605.4</v>
      </c>
      <c r="J4597">
        <v>6.1</v>
      </c>
      <c r="K4597">
        <v>13.67</v>
      </c>
      <c r="L4597">
        <v>3.46</v>
      </c>
      <c r="M4597">
        <v>42.6</v>
      </c>
      <c r="N4597">
        <v>5473.82</v>
      </c>
    </row>
    <row r="4598" spans="1:14" x14ac:dyDescent="0.2">
      <c r="A4598" s="1">
        <v>45857</v>
      </c>
      <c r="B4598" s="2" t="s">
        <v>14</v>
      </c>
      <c r="C4598" s="2" t="s">
        <v>35</v>
      </c>
      <c r="D4598" s="2" t="s">
        <v>16</v>
      </c>
      <c r="E4598">
        <v>7074</v>
      </c>
      <c r="F4598">
        <v>232</v>
      </c>
      <c r="G4598">
        <v>26</v>
      </c>
      <c r="H4598">
        <v>732.6</v>
      </c>
      <c r="I4598">
        <v>4152.57</v>
      </c>
      <c r="J4598">
        <v>3.28</v>
      </c>
      <c r="K4598">
        <v>11.21</v>
      </c>
      <c r="L4598">
        <v>28.18</v>
      </c>
      <c r="M4598">
        <v>5.67</v>
      </c>
      <c r="N4598">
        <v>3419.97</v>
      </c>
    </row>
    <row r="4599" spans="1:14" x14ac:dyDescent="0.2">
      <c r="A4599" s="1">
        <v>45857</v>
      </c>
      <c r="B4599" s="2" t="s">
        <v>17</v>
      </c>
      <c r="C4599" s="2" t="s">
        <v>28</v>
      </c>
      <c r="D4599" s="2" t="s">
        <v>25</v>
      </c>
      <c r="E4599">
        <v>8925</v>
      </c>
      <c r="F4599">
        <v>342</v>
      </c>
      <c r="G4599">
        <v>20</v>
      </c>
      <c r="H4599">
        <v>632.71</v>
      </c>
      <c r="I4599">
        <v>1834.95</v>
      </c>
      <c r="J4599">
        <v>3.83</v>
      </c>
      <c r="K4599">
        <v>5.85</v>
      </c>
      <c r="L4599">
        <v>31.64</v>
      </c>
      <c r="M4599">
        <v>2.9</v>
      </c>
      <c r="N4599">
        <v>1202.24</v>
      </c>
    </row>
    <row r="4600" spans="1:14" x14ac:dyDescent="0.2">
      <c r="A4600" s="1">
        <v>45857</v>
      </c>
      <c r="B4600" s="2" t="s">
        <v>20</v>
      </c>
      <c r="C4600" s="2" t="s">
        <v>18</v>
      </c>
      <c r="D4600" s="2" t="s">
        <v>16</v>
      </c>
      <c r="E4600">
        <v>9127</v>
      </c>
      <c r="F4600">
        <v>368</v>
      </c>
      <c r="G4600">
        <v>17</v>
      </c>
      <c r="H4600">
        <v>479.92</v>
      </c>
      <c r="I4600">
        <v>1547.92</v>
      </c>
      <c r="J4600">
        <v>4.03</v>
      </c>
      <c r="K4600">
        <v>4.62</v>
      </c>
      <c r="L4600">
        <v>28.23</v>
      </c>
      <c r="M4600">
        <v>3.23</v>
      </c>
      <c r="N4600">
        <v>1068</v>
      </c>
    </row>
    <row r="4601" spans="1:14" x14ac:dyDescent="0.2">
      <c r="A4601" s="1">
        <v>45857</v>
      </c>
      <c r="B4601" s="2" t="s">
        <v>23</v>
      </c>
      <c r="C4601" s="2" t="s">
        <v>28</v>
      </c>
      <c r="D4601" s="2" t="s">
        <v>16</v>
      </c>
      <c r="E4601">
        <v>2148</v>
      </c>
      <c r="F4601">
        <v>35</v>
      </c>
      <c r="G4601">
        <v>3</v>
      </c>
      <c r="H4601">
        <v>878.97</v>
      </c>
      <c r="I4601">
        <v>618.80999999999995</v>
      </c>
      <c r="J4601">
        <v>1.63</v>
      </c>
      <c r="K4601">
        <v>8.57</v>
      </c>
      <c r="L4601">
        <v>292.99</v>
      </c>
      <c r="M4601">
        <v>0.7</v>
      </c>
      <c r="N4601">
        <v>-260.16000000000003</v>
      </c>
    </row>
    <row r="4602" spans="1:14" x14ac:dyDescent="0.2">
      <c r="A4602" s="1">
        <v>45857</v>
      </c>
      <c r="B4602" s="2" t="s">
        <v>24</v>
      </c>
      <c r="C4602" s="2" t="s">
        <v>18</v>
      </c>
      <c r="D4602" s="2" t="s">
        <v>22</v>
      </c>
      <c r="E4602">
        <v>10832</v>
      </c>
      <c r="F4602">
        <v>2344</v>
      </c>
      <c r="G4602">
        <v>246</v>
      </c>
      <c r="H4602">
        <v>161.28</v>
      </c>
      <c r="I4602">
        <v>38833.370000000003</v>
      </c>
      <c r="J4602">
        <v>21.64</v>
      </c>
      <c r="K4602">
        <v>10.49</v>
      </c>
      <c r="L4602">
        <v>0.66</v>
      </c>
      <c r="M4602">
        <v>240.78</v>
      </c>
      <c r="N4602">
        <v>38672.089999999997</v>
      </c>
    </row>
    <row r="4603" spans="1:14" x14ac:dyDescent="0.2">
      <c r="A4603" s="1">
        <v>45857</v>
      </c>
      <c r="B4603" s="2" t="s">
        <v>26</v>
      </c>
      <c r="C4603" s="2" t="s">
        <v>15</v>
      </c>
      <c r="D4603" s="2" t="s">
        <v>36</v>
      </c>
      <c r="E4603">
        <v>15288</v>
      </c>
      <c r="F4603">
        <v>1134</v>
      </c>
      <c r="G4603">
        <v>148</v>
      </c>
      <c r="H4603">
        <v>0</v>
      </c>
      <c r="I4603">
        <v>17776.18</v>
      </c>
      <c r="J4603">
        <v>7.42</v>
      </c>
      <c r="K4603">
        <v>13.05</v>
      </c>
      <c r="L4603">
        <v>0</v>
      </c>
      <c r="M4603">
        <v>0</v>
      </c>
      <c r="N4603">
        <v>17776.18</v>
      </c>
    </row>
    <row r="4604" spans="1:14" x14ac:dyDescent="0.2">
      <c r="A4604" s="1">
        <v>45857</v>
      </c>
      <c r="B4604" s="2" t="s">
        <v>27</v>
      </c>
      <c r="C4604" s="2" t="s">
        <v>28</v>
      </c>
      <c r="D4604" s="2" t="s">
        <v>36</v>
      </c>
      <c r="E4604">
        <v>17108</v>
      </c>
      <c r="F4604">
        <v>260</v>
      </c>
      <c r="G4604">
        <v>5</v>
      </c>
      <c r="H4604">
        <v>700.57</v>
      </c>
      <c r="I4604">
        <v>452.71</v>
      </c>
      <c r="J4604">
        <v>1.52</v>
      </c>
      <c r="K4604">
        <v>1.92</v>
      </c>
      <c r="L4604">
        <v>140.11000000000001</v>
      </c>
      <c r="M4604">
        <v>0.65</v>
      </c>
      <c r="N4604">
        <v>-247.86</v>
      </c>
    </row>
    <row r="4605" spans="1:14" x14ac:dyDescent="0.2">
      <c r="A4605" s="1">
        <v>45857</v>
      </c>
      <c r="B4605" s="2" t="s">
        <v>29</v>
      </c>
      <c r="C4605" s="2" t="s">
        <v>15</v>
      </c>
      <c r="D4605" s="2" t="s">
        <v>25</v>
      </c>
      <c r="E4605">
        <v>14645</v>
      </c>
      <c r="F4605">
        <v>301</v>
      </c>
      <c r="G4605">
        <v>19</v>
      </c>
      <c r="H4605">
        <v>689.62</v>
      </c>
      <c r="I4605">
        <v>2019.28</v>
      </c>
      <c r="J4605">
        <v>2.06</v>
      </c>
      <c r="K4605">
        <v>6.31</v>
      </c>
      <c r="L4605">
        <v>36.299999999999997</v>
      </c>
      <c r="M4605">
        <v>2.93</v>
      </c>
      <c r="N4605">
        <v>1329.66</v>
      </c>
    </row>
    <row r="4606" spans="1:14" x14ac:dyDescent="0.2">
      <c r="A4606" s="1">
        <v>45857</v>
      </c>
      <c r="B4606" s="2" t="s">
        <v>30</v>
      </c>
      <c r="C4606" s="2" t="s">
        <v>15</v>
      </c>
      <c r="D4606" s="2" t="s">
        <v>36</v>
      </c>
      <c r="E4606">
        <v>4824</v>
      </c>
      <c r="F4606">
        <v>143</v>
      </c>
      <c r="G4606">
        <v>6</v>
      </c>
      <c r="H4606">
        <v>351.75</v>
      </c>
      <c r="I4606">
        <v>544</v>
      </c>
      <c r="J4606">
        <v>2.96</v>
      </c>
      <c r="K4606">
        <v>4.2</v>
      </c>
      <c r="L4606">
        <v>58.62</v>
      </c>
      <c r="M4606">
        <v>1.55</v>
      </c>
      <c r="N4606">
        <v>192.25</v>
      </c>
    </row>
    <row r="4607" spans="1:14" x14ac:dyDescent="0.2">
      <c r="A4607" s="1">
        <v>45857</v>
      </c>
      <c r="B4607" s="2" t="s">
        <v>31</v>
      </c>
      <c r="C4607" s="2" t="s">
        <v>35</v>
      </c>
      <c r="D4607" s="2" t="s">
        <v>25</v>
      </c>
      <c r="E4607">
        <v>15503</v>
      </c>
      <c r="F4607">
        <v>603</v>
      </c>
      <c r="G4607">
        <v>20</v>
      </c>
      <c r="H4607">
        <v>633.23</v>
      </c>
      <c r="I4607">
        <v>1627.66</v>
      </c>
      <c r="J4607">
        <v>3.89</v>
      </c>
      <c r="K4607">
        <v>3.32</v>
      </c>
      <c r="L4607">
        <v>31.66</v>
      </c>
      <c r="M4607">
        <v>2.57</v>
      </c>
      <c r="N4607">
        <v>994.43</v>
      </c>
    </row>
    <row r="4608" spans="1:14" x14ac:dyDescent="0.2">
      <c r="A4608" s="1">
        <v>45857</v>
      </c>
      <c r="B4608" s="2" t="s">
        <v>33</v>
      </c>
      <c r="C4608" s="2" t="s">
        <v>32</v>
      </c>
      <c r="D4608" s="2" t="s">
        <v>19</v>
      </c>
      <c r="E4608">
        <v>4655</v>
      </c>
      <c r="F4608">
        <v>264</v>
      </c>
      <c r="G4608">
        <v>27</v>
      </c>
      <c r="H4608">
        <v>349.2</v>
      </c>
      <c r="I4608">
        <v>2526.96</v>
      </c>
      <c r="J4608">
        <v>5.67</v>
      </c>
      <c r="K4608">
        <v>10.23</v>
      </c>
      <c r="L4608">
        <v>12.93</v>
      </c>
      <c r="M4608">
        <v>7.24</v>
      </c>
      <c r="N4608">
        <v>2177.7600000000002</v>
      </c>
    </row>
    <row r="4609" spans="1:14" x14ac:dyDescent="0.2">
      <c r="A4609" s="1">
        <v>45857</v>
      </c>
      <c r="B4609" s="2" t="s">
        <v>34</v>
      </c>
      <c r="C4609" s="2" t="s">
        <v>15</v>
      </c>
      <c r="D4609" s="2" t="s">
        <v>36</v>
      </c>
      <c r="E4609">
        <v>2577</v>
      </c>
      <c r="F4609">
        <v>133</v>
      </c>
      <c r="G4609">
        <v>16</v>
      </c>
      <c r="H4609">
        <v>70.599999999999994</v>
      </c>
      <c r="I4609">
        <v>2725.05</v>
      </c>
      <c r="J4609">
        <v>5.16</v>
      </c>
      <c r="K4609">
        <v>12.03</v>
      </c>
      <c r="L4609">
        <v>4.41</v>
      </c>
      <c r="M4609">
        <v>38.6</v>
      </c>
      <c r="N4609">
        <v>2654.45</v>
      </c>
    </row>
    <row r="4610" spans="1:14" x14ac:dyDescent="0.2">
      <c r="A4610" s="1">
        <v>45858</v>
      </c>
      <c r="B4610" s="2" t="s">
        <v>14</v>
      </c>
      <c r="C4610" s="2" t="s">
        <v>35</v>
      </c>
      <c r="D4610" s="2" t="s">
        <v>16</v>
      </c>
      <c r="E4610">
        <v>4953</v>
      </c>
      <c r="F4610">
        <v>236</v>
      </c>
      <c r="G4610">
        <v>26</v>
      </c>
      <c r="H4610">
        <v>614.94000000000005</v>
      </c>
      <c r="I4610">
        <v>3915.84</v>
      </c>
      <c r="J4610">
        <v>4.76</v>
      </c>
      <c r="K4610">
        <v>11.02</v>
      </c>
      <c r="L4610">
        <v>23.65</v>
      </c>
      <c r="M4610">
        <v>6.37</v>
      </c>
      <c r="N4610">
        <v>3300.9</v>
      </c>
    </row>
    <row r="4611" spans="1:14" x14ac:dyDescent="0.2">
      <c r="A4611" s="1">
        <v>45858</v>
      </c>
      <c r="B4611" s="2" t="s">
        <v>17</v>
      </c>
      <c r="C4611" s="2" t="s">
        <v>21</v>
      </c>
      <c r="D4611" s="2" t="s">
        <v>22</v>
      </c>
      <c r="E4611">
        <v>7660</v>
      </c>
      <c r="F4611">
        <v>289</v>
      </c>
      <c r="G4611">
        <v>25</v>
      </c>
      <c r="H4611">
        <v>428.84</v>
      </c>
      <c r="I4611">
        <v>2685.59</v>
      </c>
      <c r="J4611">
        <v>3.77</v>
      </c>
      <c r="K4611">
        <v>8.65</v>
      </c>
      <c r="L4611">
        <v>17.149999999999999</v>
      </c>
      <c r="M4611">
        <v>6.26</v>
      </c>
      <c r="N4611">
        <v>2256.75</v>
      </c>
    </row>
    <row r="4612" spans="1:14" x14ac:dyDescent="0.2">
      <c r="A4612" s="1">
        <v>45858</v>
      </c>
      <c r="B4612" s="2" t="s">
        <v>20</v>
      </c>
      <c r="C4612" s="2" t="s">
        <v>18</v>
      </c>
      <c r="D4612" s="2" t="s">
        <v>22</v>
      </c>
      <c r="E4612">
        <v>7530</v>
      </c>
      <c r="F4612">
        <v>282</v>
      </c>
      <c r="G4612">
        <v>11</v>
      </c>
      <c r="H4612">
        <v>485.51</v>
      </c>
      <c r="I4612">
        <v>1092.2</v>
      </c>
      <c r="J4612">
        <v>3.75</v>
      </c>
      <c r="K4612">
        <v>3.9</v>
      </c>
      <c r="L4612">
        <v>44.14</v>
      </c>
      <c r="M4612">
        <v>2.25</v>
      </c>
      <c r="N4612">
        <v>606.69000000000005</v>
      </c>
    </row>
    <row r="4613" spans="1:14" x14ac:dyDescent="0.2">
      <c r="A4613" s="1">
        <v>45858</v>
      </c>
      <c r="B4613" s="2" t="s">
        <v>23</v>
      </c>
      <c r="C4613" s="2" t="s">
        <v>18</v>
      </c>
      <c r="D4613" s="2" t="s">
        <v>16</v>
      </c>
      <c r="E4613">
        <v>2497</v>
      </c>
      <c r="F4613">
        <v>73</v>
      </c>
      <c r="G4613">
        <v>7</v>
      </c>
      <c r="H4613">
        <v>744.92</v>
      </c>
      <c r="I4613">
        <v>1291.8800000000001</v>
      </c>
      <c r="J4613">
        <v>2.92</v>
      </c>
      <c r="K4613">
        <v>9.59</v>
      </c>
      <c r="L4613">
        <v>106.42</v>
      </c>
      <c r="M4613">
        <v>1.73</v>
      </c>
      <c r="N4613">
        <v>546.96</v>
      </c>
    </row>
    <row r="4614" spans="1:14" x14ac:dyDescent="0.2">
      <c r="A4614" s="1">
        <v>45858</v>
      </c>
      <c r="B4614" s="2" t="s">
        <v>24</v>
      </c>
      <c r="C4614" s="2" t="s">
        <v>15</v>
      </c>
      <c r="D4614" s="2" t="s">
        <v>22</v>
      </c>
      <c r="E4614">
        <v>14256</v>
      </c>
      <c r="F4614">
        <v>2288</v>
      </c>
      <c r="G4614">
        <v>308</v>
      </c>
      <c r="H4614">
        <v>106.57</v>
      </c>
      <c r="I4614">
        <v>39858.85</v>
      </c>
      <c r="J4614">
        <v>16.05</v>
      </c>
      <c r="K4614">
        <v>13.46</v>
      </c>
      <c r="L4614">
        <v>0.35</v>
      </c>
      <c r="M4614">
        <v>374.02</v>
      </c>
      <c r="N4614">
        <v>39752.28</v>
      </c>
    </row>
    <row r="4615" spans="1:14" x14ac:dyDescent="0.2">
      <c r="A4615" s="1">
        <v>45858</v>
      </c>
      <c r="B4615" s="2" t="s">
        <v>26</v>
      </c>
      <c r="C4615" s="2" t="s">
        <v>18</v>
      </c>
      <c r="D4615" s="2" t="s">
        <v>22</v>
      </c>
      <c r="E4615">
        <v>20655</v>
      </c>
      <c r="F4615">
        <v>1186</v>
      </c>
      <c r="G4615">
        <v>186</v>
      </c>
      <c r="H4615">
        <v>0</v>
      </c>
      <c r="I4615">
        <v>19516.78</v>
      </c>
      <c r="J4615">
        <v>5.74</v>
      </c>
      <c r="K4615">
        <v>15.68</v>
      </c>
      <c r="L4615">
        <v>0</v>
      </c>
      <c r="M4615">
        <v>0</v>
      </c>
      <c r="N4615">
        <v>19516.78</v>
      </c>
    </row>
    <row r="4616" spans="1:14" x14ac:dyDescent="0.2">
      <c r="A4616" s="1">
        <v>45858</v>
      </c>
      <c r="B4616" s="2" t="s">
        <v>27</v>
      </c>
      <c r="C4616" s="2" t="s">
        <v>28</v>
      </c>
      <c r="D4616" s="2" t="s">
        <v>22</v>
      </c>
      <c r="E4616">
        <v>19562</v>
      </c>
      <c r="F4616">
        <v>354</v>
      </c>
      <c r="G4616">
        <v>8</v>
      </c>
      <c r="H4616">
        <v>729.48</v>
      </c>
      <c r="I4616">
        <v>911.57</v>
      </c>
      <c r="J4616">
        <v>1.81</v>
      </c>
      <c r="K4616">
        <v>2.2599999999999998</v>
      </c>
      <c r="L4616">
        <v>91.18</v>
      </c>
      <c r="M4616">
        <v>1.25</v>
      </c>
      <c r="N4616">
        <v>182.09</v>
      </c>
    </row>
    <row r="4617" spans="1:14" x14ac:dyDescent="0.2">
      <c r="A4617" s="1">
        <v>45858</v>
      </c>
      <c r="B4617" s="2" t="s">
        <v>29</v>
      </c>
      <c r="C4617" s="2" t="s">
        <v>15</v>
      </c>
      <c r="D4617" s="2" t="s">
        <v>22</v>
      </c>
      <c r="E4617">
        <v>12747</v>
      </c>
      <c r="F4617">
        <v>210</v>
      </c>
      <c r="G4617">
        <v>16</v>
      </c>
      <c r="H4617">
        <v>620.42999999999995</v>
      </c>
      <c r="I4617">
        <v>1687.69</v>
      </c>
      <c r="J4617">
        <v>1.65</v>
      </c>
      <c r="K4617">
        <v>7.62</v>
      </c>
      <c r="L4617">
        <v>38.78</v>
      </c>
      <c r="M4617">
        <v>2.72</v>
      </c>
      <c r="N4617">
        <v>1067.26</v>
      </c>
    </row>
    <row r="4618" spans="1:14" x14ac:dyDescent="0.2">
      <c r="A4618" s="1">
        <v>45858</v>
      </c>
      <c r="B4618" s="2" t="s">
        <v>30</v>
      </c>
      <c r="C4618" s="2" t="s">
        <v>28</v>
      </c>
      <c r="D4618" s="2" t="s">
        <v>25</v>
      </c>
      <c r="E4618">
        <v>6771</v>
      </c>
      <c r="F4618">
        <v>182</v>
      </c>
      <c r="G4618">
        <v>6</v>
      </c>
      <c r="H4618">
        <v>240.08</v>
      </c>
      <c r="I4618">
        <v>635.51</v>
      </c>
      <c r="J4618">
        <v>2.69</v>
      </c>
      <c r="K4618">
        <v>3.3</v>
      </c>
      <c r="L4618">
        <v>40.01</v>
      </c>
      <c r="M4618">
        <v>2.65</v>
      </c>
      <c r="N4618">
        <v>395.43</v>
      </c>
    </row>
    <row r="4619" spans="1:14" x14ac:dyDescent="0.2">
      <c r="A4619" s="1">
        <v>45858</v>
      </c>
      <c r="B4619" s="2" t="s">
        <v>31</v>
      </c>
      <c r="C4619" s="2" t="s">
        <v>21</v>
      </c>
      <c r="D4619" s="2" t="s">
        <v>16</v>
      </c>
      <c r="E4619">
        <v>11992</v>
      </c>
      <c r="F4619">
        <v>320</v>
      </c>
      <c r="G4619">
        <v>16</v>
      </c>
      <c r="H4619">
        <v>647.30999999999995</v>
      </c>
      <c r="I4619">
        <v>1605.56</v>
      </c>
      <c r="J4619">
        <v>2.67</v>
      </c>
      <c r="K4619">
        <v>5</v>
      </c>
      <c r="L4619">
        <v>40.46</v>
      </c>
      <c r="M4619">
        <v>2.48</v>
      </c>
      <c r="N4619">
        <v>958.25</v>
      </c>
    </row>
    <row r="4620" spans="1:14" x14ac:dyDescent="0.2">
      <c r="A4620" s="1">
        <v>45858</v>
      </c>
      <c r="B4620" s="2" t="s">
        <v>33</v>
      </c>
      <c r="C4620" s="2" t="s">
        <v>35</v>
      </c>
      <c r="D4620" s="2" t="s">
        <v>36</v>
      </c>
      <c r="E4620">
        <v>5617</v>
      </c>
      <c r="F4620">
        <v>362</v>
      </c>
      <c r="G4620">
        <v>38</v>
      </c>
      <c r="H4620">
        <v>254.53</v>
      </c>
      <c r="I4620">
        <v>4463.3</v>
      </c>
      <c r="J4620">
        <v>6.44</v>
      </c>
      <c r="K4620">
        <v>10.5</v>
      </c>
      <c r="L4620">
        <v>6.7</v>
      </c>
      <c r="M4620">
        <v>17.54</v>
      </c>
      <c r="N4620">
        <v>4208.7700000000004</v>
      </c>
    </row>
    <row r="4621" spans="1:14" x14ac:dyDescent="0.2">
      <c r="A4621" s="1">
        <v>45858</v>
      </c>
      <c r="B4621" s="2" t="s">
        <v>34</v>
      </c>
      <c r="C4621" s="2" t="s">
        <v>21</v>
      </c>
      <c r="D4621" s="2" t="s">
        <v>36</v>
      </c>
      <c r="E4621">
        <v>3636</v>
      </c>
      <c r="F4621">
        <v>248</v>
      </c>
      <c r="G4621">
        <v>30</v>
      </c>
      <c r="H4621">
        <v>58.21</v>
      </c>
      <c r="I4621">
        <v>5144.99</v>
      </c>
      <c r="J4621">
        <v>6.82</v>
      </c>
      <c r="K4621">
        <v>12.1</v>
      </c>
      <c r="L4621">
        <v>1.94</v>
      </c>
      <c r="M4621">
        <v>88.39</v>
      </c>
      <c r="N4621">
        <v>5086.78</v>
      </c>
    </row>
    <row r="4622" spans="1:14" x14ac:dyDescent="0.2">
      <c r="A4622" s="1">
        <v>45859</v>
      </c>
      <c r="B4622" s="2" t="s">
        <v>14</v>
      </c>
      <c r="C4622" s="2" t="s">
        <v>28</v>
      </c>
      <c r="D4622" s="2" t="s">
        <v>16</v>
      </c>
      <c r="E4622">
        <v>9435</v>
      </c>
      <c r="F4622">
        <v>436</v>
      </c>
      <c r="G4622">
        <v>48</v>
      </c>
      <c r="H4622">
        <v>1059.7</v>
      </c>
      <c r="I4622">
        <v>6027</v>
      </c>
      <c r="J4622">
        <v>4.62</v>
      </c>
      <c r="K4622">
        <v>11.01</v>
      </c>
      <c r="L4622">
        <v>22.08</v>
      </c>
      <c r="M4622">
        <v>5.69</v>
      </c>
      <c r="N4622">
        <v>4967.3</v>
      </c>
    </row>
    <row r="4623" spans="1:14" x14ac:dyDescent="0.2">
      <c r="A4623" s="1">
        <v>45859</v>
      </c>
      <c r="B4623" s="2" t="s">
        <v>17</v>
      </c>
      <c r="C4623" s="2" t="s">
        <v>18</v>
      </c>
      <c r="D4623" s="2" t="s">
        <v>22</v>
      </c>
      <c r="E4623">
        <v>12064</v>
      </c>
      <c r="F4623">
        <v>458</v>
      </c>
      <c r="G4623">
        <v>36</v>
      </c>
      <c r="H4623">
        <v>724.36</v>
      </c>
      <c r="I4623">
        <v>4814.1899999999996</v>
      </c>
      <c r="J4623">
        <v>3.8</v>
      </c>
      <c r="K4623">
        <v>7.86</v>
      </c>
      <c r="L4623">
        <v>20.12</v>
      </c>
      <c r="M4623">
        <v>6.65</v>
      </c>
      <c r="N4623">
        <v>4089.83</v>
      </c>
    </row>
    <row r="4624" spans="1:14" x14ac:dyDescent="0.2">
      <c r="A4624" s="1">
        <v>45859</v>
      </c>
      <c r="B4624" s="2" t="s">
        <v>20</v>
      </c>
      <c r="C4624" s="2" t="s">
        <v>21</v>
      </c>
      <c r="D4624" s="2" t="s">
        <v>36</v>
      </c>
      <c r="E4624">
        <v>15144</v>
      </c>
      <c r="F4624">
        <v>640</v>
      </c>
      <c r="G4624">
        <v>48</v>
      </c>
      <c r="H4624">
        <v>563.04</v>
      </c>
      <c r="I4624">
        <v>5707.64</v>
      </c>
      <c r="J4624">
        <v>4.2300000000000004</v>
      </c>
      <c r="K4624">
        <v>7.5</v>
      </c>
      <c r="L4624">
        <v>11.73</v>
      </c>
      <c r="M4624">
        <v>10.14</v>
      </c>
      <c r="N4624">
        <v>5144.6000000000004</v>
      </c>
    </row>
    <row r="4625" spans="1:14" x14ac:dyDescent="0.2">
      <c r="A4625" s="1">
        <v>45859</v>
      </c>
      <c r="B4625" s="2" t="s">
        <v>23</v>
      </c>
      <c r="C4625" s="2" t="s">
        <v>28</v>
      </c>
      <c r="D4625" s="2" t="s">
        <v>36</v>
      </c>
      <c r="E4625">
        <v>3556</v>
      </c>
      <c r="F4625">
        <v>90</v>
      </c>
      <c r="G4625">
        <v>10</v>
      </c>
      <c r="H4625">
        <v>1230.25</v>
      </c>
      <c r="I4625">
        <v>3438.49</v>
      </c>
      <c r="J4625">
        <v>2.5299999999999998</v>
      </c>
      <c r="K4625">
        <v>11.11</v>
      </c>
      <c r="L4625">
        <v>123.02</v>
      </c>
      <c r="M4625">
        <v>2.79</v>
      </c>
      <c r="N4625">
        <v>2208.2399999999998</v>
      </c>
    </row>
    <row r="4626" spans="1:14" x14ac:dyDescent="0.2">
      <c r="A4626" s="1">
        <v>45859</v>
      </c>
      <c r="B4626" s="2" t="s">
        <v>24</v>
      </c>
      <c r="C4626" s="2" t="s">
        <v>18</v>
      </c>
      <c r="D4626" s="2" t="s">
        <v>36</v>
      </c>
      <c r="E4626">
        <v>14675</v>
      </c>
      <c r="F4626">
        <v>2697</v>
      </c>
      <c r="G4626">
        <v>286</v>
      </c>
      <c r="H4626">
        <v>224.48</v>
      </c>
      <c r="I4626">
        <v>32360.41</v>
      </c>
      <c r="J4626">
        <v>18.38</v>
      </c>
      <c r="K4626">
        <v>10.6</v>
      </c>
      <c r="L4626">
        <v>0.78</v>
      </c>
      <c r="M4626">
        <v>144.16</v>
      </c>
      <c r="N4626">
        <v>32135.93</v>
      </c>
    </row>
    <row r="4627" spans="1:14" x14ac:dyDescent="0.2">
      <c r="A4627" s="1">
        <v>45859</v>
      </c>
      <c r="B4627" s="2" t="s">
        <v>26</v>
      </c>
      <c r="C4627" s="2" t="s">
        <v>32</v>
      </c>
      <c r="D4627" s="2" t="s">
        <v>22</v>
      </c>
      <c r="E4627">
        <v>20762</v>
      </c>
      <c r="F4627">
        <v>1122</v>
      </c>
      <c r="G4627">
        <v>136</v>
      </c>
      <c r="H4627">
        <v>0</v>
      </c>
      <c r="I4627">
        <v>16619.439999999999</v>
      </c>
      <c r="J4627">
        <v>5.4</v>
      </c>
      <c r="K4627">
        <v>12.12</v>
      </c>
      <c r="L4627">
        <v>0</v>
      </c>
      <c r="M4627">
        <v>0</v>
      </c>
      <c r="N4627">
        <v>16619.439999999999</v>
      </c>
    </row>
    <row r="4628" spans="1:14" x14ac:dyDescent="0.2">
      <c r="A4628" s="1">
        <v>45859</v>
      </c>
      <c r="B4628" s="2" t="s">
        <v>27</v>
      </c>
      <c r="C4628" s="2" t="s">
        <v>21</v>
      </c>
      <c r="D4628" s="2" t="s">
        <v>19</v>
      </c>
      <c r="E4628">
        <v>24679</v>
      </c>
      <c r="F4628">
        <v>404</v>
      </c>
      <c r="G4628">
        <v>17</v>
      </c>
      <c r="H4628">
        <v>933.14</v>
      </c>
      <c r="I4628">
        <v>2082.5</v>
      </c>
      <c r="J4628">
        <v>1.64</v>
      </c>
      <c r="K4628">
        <v>4.21</v>
      </c>
      <c r="L4628">
        <v>54.89</v>
      </c>
      <c r="M4628">
        <v>2.23</v>
      </c>
      <c r="N4628">
        <v>1149.3599999999999</v>
      </c>
    </row>
    <row r="4629" spans="1:14" x14ac:dyDescent="0.2">
      <c r="A4629" s="1">
        <v>45859</v>
      </c>
      <c r="B4629" s="2" t="s">
        <v>29</v>
      </c>
      <c r="C4629" s="2" t="s">
        <v>32</v>
      </c>
      <c r="D4629" s="2" t="s">
        <v>36</v>
      </c>
      <c r="E4629">
        <v>14513</v>
      </c>
      <c r="F4629">
        <v>404</v>
      </c>
      <c r="G4629">
        <v>19</v>
      </c>
      <c r="H4629">
        <v>1140.82</v>
      </c>
      <c r="I4629">
        <v>2263.33</v>
      </c>
      <c r="J4629">
        <v>2.78</v>
      </c>
      <c r="K4629">
        <v>4.7</v>
      </c>
      <c r="L4629">
        <v>60.04</v>
      </c>
      <c r="M4629">
        <v>1.98</v>
      </c>
      <c r="N4629">
        <v>1122.51</v>
      </c>
    </row>
    <row r="4630" spans="1:14" x14ac:dyDescent="0.2">
      <c r="A4630" s="1">
        <v>45859</v>
      </c>
      <c r="B4630" s="2" t="s">
        <v>30</v>
      </c>
      <c r="C4630" s="2" t="s">
        <v>18</v>
      </c>
      <c r="D4630" s="2" t="s">
        <v>19</v>
      </c>
      <c r="E4630">
        <v>11554</v>
      </c>
      <c r="F4630">
        <v>340</v>
      </c>
      <c r="G4630">
        <v>19</v>
      </c>
      <c r="H4630">
        <v>588.59</v>
      </c>
      <c r="I4630">
        <v>2026.77</v>
      </c>
      <c r="J4630">
        <v>2.94</v>
      </c>
      <c r="K4630">
        <v>5.59</v>
      </c>
      <c r="L4630">
        <v>30.98</v>
      </c>
      <c r="M4630">
        <v>3.44</v>
      </c>
      <c r="N4630">
        <v>1438.18</v>
      </c>
    </row>
    <row r="4631" spans="1:14" x14ac:dyDescent="0.2">
      <c r="A4631" s="1">
        <v>45859</v>
      </c>
      <c r="B4631" s="2" t="s">
        <v>31</v>
      </c>
      <c r="C4631" s="2" t="s">
        <v>18</v>
      </c>
      <c r="D4631" s="2" t="s">
        <v>16</v>
      </c>
      <c r="E4631">
        <v>24907</v>
      </c>
      <c r="F4631">
        <v>628</v>
      </c>
      <c r="G4631">
        <v>41</v>
      </c>
      <c r="H4631">
        <v>766.36</v>
      </c>
      <c r="I4631">
        <v>3965.94</v>
      </c>
      <c r="J4631">
        <v>2.52</v>
      </c>
      <c r="K4631">
        <v>6.53</v>
      </c>
      <c r="L4631">
        <v>18.690000000000001</v>
      </c>
      <c r="M4631">
        <v>5.18</v>
      </c>
      <c r="N4631">
        <v>3199.58</v>
      </c>
    </row>
    <row r="4632" spans="1:14" x14ac:dyDescent="0.2">
      <c r="A4632" s="1">
        <v>45859</v>
      </c>
      <c r="B4632" s="2" t="s">
        <v>33</v>
      </c>
      <c r="C4632" s="2" t="s">
        <v>15</v>
      </c>
      <c r="D4632" s="2" t="s">
        <v>36</v>
      </c>
      <c r="E4632">
        <v>6843</v>
      </c>
      <c r="F4632">
        <v>287</v>
      </c>
      <c r="G4632">
        <v>27</v>
      </c>
      <c r="H4632">
        <v>487.94</v>
      </c>
      <c r="I4632">
        <v>3303.29</v>
      </c>
      <c r="J4632">
        <v>4.1900000000000004</v>
      </c>
      <c r="K4632">
        <v>9.41</v>
      </c>
      <c r="L4632">
        <v>18.07</v>
      </c>
      <c r="M4632">
        <v>6.77</v>
      </c>
      <c r="N4632">
        <v>2815.35</v>
      </c>
    </row>
    <row r="4633" spans="1:14" x14ac:dyDescent="0.2">
      <c r="A4633" s="1">
        <v>45859</v>
      </c>
      <c r="B4633" s="2" t="s">
        <v>34</v>
      </c>
      <c r="C4633" s="2" t="s">
        <v>28</v>
      </c>
      <c r="D4633" s="2" t="s">
        <v>36</v>
      </c>
      <c r="E4633">
        <v>5177</v>
      </c>
      <c r="F4633">
        <v>273</v>
      </c>
      <c r="G4633">
        <v>36</v>
      </c>
      <c r="H4633">
        <v>59.7</v>
      </c>
      <c r="I4633">
        <v>4636.54</v>
      </c>
      <c r="J4633">
        <v>5.27</v>
      </c>
      <c r="K4633">
        <v>13.19</v>
      </c>
      <c r="L4633">
        <v>1.66</v>
      </c>
      <c r="M4633">
        <v>77.66</v>
      </c>
      <c r="N4633">
        <v>4576.84</v>
      </c>
    </row>
    <row r="4634" spans="1:14" x14ac:dyDescent="0.2">
      <c r="A4634" s="1">
        <v>45860</v>
      </c>
      <c r="B4634" s="2" t="s">
        <v>14</v>
      </c>
      <c r="C4634" s="2" t="s">
        <v>15</v>
      </c>
      <c r="D4634" s="2" t="s">
        <v>25</v>
      </c>
      <c r="E4634">
        <v>6919</v>
      </c>
      <c r="F4634">
        <v>272</v>
      </c>
      <c r="G4634">
        <v>31</v>
      </c>
      <c r="H4634">
        <v>1042.22</v>
      </c>
      <c r="I4634">
        <v>5294.62</v>
      </c>
      <c r="J4634">
        <v>3.93</v>
      </c>
      <c r="K4634">
        <v>11.4</v>
      </c>
      <c r="L4634">
        <v>33.619999999999997</v>
      </c>
      <c r="M4634">
        <v>5.08</v>
      </c>
      <c r="N4634">
        <v>4252.3999999999996</v>
      </c>
    </row>
    <row r="4635" spans="1:14" x14ac:dyDescent="0.2">
      <c r="A4635" s="1">
        <v>45860</v>
      </c>
      <c r="B4635" s="2" t="s">
        <v>17</v>
      </c>
      <c r="C4635" s="2" t="s">
        <v>32</v>
      </c>
      <c r="D4635" s="2" t="s">
        <v>25</v>
      </c>
      <c r="E4635">
        <v>16122</v>
      </c>
      <c r="F4635">
        <v>558</v>
      </c>
      <c r="G4635">
        <v>38</v>
      </c>
      <c r="H4635">
        <v>686.69</v>
      </c>
      <c r="I4635">
        <v>4918.3599999999997</v>
      </c>
      <c r="J4635">
        <v>3.46</v>
      </c>
      <c r="K4635">
        <v>6.81</v>
      </c>
      <c r="L4635">
        <v>18.07</v>
      </c>
      <c r="M4635">
        <v>7.16</v>
      </c>
      <c r="N4635">
        <v>4231.67</v>
      </c>
    </row>
    <row r="4636" spans="1:14" x14ac:dyDescent="0.2">
      <c r="A4636" s="1">
        <v>45860</v>
      </c>
      <c r="B4636" s="2" t="s">
        <v>20</v>
      </c>
      <c r="C4636" s="2" t="s">
        <v>35</v>
      </c>
      <c r="D4636" s="2" t="s">
        <v>16</v>
      </c>
      <c r="E4636">
        <v>12010</v>
      </c>
      <c r="F4636">
        <v>425</v>
      </c>
      <c r="G4636">
        <v>17</v>
      </c>
      <c r="H4636">
        <v>570.16</v>
      </c>
      <c r="I4636">
        <v>1876.71</v>
      </c>
      <c r="J4636">
        <v>3.54</v>
      </c>
      <c r="K4636">
        <v>4</v>
      </c>
      <c r="L4636">
        <v>33.54</v>
      </c>
      <c r="M4636">
        <v>3.29</v>
      </c>
      <c r="N4636">
        <v>1306.55</v>
      </c>
    </row>
    <row r="4637" spans="1:14" x14ac:dyDescent="0.2">
      <c r="A4637" s="1">
        <v>45860</v>
      </c>
      <c r="B4637" s="2" t="s">
        <v>23</v>
      </c>
      <c r="C4637" s="2" t="s">
        <v>28</v>
      </c>
      <c r="D4637" s="2" t="s">
        <v>36</v>
      </c>
      <c r="E4637">
        <v>4097</v>
      </c>
      <c r="F4637">
        <v>87</v>
      </c>
      <c r="G4637">
        <v>9</v>
      </c>
      <c r="H4637">
        <v>1221.95</v>
      </c>
      <c r="I4637">
        <v>2614.39</v>
      </c>
      <c r="J4637">
        <v>2.12</v>
      </c>
      <c r="K4637">
        <v>10.34</v>
      </c>
      <c r="L4637">
        <v>135.77000000000001</v>
      </c>
      <c r="M4637">
        <v>2.14</v>
      </c>
      <c r="N4637">
        <v>1392.44</v>
      </c>
    </row>
    <row r="4638" spans="1:14" x14ac:dyDescent="0.2">
      <c r="A4638" s="1">
        <v>45860</v>
      </c>
      <c r="B4638" s="2" t="s">
        <v>24</v>
      </c>
      <c r="C4638" s="2" t="s">
        <v>28</v>
      </c>
      <c r="D4638" s="2" t="s">
        <v>25</v>
      </c>
      <c r="E4638">
        <v>14807</v>
      </c>
      <c r="F4638">
        <v>2834</v>
      </c>
      <c r="G4638">
        <v>250</v>
      </c>
      <c r="H4638">
        <v>99.22</v>
      </c>
      <c r="I4638">
        <v>32537.24</v>
      </c>
      <c r="J4638">
        <v>19.14</v>
      </c>
      <c r="K4638">
        <v>8.82</v>
      </c>
      <c r="L4638">
        <v>0.4</v>
      </c>
      <c r="M4638">
        <v>327.93</v>
      </c>
      <c r="N4638">
        <v>32438.02</v>
      </c>
    </row>
    <row r="4639" spans="1:14" x14ac:dyDescent="0.2">
      <c r="A4639" s="1">
        <v>45860</v>
      </c>
      <c r="B4639" s="2" t="s">
        <v>26</v>
      </c>
      <c r="C4639" s="2" t="s">
        <v>32</v>
      </c>
      <c r="D4639" s="2" t="s">
        <v>25</v>
      </c>
      <c r="E4639">
        <v>24389</v>
      </c>
      <c r="F4639">
        <v>1047</v>
      </c>
      <c r="G4639">
        <v>158</v>
      </c>
      <c r="H4639">
        <v>0</v>
      </c>
      <c r="I4639">
        <v>23625.56</v>
      </c>
      <c r="J4639">
        <v>4.29</v>
      </c>
      <c r="K4639">
        <v>15.09</v>
      </c>
      <c r="L4639">
        <v>0</v>
      </c>
      <c r="M4639">
        <v>0</v>
      </c>
      <c r="N4639">
        <v>23625.56</v>
      </c>
    </row>
    <row r="4640" spans="1:14" x14ac:dyDescent="0.2">
      <c r="A4640" s="1">
        <v>45860</v>
      </c>
      <c r="B4640" s="2" t="s">
        <v>27</v>
      </c>
      <c r="C4640" s="2" t="s">
        <v>15</v>
      </c>
      <c r="D4640" s="2" t="s">
        <v>36</v>
      </c>
      <c r="E4640">
        <v>22375</v>
      </c>
      <c r="F4640">
        <v>364</v>
      </c>
      <c r="G4640">
        <v>16</v>
      </c>
      <c r="H4640">
        <v>878.64</v>
      </c>
      <c r="I4640">
        <v>1752.6</v>
      </c>
      <c r="J4640">
        <v>1.63</v>
      </c>
      <c r="K4640">
        <v>4.4000000000000004</v>
      </c>
      <c r="L4640">
        <v>54.92</v>
      </c>
      <c r="M4640">
        <v>1.99</v>
      </c>
      <c r="N4640">
        <v>873.96</v>
      </c>
    </row>
    <row r="4641" spans="1:14" x14ac:dyDescent="0.2">
      <c r="A4641" s="1">
        <v>45860</v>
      </c>
      <c r="B4641" s="2" t="s">
        <v>29</v>
      </c>
      <c r="C4641" s="2" t="s">
        <v>21</v>
      </c>
      <c r="D4641" s="2" t="s">
        <v>16</v>
      </c>
      <c r="E4641">
        <v>18516</v>
      </c>
      <c r="F4641">
        <v>387</v>
      </c>
      <c r="G4641">
        <v>17</v>
      </c>
      <c r="H4641">
        <v>701.05</v>
      </c>
      <c r="I4641">
        <v>1646.73</v>
      </c>
      <c r="J4641">
        <v>2.09</v>
      </c>
      <c r="K4641">
        <v>4.3899999999999997</v>
      </c>
      <c r="L4641">
        <v>41.24</v>
      </c>
      <c r="M4641">
        <v>2.35</v>
      </c>
      <c r="N4641">
        <v>945.68</v>
      </c>
    </row>
    <row r="4642" spans="1:14" x14ac:dyDescent="0.2">
      <c r="A4642" s="1">
        <v>45860</v>
      </c>
      <c r="B4642" s="2" t="s">
        <v>30</v>
      </c>
      <c r="C4642" s="2" t="s">
        <v>32</v>
      </c>
      <c r="D4642" s="2" t="s">
        <v>16</v>
      </c>
      <c r="E4642">
        <v>10938</v>
      </c>
      <c r="F4642">
        <v>307</v>
      </c>
      <c r="G4642">
        <v>11</v>
      </c>
      <c r="H4642">
        <v>632.12</v>
      </c>
      <c r="I4642">
        <v>752.14</v>
      </c>
      <c r="J4642">
        <v>2.81</v>
      </c>
      <c r="K4642">
        <v>3.58</v>
      </c>
      <c r="L4642">
        <v>57.47</v>
      </c>
      <c r="M4642">
        <v>1.19</v>
      </c>
      <c r="N4642">
        <v>120.02</v>
      </c>
    </row>
    <row r="4643" spans="1:14" x14ac:dyDescent="0.2">
      <c r="A4643" s="1">
        <v>45860</v>
      </c>
      <c r="B4643" s="2" t="s">
        <v>31</v>
      </c>
      <c r="C4643" s="2" t="s">
        <v>28</v>
      </c>
      <c r="D4643" s="2" t="s">
        <v>25</v>
      </c>
      <c r="E4643">
        <v>21296</v>
      </c>
      <c r="F4643">
        <v>901</v>
      </c>
      <c r="G4643">
        <v>49</v>
      </c>
      <c r="H4643">
        <v>663.66</v>
      </c>
      <c r="I4643">
        <v>4146.63</v>
      </c>
      <c r="J4643">
        <v>4.2300000000000004</v>
      </c>
      <c r="K4643">
        <v>5.44</v>
      </c>
      <c r="L4643">
        <v>13.54</v>
      </c>
      <c r="M4643">
        <v>6.25</v>
      </c>
      <c r="N4643">
        <v>3482.97</v>
      </c>
    </row>
    <row r="4644" spans="1:14" x14ac:dyDescent="0.2">
      <c r="A4644" s="1">
        <v>45860</v>
      </c>
      <c r="B4644" s="2" t="s">
        <v>33</v>
      </c>
      <c r="C4644" s="2" t="s">
        <v>35</v>
      </c>
      <c r="D4644" s="2" t="s">
        <v>25</v>
      </c>
      <c r="E4644">
        <v>6408</v>
      </c>
      <c r="F4644">
        <v>311</v>
      </c>
      <c r="G4644">
        <v>30</v>
      </c>
      <c r="H4644">
        <v>320.63</v>
      </c>
      <c r="I4644">
        <v>3598</v>
      </c>
      <c r="J4644">
        <v>4.8499999999999996</v>
      </c>
      <c r="K4644">
        <v>9.65</v>
      </c>
      <c r="L4644">
        <v>10.69</v>
      </c>
      <c r="M4644">
        <v>11.22</v>
      </c>
      <c r="N4644">
        <v>3277.37</v>
      </c>
    </row>
    <row r="4645" spans="1:14" x14ac:dyDescent="0.2">
      <c r="A4645" s="1">
        <v>45860</v>
      </c>
      <c r="B4645" s="2" t="s">
        <v>34</v>
      </c>
      <c r="C4645" s="2" t="s">
        <v>18</v>
      </c>
      <c r="D4645" s="2" t="s">
        <v>19</v>
      </c>
      <c r="E4645">
        <v>2605</v>
      </c>
      <c r="F4645">
        <v>200</v>
      </c>
      <c r="G4645">
        <v>29</v>
      </c>
      <c r="H4645">
        <v>98.12</v>
      </c>
      <c r="I4645">
        <v>4637.78</v>
      </c>
      <c r="J4645">
        <v>7.68</v>
      </c>
      <c r="K4645">
        <v>14.5</v>
      </c>
      <c r="L4645">
        <v>3.38</v>
      </c>
      <c r="M4645">
        <v>47.27</v>
      </c>
      <c r="N4645">
        <v>4539.66</v>
      </c>
    </row>
    <row r="4646" spans="1:14" x14ac:dyDescent="0.2">
      <c r="A4646" s="1">
        <v>45861</v>
      </c>
      <c r="B4646" s="2" t="s">
        <v>14</v>
      </c>
      <c r="C4646" s="2" t="s">
        <v>15</v>
      </c>
      <c r="D4646" s="2" t="s">
        <v>36</v>
      </c>
      <c r="E4646">
        <v>10171</v>
      </c>
      <c r="F4646">
        <v>360</v>
      </c>
      <c r="G4646">
        <v>39</v>
      </c>
      <c r="H4646">
        <v>967.54</v>
      </c>
      <c r="I4646">
        <v>5656.29</v>
      </c>
      <c r="J4646">
        <v>3.54</v>
      </c>
      <c r="K4646">
        <v>10.83</v>
      </c>
      <c r="L4646">
        <v>24.81</v>
      </c>
      <c r="M4646">
        <v>5.85</v>
      </c>
      <c r="N4646">
        <v>4688.75</v>
      </c>
    </row>
    <row r="4647" spans="1:14" x14ac:dyDescent="0.2">
      <c r="A4647" s="1">
        <v>45861</v>
      </c>
      <c r="B4647" s="2" t="s">
        <v>17</v>
      </c>
      <c r="C4647" s="2" t="s">
        <v>28</v>
      </c>
      <c r="D4647" s="2" t="s">
        <v>16</v>
      </c>
      <c r="E4647">
        <v>13841</v>
      </c>
      <c r="F4647">
        <v>552</v>
      </c>
      <c r="G4647">
        <v>28</v>
      </c>
      <c r="H4647">
        <v>980.02</v>
      </c>
      <c r="I4647">
        <v>3731.8</v>
      </c>
      <c r="J4647">
        <v>3.99</v>
      </c>
      <c r="K4647">
        <v>5.07</v>
      </c>
      <c r="L4647">
        <v>35</v>
      </c>
      <c r="M4647">
        <v>3.81</v>
      </c>
      <c r="N4647">
        <v>2751.78</v>
      </c>
    </row>
    <row r="4648" spans="1:14" x14ac:dyDescent="0.2">
      <c r="A4648" s="1">
        <v>45861</v>
      </c>
      <c r="B4648" s="2" t="s">
        <v>20</v>
      </c>
      <c r="C4648" s="2" t="s">
        <v>28</v>
      </c>
      <c r="D4648" s="2" t="s">
        <v>25</v>
      </c>
      <c r="E4648">
        <v>11321</v>
      </c>
      <c r="F4648">
        <v>319</v>
      </c>
      <c r="G4648">
        <v>14</v>
      </c>
      <c r="H4648">
        <v>701.21</v>
      </c>
      <c r="I4648">
        <v>1225.28</v>
      </c>
      <c r="J4648">
        <v>2.82</v>
      </c>
      <c r="K4648">
        <v>4.3899999999999997</v>
      </c>
      <c r="L4648">
        <v>50.09</v>
      </c>
      <c r="M4648">
        <v>1.75</v>
      </c>
      <c r="N4648">
        <v>524.07000000000005</v>
      </c>
    </row>
    <row r="4649" spans="1:14" x14ac:dyDescent="0.2">
      <c r="A4649" s="1">
        <v>45861</v>
      </c>
      <c r="B4649" s="2" t="s">
        <v>23</v>
      </c>
      <c r="C4649" s="2" t="s">
        <v>15</v>
      </c>
      <c r="D4649" s="2" t="s">
        <v>19</v>
      </c>
      <c r="E4649">
        <v>3740</v>
      </c>
      <c r="F4649">
        <v>86</v>
      </c>
      <c r="G4649">
        <v>9</v>
      </c>
      <c r="H4649">
        <v>962.66</v>
      </c>
      <c r="I4649">
        <v>2477.44</v>
      </c>
      <c r="J4649">
        <v>2.2999999999999998</v>
      </c>
      <c r="K4649">
        <v>10.47</v>
      </c>
      <c r="L4649">
        <v>106.96</v>
      </c>
      <c r="M4649">
        <v>2.57</v>
      </c>
      <c r="N4649">
        <v>1514.78</v>
      </c>
    </row>
    <row r="4650" spans="1:14" x14ac:dyDescent="0.2">
      <c r="A4650" s="1">
        <v>45861</v>
      </c>
      <c r="B4650" s="2" t="s">
        <v>24</v>
      </c>
      <c r="C4650" s="2" t="s">
        <v>28</v>
      </c>
      <c r="D4650" s="2" t="s">
        <v>36</v>
      </c>
      <c r="E4650">
        <v>21123</v>
      </c>
      <c r="F4650">
        <v>3670</v>
      </c>
      <c r="G4650">
        <v>372</v>
      </c>
      <c r="H4650">
        <v>154.86000000000001</v>
      </c>
      <c r="I4650">
        <v>50194.3</v>
      </c>
      <c r="J4650">
        <v>17.37</v>
      </c>
      <c r="K4650">
        <v>10.14</v>
      </c>
      <c r="L4650">
        <v>0.42</v>
      </c>
      <c r="M4650">
        <v>324.13</v>
      </c>
      <c r="N4650">
        <v>50039.44</v>
      </c>
    </row>
    <row r="4651" spans="1:14" x14ac:dyDescent="0.2">
      <c r="A4651" s="1">
        <v>45861</v>
      </c>
      <c r="B4651" s="2" t="s">
        <v>26</v>
      </c>
      <c r="C4651" s="2" t="s">
        <v>18</v>
      </c>
      <c r="D4651" s="2" t="s">
        <v>22</v>
      </c>
      <c r="E4651">
        <v>17645</v>
      </c>
      <c r="F4651">
        <v>1179</v>
      </c>
      <c r="G4651">
        <v>174</v>
      </c>
      <c r="H4651">
        <v>0</v>
      </c>
      <c r="I4651">
        <v>22439.48</v>
      </c>
      <c r="J4651">
        <v>6.68</v>
      </c>
      <c r="K4651">
        <v>14.76</v>
      </c>
      <c r="L4651">
        <v>0</v>
      </c>
      <c r="M4651">
        <v>0</v>
      </c>
      <c r="N4651">
        <v>22439.48</v>
      </c>
    </row>
    <row r="4652" spans="1:14" x14ac:dyDescent="0.2">
      <c r="A4652" s="1">
        <v>45861</v>
      </c>
      <c r="B4652" s="2" t="s">
        <v>27</v>
      </c>
      <c r="C4652" s="2" t="s">
        <v>35</v>
      </c>
      <c r="D4652" s="2" t="s">
        <v>22</v>
      </c>
      <c r="E4652">
        <v>21567</v>
      </c>
      <c r="F4652">
        <v>418</v>
      </c>
      <c r="G4652">
        <v>14</v>
      </c>
      <c r="H4652">
        <v>764.27</v>
      </c>
      <c r="I4652">
        <v>1251.5</v>
      </c>
      <c r="J4652">
        <v>1.94</v>
      </c>
      <c r="K4652">
        <v>3.35</v>
      </c>
      <c r="L4652">
        <v>54.59</v>
      </c>
      <c r="M4652">
        <v>1.64</v>
      </c>
      <c r="N4652">
        <v>487.23</v>
      </c>
    </row>
    <row r="4653" spans="1:14" x14ac:dyDescent="0.2">
      <c r="A4653" s="1">
        <v>45861</v>
      </c>
      <c r="B4653" s="2" t="s">
        <v>29</v>
      </c>
      <c r="C4653" s="2" t="s">
        <v>28</v>
      </c>
      <c r="D4653" s="2" t="s">
        <v>19</v>
      </c>
      <c r="E4653">
        <v>16762</v>
      </c>
      <c r="F4653">
        <v>420</v>
      </c>
      <c r="G4653">
        <v>17</v>
      </c>
      <c r="H4653">
        <v>969.07</v>
      </c>
      <c r="I4653">
        <v>2253.77</v>
      </c>
      <c r="J4653">
        <v>2.5099999999999998</v>
      </c>
      <c r="K4653">
        <v>4.05</v>
      </c>
      <c r="L4653">
        <v>57</v>
      </c>
      <c r="M4653">
        <v>2.33</v>
      </c>
      <c r="N4653">
        <v>1284.7</v>
      </c>
    </row>
    <row r="4654" spans="1:14" x14ac:dyDescent="0.2">
      <c r="A4654" s="1">
        <v>45861</v>
      </c>
      <c r="B4654" s="2" t="s">
        <v>30</v>
      </c>
      <c r="C4654" s="2" t="s">
        <v>28</v>
      </c>
      <c r="D4654" s="2" t="s">
        <v>22</v>
      </c>
      <c r="E4654">
        <v>11560</v>
      </c>
      <c r="F4654">
        <v>272</v>
      </c>
      <c r="G4654">
        <v>11</v>
      </c>
      <c r="H4654">
        <v>536.64</v>
      </c>
      <c r="I4654">
        <v>1130.53</v>
      </c>
      <c r="J4654">
        <v>2.35</v>
      </c>
      <c r="K4654">
        <v>4.04</v>
      </c>
      <c r="L4654">
        <v>48.79</v>
      </c>
      <c r="M4654">
        <v>2.11</v>
      </c>
      <c r="N4654">
        <v>593.89</v>
      </c>
    </row>
    <row r="4655" spans="1:14" x14ac:dyDescent="0.2">
      <c r="A4655" s="1">
        <v>45861</v>
      </c>
      <c r="B4655" s="2" t="s">
        <v>31</v>
      </c>
      <c r="C4655" s="2" t="s">
        <v>32</v>
      </c>
      <c r="D4655" s="2" t="s">
        <v>22</v>
      </c>
      <c r="E4655">
        <v>18265</v>
      </c>
      <c r="F4655">
        <v>815</v>
      </c>
      <c r="G4655">
        <v>34</v>
      </c>
      <c r="H4655">
        <v>931.92</v>
      </c>
      <c r="I4655">
        <v>3283.13</v>
      </c>
      <c r="J4655">
        <v>4.46</v>
      </c>
      <c r="K4655">
        <v>4.17</v>
      </c>
      <c r="L4655">
        <v>27.41</v>
      </c>
      <c r="M4655">
        <v>3.52</v>
      </c>
      <c r="N4655">
        <v>2351.21</v>
      </c>
    </row>
    <row r="4656" spans="1:14" x14ac:dyDescent="0.2">
      <c r="A4656" s="1">
        <v>45861</v>
      </c>
      <c r="B4656" s="2" t="s">
        <v>33</v>
      </c>
      <c r="C4656" s="2" t="s">
        <v>32</v>
      </c>
      <c r="D4656" s="2" t="s">
        <v>19</v>
      </c>
      <c r="E4656">
        <v>8170</v>
      </c>
      <c r="F4656">
        <v>539</v>
      </c>
      <c r="G4656">
        <v>68</v>
      </c>
      <c r="H4656">
        <v>439.93</v>
      </c>
      <c r="I4656">
        <v>7659.38</v>
      </c>
      <c r="J4656">
        <v>6.6</v>
      </c>
      <c r="K4656">
        <v>12.62</v>
      </c>
      <c r="L4656">
        <v>6.47</v>
      </c>
      <c r="M4656">
        <v>17.41</v>
      </c>
      <c r="N4656">
        <v>7219.45</v>
      </c>
    </row>
    <row r="4657" spans="1:14" x14ac:dyDescent="0.2">
      <c r="A4657" s="1">
        <v>45861</v>
      </c>
      <c r="B4657" s="2" t="s">
        <v>34</v>
      </c>
      <c r="C4657" s="2" t="s">
        <v>32</v>
      </c>
      <c r="D4657" s="2" t="s">
        <v>36</v>
      </c>
      <c r="E4657">
        <v>3122</v>
      </c>
      <c r="F4657">
        <v>277</v>
      </c>
      <c r="G4657">
        <v>43</v>
      </c>
      <c r="H4657">
        <v>128.06</v>
      </c>
      <c r="I4657">
        <v>6924.08</v>
      </c>
      <c r="J4657">
        <v>8.8699999999999992</v>
      </c>
      <c r="K4657">
        <v>15.52</v>
      </c>
      <c r="L4657">
        <v>2.98</v>
      </c>
      <c r="M4657">
        <v>54.07</v>
      </c>
      <c r="N4657">
        <v>6796.02</v>
      </c>
    </row>
    <row r="4658" spans="1:14" x14ac:dyDescent="0.2">
      <c r="A4658" s="1">
        <v>45862</v>
      </c>
      <c r="B4658" s="2" t="s">
        <v>14</v>
      </c>
      <c r="C4658" s="2" t="s">
        <v>21</v>
      </c>
      <c r="D4658" s="2" t="s">
        <v>19</v>
      </c>
      <c r="E4658">
        <v>8697</v>
      </c>
      <c r="F4658">
        <v>272</v>
      </c>
      <c r="G4658">
        <v>25</v>
      </c>
      <c r="H4658">
        <v>818.91</v>
      </c>
      <c r="I4658">
        <v>3426.4</v>
      </c>
      <c r="J4658">
        <v>3.13</v>
      </c>
      <c r="K4658">
        <v>9.19</v>
      </c>
      <c r="L4658">
        <v>32.76</v>
      </c>
      <c r="M4658">
        <v>4.18</v>
      </c>
      <c r="N4658">
        <v>2607.4899999999998</v>
      </c>
    </row>
    <row r="4659" spans="1:14" x14ac:dyDescent="0.2">
      <c r="A4659" s="1">
        <v>45862</v>
      </c>
      <c r="B4659" s="2" t="s">
        <v>17</v>
      </c>
      <c r="C4659" s="2" t="s">
        <v>15</v>
      </c>
      <c r="D4659" s="2" t="s">
        <v>36</v>
      </c>
      <c r="E4659">
        <v>12606</v>
      </c>
      <c r="F4659">
        <v>471</v>
      </c>
      <c r="G4659">
        <v>31</v>
      </c>
      <c r="H4659">
        <v>834.91</v>
      </c>
      <c r="I4659">
        <v>2627.4</v>
      </c>
      <c r="J4659">
        <v>3.74</v>
      </c>
      <c r="K4659">
        <v>6.58</v>
      </c>
      <c r="L4659">
        <v>26.93</v>
      </c>
      <c r="M4659">
        <v>3.15</v>
      </c>
      <c r="N4659">
        <v>1792.49</v>
      </c>
    </row>
    <row r="4660" spans="1:14" x14ac:dyDescent="0.2">
      <c r="A4660" s="1">
        <v>45862</v>
      </c>
      <c r="B4660" s="2" t="s">
        <v>20</v>
      </c>
      <c r="C4660" s="2" t="s">
        <v>28</v>
      </c>
      <c r="D4660" s="2" t="s">
        <v>19</v>
      </c>
      <c r="E4660">
        <v>12545</v>
      </c>
      <c r="F4660">
        <v>465</v>
      </c>
      <c r="G4660">
        <v>32</v>
      </c>
      <c r="H4660">
        <v>522.76</v>
      </c>
      <c r="I4660">
        <v>3465.52</v>
      </c>
      <c r="J4660">
        <v>3.71</v>
      </c>
      <c r="K4660">
        <v>6.88</v>
      </c>
      <c r="L4660">
        <v>16.34</v>
      </c>
      <c r="M4660">
        <v>6.63</v>
      </c>
      <c r="N4660">
        <v>2942.76</v>
      </c>
    </row>
    <row r="4661" spans="1:14" x14ac:dyDescent="0.2">
      <c r="A4661" s="1">
        <v>45862</v>
      </c>
      <c r="B4661" s="2" t="s">
        <v>23</v>
      </c>
      <c r="C4661" s="2" t="s">
        <v>28</v>
      </c>
      <c r="D4661" s="2" t="s">
        <v>22</v>
      </c>
      <c r="E4661">
        <v>3345</v>
      </c>
      <c r="F4661">
        <v>73</v>
      </c>
      <c r="G4661">
        <v>10</v>
      </c>
      <c r="H4661">
        <v>1483.64</v>
      </c>
      <c r="I4661">
        <v>2788.98</v>
      </c>
      <c r="J4661">
        <v>2.1800000000000002</v>
      </c>
      <c r="K4661">
        <v>13.7</v>
      </c>
      <c r="L4661">
        <v>148.36000000000001</v>
      </c>
      <c r="M4661">
        <v>1.88</v>
      </c>
      <c r="N4661">
        <v>1305.3399999999999</v>
      </c>
    </row>
    <row r="4662" spans="1:14" x14ac:dyDescent="0.2">
      <c r="A4662" s="1">
        <v>45862</v>
      </c>
      <c r="B4662" s="2" t="s">
        <v>24</v>
      </c>
      <c r="C4662" s="2" t="s">
        <v>32</v>
      </c>
      <c r="D4662" s="2" t="s">
        <v>22</v>
      </c>
      <c r="E4662">
        <v>18231</v>
      </c>
      <c r="F4662">
        <v>4281</v>
      </c>
      <c r="G4662">
        <v>487</v>
      </c>
      <c r="H4662">
        <v>202.24</v>
      </c>
      <c r="I4662">
        <v>63202.42</v>
      </c>
      <c r="J4662">
        <v>23.48</v>
      </c>
      <c r="K4662">
        <v>11.38</v>
      </c>
      <c r="L4662">
        <v>0.42</v>
      </c>
      <c r="M4662">
        <v>312.51</v>
      </c>
      <c r="N4662">
        <v>63000.18</v>
      </c>
    </row>
    <row r="4663" spans="1:14" x14ac:dyDescent="0.2">
      <c r="A4663" s="1">
        <v>45862</v>
      </c>
      <c r="B4663" s="2" t="s">
        <v>26</v>
      </c>
      <c r="C4663" s="2" t="s">
        <v>35</v>
      </c>
      <c r="D4663" s="2" t="s">
        <v>16</v>
      </c>
      <c r="E4663">
        <v>26449</v>
      </c>
      <c r="F4663">
        <v>1221</v>
      </c>
      <c r="G4663">
        <v>177</v>
      </c>
      <c r="H4663">
        <v>0</v>
      </c>
      <c r="I4663">
        <v>22843.31</v>
      </c>
      <c r="J4663">
        <v>4.62</v>
      </c>
      <c r="K4663">
        <v>14.5</v>
      </c>
      <c r="L4663">
        <v>0</v>
      </c>
      <c r="M4663">
        <v>0</v>
      </c>
      <c r="N4663">
        <v>22843.31</v>
      </c>
    </row>
    <row r="4664" spans="1:14" x14ac:dyDescent="0.2">
      <c r="A4664" s="1">
        <v>45862</v>
      </c>
      <c r="B4664" s="2" t="s">
        <v>27</v>
      </c>
      <c r="C4664" s="2" t="s">
        <v>15</v>
      </c>
      <c r="D4664" s="2" t="s">
        <v>36</v>
      </c>
      <c r="E4664">
        <v>21497</v>
      </c>
      <c r="F4664">
        <v>318</v>
      </c>
      <c r="G4664">
        <v>8</v>
      </c>
      <c r="H4664">
        <v>1060.25</v>
      </c>
      <c r="I4664">
        <v>916.2</v>
      </c>
      <c r="J4664">
        <v>1.48</v>
      </c>
      <c r="K4664">
        <v>2.52</v>
      </c>
      <c r="L4664">
        <v>132.53</v>
      </c>
      <c r="M4664">
        <v>0.86</v>
      </c>
      <c r="N4664">
        <v>-144.05000000000001</v>
      </c>
    </row>
    <row r="4665" spans="1:14" x14ac:dyDescent="0.2">
      <c r="A4665" s="1">
        <v>45862</v>
      </c>
      <c r="B4665" s="2" t="s">
        <v>29</v>
      </c>
      <c r="C4665" s="2" t="s">
        <v>21</v>
      </c>
      <c r="D4665" s="2" t="s">
        <v>22</v>
      </c>
      <c r="E4665">
        <v>15482</v>
      </c>
      <c r="F4665">
        <v>295</v>
      </c>
      <c r="G4665">
        <v>18</v>
      </c>
      <c r="H4665">
        <v>732.64</v>
      </c>
      <c r="I4665">
        <v>2043.92</v>
      </c>
      <c r="J4665">
        <v>1.91</v>
      </c>
      <c r="K4665">
        <v>6.1</v>
      </c>
      <c r="L4665">
        <v>40.700000000000003</v>
      </c>
      <c r="M4665">
        <v>2.79</v>
      </c>
      <c r="N4665">
        <v>1311.28</v>
      </c>
    </row>
    <row r="4666" spans="1:14" x14ac:dyDescent="0.2">
      <c r="A4666" s="1">
        <v>45862</v>
      </c>
      <c r="B4666" s="2" t="s">
        <v>30</v>
      </c>
      <c r="C4666" s="2" t="s">
        <v>21</v>
      </c>
      <c r="D4666" s="2" t="s">
        <v>22</v>
      </c>
      <c r="E4666">
        <v>9960</v>
      </c>
      <c r="F4666">
        <v>338</v>
      </c>
      <c r="G4666">
        <v>16</v>
      </c>
      <c r="H4666">
        <v>421.68</v>
      </c>
      <c r="I4666">
        <v>1547.12</v>
      </c>
      <c r="J4666">
        <v>3.39</v>
      </c>
      <c r="K4666">
        <v>4.7300000000000004</v>
      </c>
      <c r="L4666">
        <v>26.36</v>
      </c>
      <c r="M4666">
        <v>3.67</v>
      </c>
      <c r="N4666">
        <v>1125.44</v>
      </c>
    </row>
    <row r="4667" spans="1:14" x14ac:dyDescent="0.2">
      <c r="A4667" s="1">
        <v>45862</v>
      </c>
      <c r="B4667" s="2" t="s">
        <v>31</v>
      </c>
      <c r="C4667" s="2" t="s">
        <v>32</v>
      </c>
      <c r="D4667" s="2" t="s">
        <v>36</v>
      </c>
      <c r="E4667">
        <v>20083</v>
      </c>
      <c r="F4667">
        <v>561</v>
      </c>
      <c r="G4667">
        <v>25</v>
      </c>
      <c r="H4667">
        <v>638.09</v>
      </c>
      <c r="I4667">
        <v>2476.21</v>
      </c>
      <c r="J4667">
        <v>2.79</v>
      </c>
      <c r="K4667">
        <v>4.46</v>
      </c>
      <c r="L4667">
        <v>25.52</v>
      </c>
      <c r="M4667">
        <v>3.88</v>
      </c>
      <c r="N4667">
        <v>1838.12</v>
      </c>
    </row>
    <row r="4668" spans="1:14" x14ac:dyDescent="0.2">
      <c r="A4668" s="1">
        <v>45862</v>
      </c>
      <c r="B4668" s="2" t="s">
        <v>33</v>
      </c>
      <c r="C4668" s="2" t="s">
        <v>18</v>
      </c>
      <c r="D4668" s="2" t="s">
        <v>36</v>
      </c>
      <c r="E4668">
        <v>6240</v>
      </c>
      <c r="F4668">
        <v>294</v>
      </c>
      <c r="G4668">
        <v>28</v>
      </c>
      <c r="H4668">
        <v>472.44</v>
      </c>
      <c r="I4668">
        <v>2999.49</v>
      </c>
      <c r="J4668">
        <v>4.71</v>
      </c>
      <c r="K4668">
        <v>9.52</v>
      </c>
      <c r="L4668">
        <v>16.87</v>
      </c>
      <c r="M4668">
        <v>6.35</v>
      </c>
      <c r="N4668">
        <v>2527.0500000000002</v>
      </c>
    </row>
    <row r="4669" spans="1:14" x14ac:dyDescent="0.2">
      <c r="A4669" s="1">
        <v>45862</v>
      </c>
      <c r="B4669" s="2" t="s">
        <v>34</v>
      </c>
      <c r="C4669" s="2" t="s">
        <v>28</v>
      </c>
      <c r="D4669" s="2" t="s">
        <v>19</v>
      </c>
      <c r="E4669">
        <v>5404</v>
      </c>
      <c r="F4669">
        <v>537</v>
      </c>
      <c r="G4669">
        <v>81</v>
      </c>
      <c r="H4669">
        <v>87</v>
      </c>
      <c r="I4669">
        <v>9065.8700000000008</v>
      </c>
      <c r="J4669">
        <v>9.94</v>
      </c>
      <c r="K4669">
        <v>15.08</v>
      </c>
      <c r="L4669">
        <v>1.07</v>
      </c>
      <c r="M4669">
        <v>104.21</v>
      </c>
      <c r="N4669">
        <v>8978.8700000000008</v>
      </c>
    </row>
    <row r="4670" spans="1:14" x14ac:dyDescent="0.2">
      <c r="A4670" s="1">
        <v>45863</v>
      </c>
      <c r="B4670" s="2" t="s">
        <v>14</v>
      </c>
      <c r="C4670" s="2" t="s">
        <v>21</v>
      </c>
      <c r="D4670" s="2" t="s">
        <v>22</v>
      </c>
      <c r="E4670">
        <v>10459</v>
      </c>
      <c r="F4670">
        <v>472</v>
      </c>
      <c r="G4670">
        <v>48</v>
      </c>
      <c r="H4670">
        <v>1107.51</v>
      </c>
      <c r="I4670">
        <v>7894.7</v>
      </c>
      <c r="J4670">
        <v>4.51</v>
      </c>
      <c r="K4670">
        <v>10.17</v>
      </c>
      <c r="L4670">
        <v>23.07</v>
      </c>
      <c r="M4670">
        <v>7.13</v>
      </c>
      <c r="N4670">
        <v>6787.19</v>
      </c>
    </row>
    <row r="4671" spans="1:14" x14ac:dyDescent="0.2">
      <c r="A4671" s="1">
        <v>45863</v>
      </c>
      <c r="B4671" s="2" t="s">
        <v>17</v>
      </c>
      <c r="C4671" s="2" t="s">
        <v>32</v>
      </c>
      <c r="D4671" s="2" t="s">
        <v>16</v>
      </c>
      <c r="E4671">
        <v>10686</v>
      </c>
      <c r="F4671">
        <v>315</v>
      </c>
      <c r="G4671">
        <v>25</v>
      </c>
      <c r="H4671">
        <v>521.86</v>
      </c>
      <c r="I4671">
        <v>2533.83</v>
      </c>
      <c r="J4671">
        <v>2.95</v>
      </c>
      <c r="K4671">
        <v>7.94</v>
      </c>
      <c r="L4671">
        <v>20.87</v>
      </c>
      <c r="M4671">
        <v>4.8600000000000003</v>
      </c>
      <c r="N4671">
        <v>2011.97</v>
      </c>
    </row>
    <row r="4672" spans="1:14" x14ac:dyDescent="0.2">
      <c r="A4672" s="1">
        <v>45863</v>
      </c>
      <c r="B4672" s="2" t="s">
        <v>20</v>
      </c>
      <c r="C4672" s="2" t="s">
        <v>18</v>
      </c>
      <c r="D4672" s="2" t="s">
        <v>19</v>
      </c>
      <c r="E4672">
        <v>14706</v>
      </c>
      <c r="F4672">
        <v>567</v>
      </c>
      <c r="G4672">
        <v>22</v>
      </c>
      <c r="H4672">
        <v>738.04</v>
      </c>
      <c r="I4672">
        <v>2473.56</v>
      </c>
      <c r="J4672">
        <v>3.86</v>
      </c>
      <c r="K4672">
        <v>3.88</v>
      </c>
      <c r="L4672">
        <v>33.549999999999997</v>
      </c>
      <c r="M4672">
        <v>3.35</v>
      </c>
      <c r="N4672">
        <v>1735.52</v>
      </c>
    </row>
    <row r="4673" spans="1:14" x14ac:dyDescent="0.2">
      <c r="A4673" s="1">
        <v>45863</v>
      </c>
      <c r="B4673" s="2" t="s">
        <v>23</v>
      </c>
      <c r="C4673" s="2" t="s">
        <v>35</v>
      </c>
      <c r="D4673" s="2" t="s">
        <v>19</v>
      </c>
      <c r="E4673">
        <v>4265</v>
      </c>
      <c r="F4673">
        <v>71</v>
      </c>
      <c r="G4673">
        <v>8</v>
      </c>
      <c r="H4673">
        <v>1508.16</v>
      </c>
      <c r="I4673">
        <v>1849.52</v>
      </c>
      <c r="J4673">
        <v>1.66</v>
      </c>
      <c r="K4673">
        <v>11.27</v>
      </c>
      <c r="L4673">
        <v>188.52</v>
      </c>
      <c r="M4673">
        <v>1.23</v>
      </c>
      <c r="N4673">
        <v>341.36</v>
      </c>
    </row>
    <row r="4674" spans="1:14" x14ac:dyDescent="0.2">
      <c r="A4674" s="1">
        <v>45863</v>
      </c>
      <c r="B4674" s="2" t="s">
        <v>24</v>
      </c>
      <c r="C4674" s="2" t="s">
        <v>15</v>
      </c>
      <c r="D4674" s="2" t="s">
        <v>22</v>
      </c>
      <c r="E4674">
        <v>15785</v>
      </c>
      <c r="F4674">
        <v>3434</v>
      </c>
      <c r="G4674">
        <v>400</v>
      </c>
      <c r="H4674">
        <v>92.94</v>
      </c>
      <c r="I4674">
        <v>53359.19</v>
      </c>
      <c r="J4674">
        <v>21.75</v>
      </c>
      <c r="K4674">
        <v>11.65</v>
      </c>
      <c r="L4674">
        <v>0.23</v>
      </c>
      <c r="M4674">
        <v>574.13</v>
      </c>
      <c r="N4674">
        <v>53266.25</v>
      </c>
    </row>
    <row r="4675" spans="1:14" x14ac:dyDescent="0.2">
      <c r="A4675" s="1">
        <v>45863</v>
      </c>
      <c r="B4675" s="2" t="s">
        <v>26</v>
      </c>
      <c r="C4675" s="2" t="s">
        <v>21</v>
      </c>
      <c r="D4675" s="2" t="s">
        <v>25</v>
      </c>
      <c r="E4675">
        <v>23375</v>
      </c>
      <c r="F4675">
        <v>1161</v>
      </c>
      <c r="G4675">
        <v>163</v>
      </c>
      <c r="H4675">
        <v>0</v>
      </c>
      <c r="I4675">
        <v>23206.83</v>
      </c>
      <c r="J4675">
        <v>4.97</v>
      </c>
      <c r="K4675">
        <v>14.04</v>
      </c>
      <c r="L4675">
        <v>0</v>
      </c>
      <c r="M4675">
        <v>0</v>
      </c>
      <c r="N4675">
        <v>23206.83</v>
      </c>
    </row>
    <row r="4676" spans="1:14" x14ac:dyDescent="0.2">
      <c r="A4676" s="1">
        <v>45863</v>
      </c>
      <c r="B4676" s="2" t="s">
        <v>27</v>
      </c>
      <c r="C4676" s="2" t="s">
        <v>18</v>
      </c>
      <c r="D4676" s="2" t="s">
        <v>16</v>
      </c>
      <c r="E4676">
        <v>29945</v>
      </c>
      <c r="F4676">
        <v>386</v>
      </c>
      <c r="G4676">
        <v>7</v>
      </c>
      <c r="H4676">
        <v>977.89</v>
      </c>
      <c r="I4676">
        <v>670.89</v>
      </c>
      <c r="J4676">
        <v>1.29</v>
      </c>
      <c r="K4676">
        <v>1.81</v>
      </c>
      <c r="L4676">
        <v>139.69999999999999</v>
      </c>
      <c r="M4676">
        <v>0.69</v>
      </c>
      <c r="N4676">
        <v>-307</v>
      </c>
    </row>
    <row r="4677" spans="1:14" x14ac:dyDescent="0.2">
      <c r="A4677" s="1">
        <v>45863</v>
      </c>
      <c r="B4677" s="2" t="s">
        <v>29</v>
      </c>
      <c r="C4677" s="2" t="s">
        <v>35</v>
      </c>
      <c r="D4677" s="2" t="s">
        <v>36</v>
      </c>
      <c r="E4677">
        <v>17133</v>
      </c>
      <c r="F4677">
        <v>486</v>
      </c>
      <c r="G4677">
        <v>22</v>
      </c>
      <c r="H4677">
        <v>887.71</v>
      </c>
      <c r="I4677">
        <v>2323.2399999999998</v>
      </c>
      <c r="J4677">
        <v>2.84</v>
      </c>
      <c r="K4677">
        <v>4.53</v>
      </c>
      <c r="L4677">
        <v>40.35</v>
      </c>
      <c r="M4677">
        <v>2.62</v>
      </c>
      <c r="N4677">
        <v>1435.53</v>
      </c>
    </row>
    <row r="4678" spans="1:14" x14ac:dyDescent="0.2">
      <c r="A4678" s="1">
        <v>45863</v>
      </c>
      <c r="B4678" s="2" t="s">
        <v>30</v>
      </c>
      <c r="C4678" s="2" t="s">
        <v>18</v>
      </c>
      <c r="D4678" s="2" t="s">
        <v>25</v>
      </c>
      <c r="E4678">
        <v>8769</v>
      </c>
      <c r="F4678">
        <v>221</v>
      </c>
      <c r="G4678">
        <v>10</v>
      </c>
      <c r="H4678">
        <v>518.42999999999995</v>
      </c>
      <c r="I4678">
        <v>992.05</v>
      </c>
      <c r="J4678">
        <v>2.52</v>
      </c>
      <c r="K4678">
        <v>4.5199999999999996</v>
      </c>
      <c r="L4678">
        <v>51.84</v>
      </c>
      <c r="M4678">
        <v>1.91</v>
      </c>
      <c r="N4678">
        <v>473.62</v>
      </c>
    </row>
    <row r="4679" spans="1:14" x14ac:dyDescent="0.2">
      <c r="A4679" s="1">
        <v>45863</v>
      </c>
      <c r="B4679" s="2" t="s">
        <v>31</v>
      </c>
      <c r="C4679" s="2" t="s">
        <v>21</v>
      </c>
      <c r="D4679" s="2" t="s">
        <v>16</v>
      </c>
      <c r="E4679">
        <v>18055</v>
      </c>
      <c r="F4679">
        <v>584</v>
      </c>
      <c r="G4679">
        <v>24</v>
      </c>
      <c r="H4679">
        <v>766.18</v>
      </c>
      <c r="I4679">
        <v>2172.38</v>
      </c>
      <c r="J4679">
        <v>3.23</v>
      </c>
      <c r="K4679">
        <v>4.1100000000000003</v>
      </c>
      <c r="L4679">
        <v>31.92</v>
      </c>
      <c r="M4679">
        <v>2.84</v>
      </c>
      <c r="N4679">
        <v>1406.2</v>
      </c>
    </row>
    <row r="4680" spans="1:14" x14ac:dyDescent="0.2">
      <c r="A4680" s="1">
        <v>45863</v>
      </c>
      <c r="B4680" s="2" t="s">
        <v>33</v>
      </c>
      <c r="C4680" s="2" t="s">
        <v>32</v>
      </c>
      <c r="D4680" s="2" t="s">
        <v>22</v>
      </c>
      <c r="E4680">
        <v>8453</v>
      </c>
      <c r="F4680">
        <v>401</v>
      </c>
      <c r="G4680">
        <v>45</v>
      </c>
      <c r="H4680">
        <v>572.03</v>
      </c>
      <c r="I4680">
        <v>5224.7299999999996</v>
      </c>
      <c r="J4680">
        <v>4.74</v>
      </c>
      <c r="K4680">
        <v>11.22</v>
      </c>
      <c r="L4680">
        <v>12.71</v>
      </c>
      <c r="M4680">
        <v>9.1300000000000008</v>
      </c>
      <c r="N4680">
        <v>4652.7</v>
      </c>
    </row>
    <row r="4681" spans="1:14" x14ac:dyDescent="0.2">
      <c r="A4681" s="1">
        <v>45863</v>
      </c>
      <c r="B4681" s="2" t="s">
        <v>34</v>
      </c>
      <c r="C4681" s="2" t="s">
        <v>28</v>
      </c>
      <c r="D4681" s="2" t="s">
        <v>19</v>
      </c>
      <c r="E4681">
        <v>3989</v>
      </c>
      <c r="F4681">
        <v>214</v>
      </c>
      <c r="G4681">
        <v>30</v>
      </c>
      <c r="H4681">
        <v>97.21</v>
      </c>
      <c r="I4681">
        <v>3865.81</v>
      </c>
      <c r="J4681">
        <v>5.36</v>
      </c>
      <c r="K4681">
        <v>14.02</v>
      </c>
      <c r="L4681">
        <v>3.24</v>
      </c>
      <c r="M4681">
        <v>39.770000000000003</v>
      </c>
      <c r="N4681">
        <v>3768.6</v>
      </c>
    </row>
    <row r="4682" spans="1:14" x14ac:dyDescent="0.2">
      <c r="A4682" s="1">
        <v>45864</v>
      </c>
      <c r="B4682" s="2" t="s">
        <v>14</v>
      </c>
      <c r="C4682" s="2" t="s">
        <v>35</v>
      </c>
      <c r="D4682" s="2" t="s">
        <v>19</v>
      </c>
      <c r="E4682">
        <v>6987</v>
      </c>
      <c r="F4682">
        <v>284</v>
      </c>
      <c r="G4682">
        <v>32</v>
      </c>
      <c r="H4682">
        <v>822.83</v>
      </c>
      <c r="I4682">
        <v>3713.88</v>
      </c>
      <c r="J4682">
        <v>4.0599999999999996</v>
      </c>
      <c r="K4682">
        <v>11.27</v>
      </c>
      <c r="L4682">
        <v>25.71</v>
      </c>
      <c r="M4682">
        <v>4.51</v>
      </c>
      <c r="N4682">
        <v>2891.05</v>
      </c>
    </row>
    <row r="4683" spans="1:14" x14ac:dyDescent="0.2">
      <c r="A4683" s="1">
        <v>45864</v>
      </c>
      <c r="B4683" s="2" t="s">
        <v>17</v>
      </c>
      <c r="C4683" s="2" t="s">
        <v>18</v>
      </c>
      <c r="D4683" s="2" t="s">
        <v>25</v>
      </c>
      <c r="E4683">
        <v>7184</v>
      </c>
      <c r="F4683">
        <v>248</v>
      </c>
      <c r="G4683">
        <v>17</v>
      </c>
      <c r="H4683">
        <v>505.37</v>
      </c>
      <c r="I4683">
        <v>2307.96</v>
      </c>
      <c r="J4683">
        <v>3.45</v>
      </c>
      <c r="K4683">
        <v>6.85</v>
      </c>
      <c r="L4683">
        <v>29.73</v>
      </c>
      <c r="M4683">
        <v>4.57</v>
      </c>
      <c r="N4683">
        <v>1802.59</v>
      </c>
    </row>
    <row r="4684" spans="1:14" x14ac:dyDescent="0.2">
      <c r="A4684" s="1">
        <v>45864</v>
      </c>
      <c r="B4684" s="2" t="s">
        <v>20</v>
      </c>
      <c r="C4684" s="2" t="s">
        <v>35</v>
      </c>
      <c r="D4684" s="2" t="s">
        <v>22</v>
      </c>
      <c r="E4684">
        <v>9572</v>
      </c>
      <c r="F4684">
        <v>416</v>
      </c>
      <c r="G4684">
        <v>30</v>
      </c>
      <c r="H4684">
        <v>575.52</v>
      </c>
      <c r="I4684">
        <v>2916.25</v>
      </c>
      <c r="J4684">
        <v>4.3499999999999996</v>
      </c>
      <c r="K4684">
        <v>7.21</v>
      </c>
      <c r="L4684">
        <v>19.18</v>
      </c>
      <c r="M4684">
        <v>5.07</v>
      </c>
      <c r="N4684">
        <v>2340.73</v>
      </c>
    </row>
    <row r="4685" spans="1:14" x14ac:dyDescent="0.2">
      <c r="A4685" s="1">
        <v>45864</v>
      </c>
      <c r="B4685" s="2" t="s">
        <v>23</v>
      </c>
      <c r="C4685" s="2" t="s">
        <v>15</v>
      </c>
      <c r="D4685" s="2" t="s">
        <v>25</v>
      </c>
      <c r="E4685">
        <v>2079</v>
      </c>
      <c r="F4685">
        <v>30</v>
      </c>
      <c r="G4685">
        <v>3</v>
      </c>
      <c r="H4685">
        <v>1026.57</v>
      </c>
      <c r="I4685">
        <v>764.34</v>
      </c>
      <c r="J4685">
        <v>1.44</v>
      </c>
      <c r="K4685">
        <v>10</v>
      </c>
      <c r="L4685">
        <v>342.19</v>
      </c>
      <c r="M4685">
        <v>0.74</v>
      </c>
      <c r="N4685">
        <v>-262.23</v>
      </c>
    </row>
    <row r="4686" spans="1:14" x14ac:dyDescent="0.2">
      <c r="A4686" s="1">
        <v>45864</v>
      </c>
      <c r="B4686" s="2" t="s">
        <v>24</v>
      </c>
      <c r="C4686" s="2" t="s">
        <v>32</v>
      </c>
      <c r="D4686" s="2" t="s">
        <v>16</v>
      </c>
      <c r="E4686">
        <v>9066</v>
      </c>
      <c r="F4686">
        <v>2194</v>
      </c>
      <c r="G4686">
        <v>260</v>
      </c>
      <c r="H4686">
        <v>132.44</v>
      </c>
      <c r="I4686">
        <v>38110.42</v>
      </c>
      <c r="J4686">
        <v>24.2</v>
      </c>
      <c r="K4686">
        <v>11.85</v>
      </c>
      <c r="L4686">
        <v>0.51</v>
      </c>
      <c r="M4686">
        <v>287.76</v>
      </c>
      <c r="N4686">
        <v>37977.980000000003</v>
      </c>
    </row>
    <row r="4687" spans="1:14" x14ac:dyDescent="0.2">
      <c r="A4687" s="1">
        <v>45864</v>
      </c>
      <c r="B4687" s="2" t="s">
        <v>26</v>
      </c>
      <c r="C4687" s="2" t="s">
        <v>15</v>
      </c>
      <c r="D4687" s="2" t="s">
        <v>16</v>
      </c>
      <c r="E4687">
        <v>19773</v>
      </c>
      <c r="F4687">
        <v>967</v>
      </c>
      <c r="G4687">
        <v>123</v>
      </c>
      <c r="H4687">
        <v>0</v>
      </c>
      <c r="I4687">
        <v>17503.14</v>
      </c>
      <c r="J4687">
        <v>4.8899999999999997</v>
      </c>
      <c r="K4687">
        <v>12.72</v>
      </c>
      <c r="L4687">
        <v>0</v>
      </c>
      <c r="M4687">
        <v>0</v>
      </c>
      <c r="N4687">
        <v>17503.14</v>
      </c>
    </row>
    <row r="4688" spans="1:14" x14ac:dyDescent="0.2">
      <c r="A4688" s="1">
        <v>45864</v>
      </c>
      <c r="B4688" s="2" t="s">
        <v>27</v>
      </c>
      <c r="C4688" s="2" t="s">
        <v>28</v>
      </c>
      <c r="D4688" s="2" t="s">
        <v>36</v>
      </c>
      <c r="E4688">
        <v>23637</v>
      </c>
      <c r="F4688">
        <v>357</v>
      </c>
      <c r="G4688">
        <v>15</v>
      </c>
      <c r="H4688">
        <v>745.02</v>
      </c>
      <c r="I4688">
        <v>1322</v>
      </c>
      <c r="J4688">
        <v>1.51</v>
      </c>
      <c r="K4688">
        <v>4.2</v>
      </c>
      <c r="L4688">
        <v>49.67</v>
      </c>
      <c r="M4688">
        <v>1.77</v>
      </c>
      <c r="N4688">
        <v>576.98</v>
      </c>
    </row>
    <row r="4689" spans="1:14" x14ac:dyDescent="0.2">
      <c r="A4689" s="1">
        <v>45864</v>
      </c>
      <c r="B4689" s="2" t="s">
        <v>29</v>
      </c>
      <c r="C4689" s="2" t="s">
        <v>18</v>
      </c>
      <c r="D4689" s="2" t="s">
        <v>16</v>
      </c>
      <c r="E4689">
        <v>14319</v>
      </c>
      <c r="F4689">
        <v>425</v>
      </c>
      <c r="G4689">
        <v>21</v>
      </c>
      <c r="H4689">
        <v>551.54999999999995</v>
      </c>
      <c r="I4689">
        <v>2305.16</v>
      </c>
      <c r="J4689">
        <v>2.97</v>
      </c>
      <c r="K4689">
        <v>4.9400000000000004</v>
      </c>
      <c r="L4689">
        <v>26.26</v>
      </c>
      <c r="M4689">
        <v>4.18</v>
      </c>
      <c r="N4689">
        <v>1753.61</v>
      </c>
    </row>
    <row r="4690" spans="1:14" x14ac:dyDescent="0.2">
      <c r="A4690" s="1">
        <v>45864</v>
      </c>
      <c r="B4690" s="2" t="s">
        <v>30</v>
      </c>
      <c r="C4690" s="2" t="s">
        <v>32</v>
      </c>
      <c r="D4690" s="2" t="s">
        <v>25</v>
      </c>
      <c r="E4690">
        <v>6801</v>
      </c>
      <c r="F4690">
        <v>222</v>
      </c>
      <c r="G4690">
        <v>8</v>
      </c>
      <c r="H4690">
        <v>239.94</v>
      </c>
      <c r="I4690">
        <v>827.71</v>
      </c>
      <c r="J4690">
        <v>3.26</v>
      </c>
      <c r="K4690">
        <v>3.6</v>
      </c>
      <c r="L4690">
        <v>29.99</v>
      </c>
      <c r="M4690">
        <v>3.45</v>
      </c>
      <c r="N4690">
        <v>587.77</v>
      </c>
    </row>
    <row r="4691" spans="1:14" x14ac:dyDescent="0.2">
      <c r="A4691" s="1">
        <v>45864</v>
      </c>
      <c r="B4691" s="2" t="s">
        <v>31</v>
      </c>
      <c r="C4691" s="2" t="s">
        <v>18</v>
      </c>
      <c r="D4691" s="2" t="s">
        <v>25</v>
      </c>
      <c r="E4691">
        <v>14162</v>
      </c>
      <c r="F4691">
        <v>394</v>
      </c>
      <c r="G4691">
        <v>26</v>
      </c>
      <c r="H4691">
        <v>648.16999999999996</v>
      </c>
      <c r="I4691">
        <v>2003.95</v>
      </c>
      <c r="J4691">
        <v>2.78</v>
      </c>
      <c r="K4691">
        <v>6.6</v>
      </c>
      <c r="L4691">
        <v>24.93</v>
      </c>
      <c r="M4691">
        <v>3.09</v>
      </c>
      <c r="N4691">
        <v>1355.78</v>
      </c>
    </row>
    <row r="4692" spans="1:14" x14ac:dyDescent="0.2">
      <c r="A4692" s="1">
        <v>45864</v>
      </c>
      <c r="B4692" s="2" t="s">
        <v>33</v>
      </c>
      <c r="C4692" s="2" t="s">
        <v>18</v>
      </c>
      <c r="D4692" s="2" t="s">
        <v>25</v>
      </c>
      <c r="E4692">
        <v>3356</v>
      </c>
      <c r="F4692">
        <v>164</v>
      </c>
      <c r="G4692">
        <v>20</v>
      </c>
      <c r="H4692">
        <v>232.7</v>
      </c>
      <c r="I4692">
        <v>2745.37</v>
      </c>
      <c r="J4692">
        <v>4.8899999999999997</v>
      </c>
      <c r="K4692">
        <v>12.2</v>
      </c>
      <c r="L4692">
        <v>11.64</v>
      </c>
      <c r="M4692">
        <v>11.8</v>
      </c>
      <c r="N4692">
        <v>2512.67</v>
      </c>
    </row>
    <row r="4693" spans="1:14" x14ac:dyDescent="0.2">
      <c r="A4693" s="1">
        <v>45864</v>
      </c>
      <c r="B4693" s="2" t="s">
        <v>34</v>
      </c>
      <c r="C4693" s="2" t="s">
        <v>18</v>
      </c>
      <c r="D4693" s="2" t="s">
        <v>22</v>
      </c>
      <c r="E4693">
        <v>2472</v>
      </c>
      <c r="F4693">
        <v>236</v>
      </c>
      <c r="G4693">
        <v>39</v>
      </c>
      <c r="H4693">
        <v>92.74</v>
      </c>
      <c r="I4693">
        <v>6755.03</v>
      </c>
      <c r="J4693">
        <v>9.5500000000000007</v>
      </c>
      <c r="K4693">
        <v>16.53</v>
      </c>
      <c r="L4693">
        <v>2.38</v>
      </c>
      <c r="M4693">
        <v>72.84</v>
      </c>
      <c r="N4693">
        <v>6662.29</v>
      </c>
    </row>
    <row r="4694" spans="1:14" x14ac:dyDescent="0.2">
      <c r="A4694" s="1">
        <v>45865</v>
      </c>
      <c r="B4694" s="2" t="s">
        <v>14</v>
      </c>
      <c r="C4694" s="2" t="s">
        <v>15</v>
      </c>
      <c r="D4694" s="2" t="s">
        <v>16</v>
      </c>
      <c r="E4694">
        <v>6944</v>
      </c>
      <c r="F4694">
        <v>323</v>
      </c>
      <c r="G4694">
        <v>38</v>
      </c>
      <c r="H4694">
        <v>605.30999999999995</v>
      </c>
      <c r="I4694">
        <v>5675.91</v>
      </c>
      <c r="J4694">
        <v>4.6500000000000004</v>
      </c>
      <c r="K4694">
        <v>11.76</v>
      </c>
      <c r="L4694">
        <v>15.93</v>
      </c>
      <c r="M4694">
        <v>9.3800000000000008</v>
      </c>
      <c r="N4694">
        <v>5070.6000000000004</v>
      </c>
    </row>
    <row r="4695" spans="1:14" x14ac:dyDescent="0.2">
      <c r="A4695" s="1">
        <v>45865</v>
      </c>
      <c r="B4695" s="2" t="s">
        <v>17</v>
      </c>
      <c r="C4695" s="2" t="s">
        <v>21</v>
      </c>
      <c r="D4695" s="2" t="s">
        <v>19</v>
      </c>
      <c r="E4695">
        <v>8104</v>
      </c>
      <c r="F4695">
        <v>208</v>
      </c>
      <c r="G4695">
        <v>10</v>
      </c>
      <c r="H4695">
        <v>578.79999999999995</v>
      </c>
      <c r="I4695">
        <v>1097.79</v>
      </c>
      <c r="J4695">
        <v>2.57</v>
      </c>
      <c r="K4695">
        <v>4.8099999999999996</v>
      </c>
      <c r="L4695">
        <v>57.88</v>
      </c>
      <c r="M4695">
        <v>1.9</v>
      </c>
      <c r="N4695">
        <v>518.99</v>
      </c>
    </row>
    <row r="4696" spans="1:14" x14ac:dyDescent="0.2">
      <c r="A4696" s="1">
        <v>45865</v>
      </c>
      <c r="B4696" s="2" t="s">
        <v>20</v>
      </c>
      <c r="C4696" s="2" t="s">
        <v>21</v>
      </c>
      <c r="D4696" s="2" t="s">
        <v>19</v>
      </c>
      <c r="E4696">
        <v>8388</v>
      </c>
      <c r="F4696">
        <v>335</v>
      </c>
      <c r="G4696">
        <v>24</v>
      </c>
      <c r="H4696">
        <v>484.46</v>
      </c>
      <c r="I4696">
        <v>2116.15</v>
      </c>
      <c r="J4696">
        <v>3.99</v>
      </c>
      <c r="K4696">
        <v>7.16</v>
      </c>
      <c r="L4696">
        <v>20.190000000000001</v>
      </c>
      <c r="M4696">
        <v>4.37</v>
      </c>
      <c r="N4696">
        <v>1631.69</v>
      </c>
    </row>
    <row r="4697" spans="1:14" x14ac:dyDescent="0.2">
      <c r="A4697" s="1">
        <v>45865</v>
      </c>
      <c r="B4697" s="2" t="s">
        <v>23</v>
      </c>
      <c r="C4697" s="2" t="s">
        <v>15</v>
      </c>
      <c r="D4697" s="2" t="s">
        <v>36</v>
      </c>
      <c r="E4697">
        <v>2207</v>
      </c>
      <c r="F4697">
        <v>43</v>
      </c>
      <c r="G4697">
        <v>5</v>
      </c>
      <c r="H4697">
        <v>879.53</v>
      </c>
      <c r="I4697">
        <v>1876.69</v>
      </c>
      <c r="J4697">
        <v>1.95</v>
      </c>
      <c r="K4697">
        <v>11.63</v>
      </c>
      <c r="L4697">
        <v>175.91</v>
      </c>
      <c r="M4697">
        <v>2.13</v>
      </c>
      <c r="N4697">
        <v>997.16</v>
      </c>
    </row>
    <row r="4698" spans="1:14" x14ac:dyDescent="0.2">
      <c r="A4698" s="1">
        <v>45865</v>
      </c>
      <c r="B4698" s="2" t="s">
        <v>24</v>
      </c>
      <c r="C4698" s="2" t="s">
        <v>32</v>
      </c>
      <c r="D4698" s="2" t="s">
        <v>36</v>
      </c>
      <c r="E4698">
        <v>13549</v>
      </c>
      <c r="F4698">
        <v>2422</v>
      </c>
      <c r="G4698">
        <v>318</v>
      </c>
      <c r="H4698">
        <v>145.88</v>
      </c>
      <c r="I4698">
        <v>44738.559999999998</v>
      </c>
      <c r="J4698">
        <v>17.88</v>
      </c>
      <c r="K4698">
        <v>13.13</v>
      </c>
      <c r="L4698">
        <v>0.46</v>
      </c>
      <c r="M4698">
        <v>306.68</v>
      </c>
      <c r="N4698">
        <v>44592.68</v>
      </c>
    </row>
    <row r="4699" spans="1:14" x14ac:dyDescent="0.2">
      <c r="A4699" s="1">
        <v>45865</v>
      </c>
      <c r="B4699" s="2" t="s">
        <v>26</v>
      </c>
      <c r="C4699" s="2" t="s">
        <v>15</v>
      </c>
      <c r="D4699" s="2" t="s">
        <v>16</v>
      </c>
      <c r="E4699">
        <v>12155</v>
      </c>
      <c r="F4699">
        <v>816</v>
      </c>
      <c r="G4699">
        <v>123</v>
      </c>
      <c r="H4699">
        <v>0</v>
      </c>
      <c r="I4699">
        <v>11634.85</v>
      </c>
      <c r="J4699">
        <v>6.71</v>
      </c>
      <c r="K4699">
        <v>15.07</v>
      </c>
      <c r="L4699">
        <v>0</v>
      </c>
      <c r="M4699">
        <v>0</v>
      </c>
      <c r="N4699">
        <v>11634.85</v>
      </c>
    </row>
    <row r="4700" spans="1:14" x14ac:dyDescent="0.2">
      <c r="A4700" s="1">
        <v>45865</v>
      </c>
      <c r="B4700" s="2" t="s">
        <v>27</v>
      </c>
      <c r="C4700" s="2" t="s">
        <v>21</v>
      </c>
      <c r="D4700" s="2" t="s">
        <v>19</v>
      </c>
      <c r="E4700">
        <v>17819</v>
      </c>
      <c r="F4700">
        <v>332</v>
      </c>
      <c r="G4700">
        <v>14</v>
      </c>
      <c r="H4700">
        <v>616.48</v>
      </c>
      <c r="I4700">
        <v>1250.3599999999999</v>
      </c>
      <c r="J4700">
        <v>1.86</v>
      </c>
      <c r="K4700">
        <v>4.22</v>
      </c>
      <c r="L4700">
        <v>44.03</v>
      </c>
      <c r="M4700">
        <v>2.0299999999999998</v>
      </c>
      <c r="N4700">
        <v>633.88</v>
      </c>
    </row>
    <row r="4701" spans="1:14" x14ac:dyDescent="0.2">
      <c r="A4701" s="1">
        <v>45865</v>
      </c>
      <c r="B4701" s="2" t="s">
        <v>29</v>
      </c>
      <c r="C4701" s="2" t="s">
        <v>35</v>
      </c>
      <c r="D4701" s="2" t="s">
        <v>22</v>
      </c>
      <c r="E4701">
        <v>13884</v>
      </c>
      <c r="F4701">
        <v>286</v>
      </c>
      <c r="G4701">
        <v>11</v>
      </c>
      <c r="H4701">
        <v>482.07</v>
      </c>
      <c r="I4701">
        <v>1234.83</v>
      </c>
      <c r="J4701">
        <v>2.06</v>
      </c>
      <c r="K4701">
        <v>3.85</v>
      </c>
      <c r="L4701">
        <v>43.82</v>
      </c>
      <c r="M4701">
        <v>2.56</v>
      </c>
      <c r="N4701">
        <v>752.76</v>
      </c>
    </row>
    <row r="4702" spans="1:14" x14ac:dyDescent="0.2">
      <c r="A4702" s="1">
        <v>45865</v>
      </c>
      <c r="B4702" s="2" t="s">
        <v>30</v>
      </c>
      <c r="C4702" s="2" t="s">
        <v>18</v>
      </c>
      <c r="D4702" s="2" t="s">
        <v>22</v>
      </c>
      <c r="E4702">
        <v>7339</v>
      </c>
      <c r="F4702">
        <v>249</v>
      </c>
      <c r="G4702">
        <v>14</v>
      </c>
      <c r="H4702">
        <v>325.56</v>
      </c>
      <c r="I4702">
        <v>1516.04</v>
      </c>
      <c r="J4702">
        <v>3.39</v>
      </c>
      <c r="K4702">
        <v>5.62</v>
      </c>
      <c r="L4702">
        <v>23.25</v>
      </c>
      <c r="M4702">
        <v>4.66</v>
      </c>
      <c r="N4702">
        <v>1190.48</v>
      </c>
    </row>
    <row r="4703" spans="1:14" x14ac:dyDescent="0.2">
      <c r="A4703" s="1">
        <v>45865</v>
      </c>
      <c r="B4703" s="2" t="s">
        <v>31</v>
      </c>
      <c r="C4703" s="2" t="s">
        <v>28</v>
      </c>
      <c r="D4703" s="2" t="s">
        <v>36</v>
      </c>
      <c r="E4703">
        <v>15561</v>
      </c>
      <c r="F4703">
        <v>556</v>
      </c>
      <c r="G4703">
        <v>33</v>
      </c>
      <c r="H4703">
        <v>360.07</v>
      </c>
      <c r="I4703">
        <v>3017.92</v>
      </c>
      <c r="J4703">
        <v>3.57</v>
      </c>
      <c r="K4703">
        <v>5.94</v>
      </c>
      <c r="L4703">
        <v>10.91</v>
      </c>
      <c r="M4703">
        <v>8.3800000000000008</v>
      </c>
      <c r="N4703">
        <v>2657.85</v>
      </c>
    </row>
    <row r="4704" spans="1:14" x14ac:dyDescent="0.2">
      <c r="A4704" s="1">
        <v>45865</v>
      </c>
      <c r="B4704" s="2" t="s">
        <v>33</v>
      </c>
      <c r="C4704" s="2" t="s">
        <v>18</v>
      </c>
      <c r="D4704" s="2" t="s">
        <v>22</v>
      </c>
      <c r="E4704">
        <v>5469</v>
      </c>
      <c r="F4704">
        <v>232</v>
      </c>
      <c r="G4704">
        <v>28</v>
      </c>
      <c r="H4704">
        <v>219</v>
      </c>
      <c r="I4704">
        <v>3281.1</v>
      </c>
      <c r="J4704">
        <v>4.24</v>
      </c>
      <c r="K4704">
        <v>12.07</v>
      </c>
      <c r="L4704">
        <v>7.82</v>
      </c>
      <c r="M4704">
        <v>14.98</v>
      </c>
      <c r="N4704">
        <v>3062.1</v>
      </c>
    </row>
    <row r="4705" spans="1:14" x14ac:dyDescent="0.2">
      <c r="A4705" s="1">
        <v>45865</v>
      </c>
      <c r="B4705" s="2" t="s">
        <v>34</v>
      </c>
      <c r="C4705" s="2" t="s">
        <v>28</v>
      </c>
      <c r="D4705" s="2" t="s">
        <v>19</v>
      </c>
      <c r="E4705">
        <v>3051</v>
      </c>
      <c r="F4705">
        <v>248</v>
      </c>
      <c r="G4705">
        <v>30</v>
      </c>
      <c r="H4705">
        <v>103.73</v>
      </c>
      <c r="I4705">
        <v>4733.24</v>
      </c>
      <c r="J4705">
        <v>8.1300000000000008</v>
      </c>
      <c r="K4705">
        <v>12.1</v>
      </c>
      <c r="L4705">
        <v>3.46</v>
      </c>
      <c r="M4705">
        <v>45.63</v>
      </c>
      <c r="N4705">
        <v>4629.51</v>
      </c>
    </row>
    <row r="4706" spans="1:14" x14ac:dyDescent="0.2">
      <c r="A4706" s="1">
        <v>45866</v>
      </c>
      <c r="B4706" s="2" t="s">
        <v>14</v>
      </c>
      <c r="C4706" s="2" t="s">
        <v>35</v>
      </c>
      <c r="D4706" s="2" t="s">
        <v>25</v>
      </c>
      <c r="E4706">
        <v>10942</v>
      </c>
      <c r="F4706">
        <v>519</v>
      </c>
      <c r="G4706">
        <v>51</v>
      </c>
      <c r="H4706">
        <v>944.9</v>
      </c>
      <c r="I4706">
        <v>7310.56</v>
      </c>
      <c r="J4706">
        <v>4.74</v>
      </c>
      <c r="K4706">
        <v>9.83</v>
      </c>
      <c r="L4706">
        <v>18.53</v>
      </c>
      <c r="M4706">
        <v>7.74</v>
      </c>
      <c r="N4706">
        <v>6365.66</v>
      </c>
    </row>
    <row r="4707" spans="1:14" x14ac:dyDescent="0.2">
      <c r="A4707" s="1">
        <v>45866</v>
      </c>
      <c r="B4707" s="2" t="s">
        <v>17</v>
      </c>
      <c r="C4707" s="2" t="s">
        <v>21</v>
      </c>
      <c r="D4707" s="2" t="s">
        <v>16</v>
      </c>
      <c r="E4707">
        <v>11136</v>
      </c>
      <c r="F4707">
        <v>330</v>
      </c>
      <c r="G4707">
        <v>25</v>
      </c>
      <c r="H4707">
        <v>1011.12</v>
      </c>
      <c r="I4707">
        <v>2938.49</v>
      </c>
      <c r="J4707">
        <v>2.96</v>
      </c>
      <c r="K4707">
        <v>7.58</v>
      </c>
      <c r="L4707">
        <v>40.44</v>
      </c>
      <c r="M4707">
        <v>2.91</v>
      </c>
      <c r="N4707">
        <v>1927.37</v>
      </c>
    </row>
    <row r="4708" spans="1:14" x14ac:dyDescent="0.2">
      <c r="A4708" s="1">
        <v>45866</v>
      </c>
      <c r="B4708" s="2" t="s">
        <v>20</v>
      </c>
      <c r="C4708" s="2" t="s">
        <v>35</v>
      </c>
      <c r="D4708" s="2" t="s">
        <v>19</v>
      </c>
      <c r="E4708">
        <v>10289</v>
      </c>
      <c r="F4708">
        <v>258</v>
      </c>
      <c r="G4708">
        <v>11</v>
      </c>
      <c r="H4708">
        <v>740.66</v>
      </c>
      <c r="I4708">
        <v>1031.02</v>
      </c>
      <c r="J4708">
        <v>2.5099999999999998</v>
      </c>
      <c r="K4708">
        <v>4.26</v>
      </c>
      <c r="L4708">
        <v>67.33</v>
      </c>
      <c r="M4708">
        <v>1.39</v>
      </c>
      <c r="N4708">
        <v>290.36</v>
      </c>
    </row>
    <row r="4709" spans="1:14" x14ac:dyDescent="0.2">
      <c r="A4709" s="1">
        <v>45866</v>
      </c>
      <c r="B4709" s="2" t="s">
        <v>23</v>
      </c>
      <c r="C4709" s="2" t="s">
        <v>15</v>
      </c>
      <c r="D4709" s="2" t="s">
        <v>36</v>
      </c>
      <c r="E4709">
        <v>2978</v>
      </c>
      <c r="F4709">
        <v>48</v>
      </c>
      <c r="G4709">
        <v>6</v>
      </c>
      <c r="H4709">
        <v>766.01</v>
      </c>
      <c r="I4709">
        <v>1626.04</v>
      </c>
      <c r="J4709">
        <v>1.61</v>
      </c>
      <c r="K4709">
        <v>12.5</v>
      </c>
      <c r="L4709">
        <v>127.67</v>
      </c>
      <c r="M4709">
        <v>2.12</v>
      </c>
      <c r="N4709">
        <v>860.03</v>
      </c>
    </row>
    <row r="4710" spans="1:14" x14ac:dyDescent="0.2">
      <c r="A4710" s="1">
        <v>45866</v>
      </c>
      <c r="B4710" s="2" t="s">
        <v>24</v>
      </c>
      <c r="C4710" s="2" t="s">
        <v>35</v>
      </c>
      <c r="D4710" s="2" t="s">
        <v>22</v>
      </c>
      <c r="E4710">
        <v>21090</v>
      </c>
      <c r="F4710">
        <v>4935</v>
      </c>
      <c r="G4710">
        <v>634</v>
      </c>
      <c r="H4710">
        <v>112.66</v>
      </c>
      <c r="I4710">
        <v>92967.9</v>
      </c>
      <c r="J4710">
        <v>23.4</v>
      </c>
      <c r="K4710">
        <v>12.85</v>
      </c>
      <c r="L4710">
        <v>0.18</v>
      </c>
      <c r="M4710">
        <v>825.21</v>
      </c>
      <c r="N4710">
        <v>92855.24</v>
      </c>
    </row>
    <row r="4711" spans="1:14" x14ac:dyDescent="0.2">
      <c r="A4711" s="1">
        <v>45866</v>
      </c>
      <c r="B4711" s="2" t="s">
        <v>26</v>
      </c>
      <c r="C4711" s="2" t="s">
        <v>21</v>
      </c>
      <c r="D4711" s="2" t="s">
        <v>25</v>
      </c>
      <c r="E4711">
        <v>19153</v>
      </c>
      <c r="F4711">
        <v>1152</v>
      </c>
      <c r="G4711">
        <v>139</v>
      </c>
      <c r="H4711">
        <v>0</v>
      </c>
      <c r="I4711">
        <v>14606.11</v>
      </c>
      <c r="J4711">
        <v>6.01</v>
      </c>
      <c r="K4711">
        <v>12.07</v>
      </c>
      <c r="L4711">
        <v>0</v>
      </c>
      <c r="M4711">
        <v>0</v>
      </c>
      <c r="N4711">
        <v>14606.11</v>
      </c>
    </row>
    <row r="4712" spans="1:14" x14ac:dyDescent="0.2">
      <c r="A4712" s="1">
        <v>45866</v>
      </c>
      <c r="B4712" s="2" t="s">
        <v>27</v>
      </c>
      <c r="C4712" s="2" t="s">
        <v>28</v>
      </c>
      <c r="D4712" s="2" t="s">
        <v>22</v>
      </c>
      <c r="E4712">
        <v>28160</v>
      </c>
      <c r="F4712">
        <v>307</v>
      </c>
      <c r="G4712">
        <v>13</v>
      </c>
      <c r="H4712">
        <v>1022.88</v>
      </c>
      <c r="I4712">
        <v>1639.57</v>
      </c>
      <c r="J4712">
        <v>1.0900000000000001</v>
      </c>
      <c r="K4712">
        <v>4.2300000000000004</v>
      </c>
      <c r="L4712">
        <v>78.680000000000007</v>
      </c>
      <c r="M4712">
        <v>1.6</v>
      </c>
      <c r="N4712">
        <v>616.69000000000005</v>
      </c>
    </row>
    <row r="4713" spans="1:14" x14ac:dyDescent="0.2">
      <c r="A4713" s="1">
        <v>45866</v>
      </c>
      <c r="B4713" s="2" t="s">
        <v>29</v>
      </c>
      <c r="C4713" s="2" t="s">
        <v>21</v>
      </c>
      <c r="D4713" s="2" t="s">
        <v>36</v>
      </c>
      <c r="E4713">
        <v>16795</v>
      </c>
      <c r="F4713">
        <v>382</v>
      </c>
      <c r="G4713">
        <v>22</v>
      </c>
      <c r="H4713">
        <v>818.4</v>
      </c>
      <c r="I4713">
        <v>2237.7800000000002</v>
      </c>
      <c r="J4713">
        <v>2.27</v>
      </c>
      <c r="K4713">
        <v>5.76</v>
      </c>
      <c r="L4713">
        <v>37.200000000000003</v>
      </c>
      <c r="M4713">
        <v>2.73</v>
      </c>
      <c r="N4713">
        <v>1419.38</v>
      </c>
    </row>
    <row r="4714" spans="1:14" x14ac:dyDescent="0.2">
      <c r="A4714" s="1">
        <v>45866</v>
      </c>
      <c r="B4714" s="2" t="s">
        <v>30</v>
      </c>
      <c r="C4714" s="2" t="s">
        <v>28</v>
      </c>
      <c r="D4714" s="2" t="s">
        <v>36</v>
      </c>
      <c r="E4714">
        <v>7295</v>
      </c>
      <c r="F4714">
        <v>208</v>
      </c>
      <c r="G4714">
        <v>11</v>
      </c>
      <c r="H4714">
        <v>443.75</v>
      </c>
      <c r="I4714">
        <v>1229.8900000000001</v>
      </c>
      <c r="J4714">
        <v>2.85</v>
      </c>
      <c r="K4714">
        <v>5.29</v>
      </c>
      <c r="L4714">
        <v>40.340000000000003</v>
      </c>
      <c r="M4714">
        <v>2.77</v>
      </c>
      <c r="N4714">
        <v>786.14</v>
      </c>
    </row>
    <row r="4715" spans="1:14" x14ac:dyDescent="0.2">
      <c r="A4715" s="1">
        <v>45866</v>
      </c>
      <c r="B4715" s="2" t="s">
        <v>31</v>
      </c>
      <c r="C4715" s="2" t="s">
        <v>28</v>
      </c>
      <c r="D4715" s="2" t="s">
        <v>25</v>
      </c>
      <c r="E4715">
        <v>22228</v>
      </c>
      <c r="F4715">
        <v>941</v>
      </c>
      <c r="G4715">
        <v>58</v>
      </c>
      <c r="H4715">
        <v>927.05</v>
      </c>
      <c r="I4715">
        <v>4154.03</v>
      </c>
      <c r="J4715">
        <v>4.2300000000000004</v>
      </c>
      <c r="K4715">
        <v>6.16</v>
      </c>
      <c r="L4715">
        <v>15.98</v>
      </c>
      <c r="M4715">
        <v>4.4800000000000004</v>
      </c>
      <c r="N4715">
        <v>3226.98</v>
      </c>
    </row>
    <row r="4716" spans="1:14" x14ac:dyDescent="0.2">
      <c r="A4716" s="1">
        <v>45866</v>
      </c>
      <c r="B4716" s="2" t="s">
        <v>33</v>
      </c>
      <c r="C4716" s="2" t="s">
        <v>15</v>
      </c>
      <c r="D4716" s="2" t="s">
        <v>19</v>
      </c>
      <c r="E4716">
        <v>4990</v>
      </c>
      <c r="F4716">
        <v>271</v>
      </c>
      <c r="G4716">
        <v>28</v>
      </c>
      <c r="H4716">
        <v>371.05</v>
      </c>
      <c r="I4716">
        <v>3833.26</v>
      </c>
      <c r="J4716">
        <v>5.43</v>
      </c>
      <c r="K4716">
        <v>10.33</v>
      </c>
      <c r="L4716">
        <v>13.25</v>
      </c>
      <c r="M4716">
        <v>10.33</v>
      </c>
      <c r="N4716">
        <v>3462.21</v>
      </c>
    </row>
    <row r="4717" spans="1:14" x14ac:dyDescent="0.2">
      <c r="A4717" s="1">
        <v>45866</v>
      </c>
      <c r="B4717" s="2" t="s">
        <v>34</v>
      </c>
      <c r="C4717" s="2" t="s">
        <v>18</v>
      </c>
      <c r="D4717" s="2" t="s">
        <v>36</v>
      </c>
      <c r="E4717">
        <v>4675</v>
      </c>
      <c r="F4717">
        <v>311</v>
      </c>
      <c r="G4717">
        <v>39</v>
      </c>
      <c r="H4717">
        <v>156.84</v>
      </c>
      <c r="I4717">
        <v>5858.3</v>
      </c>
      <c r="J4717">
        <v>6.65</v>
      </c>
      <c r="K4717">
        <v>12.54</v>
      </c>
      <c r="L4717">
        <v>4.0199999999999996</v>
      </c>
      <c r="M4717">
        <v>37.35</v>
      </c>
      <c r="N4717">
        <v>5701.46</v>
      </c>
    </row>
    <row r="4718" spans="1:14" x14ac:dyDescent="0.2">
      <c r="A4718" s="1">
        <v>45867</v>
      </c>
      <c r="B4718" s="2" t="s">
        <v>14</v>
      </c>
      <c r="C4718" s="2" t="s">
        <v>21</v>
      </c>
      <c r="D4718" s="2" t="s">
        <v>16</v>
      </c>
      <c r="E4718">
        <v>7500</v>
      </c>
      <c r="F4718">
        <v>282</v>
      </c>
      <c r="G4718">
        <v>28</v>
      </c>
      <c r="H4718">
        <v>816.35</v>
      </c>
      <c r="I4718">
        <v>4832.8999999999996</v>
      </c>
      <c r="J4718">
        <v>3.76</v>
      </c>
      <c r="K4718">
        <v>9.93</v>
      </c>
      <c r="L4718">
        <v>29.16</v>
      </c>
      <c r="M4718">
        <v>5.92</v>
      </c>
      <c r="N4718">
        <v>4016.55</v>
      </c>
    </row>
    <row r="4719" spans="1:14" x14ac:dyDescent="0.2">
      <c r="A4719" s="1">
        <v>45867</v>
      </c>
      <c r="B4719" s="2" t="s">
        <v>17</v>
      </c>
      <c r="C4719" s="2" t="s">
        <v>15</v>
      </c>
      <c r="D4719" s="2" t="s">
        <v>25</v>
      </c>
      <c r="E4719">
        <v>10466</v>
      </c>
      <c r="F4719">
        <v>222</v>
      </c>
      <c r="G4719">
        <v>19</v>
      </c>
      <c r="H4719">
        <v>791.52</v>
      </c>
      <c r="I4719">
        <v>2578.52</v>
      </c>
      <c r="J4719">
        <v>2.12</v>
      </c>
      <c r="K4719">
        <v>8.56</v>
      </c>
      <c r="L4719">
        <v>41.66</v>
      </c>
      <c r="M4719">
        <v>3.26</v>
      </c>
      <c r="N4719">
        <v>1787</v>
      </c>
    </row>
    <row r="4720" spans="1:14" x14ac:dyDescent="0.2">
      <c r="A4720" s="1">
        <v>45867</v>
      </c>
      <c r="B4720" s="2" t="s">
        <v>20</v>
      </c>
      <c r="C4720" s="2" t="s">
        <v>18</v>
      </c>
      <c r="D4720" s="2" t="s">
        <v>16</v>
      </c>
      <c r="E4720">
        <v>10164</v>
      </c>
      <c r="F4720">
        <v>434</v>
      </c>
      <c r="G4720">
        <v>18</v>
      </c>
      <c r="H4720">
        <v>474.09</v>
      </c>
      <c r="I4720">
        <v>1594.45</v>
      </c>
      <c r="J4720">
        <v>4.2699999999999996</v>
      </c>
      <c r="K4720">
        <v>4.1500000000000004</v>
      </c>
      <c r="L4720">
        <v>26.34</v>
      </c>
      <c r="M4720">
        <v>3.36</v>
      </c>
      <c r="N4720">
        <v>1120.3599999999999</v>
      </c>
    </row>
    <row r="4721" spans="1:14" x14ac:dyDescent="0.2">
      <c r="A4721" s="1">
        <v>45867</v>
      </c>
      <c r="B4721" s="2" t="s">
        <v>23</v>
      </c>
      <c r="C4721" s="2" t="s">
        <v>35</v>
      </c>
      <c r="D4721" s="2" t="s">
        <v>19</v>
      </c>
      <c r="E4721">
        <v>3592</v>
      </c>
      <c r="F4721">
        <v>86</v>
      </c>
      <c r="G4721">
        <v>11</v>
      </c>
      <c r="H4721">
        <v>949.17</v>
      </c>
      <c r="I4721">
        <v>2518.0300000000002</v>
      </c>
      <c r="J4721">
        <v>2.39</v>
      </c>
      <c r="K4721">
        <v>12.79</v>
      </c>
      <c r="L4721">
        <v>86.29</v>
      </c>
      <c r="M4721">
        <v>2.65</v>
      </c>
      <c r="N4721">
        <v>1568.86</v>
      </c>
    </row>
    <row r="4722" spans="1:14" x14ac:dyDescent="0.2">
      <c r="A4722" s="1">
        <v>45867</v>
      </c>
      <c r="B4722" s="2" t="s">
        <v>24</v>
      </c>
      <c r="C4722" s="2" t="s">
        <v>28</v>
      </c>
      <c r="D4722" s="2" t="s">
        <v>22</v>
      </c>
      <c r="E4722">
        <v>17175</v>
      </c>
      <c r="F4722">
        <v>3769</v>
      </c>
      <c r="G4722">
        <v>352</v>
      </c>
      <c r="H4722">
        <v>155.69999999999999</v>
      </c>
      <c r="I4722">
        <v>49142.81</v>
      </c>
      <c r="J4722">
        <v>21.94</v>
      </c>
      <c r="K4722">
        <v>9.34</v>
      </c>
      <c r="L4722">
        <v>0.44</v>
      </c>
      <c r="M4722">
        <v>315.62</v>
      </c>
      <c r="N4722">
        <v>48987.11</v>
      </c>
    </row>
    <row r="4723" spans="1:14" x14ac:dyDescent="0.2">
      <c r="A4723" s="1">
        <v>45867</v>
      </c>
      <c r="B4723" s="2" t="s">
        <v>26</v>
      </c>
      <c r="C4723" s="2" t="s">
        <v>28</v>
      </c>
      <c r="D4723" s="2" t="s">
        <v>16</v>
      </c>
      <c r="E4723">
        <v>28010</v>
      </c>
      <c r="F4723">
        <v>1158</v>
      </c>
      <c r="G4723">
        <v>147</v>
      </c>
      <c r="H4723">
        <v>0</v>
      </c>
      <c r="I4723">
        <v>23351.07</v>
      </c>
      <c r="J4723">
        <v>4.13</v>
      </c>
      <c r="K4723">
        <v>12.69</v>
      </c>
      <c r="L4723">
        <v>0</v>
      </c>
      <c r="M4723">
        <v>0</v>
      </c>
      <c r="N4723">
        <v>23351.07</v>
      </c>
    </row>
    <row r="4724" spans="1:14" x14ac:dyDescent="0.2">
      <c r="A4724" s="1">
        <v>45867</v>
      </c>
      <c r="B4724" s="2" t="s">
        <v>27</v>
      </c>
      <c r="C4724" s="2" t="s">
        <v>28</v>
      </c>
      <c r="D4724" s="2" t="s">
        <v>16</v>
      </c>
      <c r="E4724">
        <v>24143</v>
      </c>
      <c r="F4724">
        <v>456</v>
      </c>
      <c r="G4724">
        <v>19</v>
      </c>
      <c r="H4724">
        <v>885.07</v>
      </c>
      <c r="I4724">
        <v>2192.0700000000002</v>
      </c>
      <c r="J4724">
        <v>1.89</v>
      </c>
      <c r="K4724">
        <v>4.17</v>
      </c>
      <c r="L4724">
        <v>46.58</v>
      </c>
      <c r="M4724">
        <v>2.48</v>
      </c>
      <c r="N4724">
        <v>1307</v>
      </c>
    </row>
    <row r="4725" spans="1:14" x14ac:dyDescent="0.2">
      <c r="A4725" s="1">
        <v>45867</v>
      </c>
      <c r="B4725" s="2" t="s">
        <v>29</v>
      </c>
      <c r="C4725" s="2" t="s">
        <v>15</v>
      </c>
      <c r="D4725" s="2" t="s">
        <v>22</v>
      </c>
      <c r="E4725">
        <v>19365</v>
      </c>
      <c r="F4725">
        <v>501</v>
      </c>
      <c r="G4725">
        <v>39</v>
      </c>
      <c r="H4725">
        <v>1159.8900000000001</v>
      </c>
      <c r="I4725">
        <v>5597.65</v>
      </c>
      <c r="J4725">
        <v>2.59</v>
      </c>
      <c r="K4725">
        <v>7.78</v>
      </c>
      <c r="L4725">
        <v>29.74</v>
      </c>
      <c r="M4725">
        <v>4.83</v>
      </c>
      <c r="N4725">
        <v>4437.76</v>
      </c>
    </row>
    <row r="4726" spans="1:14" x14ac:dyDescent="0.2">
      <c r="A4726" s="1">
        <v>45867</v>
      </c>
      <c r="B4726" s="2" t="s">
        <v>30</v>
      </c>
      <c r="C4726" s="2" t="s">
        <v>32</v>
      </c>
      <c r="D4726" s="2" t="s">
        <v>16</v>
      </c>
      <c r="E4726">
        <v>9935</v>
      </c>
      <c r="F4726">
        <v>240</v>
      </c>
      <c r="G4726">
        <v>12</v>
      </c>
      <c r="H4726">
        <v>623.9</v>
      </c>
      <c r="I4726">
        <v>973.24</v>
      </c>
      <c r="J4726">
        <v>2.42</v>
      </c>
      <c r="K4726">
        <v>5</v>
      </c>
      <c r="L4726">
        <v>51.99</v>
      </c>
      <c r="M4726">
        <v>1.56</v>
      </c>
      <c r="N4726">
        <v>349.34</v>
      </c>
    </row>
    <row r="4727" spans="1:14" x14ac:dyDescent="0.2">
      <c r="A4727" s="1">
        <v>45867</v>
      </c>
      <c r="B4727" s="2" t="s">
        <v>31</v>
      </c>
      <c r="C4727" s="2" t="s">
        <v>15</v>
      </c>
      <c r="D4727" s="2" t="s">
        <v>25</v>
      </c>
      <c r="E4727">
        <v>16541</v>
      </c>
      <c r="F4727">
        <v>624</v>
      </c>
      <c r="G4727">
        <v>41</v>
      </c>
      <c r="H4727">
        <v>537.01</v>
      </c>
      <c r="I4727">
        <v>3818.07</v>
      </c>
      <c r="J4727">
        <v>3.77</v>
      </c>
      <c r="K4727">
        <v>6.57</v>
      </c>
      <c r="L4727">
        <v>13.1</v>
      </c>
      <c r="M4727">
        <v>7.11</v>
      </c>
      <c r="N4727">
        <v>3281.06</v>
      </c>
    </row>
    <row r="4728" spans="1:14" x14ac:dyDescent="0.2">
      <c r="A4728" s="1">
        <v>45867</v>
      </c>
      <c r="B4728" s="2" t="s">
        <v>33</v>
      </c>
      <c r="C4728" s="2" t="s">
        <v>35</v>
      </c>
      <c r="D4728" s="2" t="s">
        <v>36</v>
      </c>
      <c r="E4728">
        <v>8031</v>
      </c>
      <c r="F4728">
        <v>537</v>
      </c>
      <c r="G4728">
        <v>59</v>
      </c>
      <c r="H4728">
        <v>352.29</v>
      </c>
      <c r="I4728">
        <v>7231.12</v>
      </c>
      <c r="J4728">
        <v>6.69</v>
      </c>
      <c r="K4728">
        <v>10.99</v>
      </c>
      <c r="L4728">
        <v>5.97</v>
      </c>
      <c r="M4728">
        <v>20.53</v>
      </c>
      <c r="N4728">
        <v>6878.83</v>
      </c>
    </row>
    <row r="4729" spans="1:14" x14ac:dyDescent="0.2">
      <c r="A4729" s="1">
        <v>45867</v>
      </c>
      <c r="B4729" s="2" t="s">
        <v>34</v>
      </c>
      <c r="C4729" s="2" t="s">
        <v>28</v>
      </c>
      <c r="D4729" s="2" t="s">
        <v>25</v>
      </c>
      <c r="E4729">
        <v>3201</v>
      </c>
      <c r="F4729">
        <v>189</v>
      </c>
      <c r="G4729">
        <v>24</v>
      </c>
      <c r="H4729">
        <v>63.8</v>
      </c>
      <c r="I4729">
        <v>4100.3</v>
      </c>
      <c r="J4729">
        <v>5.9</v>
      </c>
      <c r="K4729">
        <v>12.7</v>
      </c>
      <c r="L4729">
        <v>2.66</v>
      </c>
      <c r="M4729">
        <v>64.27</v>
      </c>
      <c r="N4729">
        <v>4036.5</v>
      </c>
    </row>
    <row r="4730" spans="1:14" x14ac:dyDescent="0.2">
      <c r="A4730" s="1">
        <v>45868</v>
      </c>
      <c r="B4730" s="2" t="s">
        <v>14</v>
      </c>
      <c r="C4730" s="2" t="s">
        <v>35</v>
      </c>
      <c r="D4730" s="2" t="s">
        <v>19</v>
      </c>
      <c r="E4730">
        <v>10820</v>
      </c>
      <c r="F4730">
        <v>466</v>
      </c>
      <c r="G4730">
        <v>46</v>
      </c>
      <c r="H4730">
        <v>990.67</v>
      </c>
      <c r="I4730">
        <v>8279.76</v>
      </c>
      <c r="J4730">
        <v>4.3099999999999996</v>
      </c>
      <c r="K4730">
        <v>9.8699999999999992</v>
      </c>
      <c r="L4730">
        <v>21.54</v>
      </c>
      <c r="M4730">
        <v>8.36</v>
      </c>
      <c r="N4730">
        <v>7289.09</v>
      </c>
    </row>
    <row r="4731" spans="1:14" x14ac:dyDescent="0.2">
      <c r="A4731" s="1">
        <v>45868</v>
      </c>
      <c r="B4731" s="2" t="s">
        <v>17</v>
      </c>
      <c r="C4731" s="2" t="s">
        <v>35</v>
      </c>
      <c r="D4731" s="2" t="s">
        <v>16</v>
      </c>
      <c r="E4731">
        <v>13237</v>
      </c>
      <c r="F4731">
        <v>362</v>
      </c>
      <c r="G4731">
        <v>28</v>
      </c>
      <c r="H4731">
        <v>691.83</v>
      </c>
      <c r="I4731">
        <v>4017.02</v>
      </c>
      <c r="J4731">
        <v>2.73</v>
      </c>
      <c r="K4731">
        <v>7.73</v>
      </c>
      <c r="L4731">
        <v>24.71</v>
      </c>
      <c r="M4731">
        <v>5.81</v>
      </c>
      <c r="N4731">
        <v>3325.19</v>
      </c>
    </row>
    <row r="4732" spans="1:14" x14ac:dyDescent="0.2">
      <c r="A4732" s="1">
        <v>45868</v>
      </c>
      <c r="B4732" s="2" t="s">
        <v>20</v>
      </c>
      <c r="C4732" s="2" t="s">
        <v>35</v>
      </c>
      <c r="D4732" s="2" t="s">
        <v>25</v>
      </c>
      <c r="E4732">
        <v>14432</v>
      </c>
      <c r="F4732">
        <v>413</v>
      </c>
      <c r="G4732">
        <v>20</v>
      </c>
      <c r="H4732">
        <v>472.68</v>
      </c>
      <c r="I4732">
        <v>2027.37</v>
      </c>
      <c r="J4732">
        <v>2.86</v>
      </c>
      <c r="K4732">
        <v>4.84</v>
      </c>
      <c r="L4732">
        <v>23.63</v>
      </c>
      <c r="M4732">
        <v>4.29</v>
      </c>
      <c r="N4732">
        <v>1554.69</v>
      </c>
    </row>
    <row r="4733" spans="1:14" x14ac:dyDescent="0.2">
      <c r="A4733" s="1">
        <v>45868</v>
      </c>
      <c r="B4733" s="2" t="s">
        <v>23</v>
      </c>
      <c r="C4733" s="2" t="s">
        <v>32</v>
      </c>
      <c r="D4733" s="2" t="s">
        <v>22</v>
      </c>
      <c r="E4733">
        <v>3466</v>
      </c>
      <c r="F4733">
        <v>100</v>
      </c>
      <c r="G4733">
        <v>12</v>
      </c>
      <c r="H4733">
        <v>1402.46</v>
      </c>
      <c r="I4733">
        <v>4212.24</v>
      </c>
      <c r="J4733">
        <v>2.89</v>
      </c>
      <c r="K4733">
        <v>12</v>
      </c>
      <c r="L4733">
        <v>116.87</v>
      </c>
      <c r="M4733">
        <v>3</v>
      </c>
      <c r="N4733">
        <v>2809.78</v>
      </c>
    </row>
    <row r="4734" spans="1:14" x14ac:dyDescent="0.2">
      <c r="A4734" s="1">
        <v>45868</v>
      </c>
      <c r="B4734" s="2" t="s">
        <v>24</v>
      </c>
      <c r="C4734" s="2" t="s">
        <v>15</v>
      </c>
      <c r="D4734" s="2" t="s">
        <v>36</v>
      </c>
      <c r="E4734">
        <v>17827</v>
      </c>
      <c r="F4734">
        <v>4452</v>
      </c>
      <c r="G4734">
        <v>572</v>
      </c>
      <c r="H4734">
        <v>141.34</v>
      </c>
      <c r="I4734">
        <v>63914.02</v>
      </c>
      <c r="J4734">
        <v>24.97</v>
      </c>
      <c r="K4734">
        <v>12.85</v>
      </c>
      <c r="L4734">
        <v>0.25</v>
      </c>
      <c r="M4734">
        <v>452.2</v>
      </c>
      <c r="N4734">
        <v>63772.68</v>
      </c>
    </row>
    <row r="4735" spans="1:14" x14ac:dyDescent="0.2">
      <c r="A4735" s="1">
        <v>45868</v>
      </c>
      <c r="B4735" s="2" t="s">
        <v>26</v>
      </c>
      <c r="C4735" s="2" t="s">
        <v>28</v>
      </c>
      <c r="D4735" s="2" t="s">
        <v>22</v>
      </c>
      <c r="E4735">
        <v>26772</v>
      </c>
      <c r="F4735">
        <v>1075</v>
      </c>
      <c r="G4735">
        <v>119</v>
      </c>
      <c r="H4735">
        <v>0</v>
      </c>
      <c r="I4735">
        <v>12094.77</v>
      </c>
      <c r="J4735">
        <v>4.0199999999999996</v>
      </c>
      <c r="K4735">
        <v>11.07</v>
      </c>
      <c r="L4735">
        <v>0</v>
      </c>
      <c r="M4735">
        <v>0</v>
      </c>
      <c r="N4735">
        <v>12094.77</v>
      </c>
    </row>
    <row r="4736" spans="1:14" x14ac:dyDescent="0.2">
      <c r="A4736" s="1">
        <v>45868</v>
      </c>
      <c r="B4736" s="2" t="s">
        <v>27</v>
      </c>
      <c r="C4736" s="2" t="s">
        <v>32</v>
      </c>
      <c r="D4736" s="2" t="s">
        <v>25</v>
      </c>
      <c r="E4736">
        <v>27315</v>
      </c>
      <c r="F4736">
        <v>497</v>
      </c>
      <c r="G4736">
        <v>23</v>
      </c>
      <c r="H4736">
        <v>1001.81</v>
      </c>
      <c r="I4736">
        <v>1981.39</v>
      </c>
      <c r="J4736">
        <v>1.82</v>
      </c>
      <c r="K4736">
        <v>4.63</v>
      </c>
      <c r="L4736">
        <v>43.56</v>
      </c>
      <c r="M4736">
        <v>1.98</v>
      </c>
      <c r="N4736">
        <v>979.58</v>
      </c>
    </row>
    <row r="4737" spans="1:14" x14ac:dyDescent="0.2">
      <c r="A4737" s="1">
        <v>45868</v>
      </c>
      <c r="B4737" s="2" t="s">
        <v>29</v>
      </c>
      <c r="C4737" s="2" t="s">
        <v>32</v>
      </c>
      <c r="D4737" s="2" t="s">
        <v>36</v>
      </c>
      <c r="E4737">
        <v>16835</v>
      </c>
      <c r="F4737">
        <v>501</v>
      </c>
      <c r="G4737">
        <v>30</v>
      </c>
      <c r="H4737">
        <v>1109.3599999999999</v>
      </c>
      <c r="I4737">
        <v>3089.15</v>
      </c>
      <c r="J4737">
        <v>2.98</v>
      </c>
      <c r="K4737">
        <v>5.99</v>
      </c>
      <c r="L4737">
        <v>36.979999999999997</v>
      </c>
      <c r="M4737">
        <v>2.78</v>
      </c>
      <c r="N4737">
        <v>1979.79</v>
      </c>
    </row>
    <row r="4738" spans="1:14" x14ac:dyDescent="0.2">
      <c r="A4738" s="1">
        <v>45868</v>
      </c>
      <c r="B4738" s="2" t="s">
        <v>30</v>
      </c>
      <c r="C4738" s="2" t="s">
        <v>15</v>
      </c>
      <c r="D4738" s="2" t="s">
        <v>19</v>
      </c>
      <c r="E4738">
        <v>9846</v>
      </c>
      <c r="F4738">
        <v>201</v>
      </c>
      <c r="G4738">
        <v>11</v>
      </c>
      <c r="H4738">
        <v>469.86</v>
      </c>
      <c r="I4738">
        <v>1006.41</v>
      </c>
      <c r="J4738">
        <v>2.04</v>
      </c>
      <c r="K4738">
        <v>5.47</v>
      </c>
      <c r="L4738">
        <v>42.71</v>
      </c>
      <c r="M4738">
        <v>2.14</v>
      </c>
      <c r="N4738">
        <v>536.54999999999995</v>
      </c>
    </row>
    <row r="4739" spans="1:14" x14ac:dyDescent="0.2">
      <c r="A4739" s="1">
        <v>45868</v>
      </c>
      <c r="B4739" s="2" t="s">
        <v>31</v>
      </c>
      <c r="C4739" s="2" t="s">
        <v>15</v>
      </c>
      <c r="D4739" s="2" t="s">
        <v>36</v>
      </c>
      <c r="E4739">
        <v>20798</v>
      </c>
      <c r="F4739">
        <v>748</v>
      </c>
      <c r="G4739">
        <v>47</v>
      </c>
      <c r="H4739">
        <v>556.34</v>
      </c>
      <c r="I4739">
        <v>3495.55</v>
      </c>
      <c r="J4739">
        <v>3.6</v>
      </c>
      <c r="K4739">
        <v>6.28</v>
      </c>
      <c r="L4739">
        <v>11.84</v>
      </c>
      <c r="M4739">
        <v>6.28</v>
      </c>
      <c r="N4739">
        <v>2939.21</v>
      </c>
    </row>
    <row r="4740" spans="1:14" x14ac:dyDescent="0.2">
      <c r="A4740" s="1">
        <v>45868</v>
      </c>
      <c r="B4740" s="2" t="s">
        <v>33</v>
      </c>
      <c r="C4740" s="2" t="s">
        <v>21</v>
      </c>
      <c r="D4740" s="2" t="s">
        <v>19</v>
      </c>
      <c r="E4740">
        <v>7060</v>
      </c>
      <c r="F4740">
        <v>300</v>
      </c>
      <c r="G4740">
        <v>36</v>
      </c>
      <c r="H4740">
        <v>335.22</v>
      </c>
      <c r="I4740">
        <v>4775.4399999999996</v>
      </c>
      <c r="J4740">
        <v>4.25</v>
      </c>
      <c r="K4740">
        <v>12</v>
      </c>
      <c r="L4740">
        <v>9.31</v>
      </c>
      <c r="M4740">
        <v>14.25</v>
      </c>
      <c r="N4740">
        <v>4440.22</v>
      </c>
    </row>
    <row r="4741" spans="1:14" x14ac:dyDescent="0.2">
      <c r="A4741" s="1">
        <v>45868</v>
      </c>
      <c r="B4741" s="2" t="s">
        <v>34</v>
      </c>
      <c r="C4741" s="2" t="s">
        <v>18</v>
      </c>
      <c r="D4741" s="2" t="s">
        <v>16</v>
      </c>
      <c r="E4741">
        <v>4707</v>
      </c>
      <c r="F4741">
        <v>432</v>
      </c>
      <c r="G4741">
        <v>77</v>
      </c>
      <c r="H4741">
        <v>120.17</v>
      </c>
      <c r="I4741">
        <v>11207.82</v>
      </c>
      <c r="J4741">
        <v>9.18</v>
      </c>
      <c r="K4741">
        <v>17.82</v>
      </c>
      <c r="L4741">
        <v>1.56</v>
      </c>
      <c r="M4741">
        <v>93.27</v>
      </c>
      <c r="N4741">
        <v>11087.65</v>
      </c>
    </row>
    <row r="4742" spans="1:14" x14ac:dyDescent="0.2">
      <c r="A4742" s="1">
        <v>45869</v>
      </c>
      <c r="B4742" s="2" t="s">
        <v>14</v>
      </c>
      <c r="C4742" s="2" t="s">
        <v>32</v>
      </c>
      <c r="D4742" s="2" t="s">
        <v>19</v>
      </c>
      <c r="E4742">
        <v>7549</v>
      </c>
      <c r="F4742">
        <v>341</v>
      </c>
      <c r="G4742">
        <v>34</v>
      </c>
      <c r="H4742">
        <v>857.34</v>
      </c>
      <c r="I4742">
        <v>5197.79</v>
      </c>
      <c r="J4742">
        <v>4.5199999999999996</v>
      </c>
      <c r="K4742">
        <v>9.9700000000000006</v>
      </c>
      <c r="L4742">
        <v>25.22</v>
      </c>
      <c r="M4742">
        <v>6.06</v>
      </c>
      <c r="N4742">
        <v>4340.45</v>
      </c>
    </row>
    <row r="4743" spans="1:14" x14ac:dyDescent="0.2">
      <c r="A4743" s="1">
        <v>45869</v>
      </c>
      <c r="B4743" s="2" t="s">
        <v>17</v>
      </c>
      <c r="C4743" s="2" t="s">
        <v>28</v>
      </c>
      <c r="D4743" s="2" t="s">
        <v>22</v>
      </c>
      <c r="E4743">
        <v>16085</v>
      </c>
      <c r="F4743">
        <v>470</v>
      </c>
      <c r="G4743">
        <v>24</v>
      </c>
      <c r="H4743">
        <v>955.97</v>
      </c>
      <c r="I4743">
        <v>2471.9899999999998</v>
      </c>
      <c r="J4743">
        <v>2.92</v>
      </c>
      <c r="K4743">
        <v>5.1100000000000003</v>
      </c>
      <c r="L4743">
        <v>39.83</v>
      </c>
      <c r="M4743">
        <v>2.59</v>
      </c>
      <c r="N4743">
        <v>1516.02</v>
      </c>
    </row>
    <row r="4744" spans="1:14" x14ac:dyDescent="0.2">
      <c r="A4744" s="1">
        <v>45869</v>
      </c>
      <c r="B4744" s="2" t="s">
        <v>20</v>
      </c>
      <c r="C4744" s="2" t="s">
        <v>32</v>
      </c>
      <c r="D4744" s="2" t="s">
        <v>25</v>
      </c>
      <c r="E4744">
        <v>11680</v>
      </c>
      <c r="F4744">
        <v>365</v>
      </c>
      <c r="G4744">
        <v>17</v>
      </c>
      <c r="H4744">
        <v>695.16</v>
      </c>
      <c r="I4744">
        <v>1472.18</v>
      </c>
      <c r="J4744">
        <v>3.12</v>
      </c>
      <c r="K4744">
        <v>4.66</v>
      </c>
      <c r="L4744">
        <v>40.89</v>
      </c>
      <c r="M4744">
        <v>2.12</v>
      </c>
      <c r="N4744">
        <v>777.02</v>
      </c>
    </row>
    <row r="4745" spans="1:14" x14ac:dyDescent="0.2">
      <c r="A4745" s="1">
        <v>45869</v>
      </c>
      <c r="B4745" s="2" t="s">
        <v>23</v>
      </c>
      <c r="C4745" s="2" t="s">
        <v>35</v>
      </c>
      <c r="D4745" s="2" t="s">
        <v>22</v>
      </c>
      <c r="E4745">
        <v>2899</v>
      </c>
      <c r="F4745">
        <v>52</v>
      </c>
      <c r="G4745">
        <v>7</v>
      </c>
      <c r="H4745">
        <v>1187.71</v>
      </c>
      <c r="I4745">
        <v>1637.38</v>
      </c>
      <c r="J4745">
        <v>1.79</v>
      </c>
      <c r="K4745">
        <v>13.46</v>
      </c>
      <c r="L4745">
        <v>169.67</v>
      </c>
      <c r="M4745">
        <v>1.38</v>
      </c>
      <c r="N4745">
        <v>449.67</v>
      </c>
    </row>
    <row r="4746" spans="1:14" x14ac:dyDescent="0.2">
      <c r="A4746" s="1">
        <v>45869</v>
      </c>
      <c r="B4746" s="2" t="s">
        <v>24</v>
      </c>
      <c r="C4746" s="2" t="s">
        <v>18</v>
      </c>
      <c r="D4746" s="2" t="s">
        <v>25</v>
      </c>
      <c r="E4746">
        <v>20963</v>
      </c>
      <c r="F4746">
        <v>3936</v>
      </c>
      <c r="G4746">
        <v>333</v>
      </c>
      <c r="H4746">
        <v>127.86</v>
      </c>
      <c r="I4746">
        <v>36047.599999999999</v>
      </c>
      <c r="J4746">
        <v>18.78</v>
      </c>
      <c r="K4746">
        <v>8.4600000000000009</v>
      </c>
      <c r="L4746">
        <v>0.38</v>
      </c>
      <c r="M4746">
        <v>281.93</v>
      </c>
      <c r="N4746">
        <v>35919.74</v>
      </c>
    </row>
    <row r="4747" spans="1:14" x14ac:dyDescent="0.2">
      <c r="A4747" s="1">
        <v>45869</v>
      </c>
      <c r="B4747" s="2" t="s">
        <v>26</v>
      </c>
      <c r="C4747" s="2" t="s">
        <v>32</v>
      </c>
      <c r="D4747" s="2" t="s">
        <v>19</v>
      </c>
      <c r="E4747">
        <v>26599</v>
      </c>
      <c r="F4747">
        <v>1175</v>
      </c>
      <c r="G4747">
        <v>165</v>
      </c>
      <c r="H4747">
        <v>0</v>
      </c>
      <c r="I4747">
        <v>18446.88</v>
      </c>
      <c r="J4747">
        <v>4.42</v>
      </c>
      <c r="K4747">
        <v>14.04</v>
      </c>
      <c r="L4747">
        <v>0</v>
      </c>
      <c r="M4747">
        <v>0</v>
      </c>
      <c r="N4747">
        <v>18446.88</v>
      </c>
    </row>
    <row r="4748" spans="1:14" x14ac:dyDescent="0.2">
      <c r="A4748" s="1">
        <v>45869</v>
      </c>
      <c r="B4748" s="2" t="s">
        <v>27</v>
      </c>
      <c r="C4748" s="2" t="s">
        <v>32</v>
      </c>
      <c r="D4748" s="2" t="s">
        <v>19</v>
      </c>
      <c r="E4748">
        <v>29796</v>
      </c>
      <c r="F4748">
        <v>323</v>
      </c>
      <c r="G4748">
        <v>11</v>
      </c>
      <c r="H4748">
        <v>854.57</v>
      </c>
      <c r="I4748">
        <v>1069.21</v>
      </c>
      <c r="J4748">
        <v>1.08</v>
      </c>
      <c r="K4748">
        <v>3.41</v>
      </c>
      <c r="L4748">
        <v>77.69</v>
      </c>
      <c r="M4748">
        <v>1.25</v>
      </c>
      <c r="N4748">
        <v>214.64</v>
      </c>
    </row>
    <row r="4749" spans="1:14" x14ac:dyDescent="0.2">
      <c r="A4749" s="1">
        <v>45869</v>
      </c>
      <c r="B4749" s="2" t="s">
        <v>29</v>
      </c>
      <c r="C4749" s="2" t="s">
        <v>15</v>
      </c>
      <c r="D4749" s="2" t="s">
        <v>22</v>
      </c>
      <c r="E4749">
        <v>14956</v>
      </c>
      <c r="F4749">
        <v>319</v>
      </c>
      <c r="G4749">
        <v>14</v>
      </c>
      <c r="H4749">
        <v>883.54</v>
      </c>
      <c r="I4749">
        <v>1458.6</v>
      </c>
      <c r="J4749">
        <v>2.13</v>
      </c>
      <c r="K4749">
        <v>4.3899999999999997</v>
      </c>
      <c r="L4749">
        <v>63.11</v>
      </c>
      <c r="M4749">
        <v>1.65</v>
      </c>
      <c r="N4749">
        <v>575.05999999999995</v>
      </c>
    </row>
    <row r="4750" spans="1:14" x14ac:dyDescent="0.2">
      <c r="A4750" s="1">
        <v>45869</v>
      </c>
      <c r="B4750" s="2" t="s">
        <v>30</v>
      </c>
      <c r="C4750" s="2" t="s">
        <v>18</v>
      </c>
      <c r="D4750" s="2" t="s">
        <v>16</v>
      </c>
      <c r="E4750">
        <v>11614</v>
      </c>
      <c r="F4750">
        <v>337</v>
      </c>
      <c r="G4750">
        <v>17</v>
      </c>
      <c r="H4750">
        <v>438.47</v>
      </c>
      <c r="I4750">
        <v>1579.49</v>
      </c>
      <c r="J4750">
        <v>2.9</v>
      </c>
      <c r="K4750">
        <v>5.04</v>
      </c>
      <c r="L4750">
        <v>25.79</v>
      </c>
      <c r="M4750">
        <v>3.6</v>
      </c>
      <c r="N4750">
        <v>1141.02</v>
      </c>
    </row>
    <row r="4751" spans="1:14" x14ac:dyDescent="0.2">
      <c r="A4751" s="1">
        <v>45869</v>
      </c>
      <c r="B4751" s="2" t="s">
        <v>31</v>
      </c>
      <c r="C4751" s="2" t="s">
        <v>32</v>
      </c>
      <c r="D4751" s="2" t="s">
        <v>25</v>
      </c>
      <c r="E4751">
        <v>17861</v>
      </c>
      <c r="F4751">
        <v>679</v>
      </c>
      <c r="G4751">
        <v>46</v>
      </c>
      <c r="H4751">
        <v>703.39</v>
      </c>
      <c r="I4751">
        <v>4044.95</v>
      </c>
      <c r="J4751">
        <v>3.8</v>
      </c>
      <c r="K4751">
        <v>6.77</v>
      </c>
      <c r="L4751">
        <v>15.29</v>
      </c>
      <c r="M4751">
        <v>5.75</v>
      </c>
      <c r="N4751">
        <v>3341.56</v>
      </c>
    </row>
    <row r="4752" spans="1:14" x14ac:dyDescent="0.2">
      <c r="A4752" s="1">
        <v>45869</v>
      </c>
      <c r="B4752" s="2" t="s">
        <v>33</v>
      </c>
      <c r="C4752" s="2" t="s">
        <v>35</v>
      </c>
      <c r="D4752" s="2" t="s">
        <v>22</v>
      </c>
      <c r="E4752">
        <v>7724</v>
      </c>
      <c r="F4752">
        <v>437</v>
      </c>
      <c r="G4752">
        <v>34</v>
      </c>
      <c r="H4752">
        <v>282.14</v>
      </c>
      <c r="I4752">
        <v>3913.8</v>
      </c>
      <c r="J4752">
        <v>5.66</v>
      </c>
      <c r="K4752">
        <v>7.78</v>
      </c>
      <c r="L4752">
        <v>8.3000000000000007</v>
      </c>
      <c r="M4752">
        <v>13.87</v>
      </c>
      <c r="N4752">
        <v>3631.66</v>
      </c>
    </row>
    <row r="4753" spans="1:14" x14ac:dyDescent="0.2">
      <c r="A4753" s="1">
        <v>45869</v>
      </c>
      <c r="B4753" s="2" t="s">
        <v>34</v>
      </c>
      <c r="C4753" s="2" t="s">
        <v>35</v>
      </c>
      <c r="D4753" s="2" t="s">
        <v>36</v>
      </c>
      <c r="E4753">
        <v>3275</v>
      </c>
      <c r="F4753">
        <v>187</v>
      </c>
      <c r="G4753">
        <v>29</v>
      </c>
      <c r="H4753">
        <v>151.86000000000001</v>
      </c>
      <c r="I4753">
        <v>5026.41</v>
      </c>
      <c r="J4753">
        <v>5.71</v>
      </c>
      <c r="K4753">
        <v>15.51</v>
      </c>
      <c r="L4753">
        <v>5.24</v>
      </c>
      <c r="M4753">
        <v>33.1</v>
      </c>
      <c r="N4753">
        <v>4874.55</v>
      </c>
    </row>
    <row r="4754" spans="1:14" x14ac:dyDescent="0.2">
      <c r="A4754" s="1">
        <v>45870</v>
      </c>
      <c r="B4754" s="2" t="s">
        <v>14</v>
      </c>
      <c r="C4754" s="2" t="s">
        <v>32</v>
      </c>
      <c r="D4754" s="2" t="s">
        <v>16</v>
      </c>
      <c r="E4754">
        <v>8343</v>
      </c>
      <c r="F4754">
        <v>413</v>
      </c>
      <c r="G4754">
        <v>38</v>
      </c>
      <c r="H4754">
        <v>1274.8800000000001</v>
      </c>
      <c r="I4754">
        <v>6152.39</v>
      </c>
      <c r="J4754">
        <v>4.95</v>
      </c>
      <c r="K4754">
        <v>9.1999999999999993</v>
      </c>
      <c r="L4754">
        <v>33.549999999999997</v>
      </c>
      <c r="M4754">
        <v>4.83</v>
      </c>
      <c r="N4754">
        <v>4877.51</v>
      </c>
    </row>
    <row r="4755" spans="1:14" x14ac:dyDescent="0.2">
      <c r="A4755" s="1">
        <v>45870</v>
      </c>
      <c r="B4755" s="2" t="s">
        <v>17</v>
      </c>
      <c r="C4755" s="2" t="s">
        <v>15</v>
      </c>
      <c r="D4755" s="2" t="s">
        <v>16</v>
      </c>
      <c r="E4755">
        <v>10653</v>
      </c>
      <c r="F4755">
        <v>374</v>
      </c>
      <c r="G4755">
        <v>32</v>
      </c>
      <c r="H4755">
        <v>869.92</v>
      </c>
      <c r="I4755">
        <v>4162.3</v>
      </c>
      <c r="J4755">
        <v>3.51</v>
      </c>
      <c r="K4755">
        <v>8.56</v>
      </c>
      <c r="L4755">
        <v>27.18</v>
      </c>
      <c r="M4755">
        <v>4.78</v>
      </c>
      <c r="N4755">
        <v>3292.38</v>
      </c>
    </row>
    <row r="4756" spans="1:14" x14ac:dyDescent="0.2">
      <c r="A4756" s="1">
        <v>45870</v>
      </c>
      <c r="B4756" s="2" t="s">
        <v>20</v>
      </c>
      <c r="C4756" s="2" t="s">
        <v>35</v>
      </c>
      <c r="D4756" s="2" t="s">
        <v>19</v>
      </c>
      <c r="E4756">
        <v>10429</v>
      </c>
      <c r="F4756">
        <v>389</v>
      </c>
      <c r="G4756">
        <v>17</v>
      </c>
      <c r="H4756">
        <v>497.26</v>
      </c>
      <c r="I4756">
        <v>2144.1999999999998</v>
      </c>
      <c r="J4756">
        <v>3.73</v>
      </c>
      <c r="K4756">
        <v>4.37</v>
      </c>
      <c r="L4756">
        <v>29.25</v>
      </c>
      <c r="M4756">
        <v>4.3099999999999996</v>
      </c>
      <c r="N4756">
        <v>1646.94</v>
      </c>
    </row>
    <row r="4757" spans="1:14" x14ac:dyDescent="0.2">
      <c r="A4757" s="1">
        <v>45870</v>
      </c>
      <c r="B4757" s="2" t="s">
        <v>23</v>
      </c>
      <c r="C4757" s="2" t="s">
        <v>15</v>
      </c>
      <c r="D4757" s="2" t="s">
        <v>25</v>
      </c>
      <c r="E4757">
        <v>2657</v>
      </c>
      <c r="F4757">
        <v>69</v>
      </c>
      <c r="G4757">
        <v>6</v>
      </c>
      <c r="H4757">
        <v>1142.23</v>
      </c>
      <c r="I4757">
        <v>1878.64</v>
      </c>
      <c r="J4757">
        <v>2.6</v>
      </c>
      <c r="K4757">
        <v>8.6999999999999993</v>
      </c>
      <c r="L4757">
        <v>190.37</v>
      </c>
      <c r="M4757">
        <v>1.64</v>
      </c>
      <c r="N4757">
        <v>736.41</v>
      </c>
    </row>
    <row r="4758" spans="1:14" x14ac:dyDescent="0.2">
      <c r="A4758" s="1">
        <v>45870</v>
      </c>
      <c r="B4758" s="2" t="s">
        <v>24</v>
      </c>
      <c r="C4758" s="2" t="s">
        <v>35</v>
      </c>
      <c r="D4758" s="2" t="s">
        <v>16</v>
      </c>
      <c r="E4758">
        <v>14128</v>
      </c>
      <c r="F4758">
        <v>3274</v>
      </c>
      <c r="G4758">
        <v>413</v>
      </c>
      <c r="H4758">
        <v>169.23</v>
      </c>
      <c r="I4758">
        <v>57739.56</v>
      </c>
      <c r="J4758">
        <v>23.17</v>
      </c>
      <c r="K4758">
        <v>12.61</v>
      </c>
      <c r="L4758">
        <v>0.41</v>
      </c>
      <c r="M4758">
        <v>341.19</v>
      </c>
      <c r="N4758">
        <v>57570.33</v>
      </c>
    </row>
    <row r="4759" spans="1:14" x14ac:dyDescent="0.2">
      <c r="A4759" s="1">
        <v>45870</v>
      </c>
      <c r="B4759" s="2" t="s">
        <v>26</v>
      </c>
      <c r="C4759" s="2" t="s">
        <v>18</v>
      </c>
      <c r="D4759" s="2" t="s">
        <v>16</v>
      </c>
      <c r="E4759">
        <v>27171</v>
      </c>
      <c r="F4759">
        <v>1392</v>
      </c>
      <c r="G4759">
        <v>144</v>
      </c>
      <c r="H4759">
        <v>0</v>
      </c>
      <c r="I4759">
        <v>17614.330000000002</v>
      </c>
      <c r="J4759">
        <v>5.12</v>
      </c>
      <c r="K4759">
        <v>10.34</v>
      </c>
      <c r="L4759">
        <v>0</v>
      </c>
      <c r="M4759">
        <v>0</v>
      </c>
      <c r="N4759">
        <v>17614.330000000002</v>
      </c>
    </row>
    <row r="4760" spans="1:14" x14ac:dyDescent="0.2">
      <c r="A4760" s="1">
        <v>45870</v>
      </c>
      <c r="B4760" s="2" t="s">
        <v>27</v>
      </c>
      <c r="C4760" s="2" t="s">
        <v>28</v>
      </c>
      <c r="D4760" s="2" t="s">
        <v>19</v>
      </c>
      <c r="E4760">
        <v>24824</v>
      </c>
      <c r="F4760">
        <v>292</v>
      </c>
      <c r="G4760">
        <v>5</v>
      </c>
      <c r="H4760">
        <v>977.87</v>
      </c>
      <c r="I4760">
        <v>577.91999999999996</v>
      </c>
      <c r="J4760">
        <v>1.18</v>
      </c>
      <c r="K4760">
        <v>1.71</v>
      </c>
      <c r="L4760">
        <v>195.57</v>
      </c>
      <c r="M4760">
        <v>0.59</v>
      </c>
      <c r="N4760">
        <v>-399.95</v>
      </c>
    </row>
    <row r="4761" spans="1:14" x14ac:dyDescent="0.2">
      <c r="A4761" s="1">
        <v>45870</v>
      </c>
      <c r="B4761" s="2" t="s">
        <v>29</v>
      </c>
      <c r="C4761" s="2" t="s">
        <v>32</v>
      </c>
      <c r="D4761" s="2" t="s">
        <v>16</v>
      </c>
      <c r="E4761">
        <v>20530</v>
      </c>
      <c r="F4761">
        <v>611</v>
      </c>
      <c r="G4761">
        <v>35</v>
      </c>
      <c r="H4761">
        <v>885.45</v>
      </c>
      <c r="I4761">
        <v>3843.17</v>
      </c>
      <c r="J4761">
        <v>2.98</v>
      </c>
      <c r="K4761">
        <v>5.73</v>
      </c>
      <c r="L4761">
        <v>25.3</v>
      </c>
      <c r="M4761">
        <v>4.34</v>
      </c>
      <c r="N4761">
        <v>2957.72</v>
      </c>
    </row>
    <row r="4762" spans="1:14" x14ac:dyDescent="0.2">
      <c r="A4762" s="1">
        <v>45870</v>
      </c>
      <c r="B4762" s="2" t="s">
        <v>30</v>
      </c>
      <c r="C4762" s="2" t="s">
        <v>28</v>
      </c>
      <c r="D4762" s="2" t="s">
        <v>19</v>
      </c>
      <c r="E4762">
        <v>7559</v>
      </c>
      <c r="F4762">
        <v>169</v>
      </c>
      <c r="G4762">
        <v>5</v>
      </c>
      <c r="H4762">
        <v>623.04</v>
      </c>
      <c r="I4762">
        <v>371.15</v>
      </c>
      <c r="J4762">
        <v>2.2400000000000002</v>
      </c>
      <c r="K4762">
        <v>2.96</v>
      </c>
      <c r="L4762">
        <v>124.61</v>
      </c>
      <c r="M4762">
        <v>0.6</v>
      </c>
      <c r="N4762">
        <v>-251.89</v>
      </c>
    </row>
    <row r="4763" spans="1:14" x14ac:dyDescent="0.2">
      <c r="A4763" s="1">
        <v>45870</v>
      </c>
      <c r="B4763" s="2" t="s">
        <v>31</v>
      </c>
      <c r="C4763" s="2" t="s">
        <v>21</v>
      </c>
      <c r="D4763" s="2" t="s">
        <v>25</v>
      </c>
      <c r="E4763">
        <v>24848</v>
      </c>
      <c r="F4763">
        <v>1047</v>
      </c>
      <c r="G4763">
        <v>34</v>
      </c>
      <c r="H4763">
        <v>538.22</v>
      </c>
      <c r="I4763">
        <v>2889.19</v>
      </c>
      <c r="J4763">
        <v>4.21</v>
      </c>
      <c r="K4763">
        <v>3.25</v>
      </c>
      <c r="L4763">
        <v>15.83</v>
      </c>
      <c r="M4763">
        <v>5.37</v>
      </c>
      <c r="N4763">
        <v>2350.9699999999998</v>
      </c>
    </row>
    <row r="4764" spans="1:14" x14ac:dyDescent="0.2">
      <c r="A4764" s="1">
        <v>45870</v>
      </c>
      <c r="B4764" s="2" t="s">
        <v>33</v>
      </c>
      <c r="C4764" s="2" t="s">
        <v>32</v>
      </c>
      <c r="D4764" s="2" t="s">
        <v>25</v>
      </c>
      <c r="E4764">
        <v>6297</v>
      </c>
      <c r="F4764">
        <v>252</v>
      </c>
      <c r="G4764">
        <v>25</v>
      </c>
      <c r="H4764">
        <v>288.5</v>
      </c>
      <c r="I4764">
        <v>3344.18</v>
      </c>
      <c r="J4764">
        <v>4</v>
      </c>
      <c r="K4764">
        <v>9.92</v>
      </c>
      <c r="L4764">
        <v>11.54</v>
      </c>
      <c r="M4764">
        <v>11.59</v>
      </c>
      <c r="N4764">
        <v>3055.68</v>
      </c>
    </row>
    <row r="4765" spans="1:14" x14ac:dyDescent="0.2">
      <c r="A4765" s="1">
        <v>45870</v>
      </c>
      <c r="B4765" s="2" t="s">
        <v>34</v>
      </c>
      <c r="C4765" s="2" t="s">
        <v>32</v>
      </c>
      <c r="D4765" s="2" t="s">
        <v>22</v>
      </c>
      <c r="E4765">
        <v>2806</v>
      </c>
      <c r="F4765">
        <v>164</v>
      </c>
      <c r="G4765">
        <v>25</v>
      </c>
      <c r="H4765">
        <v>137.88999999999999</v>
      </c>
      <c r="I4765">
        <v>3347.36</v>
      </c>
      <c r="J4765">
        <v>5.84</v>
      </c>
      <c r="K4765">
        <v>15.24</v>
      </c>
      <c r="L4765">
        <v>5.52</v>
      </c>
      <c r="M4765">
        <v>24.28</v>
      </c>
      <c r="N4765">
        <v>3209.47</v>
      </c>
    </row>
    <row r="4766" spans="1:14" x14ac:dyDescent="0.2">
      <c r="A4766" s="1">
        <v>45871</v>
      </c>
      <c r="B4766" s="2" t="s">
        <v>14</v>
      </c>
      <c r="C4766" s="2" t="s">
        <v>35</v>
      </c>
      <c r="D4766" s="2" t="s">
        <v>19</v>
      </c>
      <c r="E4766">
        <v>8231</v>
      </c>
      <c r="F4766">
        <v>390</v>
      </c>
      <c r="G4766">
        <v>43</v>
      </c>
      <c r="H4766">
        <v>637.49</v>
      </c>
      <c r="I4766">
        <v>6562.64</v>
      </c>
      <c r="J4766">
        <v>4.74</v>
      </c>
      <c r="K4766">
        <v>11.03</v>
      </c>
      <c r="L4766">
        <v>14.83</v>
      </c>
      <c r="M4766">
        <v>10.29</v>
      </c>
      <c r="N4766">
        <v>5925.15</v>
      </c>
    </row>
    <row r="4767" spans="1:14" x14ac:dyDescent="0.2">
      <c r="A4767" s="1">
        <v>45871</v>
      </c>
      <c r="B4767" s="2" t="s">
        <v>17</v>
      </c>
      <c r="C4767" s="2" t="s">
        <v>35</v>
      </c>
      <c r="D4767" s="2" t="s">
        <v>25</v>
      </c>
      <c r="E4767">
        <v>9411</v>
      </c>
      <c r="F4767">
        <v>291</v>
      </c>
      <c r="G4767">
        <v>16</v>
      </c>
      <c r="H4767">
        <v>660.47</v>
      </c>
      <c r="I4767">
        <v>1742.5</v>
      </c>
      <c r="J4767">
        <v>3.09</v>
      </c>
      <c r="K4767">
        <v>5.5</v>
      </c>
      <c r="L4767">
        <v>41.28</v>
      </c>
      <c r="M4767">
        <v>2.64</v>
      </c>
      <c r="N4767">
        <v>1082.03</v>
      </c>
    </row>
    <row r="4768" spans="1:14" x14ac:dyDescent="0.2">
      <c r="A4768" s="1">
        <v>45871</v>
      </c>
      <c r="B4768" s="2" t="s">
        <v>20</v>
      </c>
      <c r="C4768" s="2" t="s">
        <v>15</v>
      </c>
      <c r="D4768" s="2" t="s">
        <v>22</v>
      </c>
      <c r="E4768">
        <v>10436</v>
      </c>
      <c r="F4768">
        <v>282</v>
      </c>
      <c r="G4768">
        <v>14</v>
      </c>
      <c r="H4768">
        <v>403.88</v>
      </c>
      <c r="I4768">
        <v>1221.8800000000001</v>
      </c>
      <c r="J4768">
        <v>2.7</v>
      </c>
      <c r="K4768">
        <v>4.96</v>
      </c>
      <c r="L4768">
        <v>28.85</v>
      </c>
      <c r="M4768">
        <v>3.03</v>
      </c>
      <c r="N4768">
        <v>818</v>
      </c>
    </row>
    <row r="4769" spans="1:14" x14ac:dyDescent="0.2">
      <c r="A4769" s="1">
        <v>45871</v>
      </c>
      <c r="B4769" s="2" t="s">
        <v>23</v>
      </c>
      <c r="C4769" s="2" t="s">
        <v>15</v>
      </c>
      <c r="D4769" s="2" t="s">
        <v>36</v>
      </c>
      <c r="E4769">
        <v>3285</v>
      </c>
      <c r="F4769">
        <v>89</v>
      </c>
      <c r="G4769">
        <v>9</v>
      </c>
      <c r="H4769">
        <v>822.55</v>
      </c>
      <c r="I4769">
        <v>2676.79</v>
      </c>
      <c r="J4769">
        <v>2.71</v>
      </c>
      <c r="K4769">
        <v>10.11</v>
      </c>
      <c r="L4769">
        <v>91.39</v>
      </c>
      <c r="M4769">
        <v>3.25</v>
      </c>
      <c r="N4769">
        <v>1854.24</v>
      </c>
    </row>
    <row r="4770" spans="1:14" x14ac:dyDescent="0.2">
      <c r="A4770" s="1">
        <v>45871</v>
      </c>
      <c r="B4770" s="2" t="s">
        <v>24</v>
      </c>
      <c r="C4770" s="2" t="s">
        <v>32</v>
      </c>
      <c r="D4770" s="2" t="s">
        <v>22</v>
      </c>
      <c r="E4770">
        <v>9929</v>
      </c>
      <c r="F4770">
        <v>2415</v>
      </c>
      <c r="G4770">
        <v>327</v>
      </c>
      <c r="H4770">
        <v>76.47</v>
      </c>
      <c r="I4770">
        <v>51377.45</v>
      </c>
      <c r="J4770">
        <v>24.32</v>
      </c>
      <c r="K4770">
        <v>13.54</v>
      </c>
      <c r="L4770">
        <v>0.23</v>
      </c>
      <c r="M4770">
        <v>671.86</v>
      </c>
      <c r="N4770">
        <v>51300.98</v>
      </c>
    </row>
    <row r="4771" spans="1:14" x14ac:dyDescent="0.2">
      <c r="A4771" s="1">
        <v>45871</v>
      </c>
      <c r="B4771" s="2" t="s">
        <v>26</v>
      </c>
      <c r="C4771" s="2" t="s">
        <v>18</v>
      </c>
      <c r="D4771" s="2" t="s">
        <v>19</v>
      </c>
      <c r="E4771">
        <v>17792</v>
      </c>
      <c r="F4771">
        <v>1324</v>
      </c>
      <c r="G4771">
        <v>151</v>
      </c>
      <c r="H4771">
        <v>0</v>
      </c>
      <c r="I4771">
        <v>17538.509999999998</v>
      </c>
      <c r="J4771">
        <v>7.44</v>
      </c>
      <c r="K4771">
        <v>11.4</v>
      </c>
      <c r="L4771">
        <v>0</v>
      </c>
      <c r="M4771">
        <v>0</v>
      </c>
      <c r="N4771">
        <v>17538.509999999998</v>
      </c>
    </row>
    <row r="4772" spans="1:14" x14ac:dyDescent="0.2">
      <c r="A4772" s="1">
        <v>45871</v>
      </c>
      <c r="B4772" s="2" t="s">
        <v>27</v>
      </c>
      <c r="C4772" s="2" t="s">
        <v>32</v>
      </c>
      <c r="D4772" s="2" t="s">
        <v>25</v>
      </c>
      <c r="E4772">
        <v>15120</v>
      </c>
      <c r="F4772">
        <v>161</v>
      </c>
      <c r="G4772">
        <v>7</v>
      </c>
      <c r="H4772">
        <v>756.93</v>
      </c>
      <c r="I4772">
        <v>615.78</v>
      </c>
      <c r="J4772">
        <v>1.06</v>
      </c>
      <c r="K4772">
        <v>4.3499999999999996</v>
      </c>
      <c r="L4772">
        <v>108.13</v>
      </c>
      <c r="M4772">
        <v>0.81</v>
      </c>
      <c r="N4772">
        <v>-141.15</v>
      </c>
    </row>
    <row r="4773" spans="1:14" x14ac:dyDescent="0.2">
      <c r="A4773" s="1">
        <v>45871</v>
      </c>
      <c r="B4773" s="2" t="s">
        <v>29</v>
      </c>
      <c r="C4773" s="2" t="s">
        <v>21</v>
      </c>
      <c r="D4773" s="2" t="s">
        <v>19</v>
      </c>
      <c r="E4773">
        <v>11657</v>
      </c>
      <c r="F4773">
        <v>289</v>
      </c>
      <c r="G4773">
        <v>19</v>
      </c>
      <c r="H4773">
        <v>718.34</v>
      </c>
      <c r="I4773">
        <v>1905.16</v>
      </c>
      <c r="J4773">
        <v>2.48</v>
      </c>
      <c r="K4773">
        <v>6.57</v>
      </c>
      <c r="L4773">
        <v>37.81</v>
      </c>
      <c r="M4773">
        <v>2.65</v>
      </c>
      <c r="N4773">
        <v>1186.82</v>
      </c>
    </row>
    <row r="4774" spans="1:14" x14ac:dyDescent="0.2">
      <c r="A4774" s="1">
        <v>45871</v>
      </c>
      <c r="B4774" s="2" t="s">
        <v>30</v>
      </c>
      <c r="C4774" s="2" t="s">
        <v>28</v>
      </c>
      <c r="D4774" s="2" t="s">
        <v>16</v>
      </c>
      <c r="E4774">
        <v>8139</v>
      </c>
      <c r="F4774">
        <v>195</v>
      </c>
      <c r="G4774">
        <v>10</v>
      </c>
      <c r="H4774">
        <v>413.8</v>
      </c>
      <c r="I4774">
        <v>917.12</v>
      </c>
      <c r="J4774">
        <v>2.4</v>
      </c>
      <c r="K4774">
        <v>5.13</v>
      </c>
      <c r="L4774">
        <v>41.38</v>
      </c>
      <c r="M4774">
        <v>2.2200000000000002</v>
      </c>
      <c r="N4774">
        <v>503.32</v>
      </c>
    </row>
    <row r="4775" spans="1:14" x14ac:dyDescent="0.2">
      <c r="A4775" s="1">
        <v>45871</v>
      </c>
      <c r="B4775" s="2" t="s">
        <v>31</v>
      </c>
      <c r="C4775" s="2" t="s">
        <v>21</v>
      </c>
      <c r="D4775" s="2" t="s">
        <v>36</v>
      </c>
      <c r="E4775">
        <v>12110</v>
      </c>
      <c r="F4775">
        <v>425</v>
      </c>
      <c r="G4775">
        <v>13</v>
      </c>
      <c r="H4775">
        <v>543.36</v>
      </c>
      <c r="I4775">
        <v>1087.04</v>
      </c>
      <c r="J4775">
        <v>3.51</v>
      </c>
      <c r="K4775">
        <v>3.06</v>
      </c>
      <c r="L4775">
        <v>41.8</v>
      </c>
      <c r="M4775">
        <v>2</v>
      </c>
      <c r="N4775">
        <v>543.67999999999995</v>
      </c>
    </row>
    <row r="4776" spans="1:14" x14ac:dyDescent="0.2">
      <c r="A4776" s="1">
        <v>45871</v>
      </c>
      <c r="B4776" s="2" t="s">
        <v>33</v>
      </c>
      <c r="C4776" s="2" t="s">
        <v>28</v>
      </c>
      <c r="D4776" s="2" t="s">
        <v>16</v>
      </c>
      <c r="E4776">
        <v>2998</v>
      </c>
      <c r="F4776">
        <v>191</v>
      </c>
      <c r="G4776">
        <v>15</v>
      </c>
      <c r="H4776">
        <v>247.95</v>
      </c>
      <c r="I4776">
        <v>1617.74</v>
      </c>
      <c r="J4776">
        <v>6.37</v>
      </c>
      <c r="K4776">
        <v>7.85</v>
      </c>
      <c r="L4776">
        <v>16.53</v>
      </c>
      <c r="M4776">
        <v>6.52</v>
      </c>
      <c r="N4776">
        <v>1369.79</v>
      </c>
    </row>
    <row r="4777" spans="1:14" x14ac:dyDescent="0.2">
      <c r="A4777" s="1">
        <v>45871</v>
      </c>
      <c r="B4777" s="2" t="s">
        <v>34</v>
      </c>
      <c r="C4777" s="2" t="s">
        <v>18</v>
      </c>
      <c r="D4777" s="2" t="s">
        <v>16</v>
      </c>
      <c r="E4777">
        <v>4085</v>
      </c>
      <c r="F4777">
        <v>296</v>
      </c>
      <c r="G4777">
        <v>38</v>
      </c>
      <c r="H4777">
        <v>33.65</v>
      </c>
      <c r="I4777">
        <v>5869.31</v>
      </c>
      <c r="J4777">
        <v>7.25</v>
      </c>
      <c r="K4777">
        <v>12.84</v>
      </c>
      <c r="L4777">
        <v>0.89</v>
      </c>
      <c r="M4777">
        <v>174.42</v>
      </c>
      <c r="N4777">
        <v>5835.66</v>
      </c>
    </row>
    <row r="4778" spans="1:14" x14ac:dyDescent="0.2">
      <c r="A4778" s="1">
        <v>45872</v>
      </c>
      <c r="B4778" s="2" t="s">
        <v>14</v>
      </c>
      <c r="C4778" s="2" t="s">
        <v>28</v>
      </c>
      <c r="D4778" s="2" t="s">
        <v>22</v>
      </c>
      <c r="E4778">
        <v>6018</v>
      </c>
      <c r="F4778">
        <v>236</v>
      </c>
      <c r="G4778">
        <v>19</v>
      </c>
      <c r="H4778">
        <v>506.76</v>
      </c>
      <c r="I4778">
        <v>3336.08</v>
      </c>
      <c r="J4778">
        <v>3.92</v>
      </c>
      <c r="K4778">
        <v>8.0500000000000007</v>
      </c>
      <c r="L4778">
        <v>26.67</v>
      </c>
      <c r="M4778">
        <v>6.58</v>
      </c>
      <c r="N4778">
        <v>2829.32</v>
      </c>
    </row>
    <row r="4779" spans="1:14" x14ac:dyDescent="0.2">
      <c r="A4779" s="1">
        <v>45872</v>
      </c>
      <c r="B4779" s="2" t="s">
        <v>17</v>
      </c>
      <c r="C4779" s="2" t="s">
        <v>28</v>
      </c>
      <c r="D4779" s="2" t="s">
        <v>22</v>
      </c>
      <c r="E4779">
        <v>10492</v>
      </c>
      <c r="F4779">
        <v>321</v>
      </c>
      <c r="G4779">
        <v>17</v>
      </c>
      <c r="H4779">
        <v>384.69</v>
      </c>
      <c r="I4779">
        <v>1585.79</v>
      </c>
      <c r="J4779">
        <v>3.06</v>
      </c>
      <c r="K4779">
        <v>5.3</v>
      </c>
      <c r="L4779">
        <v>22.63</v>
      </c>
      <c r="M4779">
        <v>4.12</v>
      </c>
      <c r="N4779">
        <v>1201.0999999999999</v>
      </c>
    </row>
    <row r="4780" spans="1:14" x14ac:dyDescent="0.2">
      <c r="A4780" s="1">
        <v>45872</v>
      </c>
      <c r="B4780" s="2" t="s">
        <v>20</v>
      </c>
      <c r="C4780" s="2" t="s">
        <v>28</v>
      </c>
      <c r="D4780" s="2" t="s">
        <v>16</v>
      </c>
      <c r="E4780">
        <v>9425</v>
      </c>
      <c r="F4780">
        <v>342</v>
      </c>
      <c r="G4780">
        <v>23</v>
      </c>
      <c r="H4780">
        <v>375.96</v>
      </c>
      <c r="I4780">
        <v>2147.52</v>
      </c>
      <c r="J4780">
        <v>3.63</v>
      </c>
      <c r="K4780">
        <v>6.73</v>
      </c>
      <c r="L4780">
        <v>16.350000000000001</v>
      </c>
      <c r="M4780">
        <v>5.71</v>
      </c>
      <c r="N4780">
        <v>1771.56</v>
      </c>
    </row>
    <row r="4781" spans="1:14" x14ac:dyDescent="0.2">
      <c r="A4781" s="1">
        <v>45872</v>
      </c>
      <c r="B4781" s="2" t="s">
        <v>23</v>
      </c>
      <c r="C4781" s="2" t="s">
        <v>35</v>
      </c>
      <c r="D4781" s="2" t="s">
        <v>25</v>
      </c>
      <c r="E4781">
        <v>2985</v>
      </c>
      <c r="F4781">
        <v>65</v>
      </c>
      <c r="G4781">
        <v>6</v>
      </c>
      <c r="H4781">
        <v>915.94</v>
      </c>
      <c r="I4781">
        <v>1624.59</v>
      </c>
      <c r="J4781">
        <v>2.1800000000000002</v>
      </c>
      <c r="K4781">
        <v>9.23</v>
      </c>
      <c r="L4781">
        <v>152.66</v>
      </c>
      <c r="M4781">
        <v>1.77</v>
      </c>
      <c r="N4781">
        <v>708.65</v>
      </c>
    </row>
    <row r="4782" spans="1:14" x14ac:dyDescent="0.2">
      <c r="A4782" s="1">
        <v>45872</v>
      </c>
      <c r="B4782" s="2" t="s">
        <v>24</v>
      </c>
      <c r="C4782" s="2" t="s">
        <v>28</v>
      </c>
      <c r="D4782" s="2" t="s">
        <v>25</v>
      </c>
      <c r="E4782">
        <v>11503</v>
      </c>
      <c r="F4782">
        <v>2094</v>
      </c>
      <c r="G4782">
        <v>277</v>
      </c>
      <c r="H4782">
        <v>117.24</v>
      </c>
      <c r="I4782">
        <v>32737.52</v>
      </c>
      <c r="J4782">
        <v>18.2</v>
      </c>
      <c r="K4782">
        <v>13.23</v>
      </c>
      <c r="L4782">
        <v>0.42</v>
      </c>
      <c r="M4782">
        <v>279.24</v>
      </c>
      <c r="N4782">
        <v>32620.28</v>
      </c>
    </row>
    <row r="4783" spans="1:14" x14ac:dyDescent="0.2">
      <c r="A4783" s="1">
        <v>45872</v>
      </c>
      <c r="B4783" s="2" t="s">
        <v>26</v>
      </c>
      <c r="C4783" s="2" t="s">
        <v>32</v>
      </c>
      <c r="D4783" s="2" t="s">
        <v>25</v>
      </c>
      <c r="E4783">
        <v>16286</v>
      </c>
      <c r="F4783">
        <v>704</v>
      </c>
      <c r="G4783">
        <v>89</v>
      </c>
      <c r="H4783">
        <v>0</v>
      </c>
      <c r="I4783">
        <v>13278.53</v>
      </c>
      <c r="J4783">
        <v>4.32</v>
      </c>
      <c r="K4783">
        <v>12.64</v>
      </c>
      <c r="L4783">
        <v>0</v>
      </c>
      <c r="M4783">
        <v>0</v>
      </c>
      <c r="N4783">
        <v>13278.53</v>
      </c>
    </row>
    <row r="4784" spans="1:14" x14ac:dyDescent="0.2">
      <c r="A4784" s="1">
        <v>45872</v>
      </c>
      <c r="B4784" s="2" t="s">
        <v>27</v>
      </c>
      <c r="C4784" s="2" t="s">
        <v>28</v>
      </c>
      <c r="D4784" s="2" t="s">
        <v>19</v>
      </c>
      <c r="E4784">
        <v>17463</v>
      </c>
      <c r="F4784">
        <v>305</v>
      </c>
      <c r="G4784">
        <v>6</v>
      </c>
      <c r="H4784">
        <v>696.13</v>
      </c>
      <c r="I4784">
        <v>636.52</v>
      </c>
      <c r="J4784">
        <v>1.75</v>
      </c>
      <c r="K4784">
        <v>1.97</v>
      </c>
      <c r="L4784">
        <v>116.02</v>
      </c>
      <c r="M4784">
        <v>0.91</v>
      </c>
      <c r="N4784">
        <v>-59.61</v>
      </c>
    </row>
    <row r="4785" spans="1:14" x14ac:dyDescent="0.2">
      <c r="A4785" s="1">
        <v>45872</v>
      </c>
      <c r="B4785" s="2" t="s">
        <v>29</v>
      </c>
      <c r="C4785" s="2" t="s">
        <v>32</v>
      </c>
      <c r="D4785" s="2" t="s">
        <v>36</v>
      </c>
      <c r="E4785">
        <v>13650</v>
      </c>
      <c r="F4785">
        <v>253</v>
      </c>
      <c r="G4785">
        <v>10</v>
      </c>
      <c r="H4785">
        <v>512.03</v>
      </c>
      <c r="I4785">
        <v>1304.6099999999999</v>
      </c>
      <c r="J4785">
        <v>1.85</v>
      </c>
      <c r="K4785">
        <v>3.95</v>
      </c>
      <c r="L4785">
        <v>51.2</v>
      </c>
      <c r="M4785">
        <v>2.5499999999999998</v>
      </c>
      <c r="N4785">
        <v>792.58</v>
      </c>
    </row>
    <row r="4786" spans="1:14" x14ac:dyDescent="0.2">
      <c r="A4786" s="1">
        <v>45872</v>
      </c>
      <c r="B4786" s="2" t="s">
        <v>30</v>
      </c>
      <c r="C4786" s="2" t="s">
        <v>15</v>
      </c>
      <c r="D4786" s="2" t="s">
        <v>36</v>
      </c>
      <c r="E4786">
        <v>6030</v>
      </c>
      <c r="F4786">
        <v>136</v>
      </c>
      <c r="G4786">
        <v>3</v>
      </c>
      <c r="H4786">
        <v>406.59</v>
      </c>
      <c r="I4786">
        <v>312.04000000000002</v>
      </c>
      <c r="J4786">
        <v>2.2599999999999998</v>
      </c>
      <c r="K4786">
        <v>2.21</v>
      </c>
      <c r="L4786">
        <v>135.53</v>
      </c>
      <c r="M4786">
        <v>0.77</v>
      </c>
      <c r="N4786">
        <v>-94.55</v>
      </c>
    </row>
    <row r="4787" spans="1:14" x14ac:dyDescent="0.2">
      <c r="A4787" s="1">
        <v>45872</v>
      </c>
      <c r="B4787" s="2" t="s">
        <v>31</v>
      </c>
      <c r="C4787" s="2" t="s">
        <v>28</v>
      </c>
      <c r="D4787" s="2" t="s">
        <v>36</v>
      </c>
      <c r="E4787">
        <v>10953</v>
      </c>
      <c r="F4787">
        <v>480</v>
      </c>
      <c r="G4787">
        <v>18</v>
      </c>
      <c r="H4787">
        <v>418.4</v>
      </c>
      <c r="I4787">
        <v>1621.19</v>
      </c>
      <c r="J4787">
        <v>4.38</v>
      </c>
      <c r="K4787">
        <v>3.75</v>
      </c>
      <c r="L4787">
        <v>23.24</v>
      </c>
      <c r="M4787">
        <v>3.87</v>
      </c>
      <c r="N4787">
        <v>1202.79</v>
      </c>
    </row>
    <row r="4788" spans="1:14" x14ac:dyDescent="0.2">
      <c r="A4788" s="1">
        <v>45872</v>
      </c>
      <c r="B4788" s="2" t="s">
        <v>33</v>
      </c>
      <c r="C4788" s="2" t="s">
        <v>15</v>
      </c>
      <c r="D4788" s="2" t="s">
        <v>36</v>
      </c>
      <c r="E4788">
        <v>3242</v>
      </c>
      <c r="F4788">
        <v>162</v>
      </c>
      <c r="G4788">
        <v>13</v>
      </c>
      <c r="H4788">
        <v>348.41</v>
      </c>
      <c r="I4788">
        <v>1611.41</v>
      </c>
      <c r="J4788">
        <v>5</v>
      </c>
      <c r="K4788">
        <v>8.02</v>
      </c>
      <c r="L4788">
        <v>26.8</v>
      </c>
      <c r="M4788">
        <v>4.63</v>
      </c>
      <c r="N4788">
        <v>1263</v>
      </c>
    </row>
    <row r="4789" spans="1:14" x14ac:dyDescent="0.2">
      <c r="A4789" s="1">
        <v>45872</v>
      </c>
      <c r="B4789" s="2" t="s">
        <v>34</v>
      </c>
      <c r="C4789" s="2" t="s">
        <v>21</v>
      </c>
      <c r="D4789" s="2" t="s">
        <v>22</v>
      </c>
      <c r="E4789">
        <v>3301</v>
      </c>
      <c r="F4789">
        <v>185</v>
      </c>
      <c r="G4789">
        <v>30</v>
      </c>
      <c r="H4789">
        <v>58.44</v>
      </c>
      <c r="I4789">
        <v>4125.26</v>
      </c>
      <c r="J4789">
        <v>5.6</v>
      </c>
      <c r="K4789">
        <v>16.22</v>
      </c>
      <c r="L4789">
        <v>1.95</v>
      </c>
      <c r="M4789">
        <v>70.59</v>
      </c>
      <c r="N4789">
        <v>4066.82</v>
      </c>
    </row>
    <row r="4790" spans="1:14" x14ac:dyDescent="0.2">
      <c r="A4790" s="1">
        <v>45873</v>
      </c>
      <c r="B4790" s="2" t="s">
        <v>14</v>
      </c>
      <c r="C4790" s="2" t="s">
        <v>32</v>
      </c>
      <c r="D4790" s="2" t="s">
        <v>22</v>
      </c>
      <c r="E4790">
        <v>8793</v>
      </c>
      <c r="F4790">
        <v>274</v>
      </c>
      <c r="G4790">
        <v>23</v>
      </c>
      <c r="H4790">
        <v>903.24</v>
      </c>
      <c r="I4790">
        <v>3558.08</v>
      </c>
      <c r="J4790">
        <v>3.12</v>
      </c>
      <c r="K4790">
        <v>8.39</v>
      </c>
      <c r="L4790">
        <v>39.270000000000003</v>
      </c>
      <c r="M4790">
        <v>3.94</v>
      </c>
      <c r="N4790">
        <v>2654.84</v>
      </c>
    </row>
    <row r="4791" spans="1:14" x14ac:dyDescent="0.2">
      <c r="A4791" s="1">
        <v>45873</v>
      </c>
      <c r="B4791" s="2" t="s">
        <v>17</v>
      </c>
      <c r="C4791" s="2" t="s">
        <v>28</v>
      </c>
      <c r="D4791" s="2" t="s">
        <v>36</v>
      </c>
      <c r="E4791">
        <v>11873</v>
      </c>
      <c r="F4791">
        <v>269</v>
      </c>
      <c r="G4791">
        <v>22</v>
      </c>
      <c r="H4791">
        <v>953.21</v>
      </c>
      <c r="I4791">
        <v>2227.1799999999998</v>
      </c>
      <c r="J4791">
        <v>2.27</v>
      </c>
      <c r="K4791">
        <v>8.18</v>
      </c>
      <c r="L4791">
        <v>43.33</v>
      </c>
      <c r="M4791">
        <v>2.34</v>
      </c>
      <c r="N4791">
        <v>1273.97</v>
      </c>
    </row>
    <row r="4792" spans="1:14" x14ac:dyDescent="0.2">
      <c r="A4792" s="1">
        <v>45873</v>
      </c>
      <c r="B4792" s="2" t="s">
        <v>20</v>
      </c>
      <c r="C4792" s="2" t="s">
        <v>21</v>
      </c>
      <c r="D4792" s="2" t="s">
        <v>25</v>
      </c>
      <c r="E4792">
        <v>9764</v>
      </c>
      <c r="F4792">
        <v>354</v>
      </c>
      <c r="G4792">
        <v>22</v>
      </c>
      <c r="H4792">
        <v>791.26</v>
      </c>
      <c r="I4792">
        <v>2738.73</v>
      </c>
      <c r="J4792">
        <v>3.63</v>
      </c>
      <c r="K4792">
        <v>6.21</v>
      </c>
      <c r="L4792">
        <v>35.97</v>
      </c>
      <c r="M4792">
        <v>3.46</v>
      </c>
      <c r="N4792">
        <v>1947.47</v>
      </c>
    </row>
    <row r="4793" spans="1:14" x14ac:dyDescent="0.2">
      <c r="A4793" s="1">
        <v>45873</v>
      </c>
      <c r="B4793" s="2" t="s">
        <v>23</v>
      </c>
      <c r="C4793" s="2" t="s">
        <v>32</v>
      </c>
      <c r="D4793" s="2" t="s">
        <v>16</v>
      </c>
      <c r="E4793">
        <v>4788</v>
      </c>
      <c r="F4793">
        <v>75</v>
      </c>
      <c r="G4793">
        <v>10</v>
      </c>
      <c r="H4793">
        <v>1258.99</v>
      </c>
      <c r="I4793">
        <v>2337.69</v>
      </c>
      <c r="J4793">
        <v>1.57</v>
      </c>
      <c r="K4793">
        <v>13.33</v>
      </c>
      <c r="L4793">
        <v>125.9</v>
      </c>
      <c r="M4793">
        <v>1.86</v>
      </c>
      <c r="N4793">
        <v>1078.7</v>
      </c>
    </row>
    <row r="4794" spans="1:14" x14ac:dyDescent="0.2">
      <c r="A4794" s="1">
        <v>45873</v>
      </c>
      <c r="B4794" s="2" t="s">
        <v>24</v>
      </c>
      <c r="C4794" s="2" t="s">
        <v>15</v>
      </c>
      <c r="D4794" s="2" t="s">
        <v>22</v>
      </c>
      <c r="E4794">
        <v>16107</v>
      </c>
      <c r="F4794">
        <v>3731</v>
      </c>
      <c r="G4794">
        <v>436</v>
      </c>
      <c r="H4794">
        <v>166.13</v>
      </c>
      <c r="I4794">
        <v>51392.7</v>
      </c>
      <c r="J4794">
        <v>23.16</v>
      </c>
      <c r="K4794">
        <v>11.69</v>
      </c>
      <c r="L4794">
        <v>0.38</v>
      </c>
      <c r="M4794">
        <v>309.35000000000002</v>
      </c>
      <c r="N4794">
        <v>51226.57</v>
      </c>
    </row>
    <row r="4795" spans="1:14" x14ac:dyDescent="0.2">
      <c r="A4795" s="1">
        <v>45873</v>
      </c>
      <c r="B4795" s="2" t="s">
        <v>26</v>
      </c>
      <c r="C4795" s="2" t="s">
        <v>28</v>
      </c>
      <c r="D4795" s="2" t="s">
        <v>36</v>
      </c>
      <c r="E4795">
        <v>20913</v>
      </c>
      <c r="F4795">
        <v>1409</v>
      </c>
      <c r="G4795">
        <v>211</v>
      </c>
      <c r="H4795">
        <v>0</v>
      </c>
      <c r="I4795">
        <v>23026.07</v>
      </c>
      <c r="J4795">
        <v>6.74</v>
      </c>
      <c r="K4795">
        <v>14.98</v>
      </c>
      <c r="L4795">
        <v>0</v>
      </c>
      <c r="M4795">
        <v>0</v>
      </c>
      <c r="N4795">
        <v>23026.07</v>
      </c>
    </row>
    <row r="4796" spans="1:14" x14ac:dyDescent="0.2">
      <c r="A4796" s="1">
        <v>45873</v>
      </c>
      <c r="B4796" s="2" t="s">
        <v>27</v>
      </c>
      <c r="C4796" s="2" t="s">
        <v>18</v>
      </c>
      <c r="D4796" s="2" t="s">
        <v>22</v>
      </c>
      <c r="E4796">
        <v>31518</v>
      </c>
      <c r="F4796">
        <v>324</v>
      </c>
      <c r="G4796">
        <v>11</v>
      </c>
      <c r="H4796">
        <v>599.37</v>
      </c>
      <c r="I4796">
        <v>1150.73</v>
      </c>
      <c r="J4796">
        <v>1.03</v>
      </c>
      <c r="K4796">
        <v>3.4</v>
      </c>
      <c r="L4796">
        <v>54.49</v>
      </c>
      <c r="M4796">
        <v>1.92</v>
      </c>
      <c r="N4796">
        <v>551.36</v>
      </c>
    </row>
    <row r="4797" spans="1:14" x14ac:dyDescent="0.2">
      <c r="A4797" s="1">
        <v>45873</v>
      </c>
      <c r="B4797" s="2" t="s">
        <v>29</v>
      </c>
      <c r="C4797" s="2" t="s">
        <v>32</v>
      </c>
      <c r="D4797" s="2" t="s">
        <v>19</v>
      </c>
      <c r="E4797">
        <v>16924</v>
      </c>
      <c r="F4797">
        <v>347</v>
      </c>
      <c r="G4797">
        <v>25</v>
      </c>
      <c r="H4797">
        <v>831.23</v>
      </c>
      <c r="I4797">
        <v>2521.39</v>
      </c>
      <c r="J4797">
        <v>2.0499999999999998</v>
      </c>
      <c r="K4797">
        <v>7.2</v>
      </c>
      <c r="L4797">
        <v>33.25</v>
      </c>
      <c r="M4797">
        <v>3.03</v>
      </c>
      <c r="N4797">
        <v>1690.16</v>
      </c>
    </row>
    <row r="4798" spans="1:14" x14ac:dyDescent="0.2">
      <c r="A4798" s="1">
        <v>45873</v>
      </c>
      <c r="B4798" s="2" t="s">
        <v>30</v>
      </c>
      <c r="C4798" s="2" t="s">
        <v>18</v>
      </c>
      <c r="D4798" s="2" t="s">
        <v>25</v>
      </c>
      <c r="E4798">
        <v>11113</v>
      </c>
      <c r="F4798">
        <v>314</v>
      </c>
      <c r="G4798">
        <v>14</v>
      </c>
      <c r="H4798">
        <v>371.41</v>
      </c>
      <c r="I4798">
        <v>1198.76</v>
      </c>
      <c r="J4798">
        <v>2.83</v>
      </c>
      <c r="K4798">
        <v>4.46</v>
      </c>
      <c r="L4798">
        <v>26.53</v>
      </c>
      <c r="M4798">
        <v>3.23</v>
      </c>
      <c r="N4798">
        <v>827.35</v>
      </c>
    </row>
    <row r="4799" spans="1:14" x14ac:dyDescent="0.2">
      <c r="A4799" s="1">
        <v>45873</v>
      </c>
      <c r="B4799" s="2" t="s">
        <v>31</v>
      </c>
      <c r="C4799" s="2" t="s">
        <v>28</v>
      </c>
      <c r="D4799" s="2" t="s">
        <v>16</v>
      </c>
      <c r="E4799">
        <v>19117</v>
      </c>
      <c r="F4799">
        <v>483</v>
      </c>
      <c r="G4799">
        <v>18</v>
      </c>
      <c r="H4799">
        <v>667.86</v>
      </c>
      <c r="I4799">
        <v>1527.25</v>
      </c>
      <c r="J4799">
        <v>2.5299999999999998</v>
      </c>
      <c r="K4799">
        <v>3.73</v>
      </c>
      <c r="L4799">
        <v>37.1</v>
      </c>
      <c r="M4799">
        <v>2.29</v>
      </c>
      <c r="N4799">
        <v>859.39</v>
      </c>
    </row>
    <row r="4800" spans="1:14" x14ac:dyDescent="0.2">
      <c r="A4800" s="1">
        <v>45873</v>
      </c>
      <c r="B4800" s="2" t="s">
        <v>33</v>
      </c>
      <c r="C4800" s="2" t="s">
        <v>18</v>
      </c>
      <c r="D4800" s="2" t="s">
        <v>19</v>
      </c>
      <c r="E4800">
        <v>5410</v>
      </c>
      <c r="F4800">
        <v>260</v>
      </c>
      <c r="G4800">
        <v>27</v>
      </c>
      <c r="H4800">
        <v>283.68</v>
      </c>
      <c r="I4800">
        <v>3427.1</v>
      </c>
      <c r="J4800">
        <v>4.8099999999999996</v>
      </c>
      <c r="K4800">
        <v>10.38</v>
      </c>
      <c r="L4800">
        <v>10.51</v>
      </c>
      <c r="M4800">
        <v>12.08</v>
      </c>
      <c r="N4800">
        <v>3143.42</v>
      </c>
    </row>
    <row r="4801" spans="1:14" x14ac:dyDescent="0.2">
      <c r="A4801" s="1">
        <v>45873</v>
      </c>
      <c r="B4801" s="2" t="s">
        <v>34</v>
      </c>
      <c r="C4801" s="2" t="s">
        <v>32</v>
      </c>
      <c r="D4801" s="2" t="s">
        <v>19</v>
      </c>
      <c r="E4801">
        <v>4888</v>
      </c>
      <c r="F4801">
        <v>374</v>
      </c>
      <c r="G4801">
        <v>45</v>
      </c>
      <c r="H4801">
        <v>141.62</v>
      </c>
      <c r="I4801">
        <v>6508.2</v>
      </c>
      <c r="J4801">
        <v>7.65</v>
      </c>
      <c r="K4801">
        <v>12.03</v>
      </c>
      <c r="L4801">
        <v>3.15</v>
      </c>
      <c r="M4801">
        <v>45.96</v>
      </c>
      <c r="N4801">
        <v>6366.58</v>
      </c>
    </row>
    <row r="4802" spans="1:14" x14ac:dyDescent="0.2">
      <c r="A4802" s="1">
        <v>45874</v>
      </c>
      <c r="B4802" s="2" t="s">
        <v>14</v>
      </c>
      <c r="C4802" s="2" t="s">
        <v>18</v>
      </c>
      <c r="D4802" s="2" t="s">
        <v>25</v>
      </c>
      <c r="E4802">
        <v>9201</v>
      </c>
      <c r="F4802">
        <v>415</v>
      </c>
      <c r="G4802">
        <v>36</v>
      </c>
      <c r="H4802">
        <v>801.49</v>
      </c>
      <c r="I4802">
        <v>4316.54</v>
      </c>
      <c r="J4802">
        <v>4.51</v>
      </c>
      <c r="K4802">
        <v>8.67</v>
      </c>
      <c r="L4802">
        <v>22.26</v>
      </c>
      <c r="M4802">
        <v>5.39</v>
      </c>
      <c r="N4802">
        <v>3515.05</v>
      </c>
    </row>
    <row r="4803" spans="1:14" x14ac:dyDescent="0.2">
      <c r="A4803" s="1">
        <v>45874</v>
      </c>
      <c r="B4803" s="2" t="s">
        <v>17</v>
      </c>
      <c r="C4803" s="2" t="s">
        <v>21</v>
      </c>
      <c r="D4803" s="2" t="s">
        <v>16</v>
      </c>
      <c r="E4803">
        <v>11514</v>
      </c>
      <c r="F4803">
        <v>313</v>
      </c>
      <c r="G4803">
        <v>21</v>
      </c>
      <c r="H4803">
        <v>944.29</v>
      </c>
      <c r="I4803">
        <v>2317.79</v>
      </c>
      <c r="J4803">
        <v>2.72</v>
      </c>
      <c r="K4803">
        <v>6.71</v>
      </c>
      <c r="L4803">
        <v>44.97</v>
      </c>
      <c r="M4803">
        <v>2.4500000000000002</v>
      </c>
      <c r="N4803">
        <v>1373.5</v>
      </c>
    </row>
    <row r="4804" spans="1:14" x14ac:dyDescent="0.2">
      <c r="A4804" s="1">
        <v>45874</v>
      </c>
      <c r="B4804" s="2" t="s">
        <v>20</v>
      </c>
      <c r="C4804" s="2" t="s">
        <v>35</v>
      </c>
      <c r="D4804" s="2" t="s">
        <v>19</v>
      </c>
      <c r="E4804">
        <v>11530</v>
      </c>
      <c r="F4804">
        <v>311</v>
      </c>
      <c r="G4804">
        <v>22</v>
      </c>
      <c r="H4804">
        <v>692.79</v>
      </c>
      <c r="I4804">
        <v>1908.8</v>
      </c>
      <c r="J4804">
        <v>2.7</v>
      </c>
      <c r="K4804">
        <v>7.07</v>
      </c>
      <c r="L4804">
        <v>31.49</v>
      </c>
      <c r="M4804">
        <v>2.76</v>
      </c>
      <c r="N4804">
        <v>1216.01</v>
      </c>
    </row>
    <row r="4805" spans="1:14" x14ac:dyDescent="0.2">
      <c r="A4805" s="1">
        <v>45874</v>
      </c>
      <c r="B4805" s="2" t="s">
        <v>23</v>
      </c>
      <c r="C4805" s="2" t="s">
        <v>35</v>
      </c>
      <c r="D4805" s="2" t="s">
        <v>19</v>
      </c>
      <c r="E4805">
        <v>3162</v>
      </c>
      <c r="F4805">
        <v>87</v>
      </c>
      <c r="G4805">
        <v>11</v>
      </c>
      <c r="H4805">
        <v>878.62</v>
      </c>
      <c r="I4805">
        <v>3140.37</v>
      </c>
      <c r="J4805">
        <v>2.75</v>
      </c>
      <c r="K4805">
        <v>12.64</v>
      </c>
      <c r="L4805">
        <v>79.87</v>
      </c>
      <c r="M4805">
        <v>3.57</v>
      </c>
      <c r="N4805">
        <v>2261.75</v>
      </c>
    </row>
    <row r="4806" spans="1:14" x14ac:dyDescent="0.2">
      <c r="A4806" s="1">
        <v>45874</v>
      </c>
      <c r="B4806" s="2" t="s">
        <v>24</v>
      </c>
      <c r="C4806" s="2" t="s">
        <v>35</v>
      </c>
      <c r="D4806" s="2" t="s">
        <v>36</v>
      </c>
      <c r="E4806">
        <v>21086</v>
      </c>
      <c r="F4806">
        <v>4850</v>
      </c>
      <c r="G4806">
        <v>489</v>
      </c>
      <c r="H4806">
        <v>133.16999999999999</v>
      </c>
      <c r="I4806">
        <v>58098.16</v>
      </c>
      <c r="J4806">
        <v>23</v>
      </c>
      <c r="K4806">
        <v>10.08</v>
      </c>
      <c r="L4806">
        <v>0.27</v>
      </c>
      <c r="M4806">
        <v>436.27</v>
      </c>
      <c r="N4806">
        <v>57964.99</v>
      </c>
    </row>
    <row r="4807" spans="1:14" x14ac:dyDescent="0.2">
      <c r="A4807" s="1">
        <v>45874</v>
      </c>
      <c r="B4807" s="2" t="s">
        <v>26</v>
      </c>
      <c r="C4807" s="2" t="s">
        <v>18</v>
      </c>
      <c r="D4807" s="2" t="s">
        <v>22</v>
      </c>
      <c r="E4807">
        <v>28036</v>
      </c>
      <c r="F4807">
        <v>1290</v>
      </c>
      <c r="G4807">
        <v>171</v>
      </c>
      <c r="H4807">
        <v>0</v>
      </c>
      <c r="I4807">
        <v>26514.32</v>
      </c>
      <c r="J4807">
        <v>4.5999999999999996</v>
      </c>
      <c r="K4807">
        <v>13.26</v>
      </c>
      <c r="L4807">
        <v>0</v>
      </c>
      <c r="M4807">
        <v>0</v>
      </c>
      <c r="N4807">
        <v>26514.32</v>
      </c>
    </row>
    <row r="4808" spans="1:14" x14ac:dyDescent="0.2">
      <c r="A4808" s="1">
        <v>45874</v>
      </c>
      <c r="B4808" s="2" t="s">
        <v>27</v>
      </c>
      <c r="C4808" s="2" t="s">
        <v>21</v>
      </c>
      <c r="D4808" s="2" t="s">
        <v>25</v>
      </c>
      <c r="E4808">
        <v>23294</v>
      </c>
      <c r="F4808">
        <v>328</v>
      </c>
      <c r="G4808">
        <v>10</v>
      </c>
      <c r="H4808">
        <v>1050.17</v>
      </c>
      <c r="I4808">
        <v>1008.32</v>
      </c>
      <c r="J4808">
        <v>1.41</v>
      </c>
      <c r="K4808">
        <v>3.05</v>
      </c>
      <c r="L4808">
        <v>105.02</v>
      </c>
      <c r="M4808">
        <v>0.96</v>
      </c>
      <c r="N4808">
        <v>-41.85</v>
      </c>
    </row>
    <row r="4809" spans="1:14" x14ac:dyDescent="0.2">
      <c r="A4809" s="1">
        <v>45874</v>
      </c>
      <c r="B4809" s="2" t="s">
        <v>29</v>
      </c>
      <c r="C4809" s="2" t="s">
        <v>28</v>
      </c>
      <c r="D4809" s="2" t="s">
        <v>16</v>
      </c>
      <c r="E4809">
        <v>13072</v>
      </c>
      <c r="F4809">
        <v>312</v>
      </c>
      <c r="G4809">
        <v>12</v>
      </c>
      <c r="H4809">
        <v>781.47</v>
      </c>
      <c r="I4809">
        <v>1608.97</v>
      </c>
      <c r="J4809">
        <v>2.39</v>
      </c>
      <c r="K4809">
        <v>3.85</v>
      </c>
      <c r="L4809">
        <v>65.12</v>
      </c>
      <c r="M4809">
        <v>2.06</v>
      </c>
      <c r="N4809">
        <v>827.5</v>
      </c>
    </row>
    <row r="4810" spans="1:14" x14ac:dyDescent="0.2">
      <c r="A4810" s="1">
        <v>45874</v>
      </c>
      <c r="B4810" s="2" t="s">
        <v>30</v>
      </c>
      <c r="C4810" s="2" t="s">
        <v>35</v>
      </c>
      <c r="D4810" s="2" t="s">
        <v>19</v>
      </c>
      <c r="E4810">
        <v>6950</v>
      </c>
      <c r="F4810">
        <v>150</v>
      </c>
      <c r="G4810">
        <v>5</v>
      </c>
      <c r="H4810">
        <v>369.69</v>
      </c>
      <c r="I4810">
        <v>583.82000000000005</v>
      </c>
      <c r="J4810">
        <v>2.16</v>
      </c>
      <c r="K4810">
        <v>3.33</v>
      </c>
      <c r="L4810">
        <v>73.94</v>
      </c>
      <c r="M4810">
        <v>1.58</v>
      </c>
      <c r="N4810">
        <v>214.13</v>
      </c>
    </row>
    <row r="4811" spans="1:14" x14ac:dyDescent="0.2">
      <c r="A4811" s="1">
        <v>45874</v>
      </c>
      <c r="B4811" s="2" t="s">
        <v>31</v>
      </c>
      <c r="C4811" s="2" t="s">
        <v>21</v>
      </c>
      <c r="D4811" s="2" t="s">
        <v>22</v>
      </c>
      <c r="E4811">
        <v>25103</v>
      </c>
      <c r="F4811">
        <v>1080</v>
      </c>
      <c r="G4811">
        <v>33</v>
      </c>
      <c r="H4811">
        <v>800.68</v>
      </c>
      <c r="I4811">
        <v>2611.38</v>
      </c>
      <c r="J4811">
        <v>4.3</v>
      </c>
      <c r="K4811">
        <v>3.06</v>
      </c>
      <c r="L4811">
        <v>24.26</v>
      </c>
      <c r="M4811">
        <v>3.26</v>
      </c>
      <c r="N4811">
        <v>1810.7</v>
      </c>
    </row>
    <row r="4812" spans="1:14" x14ac:dyDescent="0.2">
      <c r="A4812" s="1">
        <v>45874</v>
      </c>
      <c r="B4812" s="2" t="s">
        <v>33</v>
      </c>
      <c r="C4812" s="2" t="s">
        <v>15</v>
      </c>
      <c r="D4812" s="2" t="s">
        <v>36</v>
      </c>
      <c r="E4812">
        <v>5291</v>
      </c>
      <c r="F4812">
        <v>289</v>
      </c>
      <c r="G4812">
        <v>31</v>
      </c>
      <c r="H4812">
        <v>390.22</v>
      </c>
      <c r="I4812">
        <v>3746.51</v>
      </c>
      <c r="J4812">
        <v>5.46</v>
      </c>
      <c r="K4812">
        <v>10.73</v>
      </c>
      <c r="L4812">
        <v>12.59</v>
      </c>
      <c r="M4812">
        <v>9.6</v>
      </c>
      <c r="N4812">
        <v>3356.29</v>
      </c>
    </row>
    <row r="4813" spans="1:14" x14ac:dyDescent="0.2">
      <c r="A4813" s="1">
        <v>45874</v>
      </c>
      <c r="B4813" s="2" t="s">
        <v>34</v>
      </c>
      <c r="C4813" s="2" t="s">
        <v>18</v>
      </c>
      <c r="D4813" s="2" t="s">
        <v>16</v>
      </c>
      <c r="E4813">
        <v>5629</v>
      </c>
      <c r="F4813">
        <v>426</v>
      </c>
      <c r="G4813">
        <v>69</v>
      </c>
      <c r="H4813">
        <v>149.44999999999999</v>
      </c>
      <c r="I4813">
        <v>10798.06</v>
      </c>
      <c r="J4813">
        <v>7.57</v>
      </c>
      <c r="K4813">
        <v>16.2</v>
      </c>
      <c r="L4813">
        <v>2.17</v>
      </c>
      <c r="M4813">
        <v>72.25</v>
      </c>
      <c r="N4813">
        <v>10648.61</v>
      </c>
    </row>
    <row r="4814" spans="1:14" x14ac:dyDescent="0.2">
      <c r="A4814" s="1">
        <v>45875</v>
      </c>
      <c r="B4814" s="2" t="s">
        <v>14</v>
      </c>
      <c r="C4814" s="2" t="s">
        <v>32</v>
      </c>
      <c r="D4814" s="2" t="s">
        <v>19</v>
      </c>
      <c r="E4814">
        <v>12458</v>
      </c>
      <c r="F4814">
        <v>546</v>
      </c>
      <c r="G4814">
        <v>46</v>
      </c>
      <c r="H4814">
        <v>937.68</v>
      </c>
      <c r="I4814">
        <v>6179.88</v>
      </c>
      <c r="J4814">
        <v>4.38</v>
      </c>
      <c r="K4814">
        <v>8.42</v>
      </c>
      <c r="L4814">
        <v>20.38</v>
      </c>
      <c r="M4814">
        <v>6.59</v>
      </c>
      <c r="N4814">
        <v>5242.2</v>
      </c>
    </row>
    <row r="4815" spans="1:14" x14ac:dyDescent="0.2">
      <c r="A4815" s="1">
        <v>45875</v>
      </c>
      <c r="B4815" s="2" t="s">
        <v>17</v>
      </c>
      <c r="C4815" s="2" t="s">
        <v>18</v>
      </c>
      <c r="D4815" s="2" t="s">
        <v>16</v>
      </c>
      <c r="E4815">
        <v>15740</v>
      </c>
      <c r="F4815">
        <v>355</v>
      </c>
      <c r="G4815">
        <v>25</v>
      </c>
      <c r="H4815">
        <v>610.46</v>
      </c>
      <c r="I4815">
        <v>2449.13</v>
      </c>
      <c r="J4815">
        <v>2.2599999999999998</v>
      </c>
      <c r="K4815">
        <v>7.04</v>
      </c>
      <c r="L4815">
        <v>24.42</v>
      </c>
      <c r="M4815">
        <v>4.01</v>
      </c>
      <c r="N4815">
        <v>1838.67</v>
      </c>
    </row>
    <row r="4816" spans="1:14" x14ac:dyDescent="0.2">
      <c r="A4816" s="1">
        <v>45875</v>
      </c>
      <c r="B4816" s="2" t="s">
        <v>20</v>
      </c>
      <c r="C4816" s="2" t="s">
        <v>28</v>
      </c>
      <c r="D4816" s="2" t="s">
        <v>36</v>
      </c>
      <c r="E4816">
        <v>14585</v>
      </c>
      <c r="F4816">
        <v>631</v>
      </c>
      <c r="G4816">
        <v>31</v>
      </c>
      <c r="H4816">
        <v>517.59</v>
      </c>
      <c r="I4816">
        <v>3276.35</v>
      </c>
      <c r="J4816">
        <v>4.33</v>
      </c>
      <c r="K4816">
        <v>4.91</v>
      </c>
      <c r="L4816">
        <v>16.7</v>
      </c>
      <c r="M4816">
        <v>6.33</v>
      </c>
      <c r="N4816">
        <v>2758.76</v>
      </c>
    </row>
    <row r="4817" spans="1:14" x14ac:dyDescent="0.2">
      <c r="A4817" s="1">
        <v>45875</v>
      </c>
      <c r="B4817" s="2" t="s">
        <v>23</v>
      </c>
      <c r="C4817" s="2" t="s">
        <v>32</v>
      </c>
      <c r="D4817" s="2" t="s">
        <v>19</v>
      </c>
      <c r="E4817">
        <v>5042</v>
      </c>
      <c r="F4817">
        <v>131</v>
      </c>
      <c r="G4817">
        <v>15</v>
      </c>
      <c r="H4817">
        <v>769.66</v>
      </c>
      <c r="I4817">
        <v>3276.13</v>
      </c>
      <c r="J4817">
        <v>2.6</v>
      </c>
      <c r="K4817">
        <v>11.45</v>
      </c>
      <c r="L4817">
        <v>51.31</v>
      </c>
      <c r="M4817">
        <v>4.26</v>
      </c>
      <c r="N4817">
        <v>2506.4699999999998</v>
      </c>
    </row>
    <row r="4818" spans="1:14" x14ac:dyDescent="0.2">
      <c r="A4818" s="1">
        <v>45875</v>
      </c>
      <c r="B4818" s="2" t="s">
        <v>24</v>
      </c>
      <c r="C4818" s="2" t="s">
        <v>32</v>
      </c>
      <c r="D4818" s="2" t="s">
        <v>36</v>
      </c>
      <c r="E4818">
        <v>14860</v>
      </c>
      <c r="F4818">
        <v>3028</v>
      </c>
      <c r="G4818">
        <v>355</v>
      </c>
      <c r="H4818">
        <v>154.22</v>
      </c>
      <c r="I4818">
        <v>47922.39</v>
      </c>
      <c r="J4818">
        <v>20.38</v>
      </c>
      <c r="K4818">
        <v>11.72</v>
      </c>
      <c r="L4818">
        <v>0.43</v>
      </c>
      <c r="M4818">
        <v>310.74</v>
      </c>
      <c r="N4818">
        <v>47768.17</v>
      </c>
    </row>
    <row r="4819" spans="1:14" x14ac:dyDescent="0.2">
      <c r="A4819" s="1">
        <v>45875</v>
      </c>
      <c r="B4819" s="2" t="s">
        <v>26</v>
      </c>
      <c r="C4819" s="2" t="s">
        <v>35</v>
      </c>
      <c r="D4819" s="2" t="s">
        <v>36</v>
      </c>
      <c r="E4819">
        <v>26937</v>
      </c>
      <c r="F4819">
        <v>1955</v>
      </c>
      <c r="G4819">
        <v>199</v>
      </c>
      <c r="H4819">
        <v>0</v>
      </c>
      <c r="I4819">
        <v>23365.09</v>
      </c>
      <c r="J4819">
        <v>7.26</v>
      </c>
      <c r="K4819">
        <v>10.18</v>
      </c>
      <c r="L4819">
        <v>0</v>
      </c>
      <c r="M4819">
        <v>0</v>
      </c>
      <c r="N4819">
        <v>23365.09</v>
      </c>
    </row>
    <row r="4820" spans="1:14" x14ac:dyDescent="0.2">
      <c r="A4820" s="1">
        <v>45875</v>
      </c>
      <c r="B4820" s="2" t="s">
        <v>27</v>
      </c>
      <c r="C4820" s="2" t="s">
        <v>28</v>
      </c>
      <c r="D4820" s="2" t="s">
        <v>25</v>
      </c>
      <c r="E4820">
        <v>27545</v>
      </c>
      <c r="F4820">
        <v>292</v>
      </c>
      <c r="G4820">
        <v>11</v>
      </c>
      <c r="H4820">
        <v>889.52</v>
      </c>
      <c r="I4820">
        <v>983.47</v>
      </c>
      <c r="J4820">
        <v>1.06</v>
      </c>
      <c r="K4820">
        <v>3.77</v>
      </c>
      <c r="L4820">
        <v>80.87</v>
      </c>
      <c r="M4820">
        <v>1.1100000000000001</v>
      </c>
      <c r="N4820">
        <v>93.95</v>
      </c>
    </row>
    <row r="4821" spans="1:14" x14ac:dyDescent="0.2">
      <c r="A4821" s="1">
        <v>45875</v>
      </c>
      <c r="B4821" s="2" t="s">
        <v>29</v>
      </c>
      <c r="C4821" s="2" t="s">
        <v>21</v>
      </c>
      <c r="D4821" s="2" t="s">
        <v>22</v>
      </c>
      <c r="E4821">
        <v>19732</v>
      </c>
      <c r="F4821">
        <v>436</v>
      </c>
      <c r="G4821">
        <v>19</v>
      </c>
      <c r="H4821">
        <v>810.17</v>
      </c>
      <c r="I4821">
        <v>2520.1799999999998</v>
      </c>
      <c r="J4821">
        <v>2.21</v>
      </c>
      <c r="K4821">
        <v>4.3600000000000003</v>
      </c>
      <c r="L4821">
        <v>42.64</v>
      </c>
      <c r="M4821">
        <v>3.11</v>
      </c>
      <c r="N4821">
        <v>1710.01</v>
      </c>
    </row>
    <row r="4822" spans="1:14" x14ac:dyDescent="0.2">
      <c r="A4822" s="1">
        <v>45875</v>
      </c>
      <c r="B4822" s="2" t="s">
        <v>30</v>
      </c>
      <c r="C4822" s="2" t="s">
        <v>32</v>
      </c>
      <c r="D4822" s="2" t="s">
        <v>36</v>
      </c>
      <c r="E4822">
        <v>7293</v>
      </c>
      <c r="F4822">
        <v>188</v>
      </c>
      <c r="G4822">
        <v>5</v>
      </c>
      <c r="H4822">
        <v>530.91</v>
      </c>
      <c r="I4822">
        <v>394.91</v>
      </c>
      <c r="J4822">
        <v>2.58</v>
      </c>
      <c r="K4822">
        <v>2.66</v>
      </c>
      <c r="L4822">
        <v>106.18</v>
      </c>
      <c r="M4822">
        <v>0.74</v>
      </c>
      <c r="N4822">
        <v>-136</v>
      </c>
    </row>
    <row r="4823" spans="1:14" x14ac:dyDescent="0.2">
      <c r="A4823" s="1">
        <v>45875</v>
      </c>
      <c r="B4823" s="2" t="s">
        <v>31</v>
      </c>
      <c r="C4823" s="2" t="s">
        <v>28</v>
      </c>
      <c r="D4823" s="2" t="s">
        <v>36</v>
      </c>
      <c r="E4823">
        <v>15957</v>
      </c>
      <c r="F4823">
        <v>640</v>
      </c>
      <c r="G4823">
        <v>23</v>
      </c>
      <c r="H4823">
        <v>598.03</v>
      </c>
      <c r="I4823">
        <v>2480.8200000000002</v>
      </c>
      <c r="J4823">
        <v>4.01</v>
      </c>
      <c r="K4823">
        <v>3.59</v>
      </c>
      <c r="L4823">
        <v>26</v>
      </c>
      <c r="M4823">
        <v>4.1500000000000004</v>
      </c>
      <c r="N4823">
        <v>1882.79</v>
      </c>
    </row>
    <row r="4824" spans="1:14" x14ac:dyDescent="0.2">
      <c r="A4824" s="1">
        <v>45875</v>
      </c>
      <c r="B4824" s="2" t="s">
        <v>33</v>
      </c>
      <c r="C4824" s="2" t="s">
        <v>21</v>
      </c>
      <c r="D4824" s="2" t="s">
        <v>19</v>
      </c>
      <c r="E4824">
        <v>5744</v>
      </c>
      <c r="F4824">
        <v>361</v>
      </c>
      <c r="G4824">
        <v>30</v>
      </c>
      <c r="H4824">
        <v>458.72</v>
      </c>
      <c r="I4824">
        <v>3304.17</v>
      </c>
      <c r="J4824">
        <v>6.28</v>
      </c>
      <c r="K4824">
        <v>8.31</v>
      </c>
      <c r="L4824">
        <v>15.29</v>
      </c>
      <c r="M4824">
        <v>7.2</v>
      </c>
      <c r="N4824">
        <v>2845.45</v>
      </c>
    </row>
    <row r="4825" spans="1:14" x14ac:dyDescent="0.2">
      <c r="A4825" s="1">
        <v>45875</v>
      </c>
      <c r="B4825" s="2" t="s">
        <v>34</v>
      </c>
      <c r="C4825" s="2" t="s">
        <v>18</v>
      </c>
      <c r="D4825" s="2" t="s">
        <v>25</v>
      </c>
      <c r="E4825">
        <v>2833</v>
      </c>
      <c r="F4825">
        <v>230</v>
      </c>
      <c r="G4825">
        <v>28</v>
      </c>
      <c r="H4825">
        <v>141.24</v>
      </c>
      <c r="I4825">
        <v>3474.46</v>
      </c>
      <c r="J4825">
        <v>8.1199999999999992</v>
      </c>
      <c r="K4825">
        <v>12.17</v>
      </c>
      <c r="L4825">
        <v>5.04</v>
      </c>
      <c r="M4825">
        <v>24.6</v>
      </c>
      <c r="N4825">
        <v>3333.22</v>
      </c>
    </row>
    <row r="4826" spans="1:14" x14ac:dyDescent="0.2">
      <c r="A4826" s="1">
        <v>45876</v>
      </c>
      <c r="B4826" s="2" t="s">
        <v>14</v>
      </c>
      <c r="C4826" s="2" t="s">
        <v>15</v>
      </c>
      <c r="D4826" s="2" t="s">
        <v>25</v>
      </c>
      <c r="E4826">
        <v>7591</v>
      </c>
      <c r="F4826">
        <v>360</v>
      </c>
      <c r="G4826">
        <v>39</v>
      </c>
      <c r="H4826">
        <v>862.96</v>
      </c>
      <c r="I4826">
        <v>5197.16</v>
      </c>
      <c r="J4826">
        <v>4.74</v>
      </c>
      <c r="K4826">
        <v>10.83</v>
      </c>
      <c r="L4826">
        <v>22.13</v>
      </c>
      <c r="M4826">
        <v>6.02</v>
      </c>
      <c r="N4826">
        <v>4334.2</v>
      </c>
    </row>
    <row r="4827" spans="1:14" x14ac:dyDescent="0.2">
      <c r="A4827" s="1">
        <v>45876</v>
      </c>
      <c r="B4827" s="2" t="s">
        <v>17</v>
      </c>
      <c r="C4827" s="2" t="s">
        <v>28</v>
      </c>
      <c r="D4827" s="2" t="s">
        <v>36</v>
      </c>
      <c r="E4827">
        <v>12471</v>
      </c>
      <c r="F4827">
        <v>357</v>
      </c>
      <c r="G4827">
        <v>23</v>
      </c>
      <c r="H4827">
        <v>727.96</v>
      </c>
      <c r="I4827">
        <v>2275.42</v>
      </c>
      <c r="J4827">
        <v>2.86</v>
      </c>
      <c r="K4827">
        <v>6.44</v>
      </c>
      <c r="L4827">
        <v>31.65</v>
      </c>
      <c r="M4827">
        <v>3.13</v>
      </c>
      <c r="N4827">
        <v>1547.46</v>
      </c>
    </row>
    <row r="4828" spans="1:14" x14ac:dyDescent="0.2">
      <c r="A4828" s="1">
        <v>45876</v>
      </c>
      <c r="B4828" s="2" t="s">
        <v>20</v>
      </c>
      <c r="C4828" s="2" t="s">
        <v>21</v>
      </c>
      <c r="D4828" s="2" t="s">
        <v>36</v>
      </c>
      <c r="E4828">
        <v>14151</v>
      </c>
      <c r="F4828">
        <v>629</v>
      </c>
      <c r="G4828">
        <v>44</v>
      </c>
      <c r="H4828">
        <v>779.27</v>
      </c>
      <c r="I4828">
        <v>4818.8</v>
      </c>
      <c r="J4828">
        <v>4.4400000000000004</v>
      </c>
      <c r="K4828">
        <v>7</v>
      </c>
      <c r="L4828">
        <v>17.71</v>
      </c>
      <c r="M4828">
        <v>6.18</v>
      </c>
      <c r="N4828">
        <v>4039.53</v>
      </c>
    </row>
    <row r="4829" spans="1:14" x14ac:dyDescent="0.2">
      <c r="A4829" s="1">
        <v>45876</v>
      </c>
      <c r="B4829" s="2" t="s">
        <v>23</v>
      </c>
      <c r="C4829" s="2" t="s">
        <v>35</v>
      </c>
      <c r="D4829" s="2" t="s">
        <v>25</v>
      </c>
      <c r="E4829">
        <v>4160</v>
      </c>
      <c r="F4829">
        <v>96</v>
      </c>
      <c r="G4829">
        <v>11</v>
      </c>
      <c r="H4829">
        <v>1468.28</v>
      </c>
      <c r="I4829">
        <v>2933.48</v>
      </c>
      <c r="J4829">
        <v>2.31</v>
      </c>
      <c r="K4829">
        <v>11.46</v>
      </c>
      <c r="L4829">
        <v>133.47999999999999</v>
      </c>
      <c r="M4829">
        <v>2</v>
      </c>
      <c r="N4829">
        <v>1465.2</v>
      </c>
    </row>
    <row r="4830" spans="1:14" x14ac:dyDescent="0.2">
      <c r="A4830" s="1">
        <v>45876</v>
      </c>
      <c r="B4830" s="2" t="s">
        <v>24</v>
      </c>
      <c r="C4830" s="2" t="s">
        <v>18</v>
      </c>
      <c r="D4830" s="2" t="s">
        <v>36</v>
      </c>
      <c r="E4830">
        <v>17461</v>
      </c>
      <c r="F4830">
        <v>3087</v>
      </c>
      <c r="G4830">
        <v>362</v>
      </c>
      <c r="H4830">
        <v>114.78</v>
      </c>
      <c r="I4830">
        <v>50782.97</v>
      </c>
      <c r="J4830">
        <v>17.68</v>
      </c>
      <c r="K4830">
        <v>11.73</v>
      </c>
      <c r="L4830">
        <v>0.32</v>
      </c>
      <c r="M4830">
        <v>442.44</v>
      </c>
      <c r="N4830">
        <v>50668.19</v>
      </c>
    </row>
    <row r="4831" spans="1:14" x14ac:dyDescent="0.2">
      <c r="A4831" s="1">
        <v>45876</v>
      </c>
      <c r="B4831" s="2" t="s">
        <v>26</v>
      </c>
      <c r="C4831" s="2" t="s">
        <v>15</v>
      </c>
      <c r="D4831" s="2" t="s">
        <v>19</v>
      </c>
      <c r="E4831">
        <v>25030</v>
      </c>
      <c r="F4831">
        <v>1114</v>
      </c>
      <c r="G4831">
        <v>120</v>
      </c>
      <c r="H4831">
        <v>0</v>
      </c>
      <c r="I4831">
        <v>13292.43</v>
      </c>
      <c r="J4831">
        <v>4.45</v>
      </c>
      <c r="K4831">
        <v>10.77</v>
      </c>
      <c r="L4831">
        <v>0</v>
      </c>
      <c r="M4831">
        <v>0</v>
      </c>
      <c r="N4831">
        <v>13292.43</v>
      </c>
    </row>
    <row r="4832" spans="1:14" x14ac:dyDescent="0.2">
      <c r="A4832" s="1">
        <v>45876</v>
      </c>
      <c r="B4832" s="2" t="s">
        <v>27</v>
      </c>
      <c r="C4832" s="2" t="s">
        <v>15</v>
      </c>
      <c r="D4832" s="2" t="s">
        <v>16</v>
      </c>
      <c r="E4832">
        <v>33453</v>
      </c>
      <c r="F4832">
        <v>650</v>
      </c>
      <c r="G4832">
        <v>31</v>
      </c>
      <c r="H4832">
        <v>757.93</v>
      </c>
      <c r="I4832">
        <v>2861.3</v>
      </c>
      <c r="J4832">
        <v>1.94</v>
      </c>
      <c r="K4832">
        <v>4.7699999999999996</v>
      </c>
      <c r="L4832">
        <v>24.45</v>
      </c>
      <c r="M4832">
        <v>3.78</v>
      </c>
      <c r="N4832">
        <v>2103.37</v>
      </c>
    </row>
    <row r="4833" spans="1:14" x14ac:dyDescent="0.2">
      <c r="A4833" s="1">
        <v>45876</v>
      </c>
      <c r="B4833" s="2" t="s">
        <v>29</v>
      </c>
      <c r="C4833" s="2" t="s">
        <v>21</v>
      </c>
      <c r="D4833" s="2" t="s">
        <v>16</v>
      </c>
      <c r="E4833">
        <v>15161</v>
      </c>
      <c r="F4833">
        <v>239</v>
      </c>
      <c r="G4833">
        <v>15</v>
      </c>
      <c r="H4833">
        <v>1081.8</v>
      </c>
      <c r="I4833">
        <v>1803.11</v>
      </c>
      <c r="J4833">
        <v>1.58</v>
      </c>
      <c r="K4833">
        <v>6.28</v>
      </c>
      <c r="L4833">
        <v>72.12</v>
      </c>
      <c r="M4833">
        <v>1.67</v>
      </c>
      <c r="N4833">
        <v>721.31</v>
      </c>
    </row>
    <row r="4834" spans="1:14" x14ac:dyDescent="0.2">
      <c r="A4834" s="1">
        <v>45876</v>
      </c>
      <c r="B4834" s="2" t="s">
        <v>30</v>
      </c>
      <c r="C4834" s="2" t="s">
        <v>32</v>
      </c>
      <c r="D4834" s="2" t="s">
        <v>19</v>
      </c>
      <c r="E4834">
        <v>10371</v>
      </c>
      <c r="F4834">
        <v>277</v>
      </c>
      <c r="G4834">
        <v>9</v>
      </c>
      <c r="H4834">
        <v>530.47</v>
      </c>
      <c r="I4834">
        <v>1011.15</v>
      </c>
      <c r="J4834">
        <v>2.67</v>
      </c>
      <c r="K4834">
        <v>3.25</v>
      </c>
      <c r="L4834">
        <v>58.94</v>
      </c>
      <c r="M4834">
        <v>1.91</v>
      </c>
      <c r="N4834">
        <v>480.68</v>
      </c>
    </row>
    <row r="4835" spans="1:14" x14ac:dyDescent="0.2">
      <c r="A4835" s="1">
        <v>45876</v>
      </c>
      <c r="B4835" s="2" t="s">
        <v>31</v>
      </c>
      <c r="C4835" s="2" t="s">
        <v>32</v>
      </c>
      <c r="D4835" s="2" t="s">
        <v>16</v>
      </c>
      <c r="E4835">
        <v>22870</v>
      </c>
      <c r="F4835">
        <v>1012</v>
      </c>
      <c r="G4835">
        <v>60</v>
      </c>
      <c r="H4835">
        <v>606.16999999999996</v>
      </c>
      <c r="I4835">
        <v>5637.14</v>
      </c>
      <c r="J4835">
        <v>4.43</v>
      </c>
      <c r="K4835">
        <v>5.93</v>
      </c>
      <c r="L4835">
        <v>10.1</v>
      </c>
      <c r="M4835">
        <v>9.3000000000000007</v>
      </c>
      <c r="N4835">
        <v>5030.97</v>
      </c>
    </row>
    <row r="4836" spans="1:14" x14ac:dyDescent="0.2">
      <c r="A4836" s="1">
        <v>45876</v>
      </c>
      <c r="B4836" s="2" t="s">
        <v>33</v>
      </c>
      <c r="C4836" s="2" t="s">
        <v>15</v>
      </c>
      <c r="D4836" s="2" t="s">
        <v>25</v>
      </c>
      <c r="E4836">
        <v>6715</v>
      </c>
      <c r="F4836">
        <v>457</v>
      </c>
      <c r="G4836">
        <v>51</v>
      </c>
      <c r="H4836">
        <v>389.56</v>
      </c>
      <c r="I4836">
        <v>7450.78</v>
      </c>
      <c r="J4836">
        <v>6.81</v>
      </c>
      <c r="K4836">
        <v>11.16</v>
      </c>
      <c r="L4836">
        <v>7.64</v>
      </c>
      <c r="M4836">
        <v>19.13</v>
      </c>
      <c r="N4836">
        <v>7061.22</v>
      </c>
    </row>
    <row r="4837" spans="1:14" x14ac:dyDescent="0.2">
      <c r="A4837" s="1">
        <v>45876</v>
      </c>
      <c r="B4837" s="2" t="s">
        <v>34</v>
      </c>
      <c r="C4837" s="2" t="s">
        <v>18</v>
      </c>
      <c r="D4837" s="2" t="s">
        <v>22</v>
      </c>
      <c r="E4837">
        <v>3951</v>
      </c>
      <c r="F4837">
        <v>341</v>
      </c>
      <c r="G4837">
        <v>56</v>
      </c>
      <c r="H4837">
        <v>91.97</v>
      </c>
      <c r="I4837">
        <v>7471.56</v>
      </c>
      <c r="J4837">
        <v>8.6300000000000008</v>
      </c>
      <c r="K4837">
        <v>16.420000000000002</v>
      </c>
      <c r="L4837">
        <v>1.64</v>
      </c>
      <c r="M4837">
        <v>81.239999999999995</v>
      </c>
      <c r="N4837">
        <v>7379.59</v>
      </c>
    </row>
    <row r="4838" spans="1:14" x14ac:dyDescent="0.2">
      <c r="A4838" s="1">
        <v>45877</v>
      </c>
      <c r="B4838" s="2" t="s">
        <v>14</v>
      </c>
      <c r="C4838" s="2" t="s">
        <v>32</v>
      </c>
      <c r="D4838" s="2" t="s">
        <v>25</v>
      </c>
      <c r="E4838">
        <v>8904</v>
      </c>
      <c r="F4838">
        <v>273</v>
      </c>
      <c r="G4838">
        <v>23</v>
      </c>
      <c r="H4838">
        <v>804.94</v>
      </c>
      <c r="I4838">
        <v>3679.87</v>
      </c>
      <c r="J4838">
        <v>3.07</v>
      </c>
      <c r="K4838">
        <v>8.42</v>
      </c>
      <c r="L4838">
        <v>35</v>
      </c>
      <c r="M4838">
        <v>4.57</v>
      </c>
      <c r="N4838">
        <v>2874.93</v>
      </c>
    </row>
    <row r="4839" spans="1:14" x14ac:dyDescent="0.2">
      <c r="A4839" s="1">
        <v>45877</v>
      </c>
      <c r="B4839" s="2" t="s">
        <v>17</v>
      </c>
      <c r="C4839" s="2" t="s">
        <v>32</v>
      </c>
      <c r="D4839" s="2" t="s">
        <v>16</v>
      </c>
      <c r="E4839">
        <v>12330</v>
      </c>
      <c r="F4839">
        <v>268</v>
      </c>
      <c r="G4839">
        <v>16</v>
      </c>
      <c r="H4839">
        <v>684.07</v>
      </c>
      <c r="I4839">
        <v>1472.27</v>
      </c>
      <c r="J4839">
        <v>2.17</v>
      </c>
      <c r="K4839">
        <v>5.97</v>
      </c>
      <c r="L4839">
        <v>42.75</v>
      </c>
      <c r="M4839">
        <v>2.15</v>
      </c>
      <c r="N4839">
        <v>788.2</v>
      </c>
    </row>
    <row r="4840" spans="1:14" x14ac:dyDescent="0.2">
      <c r="A4840" s="1">
        <v>45877</v>
      </c>
      <c r="B4840" s="2" t="s">
        <v>20</v>
      </c>
      <c r="C4840" s="2" t="s">
        <v>32</v>
      </c>
      <c r="D4840" s="2" t="s">
        <v>25</v>
      </c>
      <c r="E4840">
        <v>15032</v>
      </c>
      <c r="F4840">
        <v>607</v>
      </c>
      <c r="G4840">
        <v>31</v>
      </c>
      <c r="H4840">
        <v>489.72</v>
      </c>
      <c r="I4840">
        <v>3194.76</v>
      </c>
      <c r="J4840">
        <v>4.04</v>
      </c>
      <c r="K4840">
        <v>5.1100000000000003</v>
      </c>
      <c r="L4840">
        <v>15.8</v>
      </c>
      <c r="M4840">
        <v>6.52</v>
      </c>
      <c r="N4840">
        <v>2705.04</v>
      </c>
    </row>
    <row r="4841" spans="1:14" x14ac:dyDescent="0.2">
      <c r="A4841" s="1">
        <v>45877</v>
      </c>
      <c r="B4841" s="2" t="s">
        <v>23</v>
      </c>
      <c r="C4841" s="2" t="s">
        <v>21</v>
      </c>
      <c r="D4841" s="2" t="s">
        <v>36</v>
      </c>
      <c r="E4841">
        <v>3080</v>
      </c>
      <c r="F4841">
        <v>59</v>
      </c>
      <c r="G4841">
        <v>8</v>
      </c>
      <c r="H4841">
        <v>1116.53</v>
      </c>
      <c r="I4841">
        <v>1742.3</v>
      </c>
      <c r="J4841">
        <v>1.92</v>
      </c>
      <c r="K4841">
        <v>13.56</v>
      </c>
      <c r="L4841">
        <v>139.57</v>
      </c>
      <c r="M4841">
        <v>1.56</v>
      </c>
      <c r="N4841">
        <v>625.77</v>
      </c>
    </row>
    <row r="4842" spans="1:14" x14ac:dyDescent="0.2">
      <c r="A4842" s="1">
        <v>45877</v>
      </c>
      <c r="B4842" s="2" t="s">
        <v>24</v>
      </c>
      <c r="C4842" s="2" t="s">
        <v>32</v>
      </c>
      <c r="D4842" s="2" t="s">
        <v>16</v>
      </c>
      <c r="E4842">
        <v>15575</v>
      </c>
      <c r="F4842">
        <v>2846</v>
      </c>
      <c r="G4842">
        <v>267</v>
      </c>
      <c r="H4842">
        <v>170.4</v>
      </c>
      <c r="I4842">
        <v>39082.53</v>
      </c>
      <c r="J4842">
        <v>18.27</v>
      </c>
      <c r="K4842">
        <v>9.3800000000000008</v>
      </c>
      <c r="L4842">
        <v>0.64</v>
      </c>
      <c r="M4842">
        <v>229.36</v>
      </c>
      <c r="N4842">
        <v>38912.129999999997</v>
      </c>
    </row>
    <row r="4843" spans="1:14" x14ac:dyDescent="0.2">
      <c r="A4843" s="1">
        <v>45877</v>
      </c>
      <c r="B4843" s="2" t="s">
        <v>26</v>
      </c>
      <c r="C4843" s="2" t="s">
        <v>18</v>
      </c>
      <c r="D4843" s="2" t="s">
        <v>25</v>
      </c>
      <c r="E4843">
        <v>27867</v>
      </c>
      <c r="F4843">
        <v>1545</v>
      </c>
      <c r="G4843">
        <v>202</v>
      </c>
      <c r="H4843">
        <v>0</v>
      </c>
      <c r="I4843">
        <v>22234.080000000002</v>
      </c>
      <c r="J4843">
        <v>5.54</v>
      </c>
      <c r="K4843">
        <v>13.07</v>
      </c>
      <c r="L4843">
        <v>0</v>
      </c>
      <c r="M4843">
        <v>0</v>
      </c>
      <c r="N4843">
        <v>22234.080000000002</v>
      </c>
    </row>
    <row r="4844" spans="1:14" x14ac:dyDescent="0.2">
      <c r="A4844" s="1">
        <v>45877</v>
      </c>
      <c r="B4844" s="2" t="s">
        <v>27</v>
      </c>
      <c r="C4844" s="2" t="s">
        <v>21</v>
      </c>
      <c r="D4844" s="2" t="s">
        <v>16</v>
      </c>
      <c r="E4844">
        <v>31010</v>
      </c>
      <c r="F4844">
        <v>584</v>
      </c>
      <c r="G4844">
        <v>22</v>
      </c>
      <c r="H4844">
        <v>729.75</v>
      </c>
      <c r="I4844">
        <v>1939.29</v>
      </c>
      <c r="J4844">
        <v>1.88</v>
      </c>
      <c r="K4844">
        <v>3.77</v>
      </c>
      <c r="L4844">
        <v>33.17</v>
      </c>
      <c r="M4844">
        <v>2.66</v>
      </c>
      <c r="N4844">
        <v>1209.54</v>
      </c>
    </row>
    <row r="4845" spans="1:14" x14ac:dyDescent="0.2">
      <c r="A4845" s="1">
        <v>45877</v>
      </c>
      <c r="B4845" s="2" t="s">
        <v>29</v>
      </c>
      <c r="C4845" s="2" t="s">
        <v>35</v>
      </c>
      <c r="D4845" s="2" t="s">
        <v>22</v>
      </c>
      <c r="E4845">
        <v>13321</v>
      </c>
      <c r="F4845">
        <v>242</v>
      </c>
      <c r="G4845">
        <v>15</v>
      </c>
      <c r="H4845">
        <v>778.36</v>
      </c>
      <c r="I4845">
        <v>1439.14</v>
      </c>
      <c r="J4845">
        <v>1.82</v>
      </c>
      <c r="K4845">
        <v>6.2</v>
      </c>
      <c r="L4845">
        <v>51.89</v>
      </c>
      <c r="M4845">
        <v>1.85</v>
      </c>
      <c r="N4845">
        <v>660.78</v>
      </c>
    </row>
    <row r="4846" spans="1:14" x14ac:dyDescent="0.2">
      <c r="A4846" s="1">
        <v>45877</v>
      </c>
      <c r="B4846" s="2" t="s">
        <v>30</v>
      </c>
      <c r="C4846" s="2" t="s">
        <v>21</v>
      </c>
      <c r="D4846" s="2" t="s">
        <v>25</v>
      </c>
      <c r="E4846">
        <v>9264</v>
      </c>
      <c r="F4846">
        <v>317</v>
      </c>
      <c r="G4846">
        <v>17</v>
      </c>
      <c r="H4846">
        <v>410.18</v>
      </c>
      <c r="I4846">
        <v>1363.44</v>
      </c>
      <c r="J4846">
        <v>3.42</v>
      </c>
      <c r="K4846">
        <v>5.36</v>
      </c>
      <c r="L4846">
        <v>24.13</v>
      </c>
      <c r="M4846">
        <v>3.32</v>
      </c>
      <c r="N4846">
        <v>953.26</v>
      </c>
    </row>
    <row r="4847" spans="1:14" x14ac:dyDescent="0.2">
      <c r="A4847" s="1">
        <v>45877</v>
      </c>
      <c r="B4847" s="2" t="s">
        <v>31</v>
      </c>
      <c r="C4847" s="2" t="s">
        <v>28</v>
      </c>
      <c r="D4847" s="2" t="s">
        <v>16</v>
      </c>
      <c r="E4847">
        <v>21046</v>
      </c>
      <c r="F4847">
        <v>617</v>
      </c>
      <c r="G4847">
        <v>28</v>
      </c>
      <c r="H4847">
        <v>744.25</v>
      </c>
      <c r="I4847">
        <v>2439.9899999999998</v>
      </c>
      <c r="J4847">
        <v>2.93</v>
      </c>
      <c r="K4847">
        <v>4.54</v>
      </c>
      <c r="L4847">
        <v>26.58</v>
      </c>
      <c r="M4847">
        <v>3.28</v>
      </c>
      <c r="N4847">
        <v>1695.74</v>
      </c>
    </row>
    <row r="4848" spans="1:14" x14ac:dyDescent="0.2">
      <c r="A4848" s="1">
        <v>45877</v>
      </c>
      <c r="B4848" s="2" t="s">
        <v>33</v>
      </c>
      <c r="C4848" s="2" t="s">
        <v>32</v>
      </c>
      <c r="D4848" s="2" t="s">
        <v>25</v>
      </c>
      <c r="E4848">
        <v>4878</v>
      </c>
      <c r="F4848">
        <v>238</v>
      </c>
      <c r="G4848">
        <v>22</v>
      </c>
      <c r="H4848">
        <v>302.55</v>
      </c>
      <c r="I4848">
        <v>2316.9299999999998</v>
      </c>
      <c r="J4848">
        <v>4.88</v>
      </c>
      <c r="K4848">
        <v>9.24</v>
      </c>
      <c r="L4848">
        <v>13.75</v>
      </c>
      <c r="M4848">
        <v>7.66</v>
      </c>
      <c r="N4848">
        <v>2014.38</v>
      </c>
    </row>
    <row r="4849" spans="1:14" x14ac:dyDescent="0.2">
      <c r="A4849" s="1">
        <v>45877</v>
      </c>
      <c r="B4849" s="2" t="s">
        <v>34</v>
      </c>
      <c r="C4849" s="2" t="s">
        <v>35</v>
      </c>
      <c r="D4849" s="2" t="s">
        <v>36</v>
      </c>
      <c r="E4849">
        <v>5284</v>
      </c>
      <c r="F4849">
        <v>349</v>
      </c>
      <c r="G4849">
        <v>59</v>
      </c>
      <c r="H4849">
        <v>160.91</v>
      </c>
      <c r="I4849">
        <v>9200.35</v>
      </c>
      <c r="J4849">
        <v>6.6</v>
      </c>
      <c r="K4849">
        <v>16.91</v>
      </c>
      <c r="L4849">
        <v>2.73</v>
      </c>
      <c r="M4849">
        <v>57.18</v>
      </c>
      <c r="N4849">
        <v>9039.44</v>
      </c>
    </row>
    <row r="4850" spans="1:14" x14ac:dyDescent="0.2">
      <c r="A4850" s="1">
        <v>45878</v>
      </c>
      <c r="B4850" s="2" t="s">
        <v>14</v>
      </c>
      <c r="C4850" s="2" t="s">
        <v>32</v>
      </c>
      <c r="D4850" s="2" t="s">
        <v>16</v>
      </c>
      <c r="E4850">
        <v>6411</v>
      </c>
      <c r="F4850">
        <v>292</v>
      </c>
      <c r="G4850">
        <v>30</v>
      </c>
      <c r="H4850">
        <v>604.96</v>
      </c>
      <c r="I4850">
        <v>5310</v>
      </c>
      <c r="J4850">
        <v>4.55</v>
      </c>
      <c r="K4850">
        <v>10.27</v>
      </c>
      <c r="L4850">
        <v>20.170000000000002</v>
      </c>
      <c r="M4850">
        <v>8.7799999999999994</v>
      </c>
      <c r="N4850">
        <v>4705.04</v>
      </c>
    </row>
    <row r="4851" spans="1:14" x14ac:dyDescent="0.2">
      <c r="A4851" s="1">
        <v>45878</v>
      </c>
      <c r="B4851" s="2" t="s">
        <v>17</v>
      </c>
      <c r="C4851" s="2" t="s">
        <v>28</v>
      </c>
      <c r="D4851" s="2" t="s">
        <v>16</v>
      </c>
      <c r="E4851">
        <v>8541</v>
      </c>
      <c r="F4851">
        <v>201</v>
      </c>
      <c r="G4851">
        <v>14</v>
      </c>
      <c r="H4851">
        <v>368.38</v>
      </c>
      <c r="I4851">
        <v>1762.72</v>
      </c>
      <c r="J4851">
        <v>2.35</v>
      </c>
      <c r="K4851">
        <v>6.97</v>
      </c>
      <c r="L4851">
        <v>26.31</v>
      </c>
      <c r="M4851">
        <v>4.79</v>
      </c>
      <c r="N4851">
        <v>1394.34</v>
      </c>
    </row>
    <row r="4852" spans="1:14" x14ac:dyDescent="0.2">
      <c r="A4852" s="1">
        <v>45878</v>
      </c>
      <c r="B4852" s="2" t="s">
        <v>20</v>
      </c>
      <c r="C4852" s="2" t="s">
        <v>35</v>
      </c>
      <c r="D4852" s="2" t="s">
        <v>36</v>
      </c>
      <c r="E4852">
        <v>8240</v>
      </c>
      <c r="F4852">
        <v>233</v>
      </c>
      <c r="G4852">
        <v>14</v>
      </c>
      <c r="H4852">
        <v>528.17999999999995</v>
      </c>
      <c r="I4852">
        <v>1409.2</v>
      </c>
      <c r="J4852">
        <v>2.83</v>
      </c>
      <c r="K4852">
        <v>6.01</v>
      </c>
      <c r="L4852">
        <v>37.729999999999997</v>
      </c>
      <c r="M4852">
        <v>2.67</v>
      </c>
      <c r="N4852">
        <v>881.02</v>
      </c>
    </row>
    <row r="4853" spans="1:14" x14ac:dyDescent="0.2">
      <c r="A4853" s="1">
        <v>45878</v>
      </c>
      <c r="B4853" s="2" t="s">
        <v>23</v>
      </c>
      <c r="C4853" s="2" t="s">
        <v>21</v>
      </c>
      <c r="D4853" s="2" t="s">
        <v>36</v>
      </c>
      <c r="E4853">
        <v>2053</v>
      </c>
      <c r="F4853">
        <v>45</v>
      </c>
      <c r="G4853">
        <v>5</v>
      </c>
      <c r="H4853">
        <v>629.11</v>
      </c>
      <c r="I4853">
        <v>1349.69</v>
      </c>
      <c r="J4853">
        <v>2.19</v>
      </c>
      <c r="K4853">
        <v>11.11</v>
      </c>
      <c r="L4853">
        <v>125.82</v>
      </c>
      <c r="M4853">
        <v>2.15</v>
      </c>
      <c r="N4853">
        <v>720.58</v>
      </c>
    </row>
    <row r="4854" spans="1:14" x14ac:dyDescent="0.2">
      <c r="A4854" s="1">
        <v>45878</v>
      </c>
      <c r="B4854" s="2" t="s">
        <v>24</v>
      </c>
      <c r="C4854" s="2" t="s">
        <v>18</v>
      </c>
      <c r="D4854" s="2" t="s">
        <v>25</v>
      </c>
      <c r="E4854">
        <v>14005</v>
      </c>
      <c r="F4854">
        <v>2286</v>
      </c>
      <c r="G4854">
        <v>269</v>
      </c>
      <c r="H4854">
        <v>161.47</v>
      </c>
      <c r="I4854">
        <v>29813.08</v>
      </c>
      <c r="J4854">
        <v>16.32</v>
      </c>
      <c r="K4854">
        <v>11.77</v>
      </c>
      <c r="L4854">
        <v>0.6</v>
      </c>
      <c r="M4854">
        <v>184.64</v>
      </c>
      <c r="N4854">
        <v>29651.61</v>
      </c>
    </row>
    <row r="4855" spans="1:14" x14ac:dyDescent="0.2">
      <c r="A4855" s="1">
        <v>45878</v>
      </c>
      <c r="B4855" s="2" t="s">
        <v>26</v>
      </c>
      <c r="C4855" s="2" t="s">
        <v>35</v>
      </c>
      <c r="D4855" s="2" t="s">
        <v>36</v>
      </c>
      <c r="E4855">
        <v>13761</v>
      </c>
      <c r="F4855">
        <v>759</v>
      </c>
      <c r="G4855">
        <v>110</v>
      </c>
      <c r="H4855">
        <v>0</v>
      </c>
      <c r="I4855">
        <v>16801.03</v>
      </c>
      <c r="J4855">
        <v>5.52</v>
      </c>
      <c r="K4855">
        <v>14.49</v>
      </c>
      <c r="L4855">
        <v>0</v>
      </c>
      <c r="M4855">
        <v>0</v>
      </c>
      <c r="N4855">
        <v>16801.03</v>
      </c>
    </row>
    <row r="4856" spans="1:14" x14ac:dyDescent="0.2">
      <c r="A4856" s="1">
        <v>45878</v>
      </c>
      <c r="B4856" s="2" t="s">
        <v>27</v>
      </c>
      <c r="C4856" s="2" t="s">
        <v>35</v>
      </c>
      <c r="D4856" s="2" t="s">
        <v>16</v>
      </c>
      <c r="E4856">
        <v>16119</v>
      </c>
      <c r="F4856">
        <v>239</v>
      </c>
      <c r="G4856">
        <v>5</v>
      </c>
      <c r="H4856">
        <v>758.39</v>
      </c>
      <c r="I4856">
        <v>395.77</v>
      </c>
      <c r="J4856">
        <v>1.48</v>
      </c>
      <c r="K4856">
        <v>2.09</v>
      </c>
      <c r="L4856">
        <v>151.68</v>
      </c>
      <c r="M4856">
        <v>0.52</v>
      </c>
      <c r="N4856">
        <v>-362.62</v>
      </c>
    </row>
    <row r="4857" spans="1:14" x14ac:dyDescent="0.2">
      <c r="A4857" s="1">
        <v>45878</v>
      </c>
      <c r="B4857" s="2" t="s">
        <v>29</v>
      </c>
      <c r="C4857" s="2" t="s">
        <v>18</v>
      </c>
      <c r="D4857" s="2" t="s">
        <v>16</v>
      </c>
      <c r="E4857">
        <v>9034</v>
      </c>
      <c r="F4857">
        <v>243</v>
      </c>
      <c r="G4857">
        <v>10</v>
      </c>
      <c r="H4857">
        <v>750.94</v>
      </c>
      <c r="I4857">
        <v>1325.35</v>
      </c>
      <c r="J4857">
        <v>2.69</v>
      </c>
      <c r="K4857">
        <v>4.12</v>
      </c>
      <c r="L4857">
        <v>75.09</v>
      </c>
      <c r="M4857">
        <v>1.76</v>
      </c>
      <c r="N4857">
        <v>574.41</v>
      </c>
    </row>
    <row r="4858" spans="1:14" x14ac:dyDescent="0.2">
      <c r="A4858" s="1">
        <v>45878</v>
      </c>
      <c r="B4858" s="2" t="s">
        <v>30</v>
      </c>
      <c r="C4858" s="2" t="s">
        <v>32</v>
      </c>
      <c r="D4858" s="2" t="s">
        <v>22</v>
      </c>
      <c r="E4858">
        <v>4787</v>
      </c>
      <c r="F4858">
        <v>101</v>
      </c>
      <c r="G4858">
        <v>4</v>
      </c>
      <c r="H4858">
        <v>330.31</v>
      </c>
      <c r="I4858">
        <v>344.33</v>
      </c>
      <c r="J4858">
        <v>2.11</v>
      </c>
      <c r="K4858">
        <v>3.96</v>
      </c>
      <c r="L4858">
        <v>82.58</v>
      </c>
      <c r="M4858">
        <v>1.04</v>
      </c>
      <c r="N4858">
        <v>14.02</v>
      </c>
    </row>
    <row r="4859" spans="1:14" x14ac:dyDescent="0.2">
      <c r="A4859" s="1">
        <v>45878</v>
      </c>
      <c r="B4859" s="2" t="s">
        <v>31</v>
      </c>
      <c r="C4859" s="2" t="s">
        <v>35</v>
      </c>
      <c r="D4859" s="2" t="s">
        <v>22</v>
      </c>
      <c r="E4859">
        <v>15190</v>
      </c>
      <c r="F4859">
        <v>533</v>
      </c>
      <c r="G4859">
        <v>17</v>
      </c>
      <c r="H4859">
        <v>607.82000000000005</v>
      </c>
      <c r="I4859">
        <v>1308.53</v>
      </c>
      <c r="J4859">
        <v>3.51</v>
      </c>
      <c r="K4859">
        <v>3.19</v>
      </c>
      <c r="L4859">
        <v>35.75</v>
      </c>
      <c r="M4859">
        <v>2.15</v>
      </c>
      <c r="N4859">
        <v>700.71</v>
      </c>
    </row>
    <row r="4860" spans="1:14" x14ac:dyDescent="0.2">
      <c r="A4860" s="1">
        <v>45878</v>
      </c>
      <c r="B4860" s="2" t="s">
        <v>33</v>
      </c>
      <c r="C4860" s="2" t="s">
        <v>21</v>
      </c>
      <c r="D4860" s="2" t="s">
        <v>19</v>
      </c>
      <c r="E4860">
        <v>3709</v>
      </c>
      <c r="F4860">
        <v>190</v>
      </c>
      <c r="G4860">
        <v>17</v>
      </c>
      <c r="H4860">
        <v>217.32</v>
      </c>
      <c r="I4860">
        <v>2190.4699999999998</v>
      </c>
      <c r="J4860">
        <v>5.12</v>
      </c>
      <c r="K4860">
        <v>8.9499999999999993</v>
      </c>
      <c r="L4860">
        <v>12.78</v>
      </c>
      <c r="M4860">
        <v>10.08</v>
      </c>
      <c r="N4860">
        <v>1973.15</v>
      </c>
    </row>
    <row r="4861" spans="1:14" x14ac:dyDescent="0.2">
      <c r="A4861" s="1">
        <v>45878</v>
      </c>
      <c r="B4861" s="2" t="s">
        <v>34</v>
      </c>
      <c r="C4861" s="2" t="s">
        <v>18</v>
      </c>
      <c r="D4861" s="2" t="s">
        <v>22</v>
      </c>
      <c r="E4861">
        <v>3483</v>
      </c>
      <c r="F4861">
        <v>337</v>
      </c>
      <c r="G4861">
        <v>57</v>
      </c>
      <c r="H4861">
        <v>36.22</v>
      </c>
      <c r="I4861">
        <v>8178.34</v>
      </c>
      <c r="J4861">
        <v>9.68</v>
      </c>
      <c r="K4861">
        <v>16.91</v>
      </c>
      <c r="L4861">
        <v>0.64</v>
      </c>
      <c r="M4861">
        <v>225.8</v>
      </c>
      <c r="N4861">
        <v>8142.12</v>
      </c>
    </row>
    <row r="4862" spans="1:14" x14ac:dyDescent="0.2">
      <c r="A4862" s="1">
        <v>45879</v>
      </c>
      <c r="B4862" s="2" t="s">
        <v>14</v>
      </c>
      <c r="C4862" s="2" t="s">
        <v>35</v>
      </c>
      <c r="D4862" s="2" t="s">
        <v>36</v>
      </c>
      <c r="E4862">
        <v>8697</v>
      </c>
      <c r="F4862">
        <v>349</v>
      </c>
      <c r="G4862">
        <v>37</v>
      </c>
      <c r="H4862">
        <v>831.22</v>
      </c>
      <c r="I4862">
        <v>4871.8</v>
      </c>
      <c r="J4862">
        <v>4.01</v>
      </c>
      <c r="K4862">
        <v>10.6</v>
      </c>
      <c r="L4862">
        <v>22.47</v>
      </c>
      <c r="M4862">
        <v>5.86</v>
      </c>
      <c r="N4862">
        <v>4040.58</v>
      </c>
    </row>
    <row r="4863" spans="1:14" x14ac:dyDescent="0.2">
      <c r="A4863" s="1">
        <v>45879</v>
      </c>
      <c r="B4863" s="2" t="s">
        <v>17</v>
      </c>
      <c r="C4863" s="2" t="s">
        <v>15</v>
      </c>
      <c r="D4863" s="2" t="s">
        <v>22</v>
      </c>
      <c r="E4863">
        <v>10256</v>
      </c>
      <c r="F4863">
        <v>309</v>
      </c>
      <c r="G4863">
        <v>20</v>
      </c>
      <c r="H4863">
        <v>573.61</v>
      </c>
      <c r="I4863">
        <v>2233.34</v>
      </c>
      <c r="J4863">
        <v>3.01</v>
      </c>
      <c r="K4863">
        <v>6.47</v>
      </c>
      <c r="L4863">
        <v>28.68</v>
      </c>
      <c r="M4863">
        <v>3.89</v>
      </c>
      <c r="N4863">
        <v>1659.73</v>
      </c>
    </row>
    <row r="4864" spans="1:14" x14ac:dyDescent="0.2">
      <c r="A4864" s="1">
        <v>45879</v>
      </c>
      <c r="B4864" s="2" t="s">
        <v>20</v>
      </c>
      <c r="C4864" s="2" t="s">
        <v>18</v>
      </c>
      <c r="D4864" s="2" t="s">
        <v>25</v>
      </c>
      <c r="E4864">
        <v>7234</v>
      </c>
      <c r="F4864">
        <v>228</v>
      </c>
      <c r="G4864">
        <v>11</v>
      </c>
      <c r="H4864">
        <v>411.8</v>
      </c>
      <c r="I4864">
        <v>1243.9000000000001</v>
      </c>
      <c r="J4864">
        <v>3.15</v>
      </c>
      <c r="K4864">
        <v>4.82</v>
      </c>
      <c r="L4864">
        <v>37.44</v>
      </c>
      <c r="M4864">
        <v>3.02</v>
      </c>
      <c r="N4864">
        <v>832.1</v>
      </c>
    </row>
    <row r="4865" spans="1:14" x14ac:dyDescent="0.2">
      <c r="A4865" s="1">
        <v>45879</v>
      </c>
      <c r="B4865" s="2" t="s">
        <v>23</v>
      </c>
      <c r="C4865" s="2" t="s">
        <v>35</v>
      </c>
      <c r="D4865" s="2" t="s">
        <v>22</v>
      </c>
      <c r="E4865">
        <v>2312</v>
      </c>
      <c r="F4865">
        <v>61</v>
      </c>
      <c r="G4865">
        <v>8</v>
      </c>
      <c r="H4865">
        <v>765.74</v>
      </c>
      <c r="I4865">
        <v>2031.75</v>
      </c>
      <c r="J4865">
        <v>2.64</v>
      </c>
      <c r="K4865">
        <v>13.11</v>
      </c>
      <c r="L4865">
        <v>95.72</v>
      </c>
      <c r="M4865">
        <v>2.65</v>
      </c>
      <c r="N4865">
        <v>1266.01</v>
      </c>
    </row>
    <row r="4866" spans="1:14" x14ac:dyDescent="0.2">
      <c r="A4866" s="1">
        <v>45879</v>
      </c>
      <c r="B4866" s="2" t="s">
        <v>24</v>
      </c>
      <c r="C4866" s="2" t="s">
        <v>18</v>
      </c>
      <c r="D4866" s="2" t="s">
        <v>16</v>
      </c>
      <c r="E4866">
        <v>10564</v>
      </c>
      <c r="F4866">
        <v>2451</v>
      </c>
      <c r="G4866">
        <v>235</v>
      </c>
      <c r="H4866">
        <v>85.62</v>
      </c>
      <c r="I4866">
        <v>26668.49</v>
      </c>
      <c r="J4866">
        <v>23.2</v>
      </c>
      <c r="K4866">
        <v>9.59</v>
      </c>
      <c r="L4866">
        <v>0.36</v>
      </c>
      <c r="M4866">
        <v>311.48</v>
      </c>
      <c r="N4866">
        <v>26582.87</v>
      </c>
    </row>
    <row r="4867" spans="1:14" x14ac:dyDescent="0.2">
      <c r="A4867" s="1">
        <v>45879</v>
      </c>
      <c r="B4867" s="2" t="s">
        <v>26</v>
      </c>
      <c r="C4867" s="2" t="s">
        <v>35</v>
      </c>
      <c r="D4867" s="2" t="s">
        <v>36</v>
      </c>
      <c r="E4867">
        <v>14546</v>
      </c>
      <c r="F4867">
        <v>910</v>
      </c>
      <c r="G4867">
        <v>108</v>
      </c>
      <c r="H4867">
        <v>0</v>
      </c>
      <c r="I4867">
        <v>15973.1</v>
      </c>
      <c r="J4867">
        <v>6.26</v>
      </c>
      <c r="K4867">
        <v>11.87</v>
      </c>
      <c r="L4867">
        <v>0</v>
      </c>
      <c r="M4867">
        <v>0</v>
      </c>
      <c r="N4867">
        <v>15973.1</v>
      </c>
    </row>
    <row r="4868" spans="1:14" x14ac:dyDescent="0.2">
      <c r="A4868" s="1">
        <v>45879</v>
      </c>
      <c r="B4868" s="2" t="s">
        <v>27</v>
      </c>
      <c r="C4868" s="2" t="s">
        <v>18</v>
      </c>
      <c r="D4868" s="2" t="s">
        <v>19</v>
      </c>
      <c r="E4868">
        <v>19711</v>
      </c>
      <c r="F4868">
        <v>295</v>
      </c>
      <c r="G4868">
        <v>8</v>
      </c>
      <c r="H4868">
        <v>765.22</v>
      </c>
      <c r="I4868">
        <v>832.94</v>
      </c>
      <c r="J4868">
        <v>1.5</v>
      </c>
      <c r="K4868">
        <v>2.71</v>
      </c>
      <c r="L4868">
        <v>95.65</v>
      </c>
      <c r="M4868">
        <v>1.0900000000000001</v>
      </c>
      <c r="N4868">
        <v>67.72</v>
      </c>
    </row>
    <row r="4869" spans="1:14" x14ac:dyDescent="0.2">
      <c r="A4869" s="1">
        <v>45879</v>
      </c>
      <c r="B4869" s="2" t="s">
        <v>29</v>
      </c>
      <c r="C4869" s="2" t="s">
        <v>21</v>
      </c>
      <c r="D4869" s="2" t="s">
        <v>36</v>
      </c>
      <c r="E4869">
        <v>12549</v>
      </c>
      <c r="F4869">
        <v>195</v>
      </c>
      <c r="G4869">
        <v>8</v>
      </c>
      <c r="H4869">
        <v>800.44</v>
      </c>
      <c r="I4869">
        <v>1045.54</v>
      </c>
      <c r="J4869">
        <v>1.55</v>
      </c>
      <c r="K4869">
        <v>4.0999999999999996</v>
      </c>
      <c r="L4869">
        <v>100.06</v>
      </c>
      <c r="M4869">
        <v>1.31</v>
      </c>
      <c r="N4869">
        <v>245.1</v>
      </c>
    </row>
    <row r="4870" spans="1:14" x14ac:dyDescent="0.2">
      <c r="A4870" s="1">
        <v>45879</v>
      </c>
      <c r="B4870" s="2" t="s">
        <v>30</v>
      </c>
      <c r="C4870" s="2" t="s">
        <v>35</v>
      </c>
      <c r="D4870" s="2" t="s">
        <v>19</v>
      </c>
      <c r="E4870">
        <v>6410</v>
      </c>
      <c r="F4870">
        <v>199</v>
      </c>
      <c r="G4870">
        <v>9</v>
      </c>
      <c r="H4870">
        <v>355.25</v>
      </c>
      <c r="I4870">
        <v>897.21</v>
      </c>
      <c r="J4870">
        <v>3.1</v>
      </c>
      <c r="K4870">
        <v>4.5199999999999996</v>
      </c>
      <c r="L4870">
        <v>39.47</v>
      </c>
      <c r="M4870">
        <v>2.5299999999999998</v>
      </c>
      <c r="N4870">
        <v>541.96</v>
      </c>
    </row>
    <row r="4871" spans="1:14" x14ac:dyDescent="0.2">
      <c r="A4871" s="1">
        <v>45879</v>
      </c>
      <c r="B4871" s="2" t="s">
        <v>31</v>
      </c>
      <c r="C4871" s="2" t="s">
        <v>28</v>
      </c>
      <c r="D4871" s="2" t="s">
        <v>16</v>
      </c>
      <c r="E4871">
        <v>13352</v>
      </c>
      <c r="F4871">
        <v>520</v>
      </c>
      <c r="G4871">
        <v>35</v>
      </c>
      <c r="H4871">
        <v>485.03</v>
      </c>
      <c r="I4871">
        <v>2904.77</v>
      </c>
      <c r="J4871">
        <v>3.89</v>
      </c>
      <c r="K4871">
        <v>6.73</v>
      </c>
      <c r="L4871">
        <v>13.86</v>
      </c>
      <c r="M4871">
        <v>5.99</v>
      </c>
      <c r="N4871">
        <v>2419.7399999999998</v>
      </c>
    </row>
    <row r="4872" spans="1:14" x14ac:dyDescent="0.2">
      <c r="A4872" s="1">
        <v>45879</v>
      </c>
      <c r="B4872" s="2" t="s">
        <v>33</v>
      </c>
      <c r="C4872" s="2" t="s">
        <v>18</v>
      </c>
      <c r="D4872" s="2" t="s">
        <v>22</v>
      </c>
      <c r="E4872">
        <v>4072</v>
      </c>
      <c r="F4872">
        <v>187</v>
      </c>
      <c r="G4872">
        <v>22</v>
      </c>
      <c r="H4872">
        <v>271.08</v>
      </c>
      <c r="I4872">
        <v>3449.8</v>
      </c>
      <c r="J4872">
        <v>4.59</v>
      </c>
      <c r="K4872">
        <v>11.76</v>
      </c>
      <c r="L4872">
        <v>12.32</v>
      </c>
      <c r="M4872">
        <v>12.73</v>
      </c>
      <c r="N4872">
        <v>3178.72</v>
      </c>
    </row>
    <row r="4873" spans="1:14" x14ac:dyDescent="0.2">
      <c r="A4873" s="1">
        <v>45879</v>
      </c>
      <c r="B4873" s="2" t="s">
        <v>34</v>
      </c>
      <c r="C4873" s="2" t="s">
        <v>21</v>
      </c>
      <c r="D4873" s="2" t="s">
        <v>25</v>
      </c>
      <c r="E4873">
        <v>1921</v>
      </c>
      <c r="F4873">
        <v>186</v>
      </c>
      <c r="G4873">
        <v>28</v>
      </c>
      <c r="H4873">
        <v>89.95</v>
      </c>
      <c r="I4873">
        <v>4062.65</v>
      </c>
      <c r="J4873">
        <v>9.68</v>
      </c>
      <c r="K4873">
        <v>15.05</v>
      </c>
      <c r="L4873">
        <v>3.21</v>
      </c>
      <c r="M4873">
        <v>45.17</v>
      </c>
      <c r="N4873">
        <v>3972.7</v>
      </c>
    </row>
    <row r="4874" spans="1:14" x14ac:dyDescent="0.2">
      <c r="A4874" s="1">
        <v>45880</v>
      </c>
      <c r="B4874" s="2" t="s">
        <v>14</v>
      </c>
      <c r="C4874" s="2" t="s">
        <v>32</v>
      </c>
      <c r="D4874" s="2" t="s">
        <v>22</v>
      </c>
      <c r="E4874">
        <v>10588</v>
      </c>
      <c r="F4874">
        <v>356</v>
      </c>
      <c r="G4874">
        <v>39</v>
      </c>
      <c r="H4874">
        <v>879.29</v>
      </c>
      <c r="I4874">
        <v>4751.38</v>
      </c>
      <c r="J4874">
        <v>3.36</v>
      </c>
      <c r="K4874">
        <v>10.96</v>
      </c>
      <c r="L4874">
        <v>22.55</v>
      </c>
      <c r="M4874">
        <v>5.4</v>
      </c>
      <c r="N4874">
        <v>3872.09</v>
      </c>
    </row>
    <row r="4875" spans="1:14" x14ac:dyDescent="0.2">
      <c r="A4875" s="1">
        <v>45880</v>
      </c>
      <c r="B4875" s="2" t="s">
        <v>17</v>
      </c>
      <c r="C4875" s="2" t="s">
        <v>28</v>
      </c>
      <c r="D4875" s="2" t="s">
        <v>25</v>
      </c>
      <c r="E4875">
        <v>15587</v>
      </c>
      <c r="F4875">
        <v>535</v>
      </c>
      <c r="G4875">
        <v>45</v>
      </c>
      <c r="H4875">
        <v>843.07</v>
      </c>
      <c r="I4875">
        <v>4813.41</v>
      </c>
      <c r="J4875">
        <v>3.43</v>
      </c>
      <c r="K4875">
        <v>8.41</v>
      </c>
      <c r="L4875">
        <v>18.73</v>
      </c>
      <c r="M4875">
        <v>5.71</v>
      </c>
      <c r="N4875">
        <v>3970.34</v>
      </c>
    </row>
    <row r="4876" spans="1:14" x14ac:dyDescent="0.2">
      <c r="A4876" s="1">
        <v>45880</v>
      </c>
      <c r="B4876" s="2" t="s">
        <v>20</v>
      </c>
      <c r="C4876" s="2" t="s">
        <v>32</v>
      </c>
      <c r="D4876" s="2" t="s">
        <v>36</v>
      </c>
      <c r="E4876">
        <v>10983</v>
      </c>
      <c r="F4876">
        <v>351</v>
      </c>
      <c r="G4876">
        <v>16</v>
      </c>
      <c r="H4876">
        <v>495.36</v>
      </c>
      <c r="I4876">
        <v>1555.84</v>
      </c>
      <c r="J4876">
        <v>3.2</v>
      </c>
      <c r="K4876">
        <v>4.5599999999999996</v>
      </c>
      <c r="L4876">
        <v>30.96</v>
      </c>
      <c r="M4876">
        <v>3.14</v>
      </c>
      <c r="N4876">
        <v>1060.48</v>
      </c>
    </row>
    <row r="4877" spans="1:14" x14ac:dyDescent="0.2">
      <c r="A4877" s="1">
        <v>45880</v>
      </c>
      <c r="B4877" s="2" t="s">
        <v>23</v>
      </c>
      <c r="C4877" s="2" t="s">
        <v>18</v>
      </c>
      <c r="D4877" s="2" t="s">
        <v>19</v>
      </c>
      <c r="E4877">
        <v>4113</v>
      </c>
      <c r="F4877">
        <v>79</v>
      </c>
      <c r="G4877">
        <v>10</v>
      </c>
      <c r="H4877">
        <v>1021.54</v>
      </c>
      <c r="I4877">
        <v>2212.6999999999998</v>
      </c>
      <c r="J4877">
        <v>1.92</v>
      </c>
      <c r="K4877">
        <v>12.66</v>
      </c>
      <c r="L4877">
        <v>102.15</v>
      </c>
      <c r="M4877">
        <v>2.17</v>
      </c>
      <c r="N4877">
        <v>1191.1600000000001</v>
      </c>
    </row>
    <row r="4878" spans="1:14" x14ac:dyDescent="0.2">
      <c r="A4878" s="1">
        <v>45880</v>
      </c>
      <c r="B4878" s="2" t="s">
        <v>24</v>
      </c>
      <c r="C4878" s="2" t="s">
        <v>18</v>
      </c>
      <c r="D4878" s="2" t="s">
        <v>19</v>
      </c>
      <c r="E4878">
        <v>15740</v>
      </c>
      <c r="F4878">
        <v>2703</v>
      </c>
      <c r="G4878">
        <v>244</v>
      </c>
      <c r="H4878">
        <v>248.67</v>
      </c>
      <c r="I4878">
        <v>29260.33</v>
      </c>
      <c r="J4878">
        <v>17.170000000000002</v>
      </c>
      <c r="K4878">
        <v>9.0299999999999994</v>
      </c>
      <c r="L4878">
        <v>1.02</v>
      </c>
      <c r="M4878">
        <v>117.67</v>
      </c>
      <c r="N4878">
        <v>29011.66</v>
      </c>
    </row>
    <row r="4879" spans="1:14" x14ac:dyDescent="0.2">
      <c r="A4879" s="1">
        <v>45880</v>
      </c>
      <c r="B4879" s="2" t="s">
        <v>26</v>
      </c>
      <c r="C4879" s="2" t="s">
        <v>28</v>
      </c>
      <c r="D4879" s="2" t="s">
        <v>25</v>
      </c>
      <c r="E4879">
        <v>28798</v>
      </c>
      <c r="F4879">
        <v>1853</v>
      </c>
      <c r="G4879">
        <v>277</v>
      </c>
      <c r="H4879">
        <v>0</v>
      </c>
      <c r="I4879">
        <v>38220.519999999997</v>
      </c>
      <c r="J4879">
        <v>6.43</v>
      </c>
      <c r="K4879">
        <v>14.95</v>
      </c>
      <c r="L4879">
        <v>0</v>
      </c>
      <c r="M4879">
        <v>0</v>
      </c>
      <c r="N4879">
        <v>38220.519999999997</v>
      </c>
    </row>
    <row r="4880" spans="1:14" x14ac:dyDescent="0.2">
      <c r="A4880" s="1">
        <v>45880</v>
      </c>
      <c r="B4880" s="2" t="s">
        <v>27</v>
      </c>
      <c r="C4880" s="2" t="s">
        <v>28</v>
      </c>
      <c r="D4880" s="2" t="s">
        <v>16</v>
      </c>
      <c r="E4880">
        <v>29456</v>
      </c>
      <c r="F4880">
        <v>491</v>
      </c>
      <c r="G4880">
        <v>17</v>
      </c>
      <c r="H4880">
        <v>859.97</v>
      </c>
      <c r="I4880">
        <v>1914.64</v>
      </c>
      <c r="J4880">
        <v>1.67</v>
      </c>
      <c r="K4880">
        <v>3.46</v>
      </c>
      <c r="L4880">
        <v>50.59</v>
      </c>
      <c r="M4880">
        <v>2.23</v>
      </c>
      <c r="N4880">
        <v>1054.67</v>
      </c>
    </row>
    <row r="4881" spans="1:14" x14ac:dyDescent="0.2">
      <c r="A4881" s="1">
        <v>45880</v>
      </c>
      <c r="B4881" s="2" t="s">
        <v>29</v>
      </c>
      <c r="C4881" s="2" t="s">
        <v>28</v>
      </c>
      <c r="D4881" s="2" t="s">
        <v>16</v>
      </c>
      <c r="E4881">
        <v>14643</v>
      </c>
      <c r="F4881">
        <v>436</v>
      </c>
      <c r="G4881">
        <v>28</v>
      </c>
      <c r="H4881">
        <v>1184.43</v>
      </c>
      <c r="I4881">
        <v>3364.39</v>
      </c>
      <c r="J4881">
        <v>2.98</v>
      </c>
      <c r="K4881">
        <v>6.42</v>
      </c>
      <c r="L4881">
        <v>42.3</v>
      </c>
      <c r="M4881">
        <v>2.84</v>
      </c>
      <c r="N4881">
        <v>2179.96</v>
      </c>
    </row>
    <row r="4882" spans="1:14" x14ac:dyDescent="0.2">
      <c r="A4882" s="1">
        <v>45880</v>
      </c>
      <c r="B4882" s="2" t="s">
        <v>30</v>
      </c>
      <c r="C4882" s="2" t="s">
        <v>28</v>
      </c>
      <c r="D4882" s="2" t="s">
        <v>22</v>
      </c>
      <c r="E4882">
        <v>10696</v>
      </c>
      <c r="F4882">
        <v>326</v>
      </c>
      <c r="G4882">
        <v>17</v>
      </c>
      <c r="H4882">
        <v>457.39</v>
      </c>
      <c r="I4882">
        <v>1619.53</v>
      </c>
      <c r="J4882">
        <v>3.05</v>
      </c>
      <c r="K4882">
        <v>5.21</v>
      </c>
      <c r="L4882">
        <v>26.91</v>
      </c>
      <c r="M4882">
        <v>3.54</v>
      </c>
      <c r="N4882">
        <v>1162.1400000000001</v>
      </c>
    </row>
    <row r="4883" spans="1:14" x14ac:dyDescent="0.2">
      <c r="A4883" s="1">
        <v>45880</v>
      </c>
      <c r="B4883" s="2" t="s">
        <v>31</v>
      </c>
      <c r="C4883" s="2" t="s">
        <v>18</v>
      </c>
      <c r="D4883" s="2" t="s">
        <v>19</v>
      </c>
      <c r="E4883">
        <v>21062</v>
      </c>
      <c r="F4883">
        <v>767</v>
      </c>
      <c r="G4883">
        <v>33</v>
      </c>
      <c r="H4883">
        <v>915.7</v>
      </c>
      <c r="I4883">
        <v>2732.42</v>
      </c>
      <c r="J4883">
        <v>3.64</v>
      </c>
      <c r="K4883">
        <v>4.3</v>
      </c>
      <c r="L4883">
        <v>27.75</v>
      </c>
      <c r="M4883">
        <v>2.98</v>
      </c>
      <c r="N4883">
        <v>1816.72</v>
      </c>
    </row>
    <row r="4884" spans="1:14" x14ac:dyDescent="0.2">
      <c r="A4884" s="1">
        <v>45880</v>
      </c>
      <c r="B4884" s="2" t="s">
        <v>33</v>
      </c>
      <c r="C4884" s="2" t="s">
        <v>32</v>
      </c>
      <c r="D4884" s="2" t="s">
        <v>25</v>
      </c>
      <c r="E4884">
        <v>8455</v>
      </c>
      <c r="F4884">
        <v>538</v>
      </c>
      <c r="G4884">
        <v>56</v>
      </c>
      <c r="H4884">
        <v>391.12</v>
      </c>
      <c r="I4884">
        <v>6947.78</v>
      </c>
      <c r="J4884">
        <v>6.36</v>
      </c>
      <c r="K4884">
        <v>10.41</v>
      </c>
      <c r="L4884">
        <v>6.98</v>
      </c>
      <c r="M4884">
        <v>17.760000000000002</v>
      </c>
      <c r="N4884">
        <v>6556.66</v>
      </c>
    </row>
    <row r="4885" spans="1:14" x14ac:dyDescent="0.2">
      <c r="A4885" s="1">
        <v>45880</v>
      </c>
      <c r="B4885" s="2" t="s">
        <v>34</v>
      </c>
      <c r="C4885" s="2" t="s">
        <v>15</v>
      </c>
      <c r="D4885" s="2" t="s">
        <v>16</v>
      </c>
      <c r="E4885">
        <v>3353</v>
      </c>
      <c r="F4885">
        <v>184</v>
      </c>
      <c r="G4885">
        <v>22</v>
      </c>
      <c r="H4885">
        <v>47.09</v>
      </c>
      <c r="I4885">
        <v>3779.31</v>
      </c>
      <c r="J4885">
        <v>5.49</v>
      </c>
      <c r="K4885">
        <v>11.96</v>
      </c>
      <c r="L4885">
        <v>2.14</v>
      </c>
      <c r="M4885">
        <v>80.260000000000005</v>
      </c>
      <c r="N4885">
        <v>3732.22</v>
      </c>
    </row>
    <row r="4886" spans="1:14" x14ac:dyDescent="0.2">
      <c r="A4886" s="1">
        <v>45881</v>
      </c>
      <c r="B4886" s="2" t="s">
        <v>14</v>
      </c>
      <c r="C4886" s="2" t="s">
        <v>21</v>
      </c>
      <c r="D4886" s="2" t="s">
        <v>25</v>
      </c>
      <c r="E4886">
        <v>9739</v>
      </c>
      <c r="F4886">
        <v>341</v>
      </c>
      <c r="G4886">
        <v>39</v>
      </c>
      <c r="H4886">
        <v>929.78</v>
      </c>
      <c r="I4886">
        <v>6312.42</v>
      </c>
      <c r="J4886">
        <v>3.5</v>
      </c>
      <c r="K4886">
        <v>11.44</v>
      </c>
      <c r="L4886">
        <v>23.84</v>
      </c>
      <c r="M4886">
        <v>6.79</v>
      </c>
      <c r="N4886">
        <v>5382.64</v>
      </c>
    </row>
    <row r="4887" spans="1:14" x14ac:dyDescent="0.2">
      <c r="A4887" s="1">
        <v>45881</v>
      </c>
      <c r="B4887" s="2" t="s">
        <v>17</v>
      </c>
      <c r="C4887" s="2" t="s">
        <v>15</v>
      </c>
      <c r="D4887" s="2" t="s">
        <v>22</v>
      </c>
      <c r="E4887">
        <v>14148</v>
      </c>
      <c r="F4887">
        <v>459</v>
      </c>
      <c r="G4887">
        <v>40</v>
      </c>
      <c r="H4887">
        <v>587.25</v>
      </c>
      <c r="I4887">
        <v>5176.3999999999996</v>
      </c>
      <c r="J4887">
        <v>3.24</v>
      </c>
      <c r="K4887">
        <v>8.7100000000000009</v>
      </c>
      <c r="L4887">
        <v>14.68</v>
      </c>
      <c r="M4887">
        <v>8.81</v>
      </c>
      <c r="N4887">
        <v>4589.1499999999996</v>
      </c>
    </row>
    <row r="4888" spans="1:14" x14ac:dyDescent="0.2">
      <c r="A4888" s="1">
        <v>45881</v>
      </c>
      <c r="B4888" s="2" t="s">
        <v>20</v>
      </c>
      <c r="C4888" s="2" t="s">
        <v>35</v>
      </c>
      <c r="D4888" s="2" t="s">
        <v>25</v>
      </c>
      <c r="E4888">
        <v>14165</v>
      </c>
      <c r="F4888">
        <v>560</v>
      </c>
      <c r="G4888">
        <v>40</v>
      </c>
      <c r="H4888">
        <v>665.81</v>
      </c>
      <c r="I4888">
        <v>4609.54</v>
      </c>
      <c r="J4888">
        <v>3.95</v>
      </c>
      <c r="K4888">
        <v>7.14</v>
      </c>
      <c r="L4888">
        <v>16.649999999999999</v>
      </c>
      <c r="M4888">
        <v>6.92</v>
      </c>
      <c r="N4888">
        <v>3943.73</v>
      </c>
    </row>
    <row r="4889" spans="1:14" x14ac:dyDescent="0.2">
      <c r="A4889" s="1">
        <v>45881</v>
      </c>
      <c r="B4889" s="2" t="s">
        <v>23</v>
      </c>
      <c r="C4889" s="2" t="s">
        <v>28</v>
      </c>
      <c r="D4889" s="2" t="s">
        <v>36</v>
      </c>
      <c r="E4889">
        <v>4979</v>
      </c>
      <c r="F4889">
        <v>136</v>
      </c>
      <c r="G4889">
        <v>14</v>
      </c>
      <c r="H4889">
        <v>850.38</v>
      </c>
      <c r="I4889">
        <v>3065.54</v>
      </c>
      <c r="J4889">
        <v>2.73</v>
      </c>
      <c r="K4889">
        <v>10.29</v>
      </c>
      <c r="L4889">
        <v>60.74</v>
      </c>
      <c r="M4889">
        <v>3.6</v>
      </c>
      <c r="N4889">
        <v>2215.16</v>
      </c>
    </row>
    <row r="4890" spans="1:14" x14ac:dyDescent="0.2">
      <c r="A4890" s="1">
        <v>45881</v>
      </c>
      <c r="B4890" s="2" t="s">
        <v>24</v>
      </c>
      <c r="C4890" s="2" t="s">
        <v>18</v>
      </c>
      <c r="D4890" s="2" t="s">
        <v>25</v>
      </c>
      <c r="E4890">
        <v>18675</v>
      </c>
      <c r="F4890">
        <v>4443</v>
      </c>
      <c r="G4890">
        <v>374</v>
      </c>
      <c r="H4890">
        <v>201.3</v>
      </c>
      <c r="I4890">
        <v>55369.38</v>
      </c>
      <c r="J4890">
        <v>23.79</v>
      </c>
      <c r="K4890">
        <v>8.42</v>
      </c>
      <c r="L4890">
        <v>0.54</v>
      </c>
      <c r="M4890">
        <v>275.06</v>
      </c>
      <c r="N4890">
        <v>55168.08</v>
      </c>
    </row>
    <row r="4891" spans="1:14" x14ac:dyDescent="0.2">
      <c r="A4891" s="1">
        <v>45881</v>
      </c>
      <c r="B4891" s="2" t="s">
        <v>26</v>
      </c>
      <c r="C4891" s="2" t="s">
        <v>21</v>
      </c>
      <c r="D4891" s="2" t="s">
        <v>22</v>
      </c>
      <c r="E4891">
        <v>22045</v>
      </c>
      <c r="F4891">
        <v>1372</v>
      </c>
      <c r="G4891">
        <v>213</v>
      </c>
      <c r="H4891">
        <v>0</v>
      </c>
      <c r="I4891">
        <v>24117.65</v>
      </c>
      <c r="J4891">
        <v>6.22</v>
      </c>
      <c r="K4891">
        <v>15.52</v>
      </c>
      <c r="L4891">
        <v>0</v>
      </c>
      <c r="M4891">
        <v>0</v>
      </c>
      <c r="N4891">
        <v>24117.65</v>
      </c>
    </row>
    <row r="4892" spans="1:14" x14ac:dyDescent="0.2">
      <c r="A4892" s="1">
        <v>45881</v>
      </c>
      <c r="B4892" s="2" t="s">
        <v>27</v>
      </c>
      <c r="C4892" s="2" t="s">
        <v>35</v>
      </c>
      <c r="D4892" s="2" t="s">
        <v>25</v>
      </c>
      <c r="E4892">
        <v>32073</v>
      </c>
      <c r="F4892">
        <v>594</v>
      </c>
      <c r="G4892">
        <v>21</v>
      </c>
      <c r="H4892">
        <v>702.12</v>
      </c>
      <c r="I4892">
        <v>2511.79</v>
      </c>
      <c r="J4892">
        <v>1.85</v>
      </c>
      <c r="K4892">
        <v>3.54</v>
      </c>
      <c r="L4892">
        <v>33.43</v>
      </c>
      <c r="M4892">
        <v>3.58</v>
      </c>
      <c r="N4892">
        <v>1809.67</v>
      </c>
    </row>
    <row r="4893" spans="1:14" x14ac:dyDescent="0.2">
      <c r="A4893" s="1">
        <v>45881</v>
      </c>
      <c r="B4893" s="2" t="s">
        <v>29</v>
      </c>
      <c r="C4893" s="2" t="s">
        <v>21</v>
      </c>
      <c r="D4893" s="2" t="s">
        <v>22</v>
      </c>
      <c r="E4893">
        <v>13460</v>
      </c>
      <c r="F4893">
        <v>211</v>
      </c>
      <c r="G4893">
        <v>15</v>
      </c>
      <c r="H4893">
        <v>681.94</v>
      </c>
      <c r="I4893">
        <v>1752.15</v>
      </c>
      <c r="J4893">
        <v>1.57</v>
      </c>
      <c r="K4893">
        <v>7.11</v>
      </c>
      <c r="L4893">
        <v>45.46</v>
      </c>
      <c r="M4893">
        <v>2.57</v>
      </c>
      <c r="N4893">
        <v>1070.21</v>
      </c>
    </row>
    <row r="4894" spans="1:14" x14ac:dyDescent="0.2">
      <c r="A4894" s="1">
        <v>45881</v>
      </c>
      <c r="B4894" s="2" t="s">
        <v>30</v>
      </c>
      <c r="C4894" s="2" t="s">
        <v>32</v>
      </c>
      <c r="D4894" s="2" t="s">
        <v>36</v>
      </c>
      <c r="E4894">
        <v>7438</v>
      </c>
      <c r="F4894">
        <v>257</v>
      </c>
      <c r="G4894">
        <v>11</v>
      </c>
      <c r="H4894">
        <v>344.52</v>
      </c>
      <c r="I4894">
        <v>1177.05</v>
      </c>
      <c r="J4894">
        <v>3.46</v>
      </c>
      <c r="K4894">
        <v>4.28</v>
      </c>
      <c r="L4894">
        <v>31.32</v>
      </c>
      <c r="M4894">
        <v>3.42</v>
      </c>
      <c r="N4894">
        <v>832.53</v>
      </c>
    </row>
    <row r="4895" spans="1:14" x14ac:dyDescent="0.2">
      <c r="A4895" s="1">
        <v>45881</v>
      </c>
      <c r="B4895" s="2" t="s">
        <v>31</v>
      </c>
      <c r="C4895" s="2" t="s">
        <v>32</v>
      </c>
      <c r="D4895" s="2" t="s">
        <v>36</v>
      </c>
      <c r="E4895">
        <v>25226</v>
      </c>
      <c r="F4895">
        <v>1039</v>
      </c>
      <c r="G4895">
        <v>32</v>
      </c>
      <c r="H4895">
        <v>933.46</v>
      </c>
      <c r="I4895">
        <v>2430.37</v>
      </c>
      <c r="J4895">
        <v>4.12</v>
      </c>
      <c r="K4895">
        <v>3.08</v>
      </c>
      <c r="L4895">
        <v>29.17</v>
      </c>
      <c r="M4895">
        <v>2.6</v>
      </c>
      <c r="N4895">
        <v>1496.91</v>
      </c>
    </row>
    <row r="4896" spans="1:14" x14ac:dyDescent="0.2">
      <c r="A4896" s="1">
        <v>45881</v>
      </c>
      <c r="B4896" s="2" t="s">
        <v>33</v>
      </c>
      <c r="C4896" s="2" t="s">
        <v>18</v>
      </c>
      <c r="D4896" s="2" t="s">
        <v>16</v>
      </c>
      <c r="E4896">
        <v>4781</v>
      </c>
      <c r="F4896">
        <v>304</v>
      </c>
      <c r="G4896">
        <v>30</v>
      </c>
      <c r="H4896">
        <v>291.97000000000003</v>
      </c>
      <c r="I4896">
        <v>4118.8</v>
      </c>
      <c r="J4896">
        <v>6.36</v>
      </c>
      <c r="K4896">
        <v>9.8699999999999992</v>
      </c>
      <c r="L4896">
        <v>9.73</v>
      </c>
      <c r="M4896">
        <v>14.11</v>
      </c>
      <c r="N4896">
        <v>3826.83</v>
      </c>
    </row>
    <row r="4897" spans="1:14" x14ac:dyDescent="0.2">
      <c r="A4897" s="1">
        <v>45881</v>
      </c>
      <c r="B4897" s="2" t="s">
        <v>34</v>
      </c>
      <c r="C4897" s="2" t="s">
        <v>28</v>
      </c>
      <c r="D4897" s="2" t="s">
        <v>25</v>
      </c>
      <c r="E4897">
        <v>3574</v>
      </c>
      <c r="F4897">
        <v>242</v>
      </c>
      <c r="G4897">
        <v>40</v>
      </c>
      <c r="H4897">
        <v>54.83</v>
      </c>
      <c r="I4897">
        <v>6859.86</v>
      </c>
      <c r="J4897">
        <v>6.77</v>
      </c>
      <c r="K4897">
        <v>16.53</v>
      </c>
      <c r="L4897">
        <v>1.37</v>
      </c>
      <c r="M4897">
        <v>125.11</v>
      </c>
      <c r="N4897">
        <v>6805.03</v>
      </c>
    </row>
    <row r="4898" spans="1:14" x14ac:dyDescent="0.2">
      <c r="A4898" s="1">
        <v>45882</v>
      </c>
      <c r="B4898" s="2" t="s">
        <v>14</v>
      </c>
      <c r="C4898" s="2" t="s">
        <v>35</v>
      </c>
      <c r="D4898" s="2" t="s">
        <v>22</v>
      </c>
      <c r="E4898">
        <v>9058</v>
      </c>
      <c r="F4898">
        <v>324</v>
      </c>
      <c r="G4898">
        <v>26</v>
      </c>
      <c r="H4898">
        <v>1190.44</v>
      </c>
      <c r="I4898">
        <v>4299.2</v>
      </c>
      <c r="J4898">
        <v>3.58</v>
      </c>
      <c r="K4898">
        <v>8.02</v>
      </c>
      <c r="L4898">
        <v>45.79</v>
      </c>
      <c r="M4898">
        <v>3.61</v>
      </c>
      <c r="N4898">
        <v>3108.76</v>
      </c>
    </row>
    <row r="4899" spans="1:14" x14ac:dyDescent="0.2">
      <c r="A4899" s="1">
        <v>45882</v>
      </c>
      <c r="B4899" s="2" t="s">
        <v>17</v>
      </c>
      <c r="C4899" s="2" t="s">
        <v>18</v>
      </c>
      <c r="D4899" s="2" t="s">
        <v>16</v>
      </c>
      <c r="E4899">
        <v>15975</v>
      </c>
      <c r="F4899">
        <v>485</v>
      </c>
      <c r="G4899">
        <v>32</v>
      </c>
      <c r="H4899">
        <v>686.33</v>
      </c>
      <c r="I4899">
        <v>3737.11</v>
      </c>
      <c r="J4899">
        <v>3.04</v>
      </c>
      <c r="K4899">
        <v>6.6</v>
      </c>
      <c r="L4899">
        <v>21.45</v>
      </c>
      <c r="M4899">
        <v>5.45</v>
      </c>
      <c r="N4899">
        <v>3050.78</v>
      </c>
    </row>
    <row r="4900" spans="1:14" x14ac:dyDescent="0.2">
      <c r="A4900" s="1">
        <v>45882</v>
      </c>
      <c r="B4900" s="2" t="s">
        <v>20</v>
      </c>
      <c r="C4900" s="2" t="s">
        <v>28</v>
      </c>
      <c r="D4900" s="2" t="s">
        <v>19</v>
      </c>
      <c r="E4900">
        <v>12570</v>
      </c>
      <c r="F4900">
        <v>355</v>
      </c>
      <c r="G4900">
        <v>16</v>
      </c>
      <c r="H4900">
        <v>506.54</v>
      </c>
      <c r="I4900">
        <v>1957.38</v>
      </c>
      <c r="J4900">
        <v>2.82</v>
      </c>
      <c r="K4900">
        <v>4.51</v>
      </c>
      <c r="L4900">
        <v>31.66</v>
      </c>
      <c r="M4900">
        <v>3.86</v>
      </c>
      <c r="N4900">
        <v>1450.84</v>
      </c>
    </row>
    <row r="4901" spans="1:14" x14ac:dyDescent="0.2">
      <c r="A4901" s="1">
        <v>45882</v>
      </c>
      <c r="B4901" s="2" t="s">
        <v>23</v>
      </c>
      <c r="C4901" s="2" t="s">
        <v>32</v>
      </c>
      <c r="D4901" s="2" t="s">
        <v>19</v>
      </c>
      <c r="E4901">
        <v>4181</v>
      </c>
      <c r="F4901">
        <v>65</v>
      </c>
      <c r="G4901">
        <v>8</v>
      </c>
      <c r="H4901">
        <v>995.08</v>
      </c>
      <c r="I4901">
        <v>2185.33</v>
      </c>
      <c r="J4901">
        <v>1.55</v>
      </c>
      <c r="K4901">
        <v>12.31</v>
      </c>
      <c r="L4901">
        <v>124.38</v>
      </c>
      <c r="M4901">
        <v>2.2000000000000002</v>
      </c>
      <c r="N4901">
        <v>1190.25</v>
      </c>
    </row>
    <row r="4902" spans="1:14" x14ac:dyDescent="0.2">
      <c r="A4902" s="1">
        <v>45882</v>
      </c>
      <c r="B4902" s="2" t="s">
        <v>24</v>
      </c>
      <c r="C4902" s="2" t="s">
        <v>15</v>
      </c>
      <c r="D4902" s="2" t="s">
        <v>36</v>
      </c>
      <c r="E4902">
        <v>18992</v>
      </c>
      <c r="F4902">
        <v>3498</v>
      </c>
      <c r="G4902">
        <v>442</v>
      </c>
      <c r="H4902">
        <v>254.03</v>
      </c>
      <c r="I4902">
        <v>56683.94</v>
      </c>
      <c r="J4902">
        <v>18.420000000000002</v>
      </c>
      <c r="K4902">
        <v>12.64</v>
      </c>
      <c r="L4902">
        <v>0.56999999999999995</v>
      </c>
      <c r="M4902">
        <v>223.14</v>
      </c>
      <c r="N4902">
        <v>56429.91</v>
      </c>
    </row>
    <row r="4903" spans="1:14" x14ac:dyDescent="0.2">
      <c r="A4903" s="1">
        <v>45882</v>
      </c>
      <c r="B4903" s="2" t="s">
        <v>26</v>
      </c>
      <c r="C4903" s="2" t="s">
        <v>35</v>
      </c>
      <c r="D4903" s="2" t="s">
        <v>22</v>
      </c>
      <c r="E4903">
        <v>21207</v>
      </c>
      <c r="F4903">
        <v>1400</v>
      </c>
      <c r="G4903">
        <v>194</v>
      </c>
      <c r="H4903">
        <v>0</v>
      </c>
      <c r="I4903">
        <v>24881.42</v>
      </c>
      <c r="J4903">
        <v>6.6</v>
      </c>
      <c r="K4903">
        <v>13.86</v>
      </c>
      <c r="L4903">
        <v>0</v>
      </c>
      <c r="M4903">
        <v>0</v>
      </c>
      <c r="N4903">
        <v>24881.42</v>
      </c>
    </row>
    <row r="4904" spans="1:14" x14ac:dyDescent="0.2">
      <c r="A4904" s="1">
        <v>45882</v>
      </c>
      <c r="B4904" s="2" t="s">
        <v>27</v>
      </c>
      <c r="C4904" s="2" t="s">
        <v>32</v>
      </c>
      <c r="D4904" s="2" t="s">
        <v>25</v>
      </c>
      <c r="E4904">
        <v>28561</v>
      </c>
      <c r="F4904">
        <v>468</v>
      </c>
      <c r="G4904">
        <v>19</v>
      </c>
      <c r="H4904">
        <v>758.83</v>
      </c>
      <c r="I4904">
        <v>2000.06</v>
      </c>
      <c r="J4904">
        <v>1.64</v>
      </c>
      <c r="K4904">
        <v>4.0599999999999996</v>
      </c>
      <c r="L4904">
        <v>39.94</v>
      </c>
      <c r="M4904">
        <v>2.64</v>
      </c>
      <c r="N4904">
        <v>1241.23</v>
      </c>
    </row>
    <row r="4905" spans="1:14" x14ac:dyDescent="0.2">
      <c r="A4905" s="1">
        <v>45882</v>
      </c>
      <c r="B4905" s="2" t="s">
        <v>29</v>
      </c>
      <c r="C4905" s="2" t="s">
        <v>35</v>
      </c>
      <c r="D4905" s="2" t="s">
        <v>16</v>
      </c>
      <c r="E4905">
        <v>20884</v>
      </c>
      <c r="F4905">
        <v>378</v>
      </c>
      <c r="G4905">
        <v>18</v>
      </c>
      <c r="H4905">
        <v>999.56</v>
      </c>
      <c r="I4905">
        <v>2286.66</v>
      </c>
      <c r="J4905">
        <v>1.81</v>
      </c>
      <c r="K4905">
        <v>4.76</v>
      </c>
      <c r="L4905">
        <v>55.53</v>
      </c>
      <c r="M4905">
        <v>2.29</v>
      </c>
      <c r="N4905">
        <v>1287.0999999999999</v>
      </c>
    </row>
    <row r="4906" spans="1:14" x14ac:dyDescent="0.2">
      <c r="A4906" s="1">
        <v>45882</v>
      </c>
      <c r="B4906" s="2" t="s">
        <v>30</v>
      </c>
      <c r="C4906" s="2" t="s">
        <v>21</v>
      </c>
      <c r="D4906" s="2" t="s">
        <v>25</v>
      </c>
      <c r="E4906">
        <v>7253</v>
      </c>
      <c r="F4906">
        <v>251</v>
      </c>
      <c r="G4906">
        <v>11</v>
      </c>
      <c r="H4906">
        <v>347.07</v>
      </c>
      <c r="I4906">
        <v>875.9</v>
      </c>
      <c r="J4906">
        <v>3.46</v>
      </c>
      <c r="K4906">
        <v>4.38</v>
      </c>
      <c r="L4906">
        <v>31.55</v>
      </c>
      <c r="M4906">
        <v>2.52</v>
      </c>
      <c r="N4906">
        <v>528.83000000000004</v>
      </c>
    </row>
    <row r="4907" spans="1:14" x14ac:dyDescent="0.2">
      <c r="A4907" s="1">
        <v>45882</v>
      </c>
      <c r="B4907" s="2" t="s">
        <v>31</v>
      </c>
      <c r="C4907" s="2" t="s">
        <v>32</v>
      </c>
      <c r="D4907" s="2" t="s">
        <v>16</v>
      </c>
      <c r="E4907">
        <v>16175</v>
      </c>
      <c r="F4907">
        <v>422</v>
      </c>
      <c r="G4907">
        <v>17</v>
      </c>
      <c r="H4907">
        <v>930.83</v>
      </c>
      <c r="I4907">
        <v>1534.69</v>
      </c>
      <c r="J4907">
        <v>2.61</v>
      </c>
      <c r="K4907">
        <v>4.03</v>
      </c>
      <c r="L4907">
        <v>54.75</v>
      </c>
      <c r="M4907">
        <v>1.65</v>
      </c>
      <c r="N4907">
        <v>603.86</v>
      </c>
    </row>
    <row r="4908" spans="1:14" x14ac:dyDescent="0.2">
      <c r="A4908" s="1">
        <v>45882</v>
      </c>
      <c r="B4908" s="2" t="s">
        <v>33</v>
      </c>
      <c r="C4908" s="2" t="s">
        <v>35</v>
      </c>
      <c r="D4908" s="2" t="s">
        <v>16</v>
      </c>
      <c r="E4908">
        <v>6656</v>
      </c>
      <c r="F4908">
        <v>374</v>
      </c>
      <c r="G4908">
        <v>37</v>
      </c>
      <c r="H4908">
        <v>323.75</v>
      </c>
      <c r="I4908">
        <v>5972.93</v>
      </c>
      <c r="J4908">
        <v>5.62</v>
      </c>
      <c r="K4908">
        <v>9.89</v>
      </c>
      <c r="L4908">
        <v>8.75</v>
      </c>
      <c r="M4908">
        <v>18.45</v>
      </c>
      <c r="N4908">
        <v>5649.18</v>
      </c>
    </row>
    <row r="4909" spans="1:14" x14ac:dyDescent="0.2">
      <c r="A4909" s="1">
        <v>45882</v>
      </c>
      <c r="B4909" s="2" t="s">
        <v>34</v>
      </c>
      <c r="C4909" s="2" t="s">
        <v>28</v>
      </c>
      <c r="D4909" s="2" t="s">
        <v>16</v>
      </c>
      <c r="E4909">
        <v>3475</v>
      </c>
      <c r="F4909">
        <v>263</v>
      </c>
      <c r="G4909">
        <v>31</v>
      </c>
      <c r="H4909">
        <v>142.52000000000001</v>
      </c>
      <c r="I4909">
        <v>5571.33</v>
      </c>
      <c r="J4909">
        <v>7.57</v>
      </c>
      <c r="K4909">
        <v>11.79</v>
      </c>
      <c r="L4909">
        <v>4.5999999999999996</v>
      </c>
      <c r="M4909">
        <v>39.090000000000003</v>
      </c>
      <c r="N4909">
        <v>5428.81</v>
      </c>
    </row>
    <row r="4910" spans="1:14" x14ac:dyDescent="0.2">
      <c r="A4910" s="1">
        <v>45883</v>
      </c>
      <c r="B4910" s="2" t="s">
        <v>14</v>
      </c>
      <c r="C4910" s="2" t="s">
        <v>21</v>
      </c>
      <c r="D4910" s="2" t="s">
        <v>25</v>
      </c>
      <c r="E4910">
        <v>10470</v>
      </c>
      <c r="F4910">
        <v>351</v>
      </c>
      <c r="G4910">
        <v>29</v>
      </c>
      <c r="H4910">
        <v>814.92</v>
      </c>
      <c r="I4910">
        <v>4679.12</v>
      </c>
      <c r="J4910">
        <v>3.35</v>
      </c>
      <c r="K4910">
        <v>8.26</v>
      </c>
      <c r="L4910">
        <v>28.1</v>
      </c>
      <c r="M4910">
        <v>5.74</v>
      </c>
      <c r="N4910">
        <v>3864.2</v>
      </c>
    </row>
    <row r="4911" spans="1:14" x14ac:dyDescent="0.2">
      <c r="A4911" s="1">
        <v>45883</v>
      </c>
      <c r="B4911" s="2" t="s">
        <v>17</v>
      </c>
      <c r="C4911" s="2" t="s">
        <v>35</v>
      </c>
      <c r="D4911" s="2" t="s">
        <v>36</v>
      </c>
      <c r="E4911">
        <v>13588</v>
      </c>
      <c r="F4911">
        <v>481</v>
      </c>
      <c r="G4911">
        <v>34</v>
      </c>
      <c r="H4911">
        <v>929.91</v>
      </c>
      <c r="I4911">
        <v>3663.06</v>
      </c>
      <c r="J4911">
        <v>3.54</v>
      </c>
      <c r="K4911">
        <v>7.07</v>
      </c>
      <c r="L4911">
        <v>27.35</v>
      </c>
      <c r="M4911">
        <v>3.94</v>
      </c>
      <c r="N4911">
        <v>2733.15</v>
      </c>
    </row>
    <row r="4912" spans="1:14" x14ac:dyDescent="0.2">
      <c r="A4912" s="1">
        <v>45883</v>
      </c>
      <c r="B4912" s="2" t="s">
        <v>20</v>
      </c>
      <c r="C4912" s="2" t="s">
        <v>21</v>
      </c>
      <c r="D4912" s="2" t="s">
        <v>25</v>
      </c>
      <c r="E4912">
        <v>13475</v>
      </c>
      <c r="F4912">
        <v>361</v>
      </c>
      <c r="G4912">
        <v>17</v>
      </c>
      <c r="H4912">
        <v>769.8</v>
      </c>
      <c r="I4912">
        <v>1844.75</v>
      </c>
      <c r="J4912">
        <v>2.68</v>
      </c>
      <c r="K4912">
        <v>4.71</v>
      </c>
      <c r="L4912">
        <v>45.28</v>
      </c>
      <c r="M4912">
        <v>2.4</v>
      </c>
      <c r="N4912">
        <v>1074.95</v>
      </c>
    </row>
    <row r="4913" spans="1:14" x14ac:dyDescent="0.2">
      <c r="A4913" s="1">
        <v>45883</v>
      </c>
      <c r="B4913" s="2" t="s">
        <v>23</v>
      </c>
      <c r="C4913" s="2" t="s">
        <v>32</v>
      </c>
      <c r="D4913" s="2" t="s">
        <v>19</v>
      </c>
      <c r="E4913">
        <v>4062</v>
      </c>
      <c r="F4913">
        <v>79</v>
      </c>
      <c r="G4913">
        <v>8</v>
      </c>
      <c r="H4913">
        <v>1234.08</v>
      </c>
      <c r="I4913">
        <v>2796.78</v>
      </c>
      <c r="J4913">
        <v>1.94</v>
      </c>
      <c r="K4913">
        <v>10.130000000000001</v>
      </c>
      <c r="L4913">
        <v>154.26</v>
      </c>
      <c r="M4913">
        <v>2.27</v>
      </c>
      <c r="N4913">
        <v>1562.7</v>
      </c>
    </row>
    <row r="4914" spans="1:14" x14ac:dyDescent="0.2">
      <c r="A4914" s="1">
        <v>45883</v>
      </c>
      <c r="B4914" s="2" t="s">
        <v>24</v>
      </c>
      <c r="C4914" s="2" t="s">
        <v>15</v>
      </c>
      <c r="D4914" s="2" t="s">
        <v>19</v>
      </c>
      <c r="E4914">
        <v>16905</v>
      </c>
      <c r="F4914">
        <v>3977</v>
      </c>
      <c r="G4914">
        <v>390</v>
      </c>
      <c r="H4914">
        <v>206.76</v>
      </c>
      <c r="I4914">
        <v>42494.37</v>
      </c>
      <c r="J4914">
        <v>23.53</v>
      </c>
      <c r="K4914">
        <v>9.81</v>
      </c>
      <c r="L4914">
        <v>0.53</v>
      </c>
      <c r="M4914">
        <v>205.53</v>
      </c>
      <c r="N4914">
        <v>42287.61</v>
      </c>
    </row>
    <row r="4915" spans="1:14" x14ac:dyDescent="0.2">
      <c r="A4915" s="1">
        <v>45883</v>
      </c>
      <c r="B4915" s="2" t="s">
        <v>26</v>
      </c>
      <c r="C4915" s="2" t="s">
        <v>15</v>
      </c>
      <c r="D4915" s="2" t="s">
        <v>19</v>
      </c>
      <c r="E4915">
        <v>17535</v>
      </c>
      <c r="F4915">
        <v>1187</v>
      </c>
      <c r="G4915">
        <v>155</v>
      </c>
      <c r="H4915">
        <v>0</v>
      </c>
      <c r="I4915">
        <v>23719.26</v>
      </c>
      <c r="J4915">
        <v>6.77</v>
      </c>
      <c r="K4915">
        <v>13.06</v>
      </c>
      <c r="L4915">
        <v>0</v>
      </c>
      <c r="M4915">
        <v>0</v>
      </c>
      <c r="N4915">
        <v>23719.26</v>
      </c>
    </row>
    <row r="4916" spans="1:14" x14ac:dyDescent="0.2">
      <c r="A4916" s="1">
        <v>45883</v>
      </c>
      <c r="B4916" s="2" t="s">
        <v>27</v>
      </c>
      <c r="C4916" s="2" t="s">
        <v>15</v>
      </c>
      <c r="D4916" s="2" t="s">
        <v>36</v>
      </c>
      <c r="E4916">
        <v>21883</v>
      </c>
      <c r="F4916">
        <v>404</v>
      </c>
      <c r="G4916">
        <v>17</v>
      </c>
      <c r="H4916">
        <v>740.09</v>
      </c>
      <c r="I4916">
        <v>2008.44</v>
      </c>
      <c r="J4916">
        <v>1.85</v>
      </c>
      <c r="K4916">
        <v>4.21</v>
      </c>
      <c r="L4916">
        <v>43.53</v>
      </c>
      <c r="M4916">
        <v>2.71</v>
      </c>
      <c r="N4916">
        <v>1268.3499999999999</v>
      </c>
    </row>
    <row r="4917" spans="1:14" x14ac:dyDescent="0.2">
      <c r="A4917" s="1">
        <v>45883</v>
      </c>
      <c r="B4917" s="2" t="s">
        <v>29</v>
      </c>
      <c r="C4917" s="2" t="s">
        <v>35</v>
      </c>
      <c r="D4917" s="2" t="s">
        <v>22</v>
      </c>
      <c r="E4917">
        <v>20910</v>
      </c>
      <c r="F4917">
        <v>320</v>
      </c>
      <c r="G4917">
        <v>19</v>
      </c>
      <c r="H4917">
        <v>929.14</v>
      </c>
      <c r="I4917">
        <v>2362.1799999999998</v>
      </c>
      <c r="J4917">
        <v>1.53</v>
      </c>
      <c r="K4917">
        <v>5.94</v>
      </c>
      <c r="L4917">
        <v>48.9</v>
      </c>
      <c r="M4917">
        <v>2.54</v>
      </c>
      <c r="N4917">
        <v>1433.04</v>
      </c>
    </row>
    <row r="4918" spans="1:14" x14ac:dyDescent="0.2">
      <c r="A4918" s="1">
        <v>45883</v>
      </c>
      <c r="B4918" s="2" t="s">
        <v>30</v>
      </c>
      <c r="C4918" s="2" t="s">
        <v>15</v>
      </c>
      <c r="D4918" s="2" t="s">
        <v>19</v>
      </c>
      <c r="E4918">
        <v>10319</v>
      </c>
      <c r="F4918">
        <v>243</v>
      </c>
      <c r="G4918">
        <v>13</v>
      </c>
      <c r="H4918">
        <v>479.64</v>
      </c>
      <c r="I4918">
        <v>1138.96</v>
      </c>
      <c r="J4918">
        <v>2.35</v>
      </c>
      <c r="K4918">
        <v>5.35</v>
      </c>
      <c r="L4918">
        <v>36.9</v>
      </c>
      <c r="M4918">
        <v>2.37</v>
      </c>
      <c r="N4918">
        <v>659.32</v>
      </c>
    </row>
    <row r="4919" spans="1:14" x14ac:dyDescent="0.2">
      <c r="A4919" s="1">
        <v>45883</v>
      </c>
      <c r="B4919" s="2" t="s">
        <v>31</v>
      </c>
      <c r="C4919" s="2" t="s">
        <v>35</v>
      </c>
      <c r="D4919" s="2" t="s">
        <v>22</v>
      </c>
      <c r="E4919">
        <v>21538</v>
      </c>
      <c r="F4919">
        <v>565</v>
      </c>
      <c r="G4919">
        <v>34</v>
      </c>
      <c r="H4919">
        <v>806.06</v>
      </c>
      <c r="I4919">
        <v>3196.11</v>
      </c>
      <c r="J4919">
        <v>2.62</v>
      </c>
      <c r="K4919">
        <v>6.02</v>
      </c>
      <c r="L4919">
        <v>23.71</v>
      </c>
      <c r="M4919">
        <v>3.97</v>
      </c>
      <c r="N4919">
        <v>2390.0500000000002</v>
      </c>
    </row>
    <row r="4920" spans="1:14" x14ac:dyDescent="0.2">
      <c r="A4920" s="1">
        <v>45883</v>
      </c>
      <c r="B4920" s="2" t="s">
        <v>33</v>
      </c>
      <c r="C4920" s="2" t="s">
        <v>28</v>
      </c>
      <c r="D4920" s="2" t="s">
        <v>25</v>
      </c>
      <c r="E4920">
        <v>6600</v>
      </c>
      <c r="F4920">
        <v>419</v>
      </c>
      <c r="G4920">
        <v>37</v>
      </c>
      <c r="H4920">
        <v>540.34</v>
      </c>
      <c r="I4920">
        <v>4416.43</v>
      </c>
      <c r="J4920">
        <v>6.35</v>
      </c>
      <c r="K4920">
        <v>8.83</v>
      </c>
      <c r="L4920">
        <v>14.6</v>
      </c>
      <c r="M4920">
        <v>8.17</v>
      </c>
      <c r="N4920">
        <v>3876.09</v>
      </c>
    </row>
    <row r="4921" spans="1:14" x14ac:dyDescent="0.2">
      <c r="A4921" s="1">
        <v>45883</v>
      </c>
      <c r="B4921" s="2" t="s">
        <v>34</v>
      </c>
      <c r="C4921" s="2" t="s">
        <v>35</v>
      </c>
      <c r="D4921" s="2" t="s">
        <v>16</v>
      </c>
      <c r="E4921">
        <v>4448</v>
      </c>
      <c r="F4921">
        <v>249</v>
      </c>
      <c r="G4921">
        <v>33</v>
      </c>
      <c r="H4921">
        <v>42.65</v>
      </c>
      <c r="I4921">
        <v>4893.2</v>
      </c>
      <c r="J4921">
        <v>5.6</v>
      </c>
      <c r="K4921">
        <v>13.25</v>
      </c>
      <c r="L4921">
        <v>1.29</v>
      </c>
      <c r="M4921">
        <v>114.73</v>
      </c>
      <c r="N4921">
        <v>4850.55</v>
      </c>
    </row>
    <row r="4922" spans="1:14" x14ac:dyDescent="0.2">
      <c r="A4922" s="1">
        <v>45884</v>
      </c>
      <c r="B4922" s="2" t="s">
        <v>14</v>
      </c>
      <c r="C4922" s="2" t="s">
        <v>15</v>
      </c>
      <c r="D4922" s="2" t="s">
        <v>22</v>
      </c>
      <c r="E4922">
        <v>10863</v>
      </c>
      <c r="F4922">
        <v>436</v>
      </c>
      <c r="G4922">
        <v>40</v>
      </c>
      <c r="H4922">
        <v>765.49</v>
      </c>
      <c r="I4922">
        <v>4692.29</v>
      </c>
      <c r="J4922">
        <v>4.01</v>
      </c>
      <c r="K4922">
        <v>9.17</v>
      </c>
      <c r="L4922">
        <v>19.14</v>
      </c>
      <c r="M4922">
        <v>6.13</v>
      </c>
      <c r="N4922">
        <v>3926.8</v>
      </c>
    </row>
    <row r="4923" spans="1:14" x14ac:dyDescent="0.2">
      <c r="A4923" s="1">
        <v>45884</v>
      </c>
      <c r="B4923" s="2" t="s">
        <v>17</v>
      </c>
      <c r="C4923" s="2" t="s">
        <v>15</v>
      </c>
      <c r="D4923" s="2" t="s">
        <v>16</v>
      </c>
      <c r="E4923">
        <v>12927</v>
      </c>
      <c r="F4923">
        <v>391</v>
      </c>
      <c r="G4923">
        <v>26</v>
      </c>
      <c r="H4923">
        <v>737.56</v>
      </c>
      <c r="I4923">
        <v>3140.81</v>
      </c>
      <c r="J4923">
        <v>3.02</v>
      </c>
      <c r="K4923">
        <v>6.65</v>
      </c>
      <c r="L4923">
        <v>28.37</v>
      </c>
      <c r="M4923">
        <v>4.26</v>
      </c>
      <c r="N4923">
        <v>2403.25</v>
      </c>
    </row>
    <row r="4924" spans="1:14" x14ac:dyDescent="0.2">
      <c r="A4924" s="1">
        <v>45884</v>
      </c>
      <c r="B4924" s="2" t="s">
        <v>20</v>
      </c>
      <c r="C4924" s="2" t="s">
        <v>32</v>
      </c>
      <c r="D4924" s="2" t="s">
        <v>36</v>
      </c>
      <c r="E4924">
        <v>10147</v>
      </c>
      <c r="F4924">
        <v>432</v>
      </c>
      <c r="G4924">
        <v>21</v>
      </c>
      <c r="H4924">
        <v>711.69</v>
      </c>
      <c r="I4924">
        <v>2323.5100000000002</v>
      </c>
      <c r="J4924">
        <v>4.26</v>
      </c>
      <c r="K4924">
        <v>4.8600000000000003</v>
      </c>
      <c r="L4924">
        <v>33.89</v>
      </c>
      <c r="M4924">
        <v>3.26</v>
      </c>
      <c r="N4924">
        <v>1611.82</v>
      </c>
    </row>
    <row r="4925" spans="1:14" x14ac:dyDescent="0.2">
      <c r="A4925" s="1">
        <v>45884</v>
      </c>
      <c r="B4925" s="2" t="s">
        <v>23</v>
      </c>
      <c r="C4925" s="2" t="s">
        <v>18</v>
      </c>
      <c r="D4925" s="2" t="s">
        <v>16</v>
      </c>
      <c r="E4925">
        <v>5025</v>
      </c>
      <c r="F4925">
        <v>105</v>
      </c>
      <c r="G4925">
        <v>12</v>
      </c>
      <c r="H4925">
        <v>784.6</v>
      </c>
      <c r="I4925">
        <v>3715.06</v>
      </c>
      <c r="J4925">
        <v>2.09</v>
      </c>
      <c r="K4925">
        <v>11.43</v>
      </c>
      <c r="L4925">
        <v>65.38</v>
      </c>
      <c r="M4925">
        <v>4.7300000000000004</v>
      </c>
      <c r="N4925">
        <v>2930.46</v>
      </c>
    </row>
    <row r="4926" spans="1:14" x14ac:dyDescent="0.2">
      <c r="A4926" s="1">
        <v>45884</v>
      </c>
      <c r="B4926" s="2" t="s">
        <v>24</v>
      </c>
      <c r="C4926" s="2" t="s">
        <v>15</v>
      </c>
      <c r="D4926" s="2" t="s">
        <v>22</v>
      </c>
      <c r="E4926">
        <v>20293</v>
      </c>
      <c r="F4926">
        <v>3182</v>
      </c>
      <c r="G4926">
        <v>296</v>
      </c>
      <c r="H4926">
        <v>104.1</v>
      </c>
      <c r="I4926">
        <v>36905.58</v>
      </c>
      <c r="J4926">
        <v>15.68</v>
      </c>
      <c r="K4926">
        <v>9.3000000000000007</v>
      </c>
      <c r="L4926">
        <v>0.35</v>
      </c>
      <c r="M4926">
        <v>354.52</v>
      </c>
      <c r="N4926">
        <v>36801.480000000003</v>
      </c>
    </row>
    <row r="4927" spans="1:14" x14ac:dyDescent="0.2">
      <c r="A4927" s="1">
        <v>45884</v>
      </c>
      <c r="B4927" s="2" t="s">
        <v>26</v>
      </c>
      <c r="C4927" s="2" t="s">
        <v>28</v>
      </c>
      <c r="D4927" s="2" t="s">
        <v>25</v>
      </c>
      <c r="E4927">
        <v>18650</v>
      </c>
      <c r="F4927">
        <v>1440</v>
      </c>
      <c r="G4927">
        <v>165</v>
      </c>
      <c r="H4927">
        <v>0</v>
      </c>
      <c r="I4927">
        <v>24843.31</v>
      </c>
      <c r="J4927">
        <v>7.72</v>
      </c>
      <c r="K4927">
        <v>11.46</v>
      </c>
      <c r="L4927">
        <v>0</v>
      </c>
      <c r="M4927">
        <v>0</v>
      </c>
      <c r="N4927">
        <v>24843.31</v>
      </c>
    </row>
    <row r="4928" spans="1:14" x14ac:dyDescent="0.2">
      <c r="A4928" s="1">
        <v>45884</v>
      </c>
      <c r="B4928" s="2" t="s">
        <v>27</v>
      </c>
      <c r="C4928" s="2" t="s">
        <v>15</v>
      </c>
      <c r="D4928" s="2" t="s">
        <v>36</v>
      </c>
      <c r="E4928">
        <v>26796</v>
      </c>
      <c r="F4928">
        <v>320</v>
      </c>
      <c r="G4928">
        <v>13</v>
      </c>
      <c r="H4928">
        <v>810.8</v>
      </c>
      <c r="I4928">
        <v>1540.68</v>
      </c>
      <c r="J4928">
        <v>1.19</v>
      </c>
      <c r="K4928">
        <v>4.0599999999999996</v>
      </c>
      <c r="L4928">
        <v>62.37</v>
      </c>
      <c r="M4928">
        <v>1.9</v>
      </c>
      <c r="N4928">
        <v>729.88</v>
      </c>
    </row>
    <row r="4929" spans="1:14" x14ac:dyDescent="0.2">
      <c r="A4929" s="1">
        <v>45884</v>
      </c>
      <c r="B4929" s="2" t="s">
        <v>29</v>
      </c>
      <c r="C4929" s="2" t="s">
        <v>28</v>
      </c>
      <c r="D4929" s="2" t="s">
        <v>25</v>
      </c>
      <c r="E4929">
        <v>19104</v>
      </c>
      <c r="F4929">
        <v>365</v>
      </c>
      <c r="G4929">
        <v>23</v>
      </c>
      <c r="H4929">
        <v>925.06</v>
      </c>
      <c r="I4929">
        <v>3314.47</v>
      </c>
      <c r="J4929">
        <v>1.91</v>
      </c>
      <c r="K4929">
        <v>6.3</v>
      </c>
      <c r="L4929">
        <v>40.22</v>
      </c>
      <c r="M4929">
        <v>3.58</v>
      </c>
      <c r="N4929">
        <v>2389.41</v>
      </c>
    </row>
    <row r="4930" spans="1:14" x14ac:dyDescent="0.2">
      <c r="A4930" s="1">
        <v>45884</v>
      </c>
      <c r="B4930" s="2" t="s">
        <v>30</v>
      </c>
      <c r="C4930" s="2" t="s">
        <v>18</v>
      </c>
      <c r="D4930" s="2" t="s">
        <v>16</v>
      </c>
      <c r="E4930">
        <v>10066</v>
      </c>
      <c r="F4930">
        <v>345</v>
      </c>
      <c r="G4930">
        <v>18</v>
      </c>
      <c r="H4930">
        <v>392.78</v>
      </c>
      <c r="I4930">
        <v>1625.26</v>
      </c>
      <c r="J4930">
        <v>3.43</v>
      </c>
      <c r="K4930">
        <v>5.22</v>
      </c>
      <c r="L4930">
        <v>21.82</v>
      </c>
      <c r="M4930">
        <v>4.1399999999999997</v>
      </c>
      <c r="N4930">
        <v>1232.48</v>
      </c>
    </row>
    <row r="4931" spans="1:14" x14ac:dyDescent="0.2">
      <c r="A4931" s="1">
        <v>45884</v>
      </c>
      <c r="B4931" s="2" t="s">
        <v>31</v>
      </c>
      <c r="C4931" s="2" t="s">
        <v>32</v>
      </c>
      <c r="D4931" s="2" t="s">
        <v>16</v>
      </c>
      <c r="E4931">
        <v>20785</v>
      </c>
      <c r="F4931">
        <v>712</v>
      </c>
      <c r="G4931">
        <v>30</v>
      </c>
      <c r="H4931">
        <v>609.35</v>
      </c>
      <c r="I4931">
        <v>2383.19</v>
      </c>
      <c r="J4931">
        <v>3.43</v>
      </c>
      <c r="K4931">
        <v>4.21</v>
      </c>
      <c r="L4931">
        <v>20.309999999999999</v>
      </c>
      <c r="M4931">
        <v>3.91</v>
      </c>
      <c r="N4931">
        <v>1773.84</v>
      </c>
    </row>
    <row r="4932" spans="1:14" x14ac:dyDescent="0.2">
      <c r="A4932" s="1">
        <v>45884</v>
      </c>
      <c r="B4932" s="2" t="s">
        <v>33</v>
      </c>
      <c r="C4932" s="2" t="s">
        <v>15</v>
      </c>
      <c r="D4932" s="2" t="s">
        <v>36</v>
      </c>
      <c r="E4932">
        <v>7004</v>
      </c>
      <c r="F4932">
        <v>417</v>
      </c>
      <c r="G4932">
        <v>42</v>
      </c>
      <c r="H4932">
        <v>532.46</v>
      </c>
      <c r="I4932">
        <v>4739.34</v>
      </c>
      <c r="J4932">
        <v>5.95</v>
      </c>
      <c r="K4932">
        <v>10.07</v>
      </c>
      <c r="L4932">
        <v>12.68</v>
      </c>
      <c r="M4932">
        <v>8.9</v>
      </c>
      <c r="N4932">
        <v>4206.88</v>
      </c>
    </row>
    <row r="4933" spans="1:14" x14ac:dyDescent="0.2">
      <c r="A4933" s="1">
        <v>45884</v>
      </c>
      <c r="B4933" s="2" t="s">
        <v>34</v>
      </c>
      <c r="C4933" s="2" t="s">
        <v>15</v>
      </c>
      <c r="D4933" s="2" t="s">
        <v>16</v>
      </c>
      <c r="E4933">
        <v>2708</v>
      </c>
      <c r="F4933">
        <v>246</v>
      </c>
      <c r="G4933">
        <v>37</v>
      </c>
      <c r="H4933">
        <v>121.65</v>
      </c>
      <c r="I4933">
        <v>5071.88</v>
      </c>
      <c r="J4933">
        <v>9.08</v>
      </c>
      <c r="K4933">
        <v>15.04</v>
      </c>
      <c r="L4933">
        <v>3.29</v>
      </c>
      <c r="M4933">
        <v>41.69</v>
      </c>
      <c r="N4933">
        <v>4950.2299999999996</v>
      </c>
    </row>
    <row r="4934" spans="1:14" x14ac:dyDescent="0.2">
      <c r="A4934" s="1">
        <v>45885</v>
      </c>
      <c r="B4934" s="2" t="s">
        <v>14</v>
      </c>
      <c r="C4934" s="2" t="s">
        <v>35</v>
      </c>
      <c r="D4934" s="2" t="s">
        <v>36</v>
      </c>
      <c r="E4934">
        <v>7193</v>
      </c>
      <c r="F4934">
        <v>220</v>
      </c>
      <c r="G4934">
        <v>17</v>
      </c>
      <c r="H4934">
        <v>800.03</v>
      </c>
      <c r="I4934">
        <v>2143.75</v>
      </c>
      <c r="J4934">
        <v>3.06</v>
      </c>
      <c r="K4934">
        <v>7.73</v>
      </c>
      <c r="L4934">
        <v>47.06</v>
      </c>
      <c r="M4934">
        <v>2.68</v>
      </c>
      <c r="N4934">
        <v>1343.72</v>
      </c>
    </row>
    <row r="4935" spans="1:14" x14ac:dyDescent="0.2">
      <c r="A4935" s="1">
        <v>45885</v>
      </c>
      <c r="B4935" s="2" t="s">
        <v>17</v>
      </c>
      <c r="C4935" s="2" t="s">
        <v>32</v>
      </c>
      <c r="D4935" s="2" t="s">
        <v>19</v>
      </c>
      <c r="E4935">
        <v>11403</v>
      </c>
      <c r="F4935">
        <v>330</v>
      </c>
      <c r="G4935">
        <v>27</v>
      </c>
      <c r="H4935">
        <v>446.96</v>
      </c>
      <c r="I4935">
        <v>3583.2</v>
      </c>
      <c r="J4935">
        <v>2.89</v>
      </c>
      <c r="K4935">
        <v>8.18</v>
      </c>
      <c r="L4935">
        <v>16.55</v>
      </c>
      <c r="M4935">
        <v>8.02</v>
      </c>
      <c r="N4935">
        <v>3136.24</v>
      </c>
    </row>
    <row r="4936" spans="1:14" x14ac:dyDescent="0.2">
      <c r="A4936" s="1">
        <v>45885</v>
      </c>
      <c r="B4936" s="2" t="s">
        <v>20</v>
      </c>
      <c r="C4936" s="2" t="s">
        <v>28</v>
      </c>
      <c r="D4936" s="2" t="s">
        <v>22</v>
      </c>
      <c r="E4936">
        <v>8184</v>
      </c>
      <c r="F4936">
        <v>330</v>
      </c>
      <c r="G4936">
        <v>16</v>
      </c>
      <c r="H4936">
        <v>456.49</v>
      </c>
      <c r="I4936">
        <v>1296.9100000000001</v>
      </c>
      <c r="J4936">
        <v>4.03</v>
      </c>
      <c r="K4936">
        <v>4.8499999999999996</v>
      </c>
      <c r="L4936">
        <v>28.53</v>
      </c>
      <c r="M4936">
        <v>2.84</v>
      </c>
      <c r="N4936">
        <v>840.42</v>
      </c>
    </row>
    <row r="4937" spans="1:14" x14ac:dyDescent="0.2">
      <c r="A4937" s="1">
        <v>45885</v>
      </c>
      <c r="B4937" s="2" t="s">
        <v>23</v>
      </c>
      <c r="C4937" s="2" t="s">
        <v>15</v>
      </c>
      <c r="D4937" s="2" t="s">
        <v>16</v>
      </c>
      <c r="E4937">
        <v>2395</v>
      </c>
      <c r="F4937">
        <v>47</v>
      </c>
      <c r="G4937">
        <v>4</v>
      </c>
      <c r="H4937">
        <v>834.27</v>
      </c>
      <c r="I4937">
        <v>1002.23</v>
      </c>
      <c r="J4937">
        <v>1.96</v>
      </c>
      <c r="K4937">
        <v>8.51</v>
      </c>
      <c r="L4937">
        <v>208.57</v>
      </c>
      <c r="M4937">
        <v>1.2</v>
      </c>
      <c r="N4937">
        <v>167.96</v>
      </c>
    </row>
    <row r="4938" spans="1:14" x14ac:dyDescent="0.2">
      <c r="A4938" s="1">
        <v>45885</v>
      </c>
      <c r="B4938" s="2" t="s">
        <v>24</v>
      </c>
      <c r="C4938" s="2" t="s">
        <v>18</v>
      </c>
      <c r="D4938" s="2" t="s">
        <v>36</v>
      </c>
      <c r="E4938">
        <v>12511</v>
      </c>
      <c r="F4938">
        <v>2479</v>
      </c>
      <c r="G4938">
        <v>240</v>
      </c>
      <c r="H4938">
        <v>103.74</v>
      </c>
      <c r="I4938">
        <v>34522.44</v>
      </c>
      <c r="J4938">
        <v>19.809999999999999</v>
      </c>
      <c r="K4938">
        <v>9.68</v>
      </c>
      <c r="L4938">
        <v>0.43</v>
      </c>
      <c r="M4938">
        <v>332.78</v>
      </c>
      <c r="N4938">
        <v>34418.699999999997</v>
      </c>
    </row>
    <row r="4939" spans="1:14" x14ac:dyDescent="0.2">
      <c r="A4939" s="1">
        <v>45885</v>
      </c>
      <c r="B4939" s="2" t="s">
        <v>26</v>
      </c>
      <c r="C4939" s="2" t="s">
        <v>35</v>
      </c>
      <c r="D4939" s="2" t="s">
        <v>22</v>
      </c>
      <c r="E4939">
        <v>12293</v>
      </c>
      <c r="F4939">
        <v>824</v>
      </c>
      <c r="G4939">
        <v>120</v>
      </c>
      <c r="H4939">
        <v>0</v>
      </c>
      <c r="I4939">
        <v>15681.47</v>
      </c>
      <c r="J4939">
        <v>6.7</v>
      </c>
      <c r="K4939">
        <v>14.56</v>
      </c>
      <c r="L4939">
        <v>0</v>
      </c>
      <c r="M4939">
        <v>0</v>
      </c>
      <c r="N4939">
        <v>15681.47</v>
      </c>
    </row>
    <row r="4940" spans="1:14" x14ac:dyDescent="0.2">
      <c r="A4940" s="1">
        <v>45885</v>
      </c>
      <c r="B4940" s="2" t="s">
        <v>27</v>
      </c>
      <c r="C4940" s="2" t="s">
        <v>28</v>
      </c>
      <c r="D4940" s="2" t="s">
        <v>16</v>
      </c>
      <c r="E4940">
        <v>15411</v>
      </c>
      <c r="F4940">
        <v>274</v>
      </c>
      <c r="G4940">
        <v>5</v>
      </c>
      <c r="H4940">
        <v>492.61</v>
      </c>
      <c r="I4940">
        <v>469.31</v>
      </c>
      <c r="J4940">
        <v>1.78</v>
      </c>
      <c r="K4940">
        <v>1.82</v>
      </c>
      <c r="L4940">
        <v>98.52</v>
      </c>
      <c r="M4940">
        <v>0.95</v>
      </c>
      <c r="N4940">
        <v>-23.3</v>
      </c>
    </row>
    <row r="4941" spans="1:14" x14ac:dyDescent="0.2">
      <c r="A4941" s="1">
        <v>45885</v>
      </c>
      <c r="B4941" s="2" t="s">
        <v>29</v>
      </c>
      <c r="C4941" s="2" t="s">
        <v>21</v>
      </c>
      <c r="D4941" s="2" t="s">
        <v>16</v>
      </c>
      <c r="E4941">
        <v>12968</v>
      </c>
      <c r="F4941">
        <v>332</v>
      </c>
      <c r="G4941">
        <v>20</v>
      </c>
      <c r="H4941">
        <v>793.69</v>
      </c>
      <c r="I4941">
        <v>2066.7199999999998</v>
      </c>
      <c r="J4941">
        <v>2.56</v>
      </c>
      <c r="K4941">
        <v>6.02</v>
      </c>
      <c r="L4941">
        <v>39.68</v>
      </c>
      <c r="M4941">
        <v>2.6</v>
      </c>
      <c r="N4941">
        <v>1273.03</v>
      </c>
    </row>
    <row r="4942" spans="1:14" x14ac:dyDescent="0.2">
      <c r="A4942" s="1">
        <v>45885</v>
      </c>
      <c r="B4942" s="2" t="s">
        <v>30</v>
      </c>
      <c r="C4942" s="2" t="s">
        <v>35</v>
      </c>
      <c r="D4942" s="2" t="s">
        <v>19</v>
      </c>
      <c r="E4942">
        <v>6261</v>
      </c>
      <c r="F4942">
        <v>172</v>
      </c>
      <c r="G4942">
        <v>5</v>
      </c>
      <c r="H4942">
        <v>435.29</v>
      </c>
      <c r="I4942">
        <v>499.14</v>
      </c>
      <c r="J4942">
        <v>2.75</v>
      </c>
      <c r="K4942">
        <v>2.91</v>
      </c>
      <c r="L4942">
        <v>87.06</v>
      </c>
      <c r="M4942">
        <v>1.1499999999999999</v>
      </c>
      <c r="N4942">
        <v>63.85</v>
      </c>
    </row>
    <row r="4943" spans="1:14" x14ac:dyDescent="0.2">
      <c r="A4943" s="1">
        <v>45885</v>
      </c>
      <c r="B4943" s="2" t="s">
        <v>31</v>
      </c>
      <c r="C4943" s="2" t="s">
        <v>21</v>
      </c>
      <c r="D4943" s="2" t="s">
        <v>16</v>
      </c>
      <c r="E4943">
        <v>16009</v>
      </c>
      <c r="F4943">
        <v>680</v>
      </c>
      <c r="G4943">
        <v>24</v>
      </c>
      <c r="H4943">
        <v>405.21</v>
      </c>
      <c r="I4943">
        <v>1745.14</v>
      </c>
      <c r="J4943">
        <v>4.25</v>
      </c>
      <c r="K4943">
        <v>3.53</v>
      </c>
      <c r="L4943">
        <v>16.88</v>
      </c>
      <c r="M4943">
        <v>4.3099999999999996</v>
      </c>
      <c r="N4943">
        <v>1339.93</v>
      </c>
    </row>
    <row r="4944" spans="1:14" x14ac:dyDescent="0.2">
      <c r="A4944" s="1">
        <v>45885</v>
      </c>
      <c r="B4944" s="2" t="s">
        <v>33</v>
      </c>
      <c r="C4944" s="2" t="s">
        <v>32</v>
      </c>
      <c r="D4944" s="2" t="s">
        <v>19</v>
      </c>
      <c r="E4944">
        <v>5893</v>
      </c>
      <c r="F4944">
        <v>340</v>
      </c>
      <c r="G4944">
        <v>36</v>
      </c>
      <c r="H4944">
        <v>279.95</v>
      </c>
      <c r="I4944">
        <v>3357.25</v>
      </c>
      <c r="J4944">
        <v>5.77</v>
      </c>
      <c r="K4944">
        <v>10.59</v>
      </c>
      <c r="L4944">
        <v>7.78</v>
      </c>
      <c r="M4944">
        <v>11.99</v>
      </c>
      <c r="N4944">
        <v>3077.3</v>
      </c>
    </row>
    <row r="4945" spans="1:14" x14ac:dyDescent="0.2">
      <c r="A4945" s="1">
        <v>45885</v>
      </c>
      <c r="B4945" s="2" t="s">
        <v>34</v>
      </c>
      <c r="C4945" s="2" t="s">
        <v>15</v>
      </c>
      <c r="D4945" s="2" t="s">
        <v>22</v>
      </c>
      <c r="E4945">
        <v>3555</v>
      </c>
      <c r="F4945">
        <v>198</v>
      </c>
      <c r="G4945">
        <v>24</v>
      </c>
      <c r="H4945">
        <v>52.3</v>
      </c>
      <c r="I4945">
        <v>3511.23</v>
      </c>
      <c r="J4945">
        <v>5.57</v>
      </c>
      <c r="K4945">
        <v>12.12</v>
      </c>
      <c r="L4945">
        <v>2.1800000000000002</v>
      </c>
      <c r="M4945">
        <v>67.14</v>
      </c>
      <c r="N4945">
        <v>3458.93</v>
      </c>
    </row>
    <row r="4946" spans="1:14" x14ac:dyDescent="0.2">
      <c r="A4946" s="1">
        <v>45886</v>
      </c>
      <c r="B4946" s="2" t="s">
        <v>14</v>
      </c>
      <c r="C4946" s="2" t="s">
        <v>21</v>
      </c>
      <c r="D4946" s="2" t="s">
        <v>36</v>
      </c>
      <c r="E4946">
        <v>6825</v>
      </c>
      <c r="F4946">
        <v>239</v>
      </c>
      <c r="G4946">
        <v>19</v>
      </c>
      <c r="H4946">
        <v>653.30999999999995</v>
      </c>
      <c r="I4946">
        <v>3493.86</v>
      </c>
      <c r="J4946">
        <v>3.5</v>
      </c>
      <c r="K4946">
        <v>7.95</v>
      </c>
      <c r="L4946">
        <v>34.380000000000003</v>
      </c>
      <c r="M4946">
        <v>5.35</v>
      </c>
      <c r="N4946">
        <v>2840.55</v>
      </c>
    </row>
    <row r="4947" spans="1:14" x14ac:dyDescent="0.2">
      <c r="A4947" s="1">
        <v>45886</v>
      </c>
      <c r="B4947" s="2" t="s">
        <v>17</v>
      </c>
      <c r="C4947" s="2" t="s">
        <v>35</v>
      </c>
      <c r="D4947" s="2" t="s">
        <v>16</v>
      </c>
      <c r="E4947">
        <v>7441</v>
      </c>
      <c r="F4947">
        <v>207</v>
      </c>
      <c r="G4947">
        <v>17</v>
      </c>
      <c r="H4947">
        <v>601.78</v>
      </c>
      <c r="I4947">
        <v>1700.8</v>
      </c>
      <c r="J4947">
        <v>2.78</v>
      </c>
      <c r="K4947">
        <v>8.2100000000000009</v>
      </c>
      <c r="L4947">
        <v>35.4</v>
      </c>
      <c r="M4947">
        <v>2.83</v>
      </c>
      <c r="N4947">
        <v>1099.02</v>
      </c>
    </row>
    <row r="4948" spans="1:14" x14ac:dyDescent="0.2">
      <c r="A4948" s="1">
        <v>45886</v>
      </c>
      <c r="B4948" s="2" t="s">
        <v>20</v>
      </c>
      <c r="C4948" s="2" t="s">
        <v>35</v>
      </c>
      <c r="D4948" s="2" t="s">
        <v>36</v>
      </c>
      <c r="E4948">
        <v>9556</v>
      </c>
      <c r="F4948">
        <v>374</v>
      </c>
      <c r="G4948">
        <v>15</v>
      </c>
      <c r="H4948">
        <v>433.26</v>
      </c>
      <c r="I4948">
        <v>1708.41</v>
      </c>
      <c r="J4948">
        <v>3.91</v>
      </c>
      <c r="K4948">
        <v>4.01</v>
      </c>
      <c r="L4948">
        <v>28.88</v>
      </c>
      <c r="M4948">
        <v>3.94</v>
      </c>
      <c r="N4948">
        <v>1275.1500000000001</v>
      </c>
    </row>
    <row r="4949" spans="1:14" x14ac:dyDescent="0.2">
      <c r="A4949" s="1">
        <v>45886</v>
      </c>
      <c r="B4949" s="2" t="s">
        <v>23</v>
      </c>
      <c r="C4949" s="2" t="s">
        <v>15</v>
      </c>
      <c r="D4949" s="2" t="s">
        <v>25</v>
      </c>
      <c r="E4949">
        <v>2354</v>
      </c>
      <c r="F4949">
        <v>39</v>
      </c>
      <c r="G4949">
        <v>4</v>
      </c>
      <c r="H4949">
        <v>1054.52</v>
      </c>
      <c r="I4949">
        <v>1307.97</v>
      </c>
      <c r="J4949">
        <v>1.66</v>
      </c>
      <c r="K4949">
        <v>10.26</v>
      </c>
      <c r="L4949">
        <v>263.63</v>
      </c>
      <c r="M4949">
        <v>1.24</v>
      </c>
      <c r="N4949">
        <v>253.45</v>
      </c>
    </row>
    <row r="4950" spans="1:14" x14ac:dyDescent="0.2">
      <c r="A4950" s="1">
        <v>45886</v>
      </c>
      <c r="B4950" s="2" t="s">
        <v>24</v>
      </c>
      <c r="C4950" s="2" t="s">
        <v>21</v>
      </c>
      <c r="D4950" s="2" t="s">
        <v>16</v>
      </c>
      <c r="E4950">
        <v>12844</v>
      </c>
      <c r="F4950">
        <v>2864</v>
      </c>
      <c r="G4950">
        <v>338</v>
      </c>
      <c r="H4950">
        <v>168.66</v>
      </c>
      <c r="I4950">
        <v>48052.33</v>
      </c>
      <c r="J4950">
        <v>22.3</v>
      </c>
      <c r="K4950">
        <v>11.8</v>
      </c>
      <c r="L4950">
        <v>0.5</v>
      </c>
      <c r="M4950">
        <v>284.91000000000003</v>
      </c>
      <c r="N4950">
        <v>47883.67</v>
      </c>
    </row>
    <row r="4951" spans="1:14" x14ac:dyDescent="0.2">
      <c r="A4951" s="1">
        <v>45886</v>
      </c>
      <c r="B4951" s="2" t="s">
        <v>26</v>
      </c>
      <c r="C4951" s="2" t="s">
        <v>21</v>
      </c>
      <c r="D4951" s="2" t="s">
        <v>36</v>
      </c>
      <c r="E4951">
        <v>16808</v>
      </c>
      <c r="F4951">
        <v>1247</v>
      </c>
      <c r="G4951">
        <v>143</v>
      </c>
      <c r="H4951">
        <v>0</v>
      </c>
      <c r="I4951">
        <v>16924.16</v>
      </c>
      <c r="J4951">
        <v>7.42</v>
      </c>
      <c r="K4951">
        <v>11.47</v>
      </c>
      <c r="L4951">
        <v>0</v>
      </c>
      <c r="M4951">
        <v>0</v>
      </c>
      <c r="N4951">
        <v>16924.16</v>
      </c>
    </row>
    <row r="4952" spans="1:14" x14ac:dyDescent="0.2">
      <c r="A4952" s="1">
        <v>45886</v>
      </c>
      <c r="B4952" s="2" t="s">
        <v>27</v>
      </c>
      <c r="C4952" s="2" t="s">
        <v>18</v>
      </c>
      <c r="D4952" s="2" t="s">
        <v>19</v>
      </c>
      <c r="E4952">
        <v>17209</v>
      </c>
      <c r="F4952">
        <v>207</v>
      </c>
      <c r="G4952">
        <v>5</v>
      </c>
      <c r="H4952">
        <v>746</v>
      </c>
      <c r="I4952">
        <v>416.35</v>
      </c>
      <c r="J4952">
        <v>1.2</v>
      </c>
      <c r="K4952">
        <v>2.42</v>
      </c>
      <c r="L4952">
        <v>149.19999999999999</v>
      </c>
      <c r="M4952">
        <v>0.56000000000000005</v>
      </c>
      <c r="N4952">
        <v>-329.65</v>
      </c>
    </row>
    <row r="4953" spans="1:14" x14ac:dyDescent="0.2">
      <c r="A4953" s="1">
        <v>45886</v>
      </c>
      <c r="B4953" s="2" t="s">
        <v>29</v>
      </c>
      <c r="C4953" s="2" t="s">
        <v>32</v>
      </c>
      <c r="D4953" s="2" t="s">
        <v>25</v>
      </c>
      <c r="E4953">
        <v>14386</v>
      </c>
      <c r="F4953">
        <v>354</v>
      </c>
      <c r="G4953">
        <v>16</v>
      </c>
      <c r="H4953">
        <v>706.47</v>
      </c>
      <c r="I4953">
        <v>1854.25</v>
      </c>
      <c r="J4953">
        <v>2.46</v>
      </c>
      <c r="K4953">
        <v>4.5199999999999996</v>
      </c>
      <c r="L4953">
        <v>44.15</v>
      </c>
      <c r="M4953">
        <v>2.62</v>
      </c>
      <c r="N4953">
        <v>1147.78</v>
      </c>
    </row>
    <row r="4954" spans="1:14" x14ac:dyDescent="0.2">
      <c r="A4954" s="1">
        <v>45886</v>
      </c>
      <c r="B4954" s="2" t="s">
        <v>30</v>
      </c>
      <c r="C4954" s="2" t="s">
        <v>28</v>
      </c>
      <c r="D4954" s="2" t="s">
        <v>22</v>
      </c>
      <c r="E4954">
        <v>8298</v>
      </c>
      <c r="F4954">
        <v>220</v>
      </c>
      <c r="G4954">
        <v>10</v>
      </c>
      <c r="H4954">
        <v>430.07</v>
      </c>
      <c r="I4954">
        <v>1006.77</v>
      </c>
      <c r="J4954">
        <v>2.65</v>
      </c>
      <c r="K4954">
        <v>4.55</v>
      </c>
      <c r="L4954">
        <v>43.01</v>
      </c>
      <c r="M4954">
        <v>2.34</v>
      </c>
      <c r="N4954">
        <v>576.70000000000005</v>
      </c>
    </row>
    <row r="4955" spans="1:14" x14ac:dyDescent="0.2">
      <c r="A4955" s="1">
        <v>45886</v>
      </c>
      <c r="B4955" s="2" t="s">
        <v>31</v>
      </c>
      <c r="C4955" s="2" t="s">
        <v>32</v>
      </c>
      <c r="D4955" s="2" t="s">
        <v>22</v>
      </c>
      <c r="E4955">
        <v>13350</v>
      </c>
      <c r="F4955">
        <v>403</v>
      </c>
      <c r="G4955">
        <v>16</v>
      </c>
      <c r="H4955">
        <v>554.62</v>
      </c>
      <c r="I4955">
        <v>1299.81</v>
      </c>
      <c r="J4955">
        <v>3.02</v>
      </c>
      <c r="K4955">
        <v>3.97</v>
      </c>
      <c r="L4955">
        <v>34.659999999999997</v>
      </c>
      <c r="M4955">
        <v>2.34</v>
      </c>
      <c r="N4955">
        <v>745.19</v>
      </c>
    </row>
    <row r="4956" spans="1:14" x14ac:dyDescent="0.2">
      <c r="A4956" s="1">
        <v>45886</v>
      </c>
      <c r="B4956" s="2" t="s">
        <v>33</v>
      </c>
      <c r="C4956" s="2" t="s">
        <v>15</v>
      </c>
      <c r="D4956" s="2" t="s">
        <v>25</v>
      </c>
      <c r="E4956">
        <v>4711</v>
      </c>
      <c r="F4956">
        <v>246</v>
      </c>
      <c r="G4956">
        <v>28</v>
      </c>
      <c r="H4956">
        <v>183.68</v>
      </c>
      <c r="I4956">
        <v>4094.28</v>
      </c>
      <c r="J4956">
        <v>5.22</v>
      </c>
      <c r="K4956">
        <v>11.38</v>
      </c>
      <c r="L4956">
        <v>6.56</v>
      </c>
      <c r="M4956">
        <v>22.29</v>
      </c>
      <c r="N4956">
        <v>3910.6</v>
      </c>
    </row>
    <row r="4957" spans="1:14" x14ac:dyDescent="0.2">
      <c r="A4957" s="1">
        <v>45886</v>
      </c>
      <c r="B4957" s="2" t="s">
        <v>34</v>
      </c>
      <c r="C4957" s="2" t="s">
        <v>15</v>
      </c>
      <c r="D4957" s="2" t="s">
        <v>25</v>
      </c>
      <c r="E4957">
        <v>3737</v>
      </c>
      <c r="F4957">
        <v>370</v>
      </c>
      <c r="G4957">
        <v>45</v>
      </c>
      <c r="H4957">
        <v>92.51</v>
      </c>
      <c r="I4957">
        <v>7731.6</v>
      </c>
      <c r="J4957">
        <v>9.9</v>
      </c>
      <c r="K4957">
        <v>12.16</v>
      </c>
      <c r="L4957">
        <v>2.06</v>
      </c>
      <c r="M4957">
        <v>83.58</v>
      </c>
      <c r="N4957">
        <v>7639.09</v>
      </c>
    </row>
    <row r="4958" spans="1:14" x14ac:dyDescent="0.2">
      <c r="A4958" s="1">
        <v>45887</v>
      </c>
      <c r="B4958" s="2" t="s">
        <v>14</v>
      </c>
      <c r="C4958" s="2" t="s">
        <v>32</v>
      </c>
      <c r="D4958" s="2" t="s">
        <v>22</v>
      </c>
      <c r="E4958">
        <v>11210</v>
      </c>
      <c r="F4958">
        <v>353</v>
      </c>
      <c r="G4958">
        <v>31</v>
      </c>
      <c r="H4958">
        <v>943.11</v>
      </c>
      <c r="I4958">
        <v>5096.72</v>
      </c>
      <c r="J4958">
        <v>3.15</v>
      </c>
      <c r="K4958">
        <v>8.7799999999999994</v>
      </c>
      <c r="L4958">
        <v>30.42</v>
      </c>
      <c r="M4958">
        <v>5.4</v>
      </c>
      <c r="N4958">
        <v>4153.6099999999997</v>
      </c>
    </row>
    <row r="4959" spans="1:14" x14ac:dyDescent="0.2">
      <c r="A4959" s="1">
        <v>45887</v>
      </c>
      <c r="B4959" s="2" t="s">
        <v>17</v>
      </c>
      <c r="C4959" s="2" t="s">
        <v>18</v>
      </c>
      <c r="D4959" s="2" t="s">
        <v>25</v>
      </c>
      <c r="E4959">
        <v>13027</v>
      </c>
      <c r="F4959">
        <v>392</v>
      </c>
      <c r="G4959">
        <v>33</v>
      </c>
      <c r="H4959">
        <v>682.75</v>
      </c>
      <c r="I4959">
        <v>4570.3</v>
      </c>
      <c r="J4959">
        <v>3.01</v>
      </c>
      <c r="K4959">
        <v>8.42</v>
      </c>
      <c r="L4959">
        <v>20.69</v>
      </c>
      <c r="M4959">
        <v>6.69</v>
      </c>
      <c r="N4959">
        <v>3887.55</v>
      </c>
    </row>
    <row r="4960" spans="1:14" x14ac:dyDescent="0.2">
      <c r="A4960" s="1">
        <v>45887</v>
      </c>
      <c r="B4960" s="2" t="s">
        <v>20</v>
      </c>
      <c r="C4960" s="2" t="s">
        <v>21</v>
      </c>
      <c r="D4960" s="2" t="s">
        <v>16</v>
      </c>
      <c r="E4960">
        <v>12053</v>
      </c>
      <c r="F4960">
        <v>328</v>
      </c>
      <c r="G4960">
        <v>25</v>
      </c>
      <c r="H4960">
        <v>548.63</v>
      </c>
      <c r="I4960">
        <v>2494.73</v>
      </c>
      <c r="J4960">
        <v>2.72</v>
      </c>
      <c r="K4960">
        <v>7.62</v>
      </c>
      <c r="L4960">
        <v>21.95</v>
      </c>
      <c r="M4960">
        <v>4.55</v>
      </c>
      <c r="N4960">
        <v>1946.1</v>
      </c>
    </row>
    <row r="4961" spans="1:14" x14ac:dyDescent="0.2">
      <c r="A4961" s="1">
        <v>45887</v>
      </c>
      <c r="B4961" s="2" t="s">
        <v>23</v>
      </c>
      <c r="C4961" s="2" t="s">
        <v>21</v>
      </c>
      <c r="D4961" s="2" t="s">
        <v>19</v>
      </c>
      <c r="E4961">
        <v>4885</v>
      </c>
      <c r="F4961">
        <v>86</v>
      </c>
      <c r="G4961">
        <v>9</v>
      </c>
      <c r="H4961">
        <v>1136.43</v>
      </c>
      <c r="I4961">
        <v>3025.02</v>
      </c>
      <c r="J4961">
        <v>1.76</v>
      </c>
      <c r="K4961">
        <v>10.47</v>
      </c>
      <c r="L4961">
        <v>126.27</v>
      </c>
      <c r="M4961">
        <v>2.66</v>
      </c>
      <c r="N4961">
        <v>1888.59</v>
      </c>
    </row>
    <row r="4962" spans="1:14" x14ac:dyDescent="0.2">
      <c r="A4962" s="1">
        <v>45887</v>
      </c>
      <c r="B4962" s="2" t="s">
        <v>24</v>
      </c>
      <c r="C4962" s="2" t="s">
        <v>32</v>
      </c>
      <c r="D4962" s="2" t="s">
        <v>22</v>
      </c>
      <c r="E4962">
        <v>15470</v>
      </c>
      <c r="F4962">
        <v>2828</v>
      </c>
      <c r="G4962">
        <v>268</v>
      </c>
      <c r="H4962">
        <v>118.43</v>
      </c>
      <c r="I4962">
        <v>40437.449999999997</v>
      </c>
      <c r="J4962">
        <v>18.28</v>
      </c>
      <c r="K4962">
        <v>9.48</v>
      </c>
      <c r="L4962">
        <v>0.44</v>
      </c>
      <c r="M4962">
        <v>341.45</v>
      </c>
      <c r="N4962">
        <v>40319.019999999997</v>
      </c>
    </row>
    <row r="4963" spans="1:14" x14ac:dyDescent="0.2">
      <c r="A4963" s="1">
        <v>45887</v>
      </c>
      <c r="B4963" s="2" t="s">
        <v>26</v>
      </c>
      <c r="C4963" s="2" t="s">
        <v>32</v>
      </c>
      <c r="D4963" s="2" t="s">
        <v>19</v>
      </c>
      <c r="E4963">
        <v>22758</v>
      </c>
      <c r="F4963">
        <v>1706</v>
      </c>
      <c r="G4963">
        <v>229</v>
      </c>
      <c r="H4963">
        <v>0</v>
      </c>
      <c r="I4963">
        <v>30719.63</v>
      </c>
      <c r="J4963">
        <v>7.5</v>
      </c>
      <c r="K4963">
        <v>13.42</v>
      </c>
      <c r="L4963">
        <v>0</v>
      </c>
      <c r="M4963">
        <v>0</v>
      </c>
      <c r="N4963">
        <v>30719.63</v>
      </c>
    </row>
    <row r="4964" spans="1:14" x14ac:dyDescent="0.2">
      <c r="A4964" s="1">
        <v>45887</v>
      </c>
      <c r="B4964" s="2" t="s">
        <v>27</v>
      </c>
      <c r="C4964" s="2" t="s">
        <v>21</v>
      </c>
      <c r="D4964" s="2" t="s">
        <v>16</v>
      </c>
      <c r="E4964">
        <v>30749</v>
      </c>
      <c r="F4964">
        <v>344</v>
      </c>
      <c r="G4964">
        <v>6</v>
      </c>
      <c r="H4964">
        <v>899.46</v>
      </c>
      <c r="I4964">
        <v>798.68</v>
      </c>
      <c r="J4964">
        <v>1.1200000000000001</v>
      </c>
      <c r="K4964">
        <v>1.74</v>
      </c>
      <c r="L4964">
        <v>149.91</v>
      </c>
      <c r="M4964">
        <v>0.89</v>
      </c>
      <c r="N4964">
        <v>-100.78</v>
      </c>
    </row>
    <row r="4965" spans="1:14" x14ac:dyDescent="0.2">
      <c r="A4965" s="1">
        <v>45887</v>
      </c>
      <c r="B4965" s="2" t="s">
        <v>29</v>
      </c>
      <c r="C4965" s="2" t="s">
        <v>15</v>
      </c>
      <c r="D4965" s="2" t="s">
        <v>25</v>
      </c>
      <c r="E4965">
        <v>14581</v>
      </c>
      <c r="F4965">
        <v>403</v>
      </c>
      <c r="G4965">
        <v>20</v>
      </c>
      <c r="H4965">
        <v>750.53</v>
      </c>
      <c r="I4965">
        <v>2397.5</v>
      </c>
      <c r="J4965">
        <v>2.76</v>
      </c>
      <c r="K4965">
        <v>4.96</v>
      </c>
      <c r="L4965">
        <v>37.53</v>
      </c>
      <c r="M4965">
        <v>3.19</v>
      </c>
      <c r="N4965">
        <v>1646.97</v>
      </c>
    </row>
    <row r="4966" spans="1:14" x14ac:dyDescent="0.2">
      <c r="A4966" s="1">
        <v>45887</v>
      </c>
      <c r="B4966" s="2" t="s">
        <v>30</v>
      </c>
      <c r="C4966" s="2" t="s">
        <v>32</v>
      </c>
      <c r="D4966" s="2" t="s">
        <v>19</v>
      </c>
      <c r="E4966">
        <v>7554</v>
      </c>
      <c r="F4966">
        <v>187</v>
      </c>
      <c r="G4966">
        <v>5</v>
      </c>
      <c r="H4966">
        <v>470.65</v>
      </c>
      <c r="I4966">
        <v>457.9</v>
      </c>
      <c r="J4966">
        <v>2.48</v>
      </c>
      <c r="K4966">
        <v>2.67</v>
      </c>
      <c r="L4966">
        <v>94.13</v>
      </c>
      <c r="M4966">
        <v>0.97</v>
      </c>
      <c r="N4966">
        <v>-12.75</v>
      </c>
    </row>
    <row r="4967" spans="1:14" x14ac:dyDescent="0.2">
      <c r="A4967" s="1">
        <v>45887</v>
      </c>
      <c r="B4967" s="2" t="s">
        <v>31</v>
      </c>
      <c r="C4967" s="2" t="s">
        <v>15</v>
      </c>
      <c r="D4967" s="2" t="s">
        <v>25</v>
      </c>
      <c r="E4967">
        <v>20238</v>
      </c>
      <c r="F4967">
        <v>554</v>
      </c>
      <c r="G4967">
        <v>26</v>
      </c>
      <c r="H4967">
        <v>711.77</v>
      </c>
      <c r="I4967">
        <v>2626.24</v>
      </c>
      <c r="J4967">
        <v>2.74</v>
      </c>
      <c r="K4967">
        <v>4.6900000000000004</v>
      </c>
      <c r="L4967">
        <v>27.38</v>
      </c>
      <c r="M4967">
        <v>3.69</v>
      </c>
      <c r="N4967">
        <v>1914.47</v>
      </c>
    </row>
    <row r="4968" spans="1:14" x14ac:dyDescent="0.2">
      <c r="A4968" s="1">
        <v>45887</v>
      </c>
      <c r="B4968" s="2" t="s">
        <v>33</v>
      </c>
      <c r="C4968" s="2" t="s">
        <v>28</v>
      </c>
      <c r="D4968" s="2" t="s">
        <v>16</v>
      </c>
      <c r="E4968">
        <v>5239</v>
      </c>
      <c r="F4968">
        <v>278</v>
      </c>
      <c r="G4968">
        <v>28</v>
      </c>
      <c r="H4968">
        <v>375.64</v>
      </c>
      <c r="I4968">
        <v>2872.88</v>
      </c>
      <c r="J4968">
        <v>5.31</v>
      </c>
      <c r="K4968">
        <v>10.07</v>
      </c>
      <c r="L4968">
        <v>13.42</v>
      </c>
      <c r="M4968">
        <v>7.65</v>
      </c>
      <c r="N4968">
        <v>2497.2399999999998</v>
      </c>
    </row>
    <row r="4969" spans="1:14" x14ac:dyDescent="0.2">
      <c r="A4969" s="1">
        <v>45887</v>
      </c>
      <c r="B4969" s="2" t="s">
        <v>34</v>
      </c>
      <c r="C4969" s="2" t="s">
        <v>28</v>
      </c>
      <c r="D4969" s="2" t="s">
        <v>16</v>
      </c>
      <c r="E4969">
        <v>3018</v>
      </c>
      <c r="F4969">
        <v>255</v>
      </c>
      <c r="G4969">
        <v>33</v>
      </c>
      <c r="H4969">
        <v>147.47999999999999</v>
      </c>
      <c r="I4969">
        <v>5854.6</v>
      </c>
      <c r="J4969">
        <v>8.4499999999999993</v>
      </c>
      <c r="K4969">
        <v>12.94</v>
      </c>
      <c r="L4969">
        <v>4.47</v>
      </c>
      <c r="M4969">
        <v>39.700000000000003</v>
      </c>
      <c r="N4969">
        <v>5707.12</v>
      </c>
    </row>
    <row r="4970" spans="1:14" x14ac:dyDescent="0.2">
      <c r="A4970" s="1">
        <v>45888</v>
      </c>
      <c r="B4970" s="2" t="s">
        <v>14</v>
      </c>
      <c r="C4970" s="2" t="s">
        <v>35</v>
      </c>
      <c r="D4970" s="2" t="s">
        <v>36</v>
      </c>
      <c r="E4970">
        <v>9436</v>
      </c>
      <c r="F4970">
        <v>350</v>
      </c>
      <c r="G4970">
        <v>34</v>
      </c>
      <c r="H4970">
        <v>1143.43</v>
      </c>
      <c r="I4970">
        <v>5616.15</v>
      </c>
      <c r="J4970">
        <v>3.71</v>
      </c>
      <c r="K4970">
        <v>9.7100000000000009</v>
      </c>
      <c r="L4970">
        <v>33.630000000000003</v>
      </c>
      <c r="M4970">
        <v>4.91</v>
      </c>
      <c r="N4970">
        <v>4472.72</v>
      </c>
    </row>
    <row r="4971" spans="1:14" x14ac:dyDescent="0.2">
      <c r="A4971" s="1">
        <v>45888</v>
      </c>
      <c r="B4971" s="2" t="s">
        <v>17</v>
      </c>
      <c r="C4971" s="2" t="s">
        <v>28</v>
      </c>
      <c r="D4971" s="2" t="s">
        <v>19</v>
      </c>
      <c r="E4971">
        <v>16901</v>
      </c>
      <c r="F4971">
        <v>555</v>
      </c>
      <c r="G4971">
        <v>33</v>
      </c>
      <c r="H4971">
        <v>695.45</v>
      </c>
      <c r="I4971">
        <v>3035.66</v>
      </c>
      <c r="J4971">
        <v>3.28</v>
      </c>
      <c r="K4971">
        <v>5.95</v>
      </c>
      <c r="L4971">
        <v>21.07</v>
      </c>
      <c r="M4971">
        <v>4.37</v>
      </c>
      <c r="N4971">
        <v>2340.21</v>
      </c>
    </row>
    <row r="4972" spans="1:14" x14ac:dyDescent="0.2">
      <c r="A4972" s="1">
        <v>45888</v>
      </c>
      <c r="B4972" s="2" t="s">
        <v>20</v>
      </c>
      <c r="C4972" s="2" t="s">
        <v>18</v>
      </c>
      <c r="D4972" s="2" t="s">
        <v>25</v>
      </c>
      <c r="E4972">
        <v>11248</v>
      </c>
      <c r="F4972">
        <v>461</v>
      </c>
      <c r="G4972">
        <v>21</v>
      </c>
      <c r="H4972">
        <v>667.54</v>
      </c>
      <c r="I4972">
        <v>2173.56</v>
      </c>
      <c r="J4972">
        <v>4.0999999999999996</v>
      </c>
      <c r="K4972">
        <v>4.5599999999999996</v>
      </c>
      <c r="L4972">
        <v>31.79</v>
      </c>
      <c r="M4972">
        <v>3.26</v>
      </c>
      <c r="N4972">
        <v>1506.02</v>
      </c>
    </row>
    <row r="4973" spans="1:14" x14ac:dyDescent="0.2">
      <c r="A4973" s="1">
        <v>45888</v>
      </c>
      <c r="B4973" s="2" t="s">
        <v>23</v>
      </c>
      <c r="C4973" s="2" t="s">
        <v>28</v>
      </c>
      <c r="D4973" s="2" t="s">
        <v>36</v>
      </c>
      <c r="E4973">
        <v>3969</v>
      </c>
      <c r="F4973">
        <v>97</v>
      </c>
      <c r="G4973">
        <v>11</v>
      </c>
      <c r="H4973">
        <v>1437.97</v>
      </c>
      <c r="I4973">
        <v>2413.69</v>
      </c>
      <c r="J4973">
        <v>2.44</v>
      </c>
      <c r="K4973">
        <v>11.34</v>
      </c>
      <c r="L4973">
        <v>130.72</v>
      </c>
      <c r="M4973">
        <v>1.68</v>
      </c>
      <c r="N4973">
        <v>975.72</v>
      </c>
    </row>
    <row r="4974" spans="1:14" x14ac:dyDescent="0.2">
      <c r="A4974" s="1">
        <v>45888</v>
      </c>
      <c r="B4974" s="2" t="s">
        <v>24</v>
      </c>
      <c r="C4974" s="2" t="s">
        <v>35</v>
      </c>
      <c r="D4974" s="2" t="s">
        <v>25</v>
      </c>
      <c r="E4974">
        <v>16473</v>
      </c>
      <c r="F4974">
        <v>3507</v>
      </c>
      <c r="G4974">
        <v>328</v>
      </c>
      <c r="H4974">
        <v>151.18</v>
      </c>
      <c r="I4974">
        <v>37209.379999999997</v>
      </c>
      <c r="J4974">
        <v>21.29</v>
      </c>
      <c r="K4974">
        <v>9.35</v>
      </c>
      <c r="L4974">
        <v>0.46</v>
      </c>
      <c r="M4974">
        <v>246.13</v>
      </c>
      <c r="N4974">
        <v>37058.199999999997</v>
      </c>
    </row>
    <row r="4975" spans="1:14" x14ac:dyDescent="0.2">
      <c r="A4975" s="1">
        <v>45888</v>
      </c>
      <c r="B4975" s="2" t="s">
        <v>26</v>
      </c>
      <c r="C4975" s="2" t="s">
        <v>18</v>
      </c>
      <c r="D4975" s="2" t="s">
        <v>22</v>
      </c>
      <c r="E4975">
        <v>27042</v>
      </c>
      <c r="F4975">
        <v>1743</v>
      </c>
      <c r="G4975">
        <v>185</v>
      </c>
      <c r="H4975">
        <v>0</v>
      </c>
      <c r="I4975">
        <v>24425.88</v>
      </c>
      <c r="J4975">
        <v>6.45</v>
      </c>
      <c r="K4975">
        <v>10.61</v>
      </c>
      <c r="L4975">
        <v>0</v>
      </c>
      <c r="M4975">
        <v>0</v>
      </c>
      <c r="N4975">
        <v>24425.88</v>
      </c>
    </row>
    <row r="4976" spans="1:14" x14ac:dyDescent="0.2">
      <c r="A4976" s="1">
        <v>45888</v>
      </c>
      <c r="B4976" s="2" t="s">
        <v>27</v>
      </c>
      <c r="C4976" s="2" t="s">
        <v>18</v>
      </c>
      <c r="D4976" s="2" t="s">
        <v>19</v>
      </c>
      <c r="E4976">
        <v>29421</v>
      </c>
      <c r="F4976">
        <v>414</v>
      </c>
      <c r="G4976">
        <v>8</v>
      </c>
      <c r="H4976">
        <v>676.79</v>
      </c>
      <c r="I4976">
        <v>997.2</v>
      </c>
      <c r="J4976">
        <v>1.41</v>
      </c>
      <c r="K4976">
        <v>1.93</v>
      </c>
      <c r="L4976">
        <v>84.6</v>
      </c>
      <c r="M4976">
        <v>1.47</v>
      </c>
      <c r="N4976">
        <v>320.41000000000003</v>
      </c>
    </row>
    <row r="4977" spans="1:14" x14ac:dyDescent="0.2">
      <c r="A4977" s="1">
        <v>45888</v>
      </c>
      <c r="B4977" s="2" t="s">
        <v>29</v>
      </c>
      <c r="C4977" s="2" t="s">
        <v>28</v>
      </c>
      <c r="D4977" s="2" t="s">
        <v>25</v>
      </c>
      <c r="E4977">
        <v>20176</v>
      </c>
      <c r="F4977">
        <v>526</v>
      </c>
      <c r="G4977">
        <v>41</v>
      </c>
      <c r="H4977">
        <v>1140.9000000000001</v>
      </c>
      <c r="I4977">
        <v>4106.0200000000004</v>
      </c>
      <c r="J4977">
        <v>2.61</v>
      </c>
      <c r="K4977">
        <v>7.79</v>
      </c>
      <c r="L4977">
        <v>27.83</v>
      </c>
      <c r="M4977">
        <v>3.6</v>
      </c>
      <c r="N4977">
        <v>2965.12</v>
      </c>
    </row>
    <row r="4978" spans="1:14" x14ac:dyDescent="0.2">
      <c r="A4978" s="1">
        <v>45888</v>
      </c>
      <c r="B4978" s="2" t="s">
        <v>30</v>
      </c>
      <c r="C4978" s="2" t="s">
        <v>28</v>
      </c>
      <c r="D4978" s="2" t="s">
        <v>19</v>
      </c>
      <c r="E4978">
        <v>9310</v>
      </c>
      <c r="F4978">
        <v>209</v>
      </c>
      <c r="G4978">
        <v>7</v>
      </c>
      <c r="H4978">
        <v>608.71</v>
      </c>
      <c r="I4978">
        <v>690.75</v>
      </c>
      <c r="J4978">
        <v>2.2400000000000002</v>
      </c>
      <c r="K4978">
        <v>3.35</v>
      </c>
      <c r="L4978">
        <v>86.96</v>
      </c>
      <c r="M4978">
        <v>1.1299999999999999</v>
      </c>
      <c r="N4978">
        <v>82.04</v>
      </c>
    </row>
    <row r="4979" spans="1:14" x14ac:dyDescent="0.2">
      <c r="A4979" s="1">
        <v>45888</v>
      </c>
      <c r="B4979" s="2" t="s">
        <v>31</v>
      </c>
      <c r="C4979" s="2" t="s">
        <v>18</v>
      </c>
      <c r="D4979" s="2" t="s">
        <v>36</v>
      </c>
      <c r="E4979">
        <v>24509</v>
      </c>
      <c r="F4979">
        <v>667</v>
      </c>
      <c r="G4979">
        <v>27</v>
      </c>
      <c r="H4979">
        <v>920.04</v>
      </c>
      <c r="I4979">
        <v>2801.98</v>
      </c>
      <c r="J4979">
        <v>2.72</v>
      </c>
      <c r="K4979">
        <v>4.05</v>
      </c>
      <c r="L4979">
        <v>34.08</v>
      </c>
      <c r="M4979">
        <v>3.05</v>
      </c>
      <c r="N4979">
        <v>1881.94</v>
      </c>
    </row>
    <row r="4980" spans="1:14" x14ac:dyDescent="0.2">
      <c r="A4980" s="1">
        <v>45888</v>
      </c>
      <c r="B4980" s="2" t="s">
        <v>33</v>
      </c>
      <c r="C4980" s="2" t="s">
        <v>21</v>
      </c>
      <c r="D4980" s="2" t="s">
        <v>19</v>
      </c>
      <c r="E4980">
        <v>7928</v>
      </c>
      <c r="F4980">
        <v>324</v>
      </c>
      <c r="G4980">
        <v>30</v>
      </c>
      <c r="H4980">
        <v>324.51</v>
      </c>
      <c r="I4980">
        <v>3529.82</v>
      </c>
      <c r="J4980">
        <v>4.09</v>
      </c>
      <c r="K4980">
        <v>9.26</v>
      </c>
      <c r="L4980">
        <v>10.82</v>
      </c>
      <c r="M4980">
        <v>10.88</v>
      </c>
      <c r="N4980">
        <v>3205.31</v>
      </c>
    </row>
    <row r="4981" spans="1:14" x14ac:dyDescent="0.2">
      <c r="A4981" s="1">
        <v>45888</v>
      </c>
      <c r="B4981" s="2" t="s">
        <v>34</v>
      </c>
      <c r="C4981" s="2" t="s">
        <v>18</v>
      </c>
      <c r="D4981" s="2" t="s">
        <v>25</v>
      </c>
      <c r="E4981">
        <v>4151</v>
      </c>
      <c r="F4981">
        <v>271</v>
      </c>
      <c r="G4981">
        <v>43</v>
      </c>
      <c r="H4981">
        <v>132.43</v>
      </c>
      <c r="I4981">
        <v>5220.3999999999996</v>
      </c>
      <c r="J4981">
        <v>6.53</v>
      </c>
      <c r="K4981">
        <v>15.87</v>
      </c>
      <c r="L4981">
        <v>3.08</v>
      </c>
      <c r="M4981">
        <v>39.42</v>
      </c>
      <c r="N4981">
        <v>5087.97</v>
      </c>
    </row>
    <row r="4982" spans="1:14" x14ac:dyDescent="0.2">
      <c r="A4982" s="1">
        <v>45889</v>
      </c>
      <c r="B4982" s="2" t="s">
        <v>14</v>
      </c>
      <c r="C4982" s="2" t="s">
        <v>18</v>
      </c>
      <c r="D4982" s="2" t="s">
        <v>22</v>
      </c>
      <c r="E4982">
        <v>10781</v>
      </c>
      <c r="F4982">
        <v>383</v>
      </c>
      <c r="G4982">
        <v>34</v>
      </c>
      <c r="H4982">
        <v>944.88</v>
      </c>
      <c r="I4982">
        <v>4420.1400000000003</v>
      </c>
      <c r="J4982">
        <v>3.55</v>
      </c>
      <c r="K4982">
        <v>8.8800000000000008</v>
      </c>
      <c r="L4982">
        <v>27.79</v>
      </c>
      <c r="M4982">
        <v>4.68</v>
      </c>
      <c r="N4982">
        <v>3475.26</v>
      </c>
    </row>
    <row r="4983" spans="1:14" x14ac:dyDescent="0.2">
      <c r="A4983" s="1">
        <v>45889</v>
      </c>
      <c r="B4983" s="2" t="s">
        <v>17</v>
      </c>
      <c r="C4983" s="2" t="s">
        <v>15</v>
      </c>
      <c r="D4983" s="2" t="s">
        <v>36</v>
      </c>
      <c r="E4983">
        <v>13653</v>
      </c>
      <c r="F4983">
        <v>318</v>
      </c>
      <c r="G4983">
        <v>20</v>
      </c>
      <c r="H4983">
        <v>529.84</v>
      </c>
      <c r="I4983">
        <v>2742.27</v>
      </c>
      <c r="J4983">
        <v>2.33</v>
      </c>
      <c r="K4983">
        <v>6.29</v>
      </c>
      <c r="L4983">
        <v>26.49</v>
      </c>
      <c r="M4983">
        <v>5.18</v>
      </c>
      <c r="N4983">
        <v>2212.4299999999998</v>
      </c>
    </row>
    <row r="4984" spans="1:14" x14ac:dyDescent="0.2">
      <c r="A4984" s="1">
        <v>45889</v>
      </c>
      <c r="B4984" s="2" t="s">
        <v>20</v>
      </c>
      <c r="C4984" s="2" t="s">
        <v>18</v>
      </c>
      <c r="D4984" s="2" t="s">
        <v>22</v>
      </c>
      <c r="E4984">
        <v>13231</v>
      </c>
      <c r="F4984">
        <v>368</v>
      </c>
      <c r="G4984">
        <v>27</v>
      </c>
      <c r="H4984">
        <v>747.99</v>
      </c>
      <c r="I4984">
        <v>2736.79</v>
      </c>
      <c r="J4984">
        <v>2.78</v>
      </c>
      <c r="K4984">
        <v>7.34</v>
      </c>
      <c r="L4984">
        <v>27.7</v>
      </c>
      <c r="M4984">
        <v>3.66</v>
      </c>
      <c r="N4984">
        <v>1988.8</v>
      </c>
    </row>
    <row r="4985" spans="1:14" x14ac:dyDescent="0.2">
      <c r="A4985" s="1">
        <v>45889</v>
      </c>
      <c r="B4985" s="2" t="s">
        <v>23</v>
      </c>
      <c r="C4985" s="2" t="s">
        <v>21</v>
      </c>
      <c r="D4985" s="2" t="s">
        <v>22</v>
      </c>
      <c r="E4985">
        <v>2667</v>
      </c>
      <c r="F4985">
        <v>79</v>
      </c>
      <c r="G4985">
        <v>11</v>
      </c>
      <c r="H4985">
        <v>1112.83</v>
      </c>
      <c r="I4985">
        <v>3101.42</v>
      </c>
      <c r="J4985">
        <v>2.96</v>
      </c>
      <c r="K4985">
        <v>13.92</v>
      </c>
      <c r="L4985">
        <v>101.17</v>
      </c>
      <c r="M4985">
        <v>2.79</v>
      </c>
      <c r="N4985">
        <v>1988.59</v>
      </c>
    </row>
    <row r="4986" spans="1:14" x14ac:dyDescent="0.2">
      <c r="A4986" s="1">
        <v>45889</v>
      </c>
      <c r="B4986" s="2" t="s">
        <v>24</v>
      </c>
      <c r="C4986" s="2" t="s">
        <v>35</v>
      </c>
      <c r="D4986" s="2" t="s">
        <v>19</v>
      </c>
      <c r="E4986">
        <v>16421</v>
      </c>
      <c r="F4986">
        <v>3348</v>
      </c>
      <c r="G4986">
        <v>331</v>
      </c>
      <c r="H4986">
        <v>95.75</v>
      </c>
      <c r="I4986">
        <v>41068.46</v>
      </c>
      <c r="J4986">
        <v>20.39</v>
      </c>
      <c r="K4986">
        <v>9.89</v>
      </c>
      <c r="L4986">
        <v>0.28999999999999998</v>
      </c>
      <c r="M4986">
        <v>428.91</v>
      </c>
      <c r="N4986">
        <v>40972.71</v>
      </c>
    </row>
    <row r="4987" spans="1:14" x14ac:dyDescent="0.2">
      <c r="A4987" s="1">
        <v>45889</v>
      </c>
      <c r="B4987" s="2" t="s">
        <v>26</v>
      </c>
      <c r="C4987" s="2" t="s">
        <v>18</v>
      </c>
      <c r="D4987" s="2" t="s">
        <v>16</v>
      </c>
      <c r="E4987">
        <v>28112</v>
      </c>
      <c r="F4987">
        <v>1490</v>
      </c>
      <c r="G4987">
        <v>209</v>
      </c>
      <c r="H4987">
        <v>0</v>
      </c>
      <c r="I4987">
        <v>22788.84</v>
      </c>
      <c r="J4987">
        <v>5.3</v>
      </c>
      <c r="K4987">
        <v>14.03</v>
      </c>
      <c r="L4987">
        <v>0</v>
      </c>
      <c r="M4987">
        <v>0</v>
      </c>
      <c r="N4987">
        <v>22788.84</v>
      </c>
    </row>
    <row r="4988" spans="1:14" x14ac:dyDescent="0.2">
      <c r="A4988" s="1">
        <v>45889</v>
      </c>
      <c r="B4988" s="2" t="s">
        <v>27</v>
      </c>
      <c r="C4988" s="2" t="s">
        <v>18</v>
      </c>
      <c r="D4988" s="2" t="s">
        <v>36</v>
      </c>
      <c r="E4988">
        <v>31816</v>
      </c>
      <c r="F4988">
        <v>594</v>
      </c>
      <c r="G4988">
        <v>23</v>
      </c>
      <c r="H4988">
        <v>847.7</v>
      </c>
      <c r="I4988">
        <v>2374.85</v>
      </c>
      <c r="J4988">
        <v>1.87</v>
      </c>
      <c r="K4988">
        <v>3.87</v>
      </c>
      <c r="L4988">
        <v>36.86</v>
      </c>
      <c r="M4988">
        <v>2.8</v>
      </c>
      <c r="N4988">
        <v>1527.15</v>
      </c>
    </row>
    <row r="4989" spans="1:14" x14ac:dyDescent="0.2">
      <c r="A4989" s="1">
        <v>45889</v>
      </c>
      <c r="B4989" s="2" t="s">
        <v>29</v>
      </c>
      <c r="C4989" s="2" t="s">
        <v>28</v>
      </c>
      <c r="D4989" s="2" t="s">
        <v>16</v>
      </c>
      <c r="E4989">
        <v>20049</v>
      </c>
      <c r="F4989">
        <v>446</v>
      </c>
      <c r="G4989">
        <v>17</v>
      </c>
      <c r="H4989">
        <v>801.52</v>
      </c>
      <c r="I4989">
        <v>2100.71</v>
      </c>
      <c r="J4989">
        <v>2.2200000000000002</v>
      </c>
      <c r="K4989">
        <v>3.81</v>
      </c>
      <c r="L4989">
        <v>47.15</v>
      </c>
      <c r="M4989">
        <v>2.62</v>
      </c>
      <c r="N4989">
        <v>1299.19</v>
      </c>
    </row>
    <row r="4990" spans="1:14" x14ac:dyDescent="0.2">
      <c r="A4990" s="1">
        <v>45889</v>
      </c>
      <c r="B4990" s="2" t="s">
        <v>30</v>
      </c>
      <c r="C4990" s="2" t="s">
        <v>32</v>
      </c>
      <c r="D4990" s="2" t="s">
        <v>19</v>
      </c>
      <c r="E4990">
        <v>11208</v>
      </c>
      <c r="F4990">
        <v>258</v>
      </c>
      <c r="G4990">
        <v>11</v>
      </c>
      <c r="H4990">
        <v>584.62</v>
      </c>
      <c r="I4990">
        <v>1208.4100000000001</v>
      </c>
      <c r="J4990">
        <v>2.2999999999999998</v>
      </c>
      <c r="K4990">
        <v>4.26</v>
      </c>
      <c r="L4990">
        <v>53.15</v>
      </c>
      <c r="M4990">
        <v>2.0699999999999998</v>
      </c>
      <c r="N4990">
        <v>623.79</v>
      </c>
    </row>
    <row r="4991" spans="1:14" x14ac:dyDescent="0.2">
      <c r="A4991" s="1">
        <v>45889</v>
      </c>
      <c r="B4991" s="2" t="s">
        <v>31</v>
      </c>
      <c r="C4991" s="2" t="s">
        <v>35</v>
      </c>
      <c r="D4991" s="2" t="s">
        <v>22</v>
      </c>
      <c r="E4991">
        <v>20281</v>
      </c>
      <c r="F4991">
        <v>891</v>
      </c>
      <c r="G4991">
        <v>60</v>
      </c>
      <c r="H4991">
        <v>854.31</v>
      </c>
      <c r="I4991">
        <v>4655.32</v>
      </c>
      <c r="J4991">
        <v>4.3899999999999997</v>
      </c>
      <c r="K4991">
        <v>6.73</v>
      </c>
      <c r="L4991">
        <v>14.24</v>
      </c>
      <c r="M4991">
        <v>5.45</v>
      </c>
      <c r="N4991">
        <v>3801.01</v>
      </c>
    </row>
    <row r="4992" spans="1:14" x14ac:dyDescent="0.2">
      <c r="A4992" s="1">
        <v>45889</v>
      </c>
      <c r="B4992" s="2" t="s">
        <v>33</v>
      </c>
      <c r="C4992" s="2" t="s">
        <v>18</v>
      </c>
      <c r="D4992" s="2" t="s">
        <v>36</v>
      </c>
      <c r="E4992">
        <v>7249</v>
      </c>
      <c r="F4992">
        <v>348</v>
      </c>
      <c r="G4992">
        <v>40</v>
      </c>
      <c r="H4992">
        <v>414.2</v>
      </c>
      <c r="I4992">
        <v>5862.75</v>
      </c>
      <c r="J4992">
        <v>4.8</v>
      </c>
      <c r="K4992">
        <v>11.49</v>
      </c>
      <c r="L4992">
        <v>10.36</v>
      </c>
      <c r="M4992">
        <v>14.15</v>
      </c>
      <c r="N4992">
        <v>5448.55</v>
      </c>
    </row>
    <row r="4993" spans="1:14" x14ac:dyDescent="0.2">
      <c r="A4993" s="1">
        <v>45889</v>
      </c>
      <c r="B4993" s="2" t="s">
        <v>34</v>
      </c>
      <c r="C4993" s="2" t="s">
        <v>21</v>
      </c>
      <c r="D4993" s="2" t="s">
        <v>19</v>
      </c>
      <c r="E4993">
        <v>3589</v>
      </c>
      <c r="F4993">
        <v>300</v>
      </c>
      <c r="G4993">
        <v>46</v>
      </c>
      <c r="H4993">
        <v>145.83000000000001</v>
      </c>
      <c r="I4993">
        <v>6506.12</v>
      </c>
      <c r="J4993">
        <v>8.36</v>
      </c>
      <c r="K4993">
        <v>15.33</v>
      </c>
      <c r="L4993">
        <v>3.17</v>
      </c>
      <c r="M4993">
        <v>44.61</v>
      </c>
      <c r="N4993">
        <v>6360.29</v>
      </c>
    </row>
    <row r="4994" spans="1:14" x14ac:dyDescent="0.2">
      <c r="A4994" s="1">
        <v>45890</v>
      </c>
      <c r="B4994" s="2" t="s">
        <v>14</v>
      </c>
      <c r="C4994" s="2" t="s">
        <v>18</v>
      </c>
      <c r="D4994" s="2" t="s">
        <v>19</v>
      </c>
      <c r="E4994">
        <v>8509</v>
      </c>
      <c r="F4994">
        <v>364</v>
      </c>
      <c r="G4994">
        <v>34</v>
      </c>
      <c r="H4994">
        <v>1274.44</v>
      </c>
      <c r="I4994">
        <v>4587.82</v>
      </c>
      <c r="J4994">
        <v>4.28</v>
      </c>
      <c r="K4994">
        <v>9.34</v>
      </c>
      <c r="L4994">
        <v>37.479999999999997</v>
      </c>
      <c r="M4994">
        <v>3.6</v>
      </c>
      <c r="N4994">
        <v>3313.38</v>
      </c>
    </row>
    <row r="4995" spans="1:14" x14ac:dyDescent="0.2">
      <c r="A4995" s="1">
        <v>45890</v>
      </c>
      <c r="B4995" s="2" t="s">
        <v>17</v>
      </c>
      <c r="C4995" s="2" t="s">
        <v>32</v>
      </c>
      <c r="D4995" s="2" t="s">
        <v>22</v>
      </c>
      <c r="E4995">
        <v>16796</v>
      </c>
      <c r="F4995">
        <v>368</v>
      </c>
      <c r="G4995">
        <v>28</v>
      </c>
      <c r="H4995">
        <v>614.80999999999995</v>
      </c>
      <c r="I4995">
        <v>2749.75</v>
      </c>
      <c r="J4995">
        <v>2.19</v>
      </c>
      <c r="K4995">
        <v>7.61</v>
      </c>
      <c r="L4995">
        <v>21.96</v>
      </c>
      <c r="M4995">
        <v>4.47</v>
      </c>
      <c r="N4995">
        <v>2134.94</v>
      </c>
    </row>
    <row r="4996" spans="1:14" x14ac:dyDescent="0.2">
      <c r="A4996" s="1">
        <v>45890</v>
      </c>
      <c r="B4996" s="2" t="s">
        <v>20</v>
      </c>
      <c r="C4996" s="2" t="s">
        <v>18</v>
      </c>
      <c r="D4996" s="2" t="s">
        <v>25</v>
      </c>
      <c r="E4996">
        <v>9493</v>
      </c>
      <c r="F4996">
        <v>294</v>
      </c>
      <c r="G4996">
        <v>15</v>
      </c>
      <c r="H4996">
        <v>734.24</v>
      </c>
      <c r="I4996">
        <v>1613.31</v>
      </c>
      <c r="J4996">
        <v>3.1</v>
      </c>
      <c r="K4996">
        <v>5.0999999999999996</v>
      </c>
      <c r="L4996">
        <v>48.95</v>
      </c>
      <c r="M4996">
        <v>2.2000000000000002</v>
      </c>
      <c r="N4996">
        <v>879.07</v>
      </c>
    </row>
    <row r="4997" spans="1:14" x14ac:dyDescent="0.2">
      <c r="A4997" s="1">
        <v>45890</v>
      </c>
      <c r="B4997" s="2" t="s">
        <v>23</v>
      </c>
      <c r="C4997" s="2" t="s">
        <v>32</v>
      </c>
      <c r="D4997" s="2" t="s">
        <v>36</v>
      </c>
      <c r="E4997">
        <v>5066</v>
      </c>
      <c r="F4997">
        <v>108</v>
      </c>
      <c r="G4997">
        <v>16</v>
      </c>
      <c r="H4997">
        <v>1095.75</v>
      </c>
      <c r="I4997">
        <v>3140.2</v>
      </c>
      <c r="J4997">
        <v>2.13</v>
      </c>
      <c r="K4997">
        <v>14.81</v>
      </c>
      <c r="L4997">
        <v>68.48</v>
      </c>
      <c r="M4997">
        <v>2.87</v>
      </c>
      <c r="N4997">
        <v>2044.45</v>
      </c>
    </row>
    <row r="4998" spans="1:14" x14ac:dyDescent="0.2">
      <c r="A4998" s="1">
        <v>45890</v>
      </c>
      <c r="B4998" s="2" t="s">
        <v>24</v>
      </c>
      <c r="C4998" s="2" t="s">
        <v>18</v>
      </c>
      <c r="D4998" s="2" t="s">
        <v>36</v>
      </c>
      <c r="E4998">
        <v>13605</v>
      </c>
      <c r="F4998">
        <v>2497</v>
      </c>
      <c r="G4998">
        <v>293</v>
      </c>
      <c r="H4998">
        <v>187.75</v>
      </c>
      <c r="I4998">
        <v>39579.49</v>
      </c>
      <c r="J4998">
        <v>18.350000000000001</v>
      </c>
      <c r="K4998">
        <v>11.73</v>
      </c>
      <c r="L4998">
        <v>0.64</v>
      </c>
      <c r="M4998">
        <v>210.81</v>
      </c>
      <c r="N4998">
        <v>39391.74</v>
      </c>
    </row>
    <row r="4999" spans="1:14" x14ac:dyDescent="0.2">
      <c r="A4999" s="1">
        <v>45890</v>
      </c>
      <c r="B4999" s="2" t="s">
        <v>26</v>
      </c>
      <c r="C4999" s="2" t="s">
        <v>32</v>
      </c>
      <c r="D4999" s="2" t="s">
        <v>16</v>
      </c>
      <c r="E4999">
        <v>19275</v>
      </c>
      <c r="F4999">
        <v>1061</v>
      </c>
      <c r="G4999">
        <v>159</v>
      </c>
      <c r="H4999">
        <v>0</v>
      </c>
      <c r="I4999">
        <v>19320.8</v>
      </c>
      <c r="J4999">
        <v>5.5</v>
      </c>
      <c r="K4999">
        <v>14.99</v>
      </c>
      <c r="L4999">
        <v>0</v>
      </c>
      <c r="M4999">
        <v>0</v>
      </c>
      <c r="N4999">
        <v>19320.8</v>
      </c>
    </row>
    <row r="5000" spans="1:14" x14ac:dyDescent="0.2">
      <c r="A5000" s="1">
        <v>45890</v>
      </c>
      <c r="B5000" s="2" t="s">
        <v>27</v>
      </c>
      <c r="C5000" s="2" t="s">
        <v>18</v>
      </c>
      <c r="D5000" s="2" t="s">
        <v>16</v>
      </c>
      <c r="E5000">
        <v>29157</v>
      </c>
      <c r="F5000">
        <v>328</v>
      </c>
      <c r="G5000">
        <v>8</v>
      </c>
      <c r="H5000">
        <v>824.06</v>
      </c>
      <c r="I5000">
        <v>927.62</v>
      </c>
      <c r="J5000">
        <v>1.1200000000000001</v>
      </c>
      <c r="K5000">
        <v>2.44</v>
      </c>
      <c r="L5000">
        <v>103.01</v>
      </c>
      <c r="M5000">
        <v>1.1299999999999999</v>
      </c>
      <c r="N5000">
        <v>103.56</v>
      </c>
    </row>
    <row r="5001" spans="1:14" x14ac:dyDescent="0.2">
      <c r="A5001" s="1">
        <v>45890</v>
      </c>
      <c r="B5001" s="2" t="s">
        <v>29</v>
      </c>
      <c r="C5001" s="2" t="s">
        <v>18</v>
      </c>
      <c r="D5001" s="2" t="s">
        <v>36</v>
      </c>
      <c r="E5001">
        <v>15054</v>
      </c>
      <c r="F5001">
        <v>419</v>
      </c>
      <c r="G5001">
        <v>22</v>
      </c>
      <c r="H5001">
        <v>774.05</v>
      </c>
      <c r="I5001">
        <v>2268.21</v>
      </c>
      <c r="J5001">
        <v>2.78</v>
      </c>
      <c r="K5001">
        <v>5.25</v>
      </c>
      <c r="L5001">
        <v>35.18</v>
      </c>
      <c r="M5001">
        <v>2.93</v>
      </c>
      <c r="N5001">
        <v>1494.16</v>
      </c>
    </row>
    <row r="5002" spans="1:14" x14ac:dyDescent="0.2">
      <c r="A5002" s="1">
        <v>45890</v>
      </c>
      <c r="B5002" s="2" t="s">
        <v>30</v>
      </c>
      <c r="C5002" s="2" t="s">
        <v>35</v>
      </c>
      <c r="D5002" s="2" t="s">
        <v>16</v>
      </c>
      <c r="E5002">
        <v>8745</v>
      </c>
      <c r="F5002">
        <v>217</v>
      </c>
      <c r="G5002">
        <v>9</v>
      </c>
      <c r="H5002">
        <v>656.96</v>
      </c>
      <c r="I5002">
        <v>767.07</v>
      </c>
      <c r="J5002">
        <v>2.48</v>
      </c>
      <c r="K5002">
        <v>4.1500000000000004</v>
      </c>
      <c r="L5002">
        <v>73</v>
      </c>
      <c r="M5002">
        <v>1.17</v>
      </c>
      <c r="N5002">
        <v>110.11</v>
      </c>
    </row>
    <row r="5003" spans="1:14" x14ac:dyDescent="0.2">
      <c r="A5003" s="1">
        <v>45890</v>
      </c>
      <c r="B5003" s="2" t="s">
        <v>31</v>
      </c>
      <c r="C5003" s="2" t="s">
        <v>21</v>
      </c>
      <c r="D5003" s="2" t="s">
        <v>16</v>
      </c>
      <c r="E5003">
        <v>22726</v>
      </c>
      <c r="F5003">
        <v>864</v>
      </c>
      <c r="G5003">
        <v>27</v>
      </c>
      <c r="H5003">
        <v>758.65</v>
      </c>
      <c r="I5003">
        <v>1863.28</v>
      </c>
      <c r="J5003">
        <v>3.8</v>
      </c>
      <c r="K5003">
        <v>3.12</v>
      </c>
      <c r="L5003">
        <v>28.1</v>
      </c>
      <c r="M5003">
        <v>2.46</v>
      </c>
      <c r="N5003">
        <v>1104.6300000000001</v>
      </c>
    </row>
    <row r="5004" spans="1:14" x14ac:dyDescent="0.2">
      <c r="A5004" s="1">
        <v>45890</v>
      </c>
      <c r="B5004" s="2" t="s">
        <v>33</v>
      </c>
      <c r="C5004" s="2" t="s">
        <v>28</v>
      </c>
      <c r="D5004" s="2" t="s">
        <v>16</v>
      </c>
      <c r="E5004">
        <v>4623</v>
      </c>
      <c r="F5004">
        <v>193</v>
      </c>
      <c r="G5004">
        <v>21</v>
      </c>
      <c r="H5004">
        <v>306.02999999999997</v>
      </c>
      <c r="I5004">
        <v>2433.98</v>
      </c>
      <c r="J5004">
        <v>4.17</v>
      </c>
      <c r="K5004">
        <v>10.88</v>
      </c>
      <c r="L5004">
        <v>14.57</v>
      </c>
      <c r="M5004">
        <v>7.95</v>
      </c>
      <c r="N5004">
        <v>2127.9499999999998</v>
      </c>
    </row>
    <row r="5005" spans="1:14" x14ac:dyDescent="0.2">
      <c r="A5005" s="1">
        <v>45890</v>
      </c>
      <c r="B5005" s="2" t="s">
        <v>34</v>
      </c>
      <c r="C5005" s="2" t="s">
        <v>35</v>
      </c>
      <c r="D5005" s="2" t="s">
        <v>25</v>
      </c>
      <c r="E5005">
        <v>4770</v>
      </c>
      <c r="F5005">
        <v>443</v>
      </c>
      <c r="G5005">
        <v>59</v>
      </c>
      <c r="H5005">
        <v>51.67</v>
      </c>
      <c r="I5005">
        <v>9100.61</v>
      </c>
      <c r="J5005">
        <v>9.2899999999999991</v>
      </c>
      <c r="K5005">
        <v>13.32</v>
      </c>
      <c r="L5005">
        <v>0.88</v>
      </c>
      <c r="M5005">
        <v>176.13</v>
      </c>
      <c r="N5005">
        <v>9048.94</v>
      </c>
    </row>
    <row r="5006" spans="1:14" x14ac:dyDescent="0.2">
      <c r="A5006" s="1">
        <v>45891</v>
      </c>
      <c r="B5006" s="2" t="s">
        <v>14</v>
      </c>
      <c r="C5006" s="2" t="s">
        <v>15</v>
      </c>
      <c r="D5006" s="2" t="s">
        <v>36</v>
      </c>
      <c r="E5006">
        <v>7989</v>
      </c>
      <c r="F5006">
        <v>325</v>
      </c>
      <c r="G5006">
        <v>35</v>
      </c>
      <c r="H5006">
        <v>781.57</v>
      </c>
      <c r="I5006">
        <v>5222.8999999999996</v>
      </c>
      <c r="J5006">
        <v>4.07</v>
      </c>
      <c r="K5006">
        <v>10.77</v>
      </c>
      <c r="L5006">
        <v>22.33</v>
      </c>
      <c r="M5006">
        <v>6.68</v>
      </c>
      <c r="N5006">
        <v>4441.33</v>
      </c>
    </row>
    <row r="5007" spans="1:14" x14ac:dyDescent="0.2">
      <c r="A5007" s="1">
        <v>45891</v>
      </c>
      <c r="B5007" s="2" t="s">
        <v>17</v>
      </c>
      <c r="C5007" s="2" t="s">
        <v>18</v>
      </c>
      <c r="D5007" s="2" t="s">
        <v>16</v>
      </c>
      <c r="E5007">
        <v>10462</v>
      </c>
      <c r="F5007">
        <v>256</v>
      </c>
      <c r="G5007">
        <v>17</v>
      </c>
      <c r="H5007">
        <v>671.9</v>
      </c>
      <c r="I5007">
        <v>2328.16</v>
      </c>
      <c r="J5007">
        <v>2.4500000000000002</v>
      </c>
      <c r="K5007">
        <v>6.64</v>
      </c>
      <c r="L5007">
        <v>39.520000000000003</v>
      </c>
      <c r="M5007">
        <v>3.47</v>
      </c>
      <c r="N5007">
        <v>1656.26</v>
      </c>
    </row>
    <row r="5008" spans="1:14" x14ac:dyDescent="0.2">
      <c r="A5008" s="1">
        <v>45891</v>
      </c>
      <c r="B5008" s="2" t="s">
        <v>20</v>
      </c>
      <c r="C5008" s="2" t="s">
        <v>15</v>
      </c>
      <c r="D5008" s="2" t="s">
        <v>16</v>
      </c>
      <c r="E5008">
        <v>11790</v>
      </c>
      <c r="F5008">
        <v>323</v>
      </c>
      <c r="G5008">
        <v>24</v>
      </c>
      <c r="H5008">
        <v>544.79999999999995</v>
      </c>
      <c r="I5008">
        <v>2415.0100000000002</v>
      </c>
      <c r="J5008">
        <v>2.74</v>
      </c>
      <c r="K5008">
        <v>7.43</v>
      </c>
      <c r="L5008">
        <v>22.7</v>
      </c>
      <c r="M5008">
        <v>4.43</v>
      </c>
      <c r="N5008">
        <v>1870.21</v>
      </c>
    </row>
    <row r="5009" spans="1:14" x14ac:dyDescent="0.2">
      <c r="A5009" s="1">
        <v>45891</v>
      </c>
      <c r="B5009" s="2" t="s">
        <v>23</v>
      </c>
      <c r="C5009" s="2" t="s">
        <v>32</v>
      </c>
      <c r="D5009" s="2" t="s">
        <v>16</v>
      </c>
      <c r="E5009">
        <v>4300</v>
      </c>
      <c r="F5009">
        <v>97</v>
      </c>
      <c r="G5009">
        <v>10</v>
      </c>
      <c r="H5009">
        <v>885.96</v>
      </c>
      <c r="I5009">
        <v>2322.7800000000002</v>
      </c>
      <c r="J5009">
        <v>2.2599999999999998</v>
      </c>
      <c r="K5009">
        <v>10.31</v>
      </c>
      <c r="L5009">
        <v>88.6</v>
      </c>
      <c r="M5009">
        <v>2.62</v>
      </c>
      <c r="N5009">
        <v>1436.82</v>
      </c>
    </row>
    <row r="5010" spans="1:14" x14ac:dyDescent="0.2">
      <c r="A5010" s="1">
        <v>45891</v>
      </c>
      <c r="B5010" s="2" t="s">
        <v>24</v>
      </c>
      <c r="C5010" s="2" t="s">
        <v>35</v>
      </c>
      <c r="D5010" s="2" t="s">
        <v>36</v>
      </c>
      <c r="E5010">
        <v>18051</v>
      </c>
      <c r="F5010">
        <v>4427</v>
      </c>
      <c r="G5010">
        <v>588</v>
      </c>
      <c r="H5010">
        <v>149.56</v>
      </c>
      <c r="I5010">
        <v>75039.95</v>
      </c>
      <c r="J5010">
        <v>24.52</v>
      </c>
      <c r="K5010">
        <v>13.28</v>
      </c>
      <c r="L5010">
        <v>0.25</v>
      </c>
      <c r="M5010">
        <v>501.74</v>
      </c>
      <c r="N5010">
        <v>74890.39</v>
      </c>
    </row>
    <row r="5011" spans="1:14" x14ac:dyDescent="0.2">
      <c r="A5011" s="1">
        <v>45891</v>
      </c>
      <c r="B5011" s="2" t="s">
        <v>26</v>
      </c>
      <c r="C5011" s="2" t="s">
        <v>28</v>
      </c>
      <c r="D5011" s="2" t="s">
        <v>16</v>
      </c>
      <c r="E5011">
        <v>22662</v>
      </c>
      <c r="F5011">
        <v>923</v>
      </c>
      <c r="G5011">
        <v>136</v>
      </c>
      <c r="H5011">
        <v>0</v>
      </c>
      <c r="I5011">
        <v>15388.6</v>
      </c>
      <c r="J5011">
        <v>4.07</v>
      </c>
      <c r="K5011">
        <v>14.73</v>
      </c>
      <c r="L5011">
        <v>0</v>
      </c>
      <c r="M5011">
        <v>0</v>
      </c>
      <c r="N5011">
        <v>15388.6</v>
      </c>
    </row>
    <row r="5012" spans="1:14" x14ac:dyDescent="0.2">
      <c r="A5012" s="1">
        <v>45891</v>
      </c>
      <c r="B5012" s="2" t="s">
        <v>27</v>
      </c>
      <c r="C5012" s="2" t="s">
        <v>32</v>
      </c>
      <c r="D5012" s="2" t="s">
        <v>36</v>
      </c>
      <c r="E5012">
        <v>28238</v>
      </c>
      <c r="F5012">
        <v>426</v>
      </c>
      <c r="G5012">
        <v>14</v>
      </c>
      <c r="H5012">
        <v>682.75</v>
      </c>
      <c r="I5012">
        <v>1382.58</v>
      </c>
      <c r="J5012">
        <v>1.51</v>
      </c>
      <c r="K5012">
        <v>3.29</v>
      </c>
      <c r="L5012">
        <v>48.77</v>
      </c>
      <c r="M5012">
        <v>2.0299999999999998</v>
      </c>
      <c r="N5012">
        <v>699.83</v>
      </c>
    </row>
    <row r="5013" spans="1:14" x14ac:dyDescent="0.2">
      <c r="A5013" s="1">
        <v>45891</v>
      </c>
      <c r="B5013" s="2" t="s">
        <v>29</v>
      </c>
      <c r="C5013" s="2" t="s">
        <v>21</v>
      </c>
      <c r="D5013" s="2" t="s">
        <v>25</v>
      </c>
      <c r="E5013">
        <v>20149</v>
      </c>
      <c r="F5013">
        <v>566</v>
      </c>
      <c r="G5013">
        <v>34</v>
      </c>
      <c r="H5013">
        <v>1122.6500000000001</v>
      </c>
      <c r="I5013">
        <v>3545.24</v>
      </c>
      <c r="J5013">
        <v>2.81</v>
      </c>
      <c r="K5013">
        <v>6.01</v>
      </c>
      <c r="L5013">
        <v>33.020000000000003</v>
      </c>
      <c r="M5013">
        <v>3.16</v>
      </c>
      <c r="N5013">
        <v>2422.59</v>
      </c>
    </row>
    <row r="5014" spans="1:14" x14ac:dyDescent="0.2">
      <c r="A5014" s="1">
        <v>45891</v>
      </c>
      <c r="B5014" s="2" t="s">
        <v>30</v>
      </c>
      <c r="C5014" s="2" t="s">
        <v>15</v>
      </c>
      <c r="D5014" s="2" t="s">
        <v>25</v>
      </c>
      <c r="E5014">
        <v>7343</v>
      </c>
      <c r="F5014">
        <v>173</v>
      </c>
      <c r="G5014">
        <v>6</v>
      </c>
      <c r="H5014">
        <v>675.93</v>
      </c>
      <c r="I5014">
        <v>489.34</v>
      </c>
      <c r="J5014">
        <v>2.36</v>
      </c>
      <c r="K5014">
        <v>3.47</v>
      </c>
      <c r="L5014">
        <v>112.65</v>
      </c>
      <c r="M5014">
        <v>0.72</v>
      </c>
      <c r="N5014">
        <v>-186.59</v>
      </c>
    </row>
    <row r="5015" spans="1:14" x14ac:dyDescent="0.2">
      <c r="A5015" s="1">
        <v>45891</v>
      </c>
      <c r="B5015" s="2" t="s">
        <v>31</v>
      </c>
      <c r="C5015" s="2" t="s">
        <v>18</v>
      </c>
      <c r="D5015" s="2" t="s">
        <v>36</v>
      </c>
      <c r="E5015">
        <v>23269</v>
      </c>
      <c r="F5015">
        <v>749</v>
      </c>
      <c r="G5015">
        <v>28</v>
      </c>
      <c r="H5015">
        <v>573.65</v>
      </c>
      <c r="I5015">
        <v>2052.62</v>
      </c>
      <c r="J5015">
        <v>3.22</v>
      </c>
      <c r="K5015">
        <v>3.74</v>
      </c>
      <c r="L5015">
        <v>20.49</v>
      </c>
      <c r="M5015">
        <v>3.58</v>
      </c>
      <c r="N5015">
        <v>1478.97</v>
      </c>
    </row>
    <row r="5016" spans="1:14" x14ac:dyDescent="0.2">
      <c r="A5016" s="1">
        <v>45891</v>
      </c>
      <c r="B5016" s="2" t="s">
        <v>33</v>
      </c>
      <c r="C5016" s="2" t="s">
        <v>28</v>
      </c>
      <c r="D5016" s="2" t="s">
        <v>36</v>
      </c>
      <c r="E5016">
        <v>7494</v>
      </c>
      <c r="F5016">
        <v>487</v>
      </c>
      <c r="G5016">
        <v>60</v>
      </c>
      <c r="H5016">
        <v>496.66</v>
      </c>
      <c r="I5016">
        <v>6681.51</v>
      </c>
      <c r="J5016">
        <v>6.5</v>
      </c>
      <c r="K5016">
        <v>12.32</v>
      </c>
      <c r="L5016">
        <v>8.2799999999999994</v>
      </c>
      <c r="M5016">
        <v>13.45</v>
      </c>
      <c r="N5016">
        <v>6184.85</v>
      </c>
    </row>
    <row r="5017" spans="1:14" x14ac:dyDescent="0.2">
      <c r="A5017" s="1">
        <v>45891</v>
      </c>
      <c r="B5017" s="2" t="s">
        <v>34</v>
      </c>
      <c r="C5017" s="2" t="s">
        <v>28</v>
      </c>
      <c r="D5017" s="2" t="s">
        <v>25</v>
      </c>
      <c r="E5017">
        <v>4148</v>
      </c>
      <c r="F5017">
        <v>228</v>
      </c>
      <c r="G5017">
        <v>31</v>
      </c>
      <c r="H5017">
        <v>54.57</v>
      </c>
      <c r="I5017">
        <v>5155.08</v>
      </c>
      <c r="J5017">
        <v>5.5</v>
      </c>
      <c r="K5017">
        <v>13.6</v>
      </c>
      <c r="L5017">
        <v>1.76</v>
      </c>
      <c r="M5017">
        <v>94.47</v>
      </c>
      <c r="N5017">
        <v>5100.51</v>
      </c>
    </row>
    <row r="5018" spans="1:14" x14ac:dyDescent="0.2">
      <c r="A5018" s="1">
        <v>45892</v>
      </c>
      <c r="B5018" s="2" t="s">
        <v>14</v>
      </c>
      <c r="C5018" s="2" t="s">
        <v>32</v>
      </c>
      <c r="D5018" s="2" t="s">
        <v>16</v>
      </c>
      <c r="E5018">
        <v>8196</v>
      </c>
      <c r="F5018">
        <v>287</v>
      </c>
      <c r="G5018">
        <v>32</v>
      </c>
      <c r="H5018">
        <v>491.19</v>
      </c>
      <c r="I5018">
        <v>4976.7299999999996</v>
      </c>
      <c r="J5018">
        <v>3.5</v>
      </c>
      <c r="K5018">
        <v>11.15</v>
      </c>
      <c r="L5018">
        <v>15.35</v>
      </c>
      <c r="M5018">
        <v>10.130000000000001</v>
      </c>
      <c r="N5018">
        <v>4485.54</v>
      </c>
    </row>
    <row r="5019" spans="1:14" x14ac:dyDescent="0.2">
      <c r="A5019" s="1">
        <v>45892</v>
      </c>
      <c r="B5019" s="2" t="s">
        <v>17</v>
      </c>
      <c r="C5019" s="2" t="s">
        <v>35</v>
      </c>
      <c r="D5019" s="2" t="s">
        <v>16</v>
      </c>
      <c r="E5019">
        <v>11067</v>
      </c>
      <c r="F5019">
        <v>442</v>
      </c>
      <c r="G5019">
        <v>38</v>
      </c>
      <c r="H5019">
        <v>625.29</v>
      </c>
      <c r="I5019">
        <v>4012.6</v>
      </c>
      <c r="J5019">
        <v>3.99</v>
      </c>
      <c r="K5019">
        <v>8.6</v>
      </c>
      <c r="L5019">
        <v>16.45</v>
      </c>
      <c r="M5019">
        <v>6.42</v>
      </c>
      <c r="N5019">
        <v>3387.31</v>
      </c>
    </row>
    <row r="5020" spans="1:14" x14ac:dyDescent="0.2">
      <c r="A5020" s="1">
        <v>45892</v>
      </c>
      <c r="B5020" s="2" t="s">
        <v>20</v>
      </c>
      <c r="C5020" s="2" t="s">
        <v>28</v>
      </c>
      <c r="D5020" s="2" t="s">
        <v>25</v>
      </c>
      <c r="E5020">
        <v>9318</v>
      </c>
      <c r="F5020">
        <v>394</v>
      </c>
      <c r="G5020">
        <v>27</v>
      </c>
      <c r="H5020">
        <v>331.13</v>
      </c>
      <c r="I5020">
        <v>2302.5700000000002</v>
      </c>
      <c r="J5020">
        <v>4.2300000000000004</v>
      </c>
      <c r="K5020">
        <v>6.85</v>
      </c>
      <c r="L5020">
        <v>12.26</v>
      </c>
      <c r="M5020">
        <v>6.95</v>
      </c>
      <c r="N5020">
        <v>1971.44</v>
      </c>
    </row>
    <row r="5021" spans="1:14" x14ac:dyDescent="0.2">
      <c r="A5021" s="1">
        <v>45892</v>
      </c>
      <c r="B5021" s="2" t="s">
        <v>23</v>
      </c>
      <c r="C5021" s="2" t="s">
        <v>35</v>
      </c>
      <c r="D5021" s="2" t="s">
        <v>25</v>
      </c>
      <c r="E5021">
        <v>3155</v>
      </c>
      <c r="F5021">
        <v>83</v>
      </c>
      <c r="G5021">
        <v>8</v>
      </c>
      <c r="H5021">
        <v>995.66</v>
      </c>
      <c r="I5021">
        <v>2673.13</v>
      </c>
      <c r="J5021">
        <v>2.63</v>
      </c>
      <c r="K5021">
        <v>9.64</v>
      </c>
      <c r="L5021">
        <v>124.46</v>
      </c>
      <c r="M5021">
        <v>2.68</v>
      </c>
      <c r="N5021">
        <v>1677.47</v>
      </c>
    </row>
    <row r="5022" spans="1:14" x14ac:dyDescent="0.2">
      <c r="A5022" s="1">
        <v>45892</v>
      </c>
      <c r="B5022" s="2" t="s">
        <v>24</v>
      </c>
      <c r="C5022" s="2" t="s">
        <v>21</v>
      </c>
      <c r="D5022" s="2" t="s">
        <v>16</v>
      </c>
      <c r="E5022">
        <v>9994</v>
      </c>
      <c r="F5022">
        <v>1695</v>
      </c>
      <c r="G5022">
        <v>190</v>
      </c>
      <c r="H5022">
        <v>80.72</v>
      </c>
      <c r="I5022">
        <v>22593.35</v>
      </c>
      <c r="J5022">
        <v>16.96</v>
      </c>
      <c r="K5022">
        <v>11.21</v>
      </c>
      <c r="L5022">
        <v>0.42</v>
      </c>
      <c r="M5022">
        <v>279.89999999999998</v>
      </c>
      <c r="N5022">
        <v>22512.63</v>
      </c>
    </row>
    <row r="5023" spans="1:14" x14ac:dyDescent="0.2">
      <c r="A5023" s="1">
        <v>45892</v>
      </c>
      <c r="B5023" s="2" t="s">
        <v>26</v>
      </c>
      <c r="C5023" s="2" t="s">
        <v>18</v>
      </c>
      <c r="D5023" s="2" t="s">
        <v>16</v>
      </c>
      <c r="E5023">
        <v>16607</v>
      </c>
      <c r="F5023">
        <v>1214</v>
      </c>
      <c r="G5023">
        <v>162</v>
      </c>
      <c r="H5023">
        <v>0</v>
      </c>
      <c r="I5023">
        <v>17829.02</v>
      </c>
      <c r="J5023">
        <v>7.31</v>
      </c>
      <c r="K5023">
        <v>13.34</v>
      </c>
      <c r="L5023">
        <v>0</v>
      </c>
      <c r="M5023">
        <v>0</v>
      </c>
      <c r="N5023">
        <v>17829.02</v>
      </c>
    </row>
    <row r="5024" spans="1:14" x14ac:dyDescent="0.2">
      <c r="A5024" s="1">
        <v>45892</v>
      </c>
      <c r="B5024" s="2" t="s">
        <v>27</v>
      </c>
      <c r="C5024" s="2" t="s">
        <v>32</v>
      </c>
      <c r="D5024" s="2" t="s">
        <v>16</v>
      </c>
      <c r="E5024">
        <v>17034</v>
      </c>
      <c r="F5024">
        <v>202</v>
      </c>
      <c r="G5024">
        <v>8</v>
      </c>
      <c r="H5024">
        <v>606.45000000000005</v>
      </c>
      <c r="I5024">
        <v>1035.04</v>
      </c>
      <c r="J5024">
        <v>1.19</v>
      </c>
      <c r="K5024">
        <v>3.96</v>
      </c>
      <c r="L5024">
        <v>75.81</v>
      </c>
      <c r="M5024">
        <v>1.71</v>
      </c>
      <c r="N5024">
        <v>428.59</v>
      </c>
    </row>
    <row r="5025" spans="1:14" x14ac:dyDescent="0.2">
      <c r="A5025" s="1">
        <v>45892</v>
      </c>
      <c r="B5025" s="2" t="s">
        <v>29</v>
      </c>
      <c r="C5025" s="2" t="s">
        <v>32</v>
      </c>
      <c r="D5025" s="2" t="s">
        <v>22</v>
      </c>
      <c r="E5025">
        <v>9766</v>
      </c>
      <c r="F5025">
        <v>207</v>
      </c>
      <c r="G5025">
        <v>15</v>
      </c>
      <c r="H5025">
        <v>717.76</v>
      </c>
      <c r="I5025">
        <v>1650.18</v>
      </c>
      <c r="J5025">
        <v>2.12</v>
      </c>
      <c r="K5025">
        <v>7.25</v>
      </c>
      <c r="L5025">
        <v>47.85</v>
      </c>
      <c r="M5025">
        <v>2.2999999999999998</v>
      </c>
      <c r="N5025">
        <v>932.42</v>
      </c>
    </row>
    <row r="5026" spans="1:14" x14ac:dyDescent="0.2">
      <c r="A5026" s="1">
        <v>45892</v>
      </c>
      <c r="B5026" s="2" t="s">
        <v>30</v>
      </c>
      <c r="C5026" s="2" t="s">
        <v>32</v>
      </c>
      <c r="D5026" s="2" t="s">
        <v>22</v>
      </c>
      <c r="E5026">
        <v>6940</v>
      </c>
      <c r="F5026">
        <v>163</v>
      </c>
      <c r="G5026">
        <v>6</v>
      </c>
      <c r="H5026">
        <v>297.81</v>
      </c>
      <c r="I5026">
        <v>539.6</v>
      </c>
      <c r="J5026">
        <v>2.35</v>
      </c>
      <c r="K5026">
        <v>3.68</v>
      </c>
      <c r="L5026">
        <v>49.64</v>
      </c>
      <c r="M5026">
        <v>1.81</v>
      </c>
      <c r="N5026">
        <v>241.79</v>
      </c>
    </row>
    <row r="5027" spans="1:14" x14ac:dyDescent="0.2">
      <c r="A5027" s="1">
        <v>45892</v>
      </c>
      <c r="B5027" s="2" t="s">
        <v>31</v>
      </c>
      <c r="C5027" s="2" t="s">
        <v>15</v>
      </c>
      <c r="D5027" s="2" t="s">
        <v>25</v>
      </c>
      <c r="E5027">
        <v>12548</v>
      </c>
      <c r="F5027">
        <v>526</v>
      </c>
      <c r="G5027">
        <v>34</v>
      </c>
      <c r="H5027">
        <v>445.01</v>
      </c>
      <c r="I5027">
        <v>3020.75</v>
      </c>
      <c r="J5027">
        <v>4.1900000000000004</v>
      </c>
      <c r="K5027">
        <v>6.46</v>
      </c>
      <c r="L5027">
        <v>13.09</v>
      </c>
      <c r="M5027">
        <v>6.79</v>
      </c>
      <c r="N5027">
        <v>2575.7399999999998</v>
      </c>
    </row>
    <row r="5028" spans="1:14" x14ac:dyDescent="0.2">
      <c r="A5028" s="1">
        <v>45892</v>
      </c>
      <c r="B5028" s="2" t="s">
        <v>33</v>
      </c>
      <c r="C5028" s="2" t="s">
        <v>35</v>
      </c>
      <c r="D5028" s="2" t="s">
        <v>19</v>
      </c>
      <c r="E5028">
        <v>4671</v>
      </c>
      <c r="F5028">
        <v>274</v>
      </c>
      <c r="G5028">
        <v>24</v>
      </c>
      <c r="H5028">
        <v>283.89999999999998</v>
      </c>
      <c r="I5028">
        <v>2310.37</v>
      </c>
      <c r="J5028">
        <v>5.87</v>
      </c>
      <c r="K5028">
        <v>8.76</v>
      </c>
      <c r="L5028">
        <v>11.83</v>
      </c>
      <c r="M5028">
        <v>8.14</v>
      </c>
      <c r="N5028">
        <v>2026.47</v>
      </c>
    </row>
    <row r="5029" spans="1:14" x14ac:dyDescent="0.2">
      <c r="A5029" s="1">
        <v>45892</v>
      </c>
      <c r="B5029" s="2" t="s">
        <v>34</v>
      </c>
      <c r="C5029" s="2" t="s">
        <v>28</v>
      </c>
      <c r="D5029" s="2" t="s">
        <v>36</v>
      </c>
      <c r="E5029">
        <v>2539</v>
      </c>
      <c r="F5029">
        <v>189</v>
      </c>
      <c r="G5029">
        <v>29</v>
      </c>
      <c r="H5029">
        <v>99.49</v>
      </c>
      <c r="I5029">
        <v>5228.07</v>
      </c>
      <c r="J5029">
        <v>7.44</v>
      </c>
      <c r="K5029">
        <v>15.34</v>
      </c>
      <c r="L5029">
        <v>3.43</v>
      </c>
      <c r="M5029">
        <v>52.55</v>
      </c>
      <c r="N5029">
        <v>5128.58</v>
      </c>
    </row>
    <row r="5030" spans="1:14" x14ac:dyDescent="0.2">
      <c r="A5030" s="1">
        <v>45893</v>
      </c>
      <c r="B5030" s="2" t="s">
        <v>14</v>
      </c>
      <c r="C5030" s="2" t="s">
        <v>15</v>
      </c>
      <c r="D5030" s="2" t="s">
        <v>25</v>
      </c>
      <c r="E5030">
        <v>7823</v>
      </c>
      <c r="F5030">
        <v>320</v>
      </c>
      <c r="G5030">
        <v>31</v>
      </c>
      <c r="H5030">
        <v>834.44</v>
      </c>
      <c r="I5030">
        <v>5868.45</v>
      </c>
      <c r="J5030">
        <v>4.09</v>
      </c>
      <c r="K5030">
        <v>9.69</v>
      </c>
      <c r="L5030">
        <v>26.92</v>
      </c>
      <c r="M5030">
        <v>7.03</v>
      </c>
      <c r="N5030">
        <v>5034.01</v>
      </c>
    </row>
    <row r="5031" spans="1:14" x14ac:dyDescent="0.2">
      <c r="A5031" s="1">
        <v>45893</v>
      </c>
      <c r="B5031" s="2" t="s">
        <v>17</v>
      </c>
      <c r="C5031" s="2" t="s">
        <v>28</v>
      </c>
      <c r="D5031" s="2" t="s">
        <v>22</v>
      </c>
      <c r="E5031">
        <v>9320</v>
      </c>
      <c r="F5031">
        <v>330</v>
      </c>
      <c r="G5031">
        <v>20</v>
      </c>
      <c r="H5031">
        <v>590.71</v>
      </c>
      <c r="I5031">
        <v>2021.03</v>
      </c>
      <c r="J5031">
        <v>3.54</v>
      </c>
      <c r="K5031">
        <v>6.06</v>
      </c>
      <c r="L5031">
        <v>29.54</v>
      </c>
      <c r="M5031">
        <v>3.42</v>
      </c>
      <c r="N5031">
        <v>1430.32</v>
      </c>
    </row>
    <row r="5032" spans="1:14" x14ac:dyDescent="0.2">
      <c r="A5032" s="1">
        <v>45893</v>
      </c>
      <c r="B5032" s="2" t="s">
        <v>20</v>
      </c>
      <c r="C5032" s="2" t="s">
        <v>21</v>
      </c>
      <c r="D5032" s="2" t="s">
        <v>22</v>
      </c>
      <c r="E5032">
        <v>6398</v>
      </c>
      <c r="F5032">
        <v>261</v>
      </c>
      <c r="G5032">
        <v>20</v>
      </c>
      <c r="H5032">
        <v>422.82</v>
      </c>
      <c r="I5032">
        <v>2077.06</v>
      </c>
      <c r="J5032">
        <v>4.08</v>
      </c>
      <c r="K5032">
        <v>7.66</v>
      </c>
      <c r="L5032">
        <v>21.14</v>
      </c>
      <c r="M5032">
        <v>4.91</v>
      </c>
      <c r="N5032">
        <v>1654.24</v>
      </c>
    </row>
    <row r="5033" spans="1:14" x14ac:dyDescent="0.2">
      <c r="A5033" s="1">
        <v>45893</v>
      </c>
      <c r="B5033" s="2" t="s">
        <v>23</v>
      </c>
      <c r="C5033" s="2" t="s">
        <v>18</v>
      </c>
      <c r="D5033" s="2" t="s">
        <v>16</v>
      </c>
      <c r="E5033">
        <v>3259</v>
      </c>
      <c r="F5033">
        <v>53</v>
      </c>
      <c r="G5033">
        <v>5</v>
      </c>
      <c r="H5033">
        <v>764.56</v>
      </c>
      <c r="I5033">
        <v>1810.25</v>
      </c>
      <c r="J5033">
        <v>1.63</v>
      </c>
      <c r="K5033">
        <v>9.43</v>
      </c>
      <c r="L5033">
        <v>152.91</v>
      </c>
      <c r="M5033">
        <v>2.37</v>
      </c>
      <c r="N5033">
        <v>1045.69</v>
      </c>
    </row>
    <row r="5034" spans="1:14" x14ac:dyDescent="0.2">
      <c r="A5034" s="1">
        <v>45893</v>
      </c>
      <c r="B5034" s="2" t="s">
        <v>24</v>
      </c>
      <c r="C5034" s="2" t="s">
        <v>21</v>
      </c>
      <c r="D5034" s="2" t="s">
        <v>19</v>
      </c>
      <c r="E5034">
        <v>14335</v>
      </c>
      <c r="F5034">
        <v>3344</v>
      </c>
      <c r="G5034">
        <v>329</v>
      </c>
      <c r="H5034">
        <v>169.2</v>
      </c>
      <c r="I5034">
        <v>43194.74</v>
      </c>
      <c r="J5034">
        <v>23.33</v>
      </c>
      <c r="K5034">
        <v>9.84</v>
      </c>
      <c r="L5034">
        <v>0.51</v>
      </c>
      <c r="M5034">
        <v>255.29</v>
      </c>
      <c r="N5034">
        <v>43025.54</v>
      </c>
    </row>
    <row r="5035" spans="1:14" x14ac:dyDescent="0.2">
      <c r="A5035" s="1">
        <v>45893</v>
      </c>
      <c r="B5035" s="2" t="s">
        <v>26</v>
      </c>
      <c r="C5035" s="2" t="s">
        <v>32</v>
      </c>
      <c r="D5035" s="2" t="s">
        <v>36</v>
      </c>
      <c r="E5035">
        <v>14406</v>
      </c>
      <c r="F5035">
        <v>714</v>
      </c>
      <c r="G5035">
        <v>73</v>
      </c>
      <c r="H5035">
        <v>0</v>
      </c>
      <c r="I5035">
        <v>10170.81</v>
      </c>
      <c r="J5035">
        <v>4.96</v>
      </c>
      <c r="K5035">
        <v>10.220000000000001</v>
      </c>
      <c r="L5035">
        <v>0</v>
      </c>
      <c r="M5035">
        <v>0</v>
      </c>
      <c r="N5035">
        <v>10170.81</v>
      </c>
    </row>
    <row r="5036" spans="1:14" x14ac:dyDescent="0.2">
      <c r="A5036" s="1">
        <v>45893</v>
      </c>
      <c r="B5036" s="2" t="s">
        <v>27</v>
      </c>
      <c r="C5036" s="2" t="s">
        <v>32</v>
      </c>
      <c r="D5036" s="2" t="s">
        <v>19</v>
      </c>
      <c r="E5036">
        <v>15825</v>
      </c>
      <c r="F5036">
        <v>212</v>
      </c>
      <c r="G5036">
        <v>7</v>
      </c>
      <c r="H5036">
        <v>465.55</v>
      </c>
      <c r="I5036">
        <v>629.34</v>
      </c>
      <c r="J5036">
        <v>1.34</v>
      </c>
      <c r="K5036">
        <v>3.3</v>
      </c>
      <c r="L5036">
        <v>66.510000000000005</v>
      </c>
      <c r="M5036">
        <v>1.35</v>
      </c>
      <c r="N5036">
        <v>163.79</v>
      </c>
    </row>
    <row r="5037" spans="1:14" x14ac:dyDescent="0.2">
      <c r="A5037" s="1">
        <v>45893</v>
      </c>
      <c r="B5037" s="2" t="s">
        <v>29</v>
      </c>
      <c r="C5037" s="2" t="s">
        <v>35</v>
      </c>
      <c r="D5037" s="2" t="s">
        <v>25</v>
      </c>
      <c r="E5037">
        <v>12663</v>
      </c>
      <c r="F5037">
        <v>204</v>
      </c>
      <c r="G5037">
        <v>14</v>
      </c>
      <c r="H5037">
        <v>687.16</v>
      </c>
      <c r="I5037">
        <v>1791.61</v>
      </c>
      <c r="J5037">
        <v>1.61</v>
      </c>
      <c r="K5037">
        <v>6.86</v>
      </c>
      <c r="L5037">
        <v>49.08</v>
      </c>
      <c r="M5037">
        <v>2.61</v>
      </c>
      <c r="N5037">
        <v>1104.45</v>
      </c>
    </row>
    <row r="5038" spans="1:14" x14ac:dyDescent="0.2">
      <c r="A5038" s="1">
        <v>45893</v>
      </c>
      <c r="B5038" s="2" t="s">
        <v>30</v>
      </c>
      <c r="C5038" s="2" t="s">
        <v>32</v>
      </c>
      <c r="D5038" s="2" t="s">
        <v>22</v>
      </c>
      <c r="E5038">
        <v>6793</v>
      </c>
      <c r="F5038">
        <v>226</v>
      </c>
      <c r="G5038">
        <v>7</v>
      </c>
      <c r="H5038">
        <v>398.81</v>
      </c>
      <c r="I5038">
        <v>764.97</v>
      </c>
      <c r="J5038">
        <v>3.33</v>
      </c>
      <c r="K5038">
        <v>3.1</v>
      </c>
      <c r="L5038">
        <v>56.97</v>
      </c>
      <c r="M5038">
        <v>1.92</v>
      </c>
      <c r="N5038">
        <v>366.16</v>
      </c>
    </row>
    <row r="5039" spans="1:14" x14ac:dyDescent="0.2">
      <c r="A5039" s="1">
        <v>45893</v>
      </c>
      <c r="B5039" s="2" t="s">
        <v>31</v>
      </c>
      <c r="C5039" s="2" t="s">
        <v>21</v>
      </c>
      <c r="D5039" s="2" t="s">
        <v>36</v>
      </c>
      <c r="E5039">
        <v>14581</v>
      </c>
      <c r="F5039">
        <v>487</v>
      </c>
      <c r="G5039">
        <v>16</v>
      </c>
      <c r="H5039">
        <v>510.55</v>
      </c>
      <c r="I5039">
        <v>1282.71</v>
      </c>
      <c r="J5039">
        <v>3.34</v>
      </c>
      <c r="K5039">
        <v>3.29</v>
      </c>
      <c r="L5039">
        <v>31.91</v>
      </c>
      <c r="M5039">
        <v>2.5099999999999998</v>
      </c>
      <c r="N5039">
        <v>772.16</v>
      </c>
    </row>
    <row r="5040" spans="1:14" x14ac:dyDescent="0.2">
      <c r="A5040" s="1">
        <v>45893</v>
      </c>
      <c r="B5040" s="2" t="s">
        <v>33</v>
      </c>
      <c r="C5040" s="2" t="s">
        <v>35</v>
      </c>
      <c r="D5040" s="2" t="s">
        <v>25</v>
      </c>
      <c r="E5040">
        <v>4693</v>
      </c>
      <c r="F5040">
        <v>231</v>
      </c>
      <c r="G5040">
        <v>20</v>
      </c>
      <c r="H5040">
        <v>409.25</v>
      </c>
      <c r="I5040">
        <v>2176.4</v>
      </c>
      <c r="J5040">
        <v>4.92</v>
      </c>
      <c r="K5040">
        <v>8.66</v>
      </c>
      <c r="L5040">
        <v>20.46</v>
      </c>
      <c r="M5040">
        <v>5.32</v>
      </c>
      <c r="N5040">
        <v>1767.15</v>
      </c>
    </row>
    <row r="5041" spans="1:14" x14ac:dyDescent="0.2">
      <c r="A5041" s="1">
        <v>45893</v>
      </c>
      <c r="B5041" s="2" t="s">
        <v>34</v>
      </c>
      <c r="C5041" s="2" t="s">
        <v>35</v>
      </c>
      <c r="D5041" s="2" t="s">
        <v>19</v>
      </c>
      <c r="E5041">
        <v>3113</v>
      </c>
      <c r="F5041">
        <v>164</v>
      </c>
      <c r="G5041">
        <v>20</v>
      </c>
      <c r="H5041">
        <v>54.6</v>
      </c>
      <c r="I5041">
        <v>3462.6</v>
      </c>
      <c r="J5041">
        <v>5.27</v>
      </c>
      <c r="K5041">
        <v>12.2</v>
      </c>
      <c r="L5041">
        <v>2.73</v>
      </c>
      <c r="M5041">
        <v>63.42</v>
      </c>
      <c r="N5041">
        <v>3408</v>
      </c>
    </row>
    <row r="5042" spans="1:14" x14ac:dyDescent="0.2">
      <c r="A5042" s="1">
        <v>45894</v>
      </c>
      <c r="B5042" s="2" t="s">
        <v>14</v>
      </c>
      <c r="C5042" s="2" t="s">
        <v>35</v>
      </c>
      <c r="D5042" s="2" t="s">
        <v>16</v>
      </c>
      <c r="E5042">
        <v>11100</v>
      </c>
      <c r="F5042">
        <v>333</v>
      </c>
      <c r="G5042">
        <v>28</v>
      </c>
      <c r="H5042">
        <v>747.77</v>
      </c>
      <c r="I5042">
        <v>5042.25</v>
      </c>
      <c r="J5042">
        <v>3</v>
      </c>
      <c r="K5042">
        <v>8.41</v>
      </c>
      <c r="L5042">
        <v>26.71</v>
      </c>
      <c r="M5042">
        <v>6.74</v>
      </c>
      <c r="N5042">
        <v>4294.4799999999996</v>
      </c>
    </row>
    <row r="5043" spans="1:14" x14ac:dyDescent="0.2">
      <c r="A5043" s="1">
        <v>45894</v>
      </c>
      <c r="B5043" s="2" t="s">
        <v>17</v>
      </c>
      <c r="C5043" s="2" t="s">
        <v>32</v>
      </c>
      <c r="D5043" s="2" t="s">
        <v>25</v>
      </c>
      <c r="E5043">
        <v>11198</v>
      </c>
      <c r="F5043">
        <v>301</v>
      </c>
      <c r="G5043">
        <v>18</v>
      </c>
      <c r="H5043">
        <v>886.75</v>
      </c>
      <c r="I5043">
        <v>1889.32</v>
      </c>
      <c r="J5043">
        <v>2.69</v>
      </c>
      <c r="K5043">
        <v>5.98</v>
      </c>
      <c r="L5043">
        <v>49.26</v>
      </c>
      <c r="M5043">
        <v>2.13</v>
      </c>
      <c r="N5043">
        <v>1002.57</v>
      </c>
    </row>
    <row r="5044" spans="1:14" x14ac:dyDescent="0.2">
      <c r="A5044" s="1">
        <v>45894</v>
      </c>
      <c r="B5044" s="2" t="s">
        <v>20</v>
      </c>
      <c r="C5044" s="2" t="s">
        <v>15</v>
      </c>
      <c r="D5044" s="2" t="s">
        <v>22</v>
      </c>
      <c r="E5044">
        <v>13764</v>
      </c>
      <c r="F5044">
        <v>513</v>
      </c>
      <c r="G5044">
        <v>34</v>
      </c>
      <c r="H5044">
        <v>752.05</v>
      </c>
      <c r="I5044">
        <v>2996.44</v>
      </c>
      <c r="J5044">
        <v>3.73</v>
      </c>
      <c r="K5044">
        <v>6.63</v>
      </c>
      <c r="L5044">
        <v>22.12</v>
      </c>
      <c r="M5044">
        <v>3.98</v>
      </c>
      <c r="N5044">
        <v>2244.39</v>
      </c>
    </row>
    <row r="5045" spans="1:14" x14ac:dyDescent="0.2">
      <c r="A5045" s="1">
        <v>45894</v>
      </c>
      <c r="B5045" s="2" t="s">
        <v>23</v>
      </c>
      <c r="C5045" s="2" t="s">
        <v>18</v>
      </c>
      <c r="D5045" s="2" t="s">
        <v>22</v>
      </c>
      <c r="E5045">
        <v>3154</v>
      </c>
      <c r="F5045">
        <v>58</v>
      </c>
      <c r="G5045">
        <v>6</v>
      </c>
      <c r="H5045">
        <v>1091.3699999999999</v>
      </c>
      <c r="I5045">
        <v>1427.19</v>
      </c>
      <c r="J5045">
        <v>1.84</v>
      </c>
      <c r="K5045">
        <v>10.34</v>
      </c>
      <c r="L5045">
        <v>181.9</v>
      </c>
      <c r="M5045">
        <v>1.31</v>
      </c>
      <c r="N5045">
        <v>335.82</v>
      </c>
    </row>
    <row r="5046" spans="1:14" x14ac:dyDescent="0.2">
      <c r="A5046" s="1">
        <v>45894</v>
      </c>
      <c r="B5046" s="2" t="s">
        <v>24</v>
      </c>
      <c r="C5046" s="2" t="s">
        <v>32</v>
      </c>
      <c r="D5046" s="2" t="s">
        <v>25</v>
      </c>
      <c r="E5046">
        <v>18297</v>
      </c>
      <c r="F5046">
        <v>3761</v>
      </c>
      <c r="G5046">
        <v>368</v>
      </c>
      <c r="H5046">
        <v>236.28</v>
      </c>
      <c r="I5046">
        <v>59401.63</v>
      </c>
      <c r="J5046">
        <v>20.56</v>
      </c>
      <c r="K5046">
        <v>9.7799999999999994</v>
      </c>
      <c r="L5046">
        <v>0.64</v>
      </c>
      <c r="M5046">
        <v>251.4</v>
      </c>
      <c r="N5046">
        <v>59165.35</v>
      </c>
    </row>
    <row r="5047" spans="1:14" x14ac:dyDescent="0.2">
      <c r="A5047" s="1">
        <v>45894</v>
      </c>
      <c r="B5047" s="2" t="s">
        <v>26</v>
      </c>
      <c r="C5047" s="2" t="s">
        <v>18</v>
      </c>
      <c r="D5047" s="2" t="s">
        <v>36</v>
      </c>
      <c r="E5047">
        <v>23409</v>
      </c>
      <c r="F5047">
        <v>1648</v>
      </c>
      <c r="G5047">
        <v>251</v>
      </c>
      <c r="H5047">
        <v>0</v>
      </c>
      <c r="I5047">
        <v>29445.61</v>
      </c>
      <c r="J5047">
        <v>7.04</v>
      </c>
      <c r="K5047">
        <v>15.23</v>
      </c>
      <c r="L5047">
        <v>0</v>
      </c>
      <c r="M5047">
        <v>0</v>
      </c>
      <c r="N5047">
        <v>29445.61</v>
      </c>
    </row>
    <row r="5048" spans="1:14" x14ac:dyDescent="0.2">
      <c r="A5048" s="1">
        <v>45894</v>
      </c>
      <c r="B5048" s="2" t="s">
        <v>27</v>
      </c>
      <c r="C5048" s="2" t="s">
        <v>35</v>
      </c>
      <c r="D5048" s="2" t="s">
        <v>22</v>
      </c>
      <c r="E5048">
        <v>23801</v>
      </c>
      <c r="F5048">
        <v>465</v>
      </c>
      <c r="G5048">
        <v>19</v>
      </c>
      <c r="H5048">
        <v>989.55</v>
      </c>
      <c r="I5048">
        <v>2537.46</v>
      </c>
      <c r="J5048">
        <v>1.95</v>
      </c>
      <c r="K5048">
        <v>4.09</v>
      </c>
      <c r="L5048">
        <v>52.08</v>
      </c>
      <c r="M5048">
        <v>2.56</v>
      </c>
      <c r="N5048">
        <v>1547.91</v>
      </c>
    </row>
    <row r="5049" spans="1:14" x14ac:dyDescent="0.2">
      <c r="A5049" s="1">
        <v>45894</v>
      </c>
      <c r="B5049" s="2" t="s">
        <v>29</v>
      </c>
      <c r="C5049" s="2" t="s">
        <v>21</v>
      </c>
      <c r="D5049" s="2" t="s">
        <v>22</v>
      </c>
      <c r="E5049">
        <v>14280</v>
      </c>
      <c r="F5049">
        <v>363</v>
      </c>
      <c r="G5049">
        <v>17</v>
      </c>
      <c r="H5049">
        <v>987.31</v>
      </c>
      <c r="I5049">
        <v>1929.09</v>
      </c>
      <c r="J5049">
        <v>2.54</v>
      </c>
      <c r="K5049">
        <v>4.68</v>
      </c>
      <c r="L5049">
        <v>58.08</v>
      </c>
      <c r="M5049">
        <v>1.95</v>
      </c>
      <c r="N5049">
        <v>941.78</v>
      </c>
    </row>
    <row r="5050" spans="1:14" x14ac:dyDescent="0.2">
      <c r="A5050" s="1">
        <v>45894</v>
      </c>
      <c r="B5050" s="2" t="s">
        <v>30</v>
      </c>
      <c r="C5050" s="2" t="s">
        <v>18</v>
      </c>
      <c r="D5050" s="2" t="s">
        <v>19</v>
      </c>
      <c r="E5050">
        <v>10686</v>
      </c>
      <c r="F5050">
        <v>232</v>
      </c>
      <c r="G5050">
        <v>7</v>
      </c>
      <c r="H5050">
        <v>478.01</v>
      </c>
      <c r="I5050">
        <v>598.66999999999996</v>
      </c>
      <c r="J5050">
        <v>2.17</v>
      </c>
      <c r="K5050">
        <v>3.02</v>
      </c>
      <c r="L5050">
        <v>68.290000000000006</v>
      </c>
      <c r="M5050">
        <v>1.25</v>
      </c>
      <c r="N5050">
        <v>120.66</v>
      </c>
    </row>
    <row r="5051" spans="1:14" x14ac:dyDescent="0.2">
      <c r="A5051" s="1">
        <v>45894</v>
      </c>
      <c r="B5051" s="2" t="s">
        <v>31</v>
      </c>
      <c r="C5051" s="2" t="s">
        <v>21</v>
      </c>
      <c r="D5051" s="2" t="s">
        <v>36</v>
      </c>
      <c r="E5051">
        <v>17918</v>
      </c>
      <c r="F5051">
        <v>595</v>
      </c>
      <c r="G5051">
        <v>34</v>
      </c>
      <c r="H5051">
        <v>747.48</v>
      </c>
      <c r="I5051">
        <v>2751.97</v>
      </c>
      <c r="J5051">
        <v>3.32</v>
      </c>
      <c r="K5051">
        <v>5.71</v>
      </c>
      <c r="L5051">
        <v>21.98</v>
      </c>
      <c r="M5051">
        <v>3.68</v>
      </c>
      <c r="N5051">
        <v>2004.49</v>
      </c>
    </row>
    <row r="5052" spans="1:14" x14ac:dyDescent="0.2">
      <c r="A5052" s="1">
        <v>45894</v>
      </c>
      <c r="B5052" s="2" t="s">
        <v>33</v>
      </c>
      <c r="C5052" s="2" t="s">
        <v>15</v>
      </c>
      <c r="D5052" s="2" t="s">
        <v>36</v>
      </c>
      <c r="E5052">
        <v>6642</v>
      </c>
      <c r="F5052">
        <v>418</v>
      </c>
      <c r="G5052">
        <v>49</v>
      </c>
      <c r="H5052">
        <v>318.95</v>
      </c>
      <c r="I5052">
        <v>4990.75</v>
      </c>
      <c r="J5052">
        <v>6.29</v>
      </c>
      <c r="K5052">
        <v>11.72</v>
      </c>
      <c r="L5052">
        <v>6.51</v>
      </c>
      <c r="M5052">
        <v>15.65</v>
      </c>
      <c r="N5052">
        <v>4671.8</v>
      </c>
    </row>
    <row r="5053" spans="1:14" x14ac:dyDescent="0.2">
      <c r="A5053" s="1">
        <v>45894</v>
      </c>
      <c r="B5053" s="2" t="s">
        <v>34</v>
      </c>
      <c r="C5053" s="2" t="s">
        <v>32</v>
      </c>
      <c r="D5053" s="2" t="s">
        <v>19</v>
      </c>
      <c r="E5053">
        <v>3581</v>
      </c>
      <c r="F5053">
        <v>311</v>
      </c>
      <c r="G5053">
        <v>45</v>
      </c>
      <c r="H5053">
        <v>169.87</v>
      </c>
      <c r="I5053">
        <v>5679.25</v>
      </c>
      <c r="J5053">
        <v>8.68</v>
      </c>
      <c r="K5053">
        <v>14.47</v>
      </c>
      <c r="L5053">
        <v>3.77</v>
      </c>
      <c r="M5053">
        <v>33.43</v>
      </c>
      <c r="N5053">
        <v>5509.38</v>
      </c>
    </row>
    <row r="5054" spans="1:14" x14ac:dyDescent="0.2">
      <c r="A5054" s="1">
        <v>45895</v>
      </c>
      <c r="B5054" s="2" t="s">
        <v>14</v>
      </c>
      <c r="C5054" s="2" t="s">
        <v>32</v>
      </c>
      <c r="D5054" s="2" t="s">
        <v>25</v>
      </c>
      <c r="E5054">
        <v>9993</v>
      </c>
      <c r="F5054">
        <v>326</v>
      </c>
      <c r="G5054">
        <v>29</v>
      </c>
      <c r="H5054">
        <v>993.18</v>
      </c>
      <c r="I5054">
        <v>4881.72</v>
      </c>
      <c r="J5054">
        <v>3.26</v>
      </c>
      <c r="K5054">
        <v>8.9</v>
      </c>
      <c r="L5054">
        <v>34.25</v>
      </c>
      <c r="M5054">
        <v>4.92</v>
      </c>
      <c r="N5054">
        <v>3888.54</v>
      </c>
    </row>
    <row r="5055" spans="1:14" x14ac:dyDescent="0.2">
      <c r="A5055" s="1">
        <v>45895</v>
      </c>
      <c r="B5055" s="2" t="s">
        <v>17</v>
      </c>
      <c r="C5055" s="2" t="s">
        <v>35</v>
      </c>
      <c r="D5055" s="2" t="s">
        <v>25</v>
      </c>
      <c r="E5055">
        <v>13077</v>
      </c>
      <c r="F5055">
        <v>335</v>
      </c>
      <c r="G5055">
        <v>28</v>
      </c>
      <c r="H5055">
        <v>954.43</v>
      </c>
      <c r="I5055">
        <v>4092.16</v>
      </c>
      <c r="J5055">
        <v>2.56</v>
      </c>
      <c r="K5055">
        <v>8.36</v>
      </c>
      <c r="L5055">
        <v>34.090000000000003</v>
      </c>
      <c r="M5055">
        <v>4.29</v>
      </c>
      <c r="N5055">
        <v>3137.73</v>
      </c>
    </row>
    <row r="5056" spans="1:14" x14ac:dyDescent="0.2">
      <c r="A5056" s="1">
        <v>45895</v>
      </c>
      <c r="B5056" s="2" t="s">
        <v>20</v>
      </c>
      <c r="C5056" s="2" t="s">
        <v>35</v>
      </c>
      <c r="D5056" s="2" t="s">
        <v>36</v>
      </c>
      <c r="E5056">
        <v>10517</v>
      </c>
      <c r="F5056">
        <v>424</v>
      </c>
      <c r="G5056">
        <v>23</v>
      </c>
      <c r="H5056">
        <v>623.77</v>
      </c>
      <c r="I5056">
        <v>2460.4699999999998</v>
      </c>
      <c r="J5056">
        <v>4.03</v>
      </c>
      <c r="K5056">
        <v>5.42</v>
      </c>
      <c r="L5056">
        <v>27.12</v>
      </c>
      <c r="M5056">
        <v>3.94</v>
      </c>
      <c r="N5056">
        <v>1836.7</v>
      </c>
    </row>
    <row r="5057" spans="1:14" x14ac:dyDescent="0.2">
      <c r="A5057" s="1">
        <v>45895</v>
      </c>
      <c r="B5057" s="2" t="s">
        <v>23</v>
      </c>
      <c r="C5057" s="2" t="s">
        <v>35</v>
      </c>
      <c r="D5057" s="2" t="s">
        <v>22</v>
      </c>
      <c r="E5057">
        <v>3371</v>
      </c>
      <c r="F5057">
        <v>95</v>
      </c>
      <c r="G5057">
        <v>11</v>
      </c>
      <c r="H5057">
        <v>1256.54</v>
      </c>
      <c r="I5057">
        <v>2328.42</v>
      </c>
      <c r="J5057">
        <v>2.82</v>
      </c>
      <c r="K5057">
        <v>11.58</v>
      </c>
      <c r="L5057">
        <v>114.23</v>
      </c>
      <c r="M5057">
        <v>1.85</v>
      </c>
      <c r="N5057">
        <v>1071.8800000000001</v>
      </c>
    </row>
    <row r="5058" spans="1:14" x14ac:dyDescent="0.2">
      <c r="A5058" s="1">
        <v>45895</v>
      </c>
      <c r="B5058" s="2" t="s">
        <v>24</v>
      </c>
      <c r="C5058" s="2" t="s">
        <v>18</v>
      </c>
      <c r="D5058" s="2" t="s">
        <v>36</v>
      </c>
      <c r="E5058">
        <v>14431</v>
      </c>
      <c r="F5058">
        <v>2793</v>
      </c>
      <c r="G5058">
        <v>295</v>
      </c>
      <c r="H5058">
        <v>215.05</v>
      </c>
      <c r="I5058">
        <v>33494.94</v>
      </c>
      <c r="J5058">
        <v>19.350000000000001</v>
      </c>
      <c r="K5058">
        <v>10.56</v>
      </c>
      <c r="L5058">
        <v>0.73</v>
      </c>
      <c r="M5058">
        <v>155.75</v>
      </c>
      <c r="N5058">
        <v>33279.89</v>
      </c>
    </row>
    <row r="5059" spans="1:14" x14ac:dyDescent="0.2">
      <c r="A5059" s="1">
        <v>45895</v>
      </c>
      <c r="B5059" s="2" t="s">
        <v>26</v>
      </c>
      <c r="C5059" s="2" t="s">
        <v>18</v>
      </c>
      <c r="D5059" s="2" t="s">
        <v>36</v>
      </c>
      <c r="E5059">
        <v>29174</v>
      </c>
      <c r="F5059">
        <v>1679</v>
      </c>
      <c r="G5059">
        <v>183</v>
      </c>
      <c r="H5059">
        <v>0</v>
      </c>
      <c r="I5059">
        <v>23289.03</v>
      </c>
      <c r="J5059">
        <v>5.76</v>
      </c>
      <c r="K5059">
        <v>10.9</v>
      </c>
      <c r="L5059">
        <v>0</v>
      </c>
      <c r="M5059">
        <v>0</v>
      </c>
      <c r="N5059">
        <v>23289.03</v>
      </c>
    </row>
    <row r="5060" spans="1:14" x14ac:dyDescent="0.2">
      <c r="A5060" s="1">
        <v>45895</v>
      </c>
      <c r="B5060" s="2" t="s">
        <v>27</v>
      </c>
      <c r="C5060" s="2" t="s">
        <v>21</v>
      </c>
      <c r="D5060" s="2" t="s">
        <v>16</v>
      </c>
      <c r="E5060">
        <v>33749</v>
      </c>
      <c r="F5060">
        <v>493</v>
      </c>
      <c r="G5060">
        <v>15</v>
      </c>
      <c r="H5060">
        <v>695.3</v>
      </c>
      <c r="I5060">
        <v>1535.53</v>
      </c>
      <c r="J5060">
        <v>1.46</v>
      </c>
      <c r="K5060">
        <v>3.04</v>
      </c>
      <c r="L5060">
        <v>46.35</v>
      </c>
      <c r="M5060">
        <v>2.21</v>
      </c>
      <c r="N5060">
        <v>840.23</v>
      </c>
    </row>
    <row r="5061" spans="1:14" x14ac:dyDescent="0.2">
      <c r="A5061" s="1">
        <v>45895</v>
      </c>
      <c r="B5061" s="2" t="s">
        <v>29</v>
      </c>
      <c r="C5061" s="2" t="s">
        <v>15</v>
      </c>
      <c r="D5061" s="2" t="s">
        <v>22</v>
      </c>
      <c r="E5061">
        <v>16485</v>
      </c>
      <c r="F5061">
        <v>281</v>
      </c>
      <c r="G5061">
        <v>12</v>
      </c>
      <c r="H5061">
        <v>870.82</v>
      </c>
      <c r="I5061">
        <v>1466.49</v>
      </c>
      <c r="J5061">
        <v>1.7</v>
      </c>
      <c r="K5061">
        <v>4.2699999999999996</v>
      </c>
      <c r="L5061">
        <v>72.569999999999993</v>
      </c>
      <c r="M5061">
        <v>1.68</v>
      </c>
      <c r="N5061">
        <v>595.66999999999996</v>
      </c>
    </row>
    <row r="5062" spans="1:14" x14ac:dyDescent="0.2">
      <c r="A5062" s="1">
        <v>45895</v>
      </c>
      <c r="B5062" s="2" t="s">
        <v>30</v>
      </c>
      <c r="C5062" s="2" t="s">
        <v>15</v>
      </c>
      <c r="D5062" s="2" t="s">
        <v>22</v>
      </c>
      <c r="E5062">
        <v>8209</v>
      </c>
      <c r="F5062">
        <v>172</v>
      </c>
      <c r="G5062">
        <v>5</v>
      </c>
      <c r="H5062">
        <v>389.17</v>
      </c>
      <c r="I5062">
        <v>413.54</v>
      </c>
      <c r="J5062">
        <v>2.1</v>
      </c>
      <c r="K5062">
        <v>2.91</v>
      </c>
      <c r="L5062">
        <v>77.83</v>
      </c>
      <c r="M5062">
        <v>1.06</v>
      </c>
      <c r="N5062">
        <v>24.37</v>
      </c>
    </row>
    <row r="5063" spans="1:14" x14ac:dyDescent="0.2">
      <c r="A5063" s="1">
        <v>45895</v>
      </c>
      <c r="B5063" s="2" t="s">
        <v>31</v>
      </c>
      <c r="C5063" s="2" t="s">
        <v>28</v>
      </c>
      <c r="D5063" s="2" t="s">
        <v>25</v>
      </c>
      <c r="E5063">
        <v>18814</v>
      </c>
      <c r="F5063">
        <v>720</v>
      </c>
      <c r="G5063">
        <v>21</v>
      </c>
      <c r="H5063">
        <v>616.52</v>
      </c>
      <c r="I5063">
        <v>1535</v>
      </c>
      <c r="J5063">
        <v>3.83</v>
      </c>
      <c r="K5063">
        <v>2.92</v>
      </c>
      <c r="L5063">
        <v>29.36</v>
      </c>
      <c r="M5063">
        <v>2.4900000000000002</v>
      </c>
      <c r="N5063">
        <v>918.48</v>
      </c>
    </row>
    <row r="5064" spans="1:14" x14ac:dyDescent="0.2">
      <c r="A5064" s="1">
        <v>45895</v>
      </c>
      <c r="B5064" s="2" t="s">
        <v>33</v>
      </c>
      <c r="C5064" s="2" t="s">
        <v>21</v>
      </c>
      <c r="D5064" s="2" t="s">
        <v>22</v>
      </c>
      <c r="E5064">
        <v>8024</v>
      </c>
      <c r="F5064">
        <v>459</v>
      </c>
      <c r="G5064">
        <v>36</v>
      </c>
      <c r="H5064">
        <v>478.46</v>
      </c>
      <c r="I5064">
        <v>4187.84</v>
      </c>
      <c r="J5064">
        <v>5.72</v>
      </c>
      <c r="K5064">
        <v>7.84</v>
      </c>
      <c r="L5064">
        <v>13.29</v>
      </c>
      <c r="M5064">
        <v>8.75</v>
      </c>
      <c r="N5064">
        <v>3709.38</v>
      </c>
    </row>
    <row r="5065" spans="1:14" x14ac:dyDescent="0.2">
      <c r="A5065" s="1">
        <v>45895</v>
      </c>
      <c r="B5065" s="2" t="s">
        <v>34</v>
      </c>
      <c r="C5065" s="2" t="s">
        <v>28</v>
      </c>
      <c r="D5065" s="2" t="s">
        <v>19</v>
      </c>
      <c r="E5065">
        <v>5310</v>
      </c>
      <c r="F5065">
        <v>509</v>
      </c>
      <c r="G5065">
        <v>65</v>
      </c>
      <c r="H5065">
        <v>128.08000000000001</v>
      </c>
      <c r="I5065">
        <v>12164.99</v>
      </c>
      <c r="J5065">
        <v>9.59</v>
      </c>
      <c r="K5065">
        <v>12.77</v>
      </c>
      <c r="L5065">
        <v>1.97</v>
      </c>
      <c r="M5065">
        <v>94.98</v>
      </c>
      <c r="N5065">
        <v>12036.91</v>
      </c>
    </row>
    <row r="5066" spans="1:14" x14ac:dyDescent="0.2">
      <c r="A5066" s="1">
        <v>45896</v>
      </c>
      <c r="B5066" s="2" t="s">
        <v>14</v>
      </c>
      <c r="C5066" s="2" t="s">
        <v>15</v>
      </c>
      <c r="D5066" s="2" t="s">
        <v>36</v>
      </c>
      <c r="E5066">
        <v>12463</v>
      </c>
      <c r="F5066">
        <v>417</v>
      </c>
      <c r="G5066">
        <v>33</v>
      </c>
      <c r="H5066">
        <v>1194.6199999999999</v>
      </c>
      <c r="I5066">
        <v>4835.96</v>
      </c>
      <c r="J5066">
        <v>3.35</v>
      </c>
      <c r="K5066">
        <v>7.91</v>
      </c>
      <c r="L5066">
        <v>36.200000000000003</v>
      </c>
      <c r="M5066">
        <v>4.05</v>
      </c>
      <c r="N5066">
        <v>3641.34</v>
      </c>
    </row>
    <row r="5067" spans="1:14" x14ac:dyDescent="0.2">
      <c r="A5067" s="1">
        <v>45896</v>
      </c>
      <c r="B5067" s="2" t="s">
        <v>17</v>
      </c>
      <c r="C5067" s="2" t="s">
        <v>21</v>
      </c>
      <c r="D5067" s="2" t="s">
        <v>36</v>
      </c>
      <c r="E5067">
        <v>14981</v>
      </c>
      <c r="F5067">
        <v>530</v>
      </c>
      <c r="G5067">
        <v>27</v>
      </c>
      <c r="H5067">
        <v>559.16999999999996</v>
      </c>
      <c r="I5067">
        <v>3097.25</v>
      </c>
      <c r="J5067">
        <v>3.54</v>
      </c>
      <c r="K5067">
        <v>5.09</v>
      </c>
      <c r="L5067">
        <v>20.71</v>
      </c>
      <c r="M5067">
        <v>5.54</v>
      </c>
      <c r="N5067">
        <v>2538.08</v>
      </c>
    </row>
    <row r="5068" spans="1:14" x14ac:dyDescent="0.2">
      <c r="A5068" s="1">
        <v>45896</v>
      </c>
      <c r="B5068" s="2" t="s">
        <v>20</v>
      </c>
      <c r="C5068" s="2" t="s">
        <v>21</v>
      </c>
      <c r="D5068" s="2" t="s">
        <v>16</v>
      </c>
      <c r="E5068">
        <v>8754</v>
      </c>
      <c r="F5068">
        <v>392</v>
      </c>
      <c r="G5068">
        <v>28</v>
      </c>
      <c r="H5068">
        <v>525.44000000000005</v>
      </c>
      <c r="I5068">
        <v>2415.27</v>
      </c>
      <c r="J5068">
        <v>4.4800000000000004</v>
      </c>
      <c r="K5068">
        <v>7.14</v>
      </c>
      <c r="L5068">
        <v>18.77</v>
      </c>
      <c r="M5068">
        <v>4.5999999999999996</v>
      </c>
      <c r="N5068">
        <v>1889.83</v>
      </c>
    </row>
    <row r="5069" spans="1:14" x14ac:dyDescent="0.2">
      <c r="A5069" s="1">
        <v>45896</v>
      </c>
      <c r="B5069" s="2" t="s">
        <v>23</v>
      </c>
      <c r="C5069" s="2" t="s">
        <v>35</v>
      </c>
      <c r="D5069" s="2" t="s">
        <v>16</v>
      </c>
      <c r="E5069">
        <v>3121</v>
      </c>
      <c r="F5069">
        <v>82</v>
      </c>
      <c r="G5069">
        <v>8</v>
      </c>
      <c r="H5069">
        <v>1000.82</v>
      </c>
      <c r="I5069">
        <v>2554.04</v>
      </c>
      <c r="J5069">
        <v>2.63</v>
      </c>
      <c r="K5069">
        <v>9.76</v>
      </c>
      <c r="L5069">
        <v>125.1</v>
      </c>
      <c r="M5069">
        <v>2.5499999999999998</v>
      </c>
      <c r="N5069">
        <v>1553.22</v>
      </c>
    </row>
    <row r="5070" spans="1:14" x14ac:dyDescent="0.2">
      <c r="A5070" s="1">
        <v>45896</v>
      </c>
      <c r="B5070" s="2" t="s">
        <v>24</v>
      </c>
      <c r="C5070" s="2" t="s">
        <v>18</v>
      </c>
      <c r="D5070" s="2" t="s">
        <v>19</v>
      </c>
      <c r="E5070">
        <v>12982</v>
      </c>
      <c r="F5070">
        <v>2350</v>
      </c>
      <c r="G5070">
        <v>254</v>
      </c>
      <c r="H5070">
        <v>111.91</v>
      </c>
      <c r="I5070">
        <v>40195.870000000003</v>
      </c>
      <c r="J5070">
        <v>18.100000000000001</v>
      </c>
      <c r="K5070">
        <v>10.81</v>
      </c>
      <c r="L5070">
        <v>0.44</v>
      </c>
      <c r="M5070">
        <v>359.18</v>
      </c>
      <c r="N5070">
        <v>40083.96</v>
      </c>
    </row>
    <row r="5071" spans="1:14" x14ac:dyDescent="0.2">
      <c r="A5071" s="1">
        <v>45896</v>
      </c>
      <c r="B5071" s="2" t="s">
        <v>26</v>
      </c>
      <c r="C5071" s="2" t="s">
        <v>18</v>
      </c>
      <c r="D5071" s="2" t="s">
        <v>25</v>
      </c>
      <c r="E5071">
        <v>20116</v>
      </c>
      <c r="F5071">
        <v>1481</v>
      </c>
      <c r="G5071">
        <v>191</v>
      </c>
      <c r="H5071">
        <v>0</v>
      </c>
      <c r="I5071">
        <v>23648.98</v>
      </c>
      <c r="J5071">
        <v>7.36</v>
      </c>
      <c r="K5071">
        <v>12.9</v>
      </c>
      <c r="L5071">
        <v>0</v>
      </c>
      <c r="M5071">
        <v>0</v>
      </c>
      <c r="N5071">
        <v>23648.98</v>
      </c>
    </row>
    <row r="5072" spans="1:14" x14ac:dyDescent="0.2">
      <c r="A5072" s="1">
        <v>45896</v>
      </c>
      <c r="B5072" s="2" t="s">
        <v>27</v>
      </c>
      <c r="C5072" s="2" t="s">
        <v>18</v>
      </c>
      <c r="D5072" s="2" t="s">
        <v>22</v>
      </c>
      <c r="E5072">
        <v>27062</v>
      </c>
      <c r="F5072">
        <v>412</v>
      </c>
      <c r="G5072">
        <v>15</v>
      </c>
      <c r="H5072">
        <v>741.23</v>
      </c>
      <c r="I5072">
        <v>1959.69</v>
      </c>
      <c r="J5072">
        <v>1.52</v>
      </c>
      <c r="K5072">
        <v>3.64</v>
      </c>
      <c r="L5072">
        <v>49.42</v>
      </c>
      <c r="M5072">
        <v>2.64</v>
      </c>
      <c r="N5072">
        <v>1218.46</v>
      </c>
    </row>
    <row r="5073" spans="1:14" x14ac:dyDescent="0.2">
      <c r="A5073" s="1">
        <v>45896</v>
      </c>
      <c r="B5073" s="2" t="s">
        <v>29</v>
      </c>
      <c r="C5073" s="2" t="s">
        <v>35</v>
      </c>
      <c r="D5073" s="2" t="s">
        <v>36</v>
      </c>
      <c r="E5073">
        <v>19017</v>
      </c>
      <c r="F5073">
        <v>487</v>
      </c>
      <c r="G5073">
        <v>28</v>
      </c>
      <c r="H5073">
        <v>1116.1400000000001</v>
      </c>
      <c r="I5073">
        <v>3097.41</v>
      </c>
      <c r="J5073">
        <v>2.56</v>
      </c>
      <c r="K5073">
        <v>5.75</v>
      </c>
      <c r="L5073">
        <v>39.86</v>
      </c>
      <c r="M5073">
        <v>2.78</v>
      </c>
      <c r="N5073">
        <v>1981.27</v>
      </c>
    </row>
    <row r="5074" spans="1:14" x14ac:dyDescent="0.2">
      <c r="A5074" s="1">
        <v>45896</v>
      </c>
      <c r="B5074" s="2" t="s">
        <v>30</v>
      </c>
      <c r="C5074" s="2" t="s">
        <v>21</v>
      </c>
      <c r="D5074" s="2" t="s">
        <v>25</v>
      </c>
      <c r="E5074">
        <v>11633</v>
      </c>
      <c r="F5074">
        <v>346</v>
      </c>
      <c r="G5074">
        <v>12</v>
      </c>
      <c r="H5074">
        <v>626.76</v>
      </c>
      <c r="I5074">
        <v>888.33</v>
      </c>
      <c r="J5074">
        <v>2.97</v>
      </c>
      <c r="K5074">
        <v>3.47</v>
      </c>
      <c r="L5074">
        <v>52.23</v>
      </c>
      <c r="M5074">
        <v>1.42</v>
      </c>
      <c r="N5074">
        <v>261.57</v>
      </c>
    </row>
    <row r="5075" spans="1:14" x14ac:dyDescent="0.2">
      <c r="A5075" s="1">
        <v>45896</v>
      </c>
      <c r="B5075" s="2" t="s">
        <v>31</v>
      </c>
      <c r="C5075" s="2" t="s">
        <v>35</v>
      </c>
      <c r="D5075" s="2" t="s">
        <v>16</v>
      </c>
      <c r="E5075">
        <v>22746</v>
      </c>
      <c r="F5075">
        <v>992</v>
      </c>
      <c r="G5075">
        <v>53</v>
      </c>
      <c r="H5075">
        <v>917.45</v>
      </c>
      <c r="I5075">
        <v>4437.7700000000004</v>
      </c>
      <c r="J5075">
        <v>4.3600000000000003</v>
      </c>
      <c r="K5075">
        <v>5.34</v>
      </c>
      <c r="L5075">
        <v>17.309999999999999</v>
      </c>
      <c r="M5075">
        <v>4.84</v>
      </c>
      <c r="N5075">
        <v>3520.32</v>
      </c>
    </row>
    <row r="5076" spans="1:14" x14ac:dyDescent="0.2">
      <c r="A5076" s="1">
        <v>45896</v>
      </c>
      <c r="B5076" s="2" t="s">
        <v>33</v>
      </c>
      <c r="C5076" s="2" t="s">
        <v>18</v>
      </c>
      <c r="D5076" s="2" t="s">
        <v>22</v>
      </c>
      <c r="E5076">
        <v>6873</v>
      </c>
      <c r="F5076">
        <v>406</v>
      </c>
      <c r="G5076">
        <v>50</v>
      </c>
      <c r="H5076">
        <v>267.89999999999998</v>
      </c>
      <c r="I5076">
        <v>6802.59</v>
      </c>
      <c r="J5076">
        <v>5.91</v>
      </c>
      <c r="K5076">
        <v>12.32</v>
      </c>
      <c r="L5076">
        <v>5.36</v>
      </c>
      <c r="M5076">
        <v>25.39</v>
      </c>
      <c r="N5076">
        <v>6534.69</v>
      </c>
    </row>
    <row r="5077" spans="1:14" x14ac:dyDescent="0.2">
      <c r="A5077" s="1">
        <v>45896</v>
      </c>
      <c r="B5077" s="2" t="s">
        <v>34</v>
      </c>
      <c r="C5077" s="2" t="s">
        <v>21</v>
      </c>
      <c r="D5077" s="2" t="s">
        <v>19</v>
      </c>
      <c r="E5077">
        <v>3160</v>
      </c>
      <c r="F5077">
        <v>188</v>
      </c>
      <c r="G5077">
        <v>29</v>
      </c>
      <c r="H5077">
        <v>148.88999999999999</v>
      </c>
      <c r="I5077">
        <v>4231.6000000000004</v>
      </c>
      <c r="J5077">
        <v>5.95</v>
      </c>
      <c r="K5077">
        <v>15.43</v>
      </c>
      <c r="L5077">
        <v>5.13</v>
      </c>
      <c r="M5077">
        <v>28.42</v>
      </c>
      <c r="N5077">
        <v>4082.71</v>
      </c>
    </row>
    <row r="5078" spans="1:14" x14ac:dyDescent="0.2">
      <c r="A5078" s="1">
        <v>45897</v>
      </c>
      <c r="B5078" s="2" t="s">
        <v>14</v>
      </c>
      <c r="C5078" s="2" t="s">
        <v>21</v>
      </c>
      <c r="D5078" s="2" t="s">
        <v>22</v>
      </c>
      <c r="E5078">
        <v>11846</v>
      </c>
      <c r="F5078">
        <v>399</v>
      </c>
      <c r="G5078">
        <v>47</v>
      </c>
      <c r="H5078">
        <v>990.85</v>
      </c>
      <c r="I5078">
        <v>7476.78</v>
      </c>
      <c r="J5078">
        <v>3.37</v>
      </c>
      <c r="K5078">
        <v>11.78</v>
      </c>
      <c r="L5078">
        <v>21.08</v>
      </c>
      <c r="M5078">
        <v>7.55</v>
      </c>
      <c r="N5078">
        <v>6485.93</v>
      </c>
    </row>
    <row r="5079" spans="1:14" x14ac:dyDescent="0.2">
      <c r="A5079" s="1">
        <v>45897</v>
      </c>
      <c r="B5079" s="2" t="s">
        <v>17</v>
      </c>
      <c r="C5079" s="2" t="s">
        <v>35</v>
      </c>
      <c r="D5079" s="2" t="s">
        <v>22</v>
      </c>
      <c r="E5079">
        <v>12343</v>
      </c>
      <c r="F5079">
        <v>277</v>
      </c>
      <c r="G5079">
        <v>13</v>
      </c>
      <c r="H5079">
        <v>575.71</v>
      </c>
      <c r="I5079">
        <v>1348.22</v>
      </c>
      <c r="J5079">
        <v>2.2400000000000002</v>
      </c>
      <c r="K5079">
        <v>4.6900000000000004</v>
      </c>
      <c r="L5079">
        <v>44.29</v>
      </c>
      <c r="M5079">
        <v>2.34</v>
      </c>
      <c r="N5079">
        <v>772.51</v>
      </c>
    </row>
    <row r="5080" spans="1:14" x14ac:dyDescent="0.2">
      <c r="A5080" s="1">
        <v>45897</v>
      </c>
      <c r="B5080" s="2" t="s">
        <v>20</v>
      </c>
      <c r="C5080" s="2" t="s">
        <v>35</v>
      </c>
      <c r="D5080" s="2" t="s">
        <v>25</v>
      </c>
      <c r="E5080">
        <v>14542</v>
      </c>
      <c r="F5080">
        <v>388</v>
      </c>
      <c r="G5080">
        <v>22</v>
      </c>
      <c r="H5080">
        <v>561.82000000000005</v>
      </c>
      <c r="I5080">
        <v>1997.43</v>
      </c>
      <c r="J5080">
        <v>2.67</v>
      </c>
      <c r="K5080">
        <v>5.67</v>
      </c>
      <c r="L5080">
        <v>25.54</v>
      </c>
      <c r="M5080">
        <v>3.56</v>
      </c>
      <c r="N5080">
        <v>1435.61</v>
      </c>
    </row>
    <row r="5081" spans="1:14" x14ac:dyDescent="0.2">
      <c r="A5081" s="1">
        <v>45897</v>
      </c>
      <c r="B5081" s="2" t="s">
        <v>23</v>
      </c>
      <c r="C5081" s="2" t="s">
        <v>21</v>
      </c>
      <c r="D5081" s="2" t="s">
        <v>22</v>
      </c>
      <c r="E5081">
        <v>4853</v>
      </c>
      <c r="F5081">
        <v>115</v>
      </c>
      <c r="G5081">
        <v>16</v>
      </c>
      <c r="H5081">
        <v>1009.09</v>
      </c>
      <c r="I5081">
        <v>3214.15</v>
      </c>
      <c r="J5081">
        <v>2.37</v>
      </c>
      <c r="K5081">
        <v>13.91</v>
      </c>
      <c r="L5081">
        <v>63.07</v>
      </c>
      <c r="M5081">
        <v>3.19</v>
      </c>
      <c r="N5081">
        <v>2205.06</v>
      </c>
    </row>
    <row r="5082" spans="1:14" x14ac:dyDescent="0.2">
      <c r="A5082" s="1">
        <v>45897</v>
      </c>
      <c r="B5082" s="2" t="s">
        <v>24</v>
      </c>
      <c r="C5082" s="2" t="s">
        <v>21</v>
      </c>
      <c r="D5082" s="2" t="s">
        <v>16</v>
      </c>
      <c r="E5082">
        <v>14048</v>
      </c>
      <c r="F5082">
        <v>2767</v>
      </c>
      <c r="G5082">
        <v>379</v>
      </c>
      <c r="H5082">
        <v>236.78</v>
      </c>
      <c r="I5082">
        <v>50254.68</v>
      </c>
      <c r="J5082">
        <v>19.7</v>
      </c>
      <c r="K5082">
        <v>13.7</v>
      </c>
      <c r="L5082">
        <v>0.62</v>
      </c>
      <c r="M5082">
        <v>212.24</v>
      </c>
      <c r="N5082">
        <v>50017.9</v>
      </c>
    </row>
    <row r="5083" spans="1:14" x14ac:dyDescent="0.2">
      <c r="A5083" s="1">
        <v>45897</v>
      </c>
      <c r="B5083" s="2" t="s">
        <v>26</v>
      </c>
      <c r="C5083" s="2" t="s">
        <v>21</v>
      </c>
      <c r="D5083" s="2" t="s">
        <v>19</v>
      </c>
      <c r="E5083">
        <v>26553</v>
      </c>
      <c r="F5083">
        <v>1214</v>
      </c>
      <c r="G5083">
        <v>178</v>
      </c>
      <c r="H5083">
        <v>0</v>
      </c>
      <c r="I5083">
        <v>19366.84</v>
      </c>
      <c r="J5083">
        <v>4.57</v>
      </c>
      <c r="K5083">
        <v>14.66</v>
      </c>
      <c r="L5083">
        <v>0</v>
      </c>
      <c r="M5083">
        <v>0</v>
      </c>
      <c r="N5083">
        <v>19366.84</v>
      </c>
    </row>
    <row r="5084" spans="1:14" x14ac:dyDescent="0.2">
      <c r="A5084" s="1">
        <v>45897</v>
      </c>
      <c r="B5084" s="2" t="s">
        <v>27</v>
      </c>
      <c r="C5084" s="2" t="s">
        <v>18</v>
      </c>
      <c r="D5084" s="2" t="s">
        <v>16</v>
      </c>
      <c r="E5084">
        <v>24268</v>
      </c>
      <c r="F5084">
        <v>460</v>
      </c>
      <c r="G5084">
        <v>11</v>
      </c>
      <c r="H5084">
        <v>1102.31</v>
      </c>
      <c r="I5084">
        <v>1100.3</v>
      </c>
      <c r="J5084">
        <v>1.9</v>
      </c>
      <c r="K5084">
        <v>2.39</v>
      </c>
      <c r="L5084">
        <v>100.21</v>
      </c>
      <c r="M5084">
        <v>1</v>
      </c>
      <c r="N5084">
        <v>-2.0099999999999998</v>
      </c>
    </row>
    <row r="5085" spans="1:14" x14ac:dyDescent="0.2">
      <c r="A5085" s="1">
        <v>45897</v>
      </c>
      <c r="B5085" s="2" t="s">
        <v>29</v>
      </c>
      <c r="C5085" s="2" t="s">
        <v>15</v>
      </c>
      <c r="D5085" s="2" t="s">
        <v>22</v>
      </c>
      <c r="E5085">
        <v>14331</v>
      </c>
      <c r="F5085">
        <v>385</v>
      </c>
      <c r="G5085">
        <v>27</v>
      </c>
      <c r="H5085">
        <v>984.81</v>
      </c>
      <c r="I5085">
        <v>3284.56</v>
      </c>
      <c r="J5085">
        <v>2.69</v>
      </c>
      <c r="K5085">
        <v>7.01</v>
      </c>
      <c r="L5085">
        <v>36.47</v>
      </c>
      <c r="M5085">
        <v>3.34</v>
      </c>
      <c r="N5085">
        <v>2299.75</v>
      </c>
    </row>
    <row r="5086" spans="1:14" x14ac:dyDescent="0.2">
      <c r="A5086" s="1">
        <v>45897</v>
      </c>
      <c r="B5086" s="2" t="s">
        <v>30</v>
      </c>
      <c r="C5086" s="2" t="s">
        <v>28</v>
      </c>
      <c r="D5086" s="2" t="s">
        <v>16</v>
      </c>
      <c r="E5086">
        <v>9001</v>
      </c>
      <c r="F5086">
        <v>216</v>
      </c>
      <c r="G5086">
        <v>7</v>
      </c>
      <c r="H5086">
        <v>362.59</v>
      </c>
      <c r="I5086">
        <v>671.59</v>
      </c>
      <c r="J5086">
        <v>2.4</v>
      </c>
      <c r="K5086">
        <v>3.24</v>
      </c>
      <c r="L5086">
        <v>51.8</v>
      </c>
      <c r="M5086">
        <v>1.85</v>
      </c>
      <c r="N5086">
        <v>309</v>
      </c>
    </row>
    <row r="5087" spans="1:14" x14ac:dyDescent="0.2">
      <c r="A5087" s="1">
        <v>45897</v>
      </c>
      <c r="B5087" s="2" t="s">
        <v>31</v>
      </c>
      <c r="C5087" s="2" t="s">
        <v>35</v>
      </c>
      <c r="D5087" s="2" t="s">
        <v>22</v>
      </c>
      <c r="E5087">
        <v>16960</v>
      </c>
      <c r="F5087">
        <v>646</v>
      </c>
      <c r="G5087">
        <v>27</v>
      </c>
      <c r="H5087">
        <v>559.70000000000005</v>
      </c>
      <c r="I5087">
        <v>3200.45</v>
      </c>
      <c r="J5087">
        <v>3.81</v>
      </c>
      <c r="K5087">
        <v>4.18</v>
      </c>
      <c r="L5087">
        <v>20.73</v>
      </c>
      <c r="M5087">
        <v>5.72</v>
      </c>
      <c r="N5087">
        <v>2640.75</v>
      </c>
    </row>
    <row r="5088" spans="1:14" x14ac:dyDescent="0.2">
      <c r="A5088" s="1">
        <v>45897</v>
      </c>
      <c r="B5088" s="2" t="s">
        <v>33</v>
      </c>
      <c r="C5088" s="2" t="s">
        <v>35</v>
      </c>
      <c r="D5088" s="2" t="s">
        <v>36</v>
      </c>
      <c r="E5088">
        <v>5982</v>
      </c>
      <c r="F5088">
        <v>340</v>
      </c>
      <c r="G5088">
        <v>34</v>
      </c>
      <c r="H5088">
        <v>383.81</v>
      </c>
      <c r="I5088">
        <v>3960.31</v>
      </c>
      <c r="J5088">
        <v>5.68</v>
      </c>
      <c r="K5088">
        <v>10</v>
      </c>
      <c r="L5088">
        <v>11.29</v>
      </c>
      <c r="M5088">
        <v>10.32</v>
      </c>
      <c r="N5088">
        <v>3576.5</v>
      </c>
    </row>
    <row r="5089" spans="1:14" x14ac:dyDescent="0.2">
      <c r="A5089" s="1">
        <v>45897</v>
      </c>
      <c r="B5089" s="2" t="s">
        <v>34</v>
      </c>
      <c r="C5089" s="2" t="s">
        <v>21</v>
      </c>
      <c r="D5089" s="2" t="s">
        <v>19</v>
      </c>
      <c r="E5089">
        <v>3035</v>
      </c>
      <c r="F5089">
        <v>218</v>
      </c>
      <c r="G5089">
        <v>33</v>
      </c>
      <c r="H5089">
        <v>102.42</v>
      </c>
      <c r="I5089">
        <v>4968.46</v>
      </c>
      <c r="J5089">
        <v>7.18</v>
      </c>
      <c r="K5089">
        <v>15.14</v>
      </c>
      <c r="L5089">
        <v>3.1</v>
      </c>
      <c r="M5089">
        <v>48.51</v>
      </c>
      <c r="N5089">
        <v>4866.04</v>
      </c>
    </row>
    <row r="5090" spans="1:14" x14ac:dyDescent="0.2">
      <c r="A5090" s="1">
        <v>45898</v>
      </c>
      <c r="B5090" s="2" t="s">
        <v>14</v>
      </c>
      <c r="C5090" s="2" t="s">
        <v>35</v>
      </c>
      <c r="D5090" s="2" t="s">
        <v>22</v>
      </c>
      <c r="E5090">
        <v>10885</v>
      </c>
      <c r="F5090">
        <v>542</v>
      </c>
      <c r="G5090">
        <v>62</v>
      </c>
      <c r="H5090">
        <v>1102.46</v>
      </c>
      <c r="I5090">
        <v>8290.75</v>
      </c>
      <c r="J5090">
        <v>4.9800000000000004</v>
      </c>
      <c r="K5090">
        <v>11.44</v>
      </c>
      <c r="L5090">
        <v>17.78</v>
      </c>
      <c r="M5090">
        <v>7.52</v>
      </c>
      <c r="N5090">
        <v>7188.29</v>
      </c>
    </row>
    <row r="5091" spans="1:14" x14ac:dyDescent="0.2">
      <c r="A5091" s="1">
        <v>45898</v>
      </c>
      <c r="B5091" s="2" t="s">
        <v>17</v>
      </c>
      <c r="C5091" s="2" t="s">
        <v>32</v>
      </c>
      <c r="D5091" s="2" t="s">
        <v>25</v>
      </c>
      <c r="E5091">
        <v>16095</v>
      </c>
      <c r="F5091">
        <v>336</v>
      </c>
      <c r="G5091">
        <v>29</v>
      </c>
      <c r="H5091">
        <v>711.72</v>
      </c>
      <c r="I5091">
        <v>2711.64</v>
      </c>
      <c r="J5091">
        <v>2.09</v>
      </c>
      <c r="K5091">
        <v>8.6300000000000008</v>
      </c>
      <c r="L5091">
        <v>24.54</v>
      </c>
      <c r="M5091">
        <v>3.81</v>
      </c>
      <c r="N5091">
        <v>1999.92</v>
      </c>
    </row>
    <row r="5092" spans="1:14" x14ac:dyDescent="0.2">
      <c r="A5092" s="1">
        <v>45898</v>
      </c>
      <c r="B5092" s="2" t="s">
        <v>20</v>
      </c>
      <c r="C5092" s="2" t="s">
        <v>28</v>
      </c>
      <c r="D5092" s="2" t="s">
        <v>16</v>
      </c>
      <c r="E5092">
        <v>14597</v>
      </c>
      <c r="F5092">
        <v>460</v>
      </c>
      <c r="G5092">
        <v>20</v>
      </c>
      <c r="H5092">
        <v>673.73</v>
      </c>
      <c r="I5092">
        <v>1960.3</v>
      </c>
      <c r="J5092">
        <v>3.15</v>
      </c>
      <c r="K5092">
        <v>4.3499999999999996</v>
      </c>
      <c r="L5092">
        <v>33.69</v>
      </c>
      <c r="M5092">
        <v>2.91</v>
      </c>
      <c r="N5092">
        <v>1286.57</v>
      </c>
    </row>
    <row r="5093" spans="1:14" x14ac:dyDescent="0.2">
      <c r="A5093" s="1">
        <v>45898</v>
      </c>
      <c r="B5093" s="2" t="s">
        <v>23</v>
      </c>
      <c r="C5093" s="2" t="s">
        <v>18</v>
      </c>
      <c r="D5093" s="2" t="s">
        <v>22</v>
      </c>
      <c r="E5093">
        <v>3422</v>
      </c>
      <c r="F5093">
        <v>65</v>
      </c>
      <c r="G5093">
        <v>7</v>
      </c>
      <c r="H5093">
        <v>1237.25</v>
      </c>
      <c r="I5093">
        <v>1828.39</v>
      </c>
      <c r="J5093">
        <v>1.9</v>
      </c>
      <c r="K5093">
        <v>10.77</v>
      </c>
      <c r="L5093">
        <v>176.75</v>
      </c>
      <c r="M5093">
        <v>1.48</v>
      </c>
      <c r="N5093">
        <v>591.14</v>
      </c>
    </row>
    <row r="5094" spans="1:14" x14ac:dyDescent="0.2">
      <c r="A5094" s="1">
        <v>45898</v>
      </c>
      <c r="B5094" s="2" t="s">
        <v>24</v>
      </c>
      <c r="C5094" s="2" t="s">
        <v>21</v>
      </c>
      <c r="D5094" s="2" t="s">
        <v>22</v>
      </c>
      <c r="E5094">
        <v>17698</v>
      </c>
      <c r="F5094">
        <v>3274</v>
      </c>
      <c r="G5094">
        <v>345</v>
      </c>
      <c r="H5094">
        <v>102.32</v>
      </c>
      <c r="I5094">
        <v>47172.31</v>
      </c>
      <c r="J5094">
        <v>18.5</v>
      </c>
      <c r="K5094">
        <v>10.54</v>
      </c>
      <c r="L5094">
        <v>0.3</v>
      </c>
      <c r="M5094">
        <v>461.03</v>
      </c>
      <c r="N5094">
        <v>47069.99</v>
      </c>
    </row>
    <row r="5095" spans="1:14" x14ac:dyDescent="0.2">
      <c r="A5095" s="1">
        <v>45898</v>
      </c>
      <c r="B5095" s="2" t="s">
        <v>26</v>
      </c>
      <c r="C5095" s="2" t="s">
        <v>21</v>
      </c>
      <c r="D5095" s="2" t="s">
        <v>25</v>
      </c>
      <c r="E5095">
        <v>28060</v>
      </c>
      <c r="F5095">
        <v>1322</v>
      </c>
      <c r="G5095">
        <v>175</v>
      </c>
      <c r="H5095">
        <v>0</v>
      </c>
      <c r="I5095">
        <v>18083.55</v>
      </c>
      <c r="J5095">
        <v>4.71</v>
      </c>
      <c r="K5095">
        <v>13.24</v>
      </c>
      <c r="L5095">
        <v>0</v>
      </c>
      <c r="M5095">
        <v>0</v>
      </c>
      <c r="N5095">
        <v>18083.55</v>
      </c>
    </row>
    <row r="5096" spans="1:14" x14ac:dyDescent="0.2">
      <c r="A5096" s="1">
        <v>45898</v>
      </c>
      <c r="B5096" s="2" t="s">
        <v>27</v>
      </c>
      <c r="C5096" s="2" t="s">
        <v>28</v>
      </c>
      <c r="D5096" s="2" t="s">
        <v>19</v>
      </c>
      <c r="E5096">
        <v>26673</v>
      </c>
      <c r="F5096">
        <v>498</v>
      </c>
      <c r="G5096">
        <v>11</v>
      </c>
      <c r="H5096">
        <v>871.12</v>
      </c>
      <c r="I5096">
        <v>1330.3</v>
      </c>
      <c r="J5096">
        <v>1.87</v>
      </c>
      <c r="K5096">
        <v>2.21</v>
      </c>
      <c r="L5096">
        <v>79.19</v>
      </c>
      <c r="M5096">
        <v>1.53</v>
      </c>
      <c r="N5096">
        <v>459.18</v>
      </c>
    </row>
    <row r="5097" spans="1:14" x14ac:dyDescent="0.2">
      <c r="A5097" s="1">
        <v>45898</v>
      </c>
      <c r="B5097" s="2" t="s">
        <v>29</v>
      </c>
      <c r="C5097" s="2" t="s">
        <v>35</v>
      </c>
      <c r="D5097" s="2" t="s">
        <v>25</v>
      </c>
      <c r="E5097">
        <v>18241</v>
      </c>
      <c r="F5097">
        <v>455</v>
      </c>
      <c r="G5097">
        <v>19</v>
      </c>
      <c r="H5097">
        <v>856.36</v>
      </c>
      <c r="I5097">
        <v>2092.46</v>
      </c>
      <c r="J5097">
        <v>2.4900000000000002</v>
      </c>
      <c r="K5097">
        <v>4.18</v>
      </c>
      <c r="L5097">
        <v>45.07</v>
      </c>
      <c r="M5097">
        <v>2.44</v>
      </c>
      <c r="N5097">
        <v>1236.0999999999999</v>
      </c>
    </row>
    <row r="5098" spans="1:14" x14ac:dyDescent="0.2">
      <c r="A5098" s="1">
        <v>45898</v>
      </c>
      <c r="B5098" s="2" t="s">
        <v>30</v>
      </c>
      <c r="C5098" s="2" t="s">
        <v>28</v>
      </c>
      <c r="D5098" s="2" t="s">
        <v>22</v>
      </c>
      <c r="E5098">
        <v>8247</v>
      </c>
      <c r="F5098">
        <v>237</v>
      </c>
      <c r="G5098">
        <v>12</v>
      </c>
      <c r="H5098">
        <v>563.22</v>
      </c>
      <c r="I5098">
        <v>909</v>
      </c>
      <c r="J5098">
        <v>2.87</v>
      </c>
      <c r="K5098">
        <v>5.0599999999999996</v>
      </c>
      <c r="L5098">
        <v>46.94</v>
      </c>
      <c r="M5098">
        <v>1.61</v>
      </c>
      <c r="N5098">
        <v>345.78</v>
      </c>
    </row>
    <row r="5099" spans="1:14" x14ac:dyDescent="0.2">
      <c r="A5099" s="1">
        <v>45898</v>
      </c>
      <c r="B5099" s="2" t="s">
        <v>31</v>
      </c>
      <c r="C5099" s="2" t="s">
        <v>18</v>
      </c>
      <c r="D5099" s="2" t="s">
        <v>25</v>
      </c>
      <c r="E5099">
        <v>25483</v>
      </c>
      <c r="F5099">
        <v>987</v>
      </c>
      <c r="G5099">
        <v>33</v>
      </c>
      <c r="H5099">
        <v>516.47</v>
      </c>
      <c r="I5099">
        <v>3422.43</v>
      </c>
      <c r="J5099">
        <v>3.87</v>
      </c>
      <c r="K5099">
        <v>3.34</v>
      </c>
      <c r="L5099">
        <v>15.65</v>
      </c>
      <c r="M5099">
        <v>6.63</v>
      </c>
      <c r="N5099">
        <v>2905.96</v>
      </c>
    </row>
    <row r="5100" spans="1:14" x14ac:dyDescent="0.2">
      <c r="A5100" s="1">
        <v>45898</v>
      </c>
      <c r="B5100" s="2" t="s">
        <v>33</v>
      </c>
      <c r="C5100" s="2" t="s">
        <v>32</v>
      </c>
      <c r="D5100" s="2" t="s">
        <v>22</v>
      </c>
      <c r="E5100">
        <v>5848</v>
      </c>
      <c r="F5100">
        <v>241</v>
      </c>
      <c r="G5100">
        <v>27</v>
      </c>
      <c r="H5100">
        <v>399.53</v>
      </c>
      <c r="I5100">
        <v>4260.6400000000003</v>
      </c>
      <c r="J5100">
        <v>4.12</v>
      </c>
      <c r="K5100">
        <v>11.2</v>
      </c>
      <c r="L5100">
        <v>14.8</v>
      </c>
      <c r="M5100">
        <v>10.66</v>
      </c>
      <c r="N5100">
        <v>3861.11</v>
      </c>
    </row>
    <row r="5101" spans="1:14" x14ac:dyDescent="0.2">
      <c r="A5101" s="1">
        <v>45898</v>
      </c>
      <c r="B5101" s="2" t="s">
        <v>34</v>
      </c>
      <c r="C5101" s="2" t="s">
        <v>32</v>
      </c>
      <c r="D5101" s="2" t="s">
        <v>19</v>
      </c>
      <c r="E5101">
        <v>5354</v>
      </c>
      <c r="F5101">
        <v>323</v>
      </c>
      <c r="G5101">
        <v>51</v>
      </c>
      <c r="H5101">
        <v>83.87</v>
      </c>
      <c r="I5101">
        <v>8121.64</v>
      </c>
      <c r="J5101">
        <v>6.03</v>
      </c>
      <c r="K5101">
        <v>15.79</v>
      </c>
      <c r="L5101">
        <v>1.64</v>
      </c>
      <c r="M5101">
        <v>96.84</v>
      </c>
      <c r="N5101">
        <v>8037.77</v>
      </c>
    </row>
    <row r="5102" spans="1:14" x14ac:dyDescent="0.2">
      <c r="A5102" s="1">
        <v>45899</v>
      </c>
      <c r="B5102" s="2" t="s">
        <v>14</v>
      </c>
      <c r="C5102" s="2" t="s">
        <v>21</v>
      </c>
      <c r="D5102" s="2" t="s">
        <v>19</v>
      </c>
      <c r="E5102">
        <v>5888</v>
      </c>
      <c r="F5102">
        <v>255</v>
      </c>
      <c r="G5102">
        <v>24</v>
      </c>
      <c r="H5102">
        <v>665.23</v>
      </c>
      <c r="I5102">
        <v>3825.36</v>
      </c>
      <c r="J5102">
        <v>4.33</v>
      </c>
      <c r="K5102">
        <v>9.41</v>
      </c>
      <c r="L5102">
        <v>27.72</v>
      </c>
      <c r="M5102">
        <v>5.75</v>
      </c>
      <c r="N5102">
        <v>3160.13</v>
      </c>
    </row>
    <row r="5103" spans="1:14" x14ac:dyDescent="0.2">
      <c r="A5103" s="1">
        <v>45899</v>
      </c>
      <c r="B5103" s="2" t="s">
        <v>17</v>
      </c>
      <c r="C5103" s="2" t="s">
        <v>21</v>
      </c>
      <c r="D5103" s="2" t="s">
        <v>16</v>
      </c>
      <c r="E5103">
        <v>9452</v>
      </c>
      <c r="F5103">
        <v>284</v>
      </c>
      <c r="G5103">
        <v>19</v>
      </c>
      <c r="H5103">
        <v>695.17</v>
      </c>
      <c r="I5103">
        <v>2783.52</v>
      </c>
      <c r="J5103">
        <v>3</v>
      </c>
      <c r="K5103">
        <v>6.69</v>
      </c>
      <c r="L5103">
        <v>36.590000000000003</v>
      </c>
      <c r="M5103">
        <v>4</v>
      </c>
      <c r="N5103">
        <v>2088.35</v>
      </c>
    </row>
    <row r="5104" spans="1:14" x14ac:dyDescent="0.2">
      <c r="A5104" s="1">
        <v>45899</v>
      </c>
      <c r="B5104" s="2" t="s">
        <v>20</v>
      </c>
      <c r="C5104" s="2" t="s">
        <v>15</v>
      </c>
      <c r="D5104" s="2" t="s">
        <v>19</v>
      </c>
      <c r="E5104">
        <v>9749</v>
      </c>
      <c r="F5104">
        <v>345</v>
      </c>
      <c r="G5104">
        <v>14</v>
      </c>
      <c r="H5104">
        <v>552.4</v>
      </c>
      <c r="I5104">
        <v>1396.16</v>
      </c>
      <c r="J5104">
        <v>3.54</v>
      </c>
      <c r="K5104">
        <v>4.0599999999999996</v>
      </c>
      <c r="L5104">
        <v>39.46</v>
      </c>
      <c r="M5104">
        <v>2.5299999999999998</v>
      </c>
      <c r="N5104">
        <v>843.76</v>
      </c>
    </row>
    <row r="5105" spans="1:14" x14ac:dyDescent="0.2">
      <c r="A5105" s="1">
        <v>45899</v>
      </c>
      <c r="B5105" s="2" t="s">
        <v>23</v>
      </c>
      <c r="C5105" s="2" t="s">
        <v>21</v>
      </c>
      <c r="D5105" s="2" t="s">
        <v>25</v>
      </c>
      <c r="E5105">
        <v>1823</v>
      </c>
      <c r="F5105">
        <v>48</v>
      </c>
      <c r="G5105">
        <v>4</v>
      </c>
      <c r="H5105">
        <v>614.4</v>
      </c>
      <c r="I5105">
        <v>909.74</v>
      </c>
      <c r="J5105">
        <v>2.63</v>
      </c>
      <c r="K5105">
        <v>8.33</v>
      </c>
      <c r="L5105">
        <v>153.6</v>
      </c>
      <c r="M5105">
        <v>1.48</v>
      </c>
      <c r="N5105">
        <v>295.33999999999997</v>
      </c>
    </row>
    <row r="5106" spans="1:14" x14ac:dyDescent="0.2">
      <c r="A5106" s="1">
        <v>45899</v>
      </c>
      <c r="B5106" s="2" t="s">
        <v>24</v>
      </c>
      <c r="C5106" s="2" t="s">
        <v>32</v>
      </c>
      <c r="D5106" s="2" t="s">
        <v>36</v>
      </c>
      <c r="E5106">
        <v>9010</v>
      </c>
      <c r="F5106">
        <v>2106</v>
      </c>
      <c r="G5106">
        <v>193</v>
      </c>
      <c r="H5106">
        <v>141.97999999999999</v>
      </c>
      <c r="I5106">
        <v>33748.480000000003</v>
      </c>
      <c r="J5106">
        <v>23.37</v>
      </c>
      <c r="K5106">
        <v>9.16</v>
      </c>
      <c r="L5106">
        <v>0.74</v>
      </c>
      <c r="M5106">
        <v>237.7</v>
      </c>
      <c r="N5106">
        <v>33606.5</v>
      </c>
    </row>
    <row r="5107" spans="1:14" x14ac:dyDescent="0.2">
      <c r="A5107" s="1">
        <v>45899</v>
      </c>
      <c r="B5107" s="2" t="s">
        <v>26</v>
      </c>
      <c r="C5107" s="2" t="s">
        <v>21</v>
      </c>
      <c r="D5107" s="2" t="s">
        <v>16</v>
      </c>
      <c r="E5107">
        <v>14823</v>
      </c>
      <c r="F5107">
        <v>1101</v>
      </c>
      <c r="G5107">
        <v>160</v>
      </c>
      <c r="H5107">
        <v>0</v>
      </c>
      <c r="I5107">
        <v>20072.689999999999</v>
      </c>
      <c r="J5107">
        <v>7.43</v>
      </c>
      <c r="K5107">
        <v>14.53</v>
      </c>
      <c r="L5107">
        <v>0</v>
      </c>
      <c r="M5107">
        <v>0</v>
      </c>
      <c r="N5107">
        <v>20072.689999999999</v>
      </c>
    </row>
    <row r="5108" spans="1:14" x14ac:dyDescent="0.2">
      <c r="A5108" s="1">
        <v>45899</v>
      </c>
      <c r="B5108" s="2" t="s">
        <v>27</v>
      </c>
      <c r="C5108" s="2" t="s">
        <v>28</v>
      </c>
      <c r="D5108" s="2" t="s">
        <v>25</v>
      </c>
      <c r="E5108">
        <v>21290</v>
      </c>
      <c r="F5108">
        <v>261</v>
      </c>
      <c r="G5108">
        <v>8</v>
      </c>
      <c r="H5108">
        <v>439.54</v>
      </c>
      <c r="I5108">
        <v>962.3</v>
      </c>
      <c r="J5108">
        <v>1.23</v>
      </c>
      <c r="K5108">
        <v>3.07</v>
      </c>
      <c r="L5108">
        <v>54.94</v>
      </c>
      <c r="M5108">
        <v>2.19</v>
      </c>
      <c r="N5108">
        <v>522.76</v>
      </c>
    </row>
    <row r="5109" spans="1:14" x14ac:dyDescent="0.2">
      <c r="A5109" s="1">
        <v>45899</v>
      </c>
      <c r="B5109" s="2" t="s">
        <v>29</v>
      </c>
      <c r="C5109" s="2" t="s">
        <v>18</v>
      </c>
      <c r="D5109" s="2" t="s">
        <v>22</v>
      </c>
      <c r="E5109">
        <v>14819</v>
      </c>
      <c r="F5109">
        <v>437</v>
      </c>
      <c r="G5109">
        <v>32</v>
      </c>
      <c r="H5109">
        <v>584.25</v>
      </c>
      <c r="I5109">
        <v>4157.3999999999996</v>
      </c>
      <c r="J5109">
        <v>2.95</v>
      </c>
      <c r="K5109">
        <v>7.32</v>
      </c>
      <c r="L5109">
        <v>18.260000000000002</v>
      </c>
      <c r="M5109">
        <v>7.12</v>
      </c>
      <c r="N5109">
        <v>3573.15</v>
      </c>
    </row>
    <row r="5110" spans="1:14" x14ac:dyDescent="0.2">
      <c r="A5110" s="1">
        <v>45899</v>
      </c>
      <c r="B5110" s="2" t="s">
        <v>30</v>
      </c>
      <c r="C5110" s="2" t="s">
        <v>32</v>
      </c>
      <c r="D5110" s="2" t="s">
        <v>36</v>
      </c>
      <c r="E5110">
        <v>6442</v>
      </c>
      <c r="F5110">
        <v>158</v>
      </c>
      <c r="G5110">
        <v>5</v>
      </c>
      <c r="H5110">
        <v>308.8</v>
      </c>
      <c r="I5110">
        <v>497.73</v>
      </c>
      <c r="J5110">
        <v>2.4500000000000002</v>
      </c>
      <c r="K5110">
        <v>3.16</v>
      </c>
      <c r="L5110">
        <v>61.76</v>
      </c>
      <c r="M5110">
        <v>1.61</v>
      </c>
      <c r="N5110">
        <v>188.93</v>
      </c>
    </row>
    <row r="5111" spans="1:14" x14ac:dyDescent="0.2">
      <c r="A5111" s="1">
        <v>45899</v>
      </c>
      <c r="B5111" s="2" t="s">
        <v>31</v>
      </c>
      <c r="C5111" s="2" t="s">
        <v>15</v>
      </c>
      <c r="D5111" s="2" t="s">
        <v>25</v>
      </c>
      <c r="E5111">
        <v>16413</v>
      </c>
      <c r="F5111">
        <v>448</v>
      </c>
      <c r="G5111">
        <v>26</v>
      </c>
      <c r="H5111">
        <v>615.75</v>
      </c>
      <c r="I5111">
        <v>2668.9</v>
      </c>
      <c r="J5111">
        <v>2.73</v>
      </c>
      <c r="K5111">
        <v>5.8</v>
      </c>
      <c r="L5111">
        <v>23.68</v>
      </c>
      <c r="M5111">
        <v>4.33</v>
      </c>
      <c r="N5111">
        <v>2053.15</v>
      </c>
    </row>
    <row r="5112" spans="1:14" x14ac:dyDescent="0.2">
      <c r="A5112" s="1">
        <v>45899</v>
      </c>
      <c r="B5112" s="2" t="s">
        <v>33</v>
      </c>
      <c r="C5112" s="2" t="s">
        <v>35</v>
      </c>
      <c r="D5112" s="2" t="s">
        <v>36</v>
      </c>
      <c r="E5112">
        <v>4690</v>
      </c>
      <c r="F5112">
        <v>246</v>
      </c>
      <c r="G5112">
        <v>29</v>
      </c>
      <c r="H5112">
        <v>350.33</v>
      </c>
      <c r="I5112">
        <v>3936.97</v>
      </c>
      <c r="J5112">
        <v>5.25</v>
      </c>
      <c r="K5112">
        <v>11.79</v>
      </c>
      <c r="L5112">
        <v>12.08</v>
      </c>
      <c r="M5112">
        <v>11.24</v>
      </c>
      <c r="N5112">
        <v>3586.64</v>
      </c>
    </row>
    <row r="5113" spans="1:14" x14ac:dyDescent="0.2">
      <c r="A5113" s="1">
        <v>45899</v>
      </c>
      <c r="B5113" s="2" t="s">
        <v>34</v>
      </c>
      <c r="C5113" s="2" t="s">
        <v>32</v>
      </c>
      <c r="D5113" s="2" t="s">
        <v>36</v>
      </c>
      <c r="E5113">
        <v>2347</v>
      </c>
      <c r="F5113">
        <v>156</v>
      </c>
      <c r="G5113">
        <v>24</v>
      </c>
      <c r="H5113">
        <v>42.6</v>
      </c>
      <c r="I5113">
        <v>3161.24</v>
      </c>
      <c r="J5113">
        <v>6.65</v>
      </c>
      <c r="K5113">
        <v>15.38</v>
      </c>
      <c r="L5113">
        <v>1.78</v>
      </c>
      <c r="M5113">
        <v>74.209999999999994</v>
      </c>
      <c r="N5113">
        <v>3118.64</v>
      </c>
    </row>
    <row r="5114" spans="1:14" x14ac:dyDescent="0.2">
      <c r="A5114" s="1">
        <v>45900</v>
      </c>
      <c r="B5114" s="2" t="s">
        <v>14</v>
      </c>
      <c r="C5114" s="2" t="s">
        <v>21</v>
      </c>
      <c r="D5114" s="2" t="s">
        <v>19</v>
      </c>
      <c r="E5114">
        <v>8881</v>
      </c>
      <c r="F5114">
        <v>345</v>
      </c>
      <c r="G5114">
        <v>34</v>
      </c>
      <c r="H5114">
        <v>681.07</v>
      </c>
      <c r="I5114">
        <v>5196.67</v>
      </c>
      <c r="J5114">
        <v>3.88</v>
      </c>
      <c r="K5114">
        <v>9.86</v>
      </c>
      <c r="L5114">
        <v>20.03</v>
      </c>
      <c r="M5114">
        <v>7.63</v>
      </c>
      <c r="N5114">
        <v>4515.6000000000004</v>
      </c>
    </row>
    <row r="5115" spans="1:14" x14ac:dyDescent="0.2">
      <c r="A5115" s="1">
        <v>45900</v>
      </c>
      <c r="B5115" s="2" t="s">
        <v>17</v>
      </c>
      <c r="C5115" s="2" t="s">
        <v>15</v>
      </c>
      <c r="D5115" s="2" t="s">
        <v>19</v>
      </c>
      <c r="E5115">
        <v>10601</v>
      </c>
      <c r="F5115">
        <v>416</v>
      </c>
      <c r="G5115">
        <v>23</v>
      </c>
      <c r="H5115">
        <v>656.23</v>
      </c>
      <c r="I5115">
        <v>2606.52</v>
      </c>
      <c r="J5115">
        <v>3.92</v>
      </c>
      <c r="K5115">
        <v>5.53</v>
      </c>
      <c r="L5115">
        <v>28.53</v>
      </c>
      <c r="M5115">
        <v>3.97</v>
      </c>
      <c r="N5115">
        <v>1950.29</v>
      </c>
    </row>
    <row r="5116" spans="1:14" x14ac:dyDescent="0.2">
      <c r="A5116" s="1">
        <v>45900</v>
      </c>
      <c r="B5116" s="2" t="s">
        <v>20</v>
      </c>
      <c r="C5116" s="2" t="s">
        <v>32</v>
      </c>
      <c r="D5116" s="2" t="s">
        <v>36</v>
      </c>
      <c r="E5116">
        <v>9207</v>
      </c>
      <c r="F5116">
        <v>256</v>
      </c>
      <c r="G5116">
        <v>10</v>
      </c>
      <c r="H5116">
        <v>494.64</v>
      </c>
      <c r="I5116">
        <v>1028.1300000000001</v>
      </c>
      <c r="J5116">
        <v>2.78</v>
      </c>
      <c r="K5116">
        <v>3.91</v>
      </c>
      <c r="L5116">
        <v>49.46</v>
      </c>
      <c r="M5116">
        <v>2.08</v>
      </c>
      <c r="N5116">
        <v>533.49</v>
      </c>
    </row>
    <row r="5117" spans="1:14" x14ac:dyDescent="0.2">
      <c r="A5117" s="1">
        <v>45900</v>
      </c>
      <c r="B5117" s="2" t="s">
        <v>23</v>
      </c>
      <c r="C5117" s="2" t="s">
        <v>15</v>
      </c>
      <c r="D5117" s="2" t="s">
        <v>36</v>
      </c>
      <c r="E5117">
        <v>2302</v>
      </c>
      <c r="F5117">
        <v>64</v>
      </c>
      <c r="G5117">
        <v>7</v>
      </c>
      <c r="H5117">
        <v>1031.98</v>
      </c>
      <c r="I5117">
        <v>2304.19</v>
      </c>
      <c r="J5117">
        <v>2.78</v>
      </c>
      <c r="K5117">
        <v>10.94</v>
      </c>
      <c r="L5117">
        <v>147.43</v>
      </c>
      <c r="M5117">
        <v>2.23</v>
      </c>
      <c r="N5117">
        <v>1272.21</v>
      </c>
    </row>
    <row r="5118" spans="1:14" x14ac:dyDescent="0.2">
      <c r="A5118" s="1">
        <v>45900</v>
      </c>
      <c r="B5118" s="2" t="s">
        <v>24</v>
      </c>
      <c r="C5118" s="2" t="s">
        <v>28</v>
      </c>
      <c r="D5118" s="2" t="s">
        <v>19</v>
      </c>
      <c r="E5118">
        <v>14047</v>
      </c>
      <c r="F5118">
        <v>2166</v>
      </c>
      <c r="G5118">
        <v>251</v>
      </c>
      <c r="H5118">
        <v>85.03</v>
      </c>
      <c r="I5118">
        <v>30296.99</v>
      </c>
      <c r="J5118">
        <v>15.42</v>
      </c>
      <c r="K5118">
        <v>11.59</v>
      </c>
      <c r="L5118">
        <v>0.34</v>
      </c>
      <c r="M5118">
        <v>356.31</v>
      </c>
      <c r="N5118">
        <v>30211.96</v>
      </c>
    </row>
    <row r="5119" spans="1:14" x14ac:dyDescent="0.2">
      <c r="A5119" s="1">
        <v>45900</v>
      </c>
      <c r="B5119" s="2" t="s">
        <v>26</v>
      </c>
      <c r="C5119" s="2" t="s">
        <v>32</v>
      </c>
      <c r="D5119" s="2" t="s">
        <v>36</v>
      </c>
      <c r="E5119">
        <v>20182</v>
      </c>
      <c r="F5119">
        <v>1602</v>
      </c>
      <c r="G5119">
        <v>198</v>
      </c>
      <c r="H5119">
        <v>0</v>
      </c>
      <c r="I5119">
        <v>27534.02</v>
      </c>
      <c r="J5119">
        <v>7.94</v>
      </c>
      <c r="K5119">
        <v>12.36</v>
      </c>
      <c r="L5119">
        <v>0</v>
      </c>
      <c r="M5119">
        <v>0</v>
      </c>
      <c r="N5119">
        <v>27534.02</v>
      </c>
    </row>
    <row r="5120" spans="1:14" x14ac:dyDescent="0.2">
      <c r="A5120" s="1">
        <v>45900</v>
      </c>
      <c r="B5120" s="2" t="s">
        <v>27</v>
      </c>
      <c r="C5120" s="2" t="s">
        <v>15</v>
      </c>
      <c r="D5120" s="2" t="s">
        <v>25</v>
      </c>
      <c r="E5120">
        <v>23739</v>
      </c>
      <c r="F5120">
        <v>248</v>
      </c>
      <c r="G5120">
        <v>11</v>
      </c>
      <c r="H5120">
        <v>565.53</v>
      </c>
      <c r="I5120">
        <v>1135.53</v>
      </c>
      <c r="J5120">
        <v>1.04</v>
      </c>
      <c r="K5120">
        <v>4.4400000000000004</v>
      </c>
      <c r="L5120">
        <v>51.41</v>
      </c>
      <c r="M5120">
        <v>2.0099999999999998</v>
      </c>
      <c r="N5120">
        <v>570</v>
      </c>
    </row>
    <row r="5121" spans="1:14" x14ac:dyDescent="0.2">
      <c r="A5121" s="1">
        <v>45900</v>
      </c>
      <c r="B5121" s="2" t="s">
        <v>29</v>
      </c>
      <c r="C5121" s="2" t="s">
        <v>15</v>
      </c>
      <c r="D5121" s="2" t="s">
        <v>16</v>
      </c>
      <c r="E5121">
        <v>11532</v>
      </c>
      <c r="F5121">
        <v>327</v>
      </c>
      <c r="G5121">
        <v>19</v>
      </c>
      <c r="H5121">
        <v>538.05999999999995</v>
      </c>
      <c r="I5121">
        <v>2256.14</v>
      </c>
      <c r="J5121">
        <v>2.84</v>
      </c>
      <c r="K5121">
        <v>5.81</v>
      </c>
      <c r="L5121">
        <v>28.32</v>
      </c>
      <c r="M5121">
        <v>4.1900000000000004</v>
      </c>
      <c r="N5121">
        <v>1718.08</v>
      </c>
    </row>
    <row r="5122" spans="1:14" x14ac:dyDescent="0.2">
      <c r="A5122" s="1">
        <v>45900</v>
      </c>
      <c r="B5122" s="2" t="s">
        <v>30</v>
      </c>
      <c r="C5122" s="2" t="s">
        <v>21</v>
      </c>
      <c r="D5122" s="2" t="s">
        <v>22</v>
      </c>
      <c r="E5122">
        <v>7184</v>
      </c>
      <c r="F5122">
        <v>199</v>
      </c>
      <c r="G5122">
        <v>11</v>
      </c>
      <c r="H5122">
        <v>411.95</v>
      </c>
      <c r="I5122">
        <v>877.32</v>
      </c>
      <c r="J5122">
        <v>2.77</v>
      </c>
      <c r="K5122">
        <v>5.53</v>
      </c>
      <c r="L5122">
        <v>37.450000000000003</v>
      </c>
      <c r="M5122">
        <v>2.13</v>
      </c>
      <c r="N5122">
        <v>465.37</v>
      </c>
    </row>
    <row r="5123" spans="1:14" x14ac:dyDescent="0.2">
      <c r="A5123" s="1">
        <v>45900</v>
      </c>
      <c r="B5123" s="2" t="s">
        <v>31</v>
      </c>
      <c r="C5123" s="2" t="s">
        <v>21</v>
      </c>
      <c r="D5123" s="2" t="s">
        <v>36</v>
      </c>
      <c r="E5123">
        <v>16875</v>
      </c>
      <c r="F5123">
        <v>597</v>
      </c>
      <c r="G5123">
        <v>25</v>
      </c>
      <c r="H5123">
        <v>389.9</v>
      </c>
      <c r="I5123">
        <v>2273.35</v>
      </c>
      <c r="J5123">
        <v>3.54</v>
      </c>
      <c r="K5123">
        <v>4.1900000000000004</v>
      </c>
      <c r="L5123">
        <v>15.6</v>
      </c>
      <c r="M5123">
        <v>5.83</v>
      </c>
      <c r="N5123">
        <v>1883.45</v>
      </c>
    </row>
    <row r="5124" spans="1:14" x14ac:dyDescent="0.2">
      <c r="A5124" s="1">
        <v>45900</v>
      </c>
      <c r="B5124" s="2" t="s">
        <v>33</v>
      </c>
      <c r="C5124" s="2" t="s">
        <v>21</v>
      </c>
      <c r="D5124" s="2" t="s">
        <v>36</v>
      </c>
      <c r="E5124">
        <v>3651</v>
      </c>
      <c r="F5124">
        <v>161</v>
      </c>
      <c r="G5124">
        <v>14</v>
      </c>
      <c r="H5124">
        <v>181.58</v>
      </c>
      <c r="I5124">
        <v>1973.74</v>
      </c>
      <c r="J5124">
        <v>4.41</v>
      </c>
      <c r="K5124">
        <v>8.6999999999999993</v>
      </c>
      <c r="L5124">
        <v>12.97</v>
      </c>
      <c r="M5124">
        <v>10.87</v>
      </c>
      <c r="N5124">
        <v>1792.16</v>
      </c>
    </row>
    <row r="5125" spans="1:14" x14ac:dyDescent="0.2">
      <c r="A5125" s="1">
        <v>45900</v>
      </c>
      <c r="B5125" s="2" t="s">
        <v>34</v>
      </c>
      <c r="C5125" s="2" t="s">
        <v>21</v>
      </c>
      <c r="D5125" s="2" t="s">
        <v>19</v>
      </c>
      <c r="E5125">
        <v>2955</v>
      </c>
      <c r="F5125">
        <v>189</v>
      </c>
      <c r="G5125">
        <v>29</v>
      </c>
      <c r="H5125">
        <v>47.34</v>
      </c>
      <c r="I5125">
        <v>4477.78</v>
      </c>
      <c r="J5125">
        <v>6.4</v>
      </c>
      <c r="K5125">
        <v>15.34</v>
      </c>
      <c r="L5125">
        <v>1.63</v>
      </c>
      <c r="M5125">
        <v>94.59</v>
      </c>
      <c r="N5125">
        <v>4430.4399999999996</v>
      </c>
    </row>
    <row r="5126" spans="1:14" x14ac:dyDescent="0.2">
      <c r="A5126" s="1">
        <v>45901</v>
      </c>
      <c r="B5126" s="2" t="s">
        <v>14</v>
      </c>
      <c r="C5126" s="2" t="s">
        <v>28</v>
      </c>
      <c r="D5126" s="2" t="s">
        <v>36</v>
      </c>
      <c r="E5126">
        <v>13240</v>
      </c>
      <c r="F5126">
        <v>587</v>
      </c>
      <c r="G5126">
        <v>56</v>
      </c>
      <c r="H5126">
        <v>867.08</v>
      </c>
      <c r="I5126">
        <v>8172.18</v>
      </c>
      <c r="J5126">
        <v>4.43</v>
      </c>
      <c r="K5126">
        <v>9.5399999999999991</v>
      </c>
      <c r="L5126">
        <v>15.48</v>
      </c>
      <c r="M5126">
        <v>9.42</v>
      </c>
      <c r="N5126">
        <v>7305.1</v>
      </c>
    </row>
    <row r="5127" spans="1:14" x14ac:dyDescent="0.2">
      <c r="A5127" s="1">
        <v>45901</v>
      </c>
      <c r="B5127" s="2" t="s">
        <v>17</v>
      </c>
      <c r="C5127" s="2" t="s">
        <v>32</v>
      </c>
      <c r="D5127" s="2" t="s">
        <v>22</v>
      </c>
      <c r="E5127">
        <v>18356</v>
      </c>
      <c r="F5127">
        <v>379</v>
      </c>
      <c r="G5127">
        <v>21</v>
      </c>
      <c r="H5127">
        <v>699.65</v>
      </c>
      <c r="I5127">
        <v>2348.2800000000002</v>
      </c>
      <c r="J5127">
        <v>2.06</v>
      </c>
      <c r="K5127">
        <v>5.54</v>
      </c>
      <c r="L5127">
        <v>33.32</v>
      </c>
      <c r="M5127">
        <v>3.36</v>
      </c>
      <c r="N5127">
        <v>1648.63</v>
      </c>
    </row>
    <row r="5128" spans="1:14" x14ac:dyDescent="0.2">
      <c r="A5128" s="1">
        <v>45901</v>
      </c>
      <c r="B5128" s="2" t="s">
        <v>20</v>
      </c>
      <c r="C5128" s="2" t="s">
        <v>35</v>
      </c>
      <c r="D5128" s="2" t="s">
        <v>19</v>
      </c>
      <c r="E5128">
        <v>16887</v>
      </c>
      <c r="F5128">
        <v>602</v>
      </c>
      <c r="G5128">
        <v>31</v>
      </c>
      <c r="H5128">
        <v>614.69000000000005</v>
      </c>
      <c r="I5128">
        <v>2885.71</v>
      </c>
      <c r="J5128">
        <v>3.56</v>
      </c>
      <c r="K5128">
        <v>5.15</v>
      </c>
      <c r="L5128">
        <v>19.829999999999998</v>
      </c>
      <c r="M5128">
        <v>4.6900000000000004</v>
      </c>
      <c r="N5128">
        <v>2271.02</v>
      </c>
    </row>
    <row r="5129" spans="1:14" x14ac:dyDescent="0.2">
      <c r="A5129" s="1">
        <v>45901</v>
      </c>
      <c r="B5129" s="2" t="s">
        <v>23</v>
      </c>
      <c r="C5129" s="2" t="s">
        <v>32</v>
      </c>
      <c r="D5129" s="2" t="s">
        <v>16</v>
      </c>
      <c r="E5129">
        <v>4265</v>
      </c>
      <c r="F5129">
        <v>109</v>
      </c>
      <c r="G5129">
        <v>14</v>
      </c>
      <c r="H5129">
        <v>1354.63</v>
      </c>
      <c r="I5129">
        <v>3907.58</v>
      </c>
      <c r="J5129">
        <v>2.56</v>
      </c>
      <c r="K5129">
        <v>12.84</v>
      </c>
      <c r="L5129">
        <v>96.76</v>
      </c>
      <c r="M5129">
        <v>2.88</v>
      </c>
      <c r="N5129">
        <v>2552.9499999999998</v>
      </c>
    </row>
    <row r="5130" spans="1:14" x14ac:dyDescent="0.2">
      <c r="A5130" s="1">
        <v>45901</v>
      </c>
      <c r="B5130" s="2" t="s">
        <v>24</v>
      </c>
      <c r="C5130" s="2" t="s">
        <v>21</v>
      </c>
      <c r="D5130" s="2" t="s">
        <v>16</v>
      </c>
      <c r="E5130">
        <v>19003</v>
      </c>
      <c r="F5130">
        <v>4489</v>
      </c>
      <c r="G5130">
        <v>508</v>
      </c>
      <c r="H5130">
        <v>280.57</v>
      </c>
      <c r="I5130">
        <v>77222.91</v>
      </c>
      <c r="J5130">
        <v>23.62</v>
      </c>
      <c r="K5130">
        <v>11.32</v>
      </c>
      <c r="L5130">
        <v>0.55000000000000004</v>
      </c>
      <c r="M5130">
        <v>275.24</v>
      </c>
      <c r="N5130">
        <v>76942.34</v>
      </c>
    </row>
    <row r="5131" spans="1:14" x14ac:dyDescent="0.2">
      <c r="A5131" s="1">
        <v>45901</v>
      </c>
      <c r="B5131" s="2" t="s">
        <v>26</v>
      </c>
      <c r="C5131" s="2" t="s">
        <v>35</v>
      </c>
      <c r="D5131" s="2" t="s">
        <v>36</v>
      </c>
      <c r="E5131">
        <v>30414</v>
      </c>
      <c r="F5131">
        <v>1351</v>
      </c>
      <c r="G5131">
        <v>176</v>
      </c>
      <c r="H5131">
        <v>0</v>
      </c>
      <c r="I5131">
        <v>22079.98</v>
      </c>
      <c r="J5131">
        <v>4.4400000000000004</v>
      </c>
      <c r="K5131">
        <v>13.03</v>
      </c>
      <c r="L5131">
        <v>0</v>
      </c>
      <c r="M5131">
        <v>0</v>
      </c>
      <c r="N5131">
        <v>22079.98</v>
      </c>
    </row>
    <row r="5132" spans="1:14" x14ac:dyDescent="0.2">
      <c r="A5132" s="1">
        <v>45901</v>
      </c>
      <c r="B5132" s="2" t="s">
        <v>27</v>
      </c>
      <c r="C5132" s="2" t="s">
        <v>32</v>
      </c>
      <c r="D5132" s="2" t="s">
        <v>19</v>
      </c>
      <c r="E5132">
        <v>25986</v>
      </c>
      <c r="F5132">
        <v>503</v>
      </c>
      <c r="G5132">
        <v>12</v>
      </c>
      <c r="H5132">
        <v>960.32</v>
      </c>
      <c r="I5132">
        <v>1453.01</v>
      </c>
      <c r="J5132">
        <v>1.94</v>
      </c>
      <c r="K5132">
        <v>2.39</v>
      </c>
      <c r="L5132">
        <v>80.03</v>
      </c>
      <c r="M5132">
        <v>1.51</v>
      </c>
      <c r="N5132">
        <v>492.69</v>
      </c>
    </row>
    <row r="5133" spans="1:14" x14ac:dyDescent="0.2">
      <c r="A5133" s="1">
        <v>45901</v>
      </c>
      <c r="B5133" s="2" t="s">
        <v>29</v>
      </c>
      <c r="C5133" s="2" t="s">
        <v>21</v>
      </c>
      <c r="D5133" s="2" t="s">
        <v>25</v>
      </c>
      <c r="E5133">
        <v>24953</v>
      </c>
      <c r="F5133">
        <v>433</v>
      </c>
      <c r="G5133">
        <v>26</v>
      </c>
      <c r="H5133">
        <v>1039.52</v>
      </c>
      <c r="I5133">
        <v>3251.17</v>
      </c>
      <c r="J5133">
        <v>1.74</v>
      </c>
      <c r="K5133">
        <v>6</v>
      </c>
      <c r="L5133">
        <v>39.979999999999997</v>
      </c>
      <c r="M5133">
        <v>3.13</v>
      </c>
      <c r="N5133">
        <v>2211.65</v>
      </c>
    </row>
    <row r="5134" spans="1:14" x14ac:dyDescent="0.2">
      <c r="A5134" s="1">
        <v>45901</v>
      </c>
      <c r="B5134" s="2" t="s">
        <v>30</v>
      </c>
      <c r="C5134" s="2" t="s">
        <v>18</v>
      </c>
      <c r="D5134" s="2" t="s">
        <v>36</v>
      </c>
      <c r="E5134">
        <v>13341</v>
      </c>
      <c r="F5134">
        <v>284</v>
      </c>
      <c r="G5134">
        <v>11</v>
      </c>
      <c r="H5134">
        <v>433.9</v>
      </c>
      <c r="I5134">
        <v>872.27</v>
      </c>
      <c r="J5134">
        <v>2.13</v>
      </c>
      <c r="K5134">
        <v>3.87</v>
      </c>
      <c r="L5134">
        <v>39.450000000000003</v>
      </c>
      <c r="M5134">
        <v>2.0099999999999998</v>
      </c>
      <c r="N5134">
        <v>438.37</v>
      </c>
    </row>
    <row r="5135" spans="1:14" x14ac:dyDescent="0.2">
      <c r="A5135" s="1">
        <v>45901</v>
      </c>
      <c r="B5135" s="2" t="s">
        <v>31</v>
      </c>
      <c r="C5135" s="2" t="s">
        <v>32</v>
      </c>
      <c r="D5135" s="2" t="s">
        <v>25</v>
      </c>
      <c r="E5135">
        <v>18263</v>
      </c>
      <c r="F5135">
        <v>671</v>
      </c>
      <c r="G5135">
        <v>36</v>
      </c>
      <c r="H5135">
        <v>977.88</v>
      </c>
      <c r="I5135">
        <v>2887.37</v>
      </c>
      <c r="J5135">
        <v>3.67</v>
      </c>
      <c r="K5135">
        <v>5.37</v>
      </c>
      <c r="L5135">
        <v>27.16</v>
      </c>
      <c r="M5135">
        <v>2.95</v>
      </c>
      <c r="N5135">
        <v>1909.49</v>
      </c>
    </row>
    <row r="5136" spans="1:14" x14ac:dyDescent="0.2">
      <c r="A5136" s="1">
        <v>45901</v>
      </c>
      <c r="B5136" s="2" t="s">
        <v>33</v>
      </c>
      <c r="C5136" s="2" t="s">
        <v>35</v>
      </c>
      <c r="D5136" s="2" t="s">
        <v>36</v>
      </c>
      <c r="E5136">
        <v>5342</v>
      </c>
      <c r="F5136">
        <v>368</v>
      </c>
      <c r="G5136">
        <v>46</v>
      </c>
      <c r="H5136">
        <v>373.92</v>
      </c>
      <c r="I5136">
        <v>6106.72</v>
      </c>
      <c r="J5136">
        <v>6.89</v>
      </c>
      <c r="K5136">
        <v>12.5</v>
      </c>
      <c r="L5136">
        <v>8.1300000000000008</v>
      </c>
      <c r="M5136">
        <v>16.329999999999998</v>
      </c>
      <c r="N5136">
        <v>5732.8</v>
      </c>
    </row>
    <row r="5137" spans="1:14" x14ac:dyDescent="0.2">
      <c r="A5137" s="1">
        <v>45901</v>
      </c>
      <c r="B5137" s="2" t="s">
        <v>34</v>
      </c>
      <c r="C5137" s="2" t="s">
        <v>28</v>
      </c>
      <c r="D5137" s="2" t="s">
        <v>36</v>
      </c>
      <c r="E5137">
        <v>6235</v>
      </c>
      <c r="F5137">
        <v>393</v>
      </c>
      <c r="G5137">
        <v>60</v>
      </c>
      <c r="H5137">
        <v>160.07</v>
      </c>
      <c r="I5137">
        <v>9682.0499999999993</v>
      </c>
      <c r="J5137">
        <v>6.3</v>
      </c>
      <c r="K5137">
        <v>15.27</v>
      </c>
      <c r="L5137">
        <v>2.67</v>
      </c>
      <c r="M5137">
        <v>60.49</v>
      </c>
      <c r="N5137">
        <v>9521.98</v>
      </c>
    </row>
    <row r="5138" spans="1:14" x14ac:dyDescent="0.2">
      <c r="A5138" s="1">
        <v>45902</v>
      </c>
      <c r="B5138" s="2" t="s">
        <v>14</v>
      </c>
      <c r="C5138" s="2" t="s">
        <v>28</v>
      </c>
      <c r="D5138" s="2" t="s">
        <v>36</v>
      </c>
      <c r="E5138">
        <v>12451</v>
      </c>
      <c r="F5138">
        <v>610</v>
      </c>
      <c r="G5138">
        <v>68</v>
      </c>
      <c r="H5138">
        <v>913.66</v>
      </c>
      <c r="I5138">
        <v>11919.69</v>
      </c>
      <c r="J5138">
        <v>4.9000000000000004</v>
      </c>
      <c r="K5138">
        <v>11.15</v>
      </c>
      <c r="L5138">
        <v>13.44</v>
      </c>
      <c r="M5138">
        <v>13.05</v>
      </c>
      <c r="N5138">
        <v>11006.03</v>
      </c>
    </row>
    <row r="5139" spans="1:14" x14ac:dyDescent="0.2">
      <c r="A5139" s="1">
        <v>45902</v>
      </c>
      <c r="B5139" s="2" t="s">
        <v>17</v>
      </c>
      <c r="C5139" s="2" t="s">
        <v>35</v>
      </c>
      <c r="D5139" s="2" t="s">
        <v>36</v>
      </c>
      <c r="E5139">
        <v>14037</v>
      </c>
      <c r="F5139">
        <v>428</v>
      </c>
      <c r="G5139">
        <v>33</v>
      </c>
      <c r="H5139">
        <v>901.07</v>
      </c>
      <c r="I5139">
        <v>4230.29</v>
      </c>
      <c r="J5139">
        <v>3.05</v>
      </c>
      <c r="K5139">
        <v>7.71</v>
      </c>
      <c r="L5139">
        <v>27.31</v>
      </c>
      <c r="M5139">
        <v>4.6900000000000004</v>
      </c>
      <c r="N5139">
        <v>3329.22</v>
      </c>
    </row>
    <row r="5140" spans="1:14" x14ac:dyDescent="0.2">
      <c r="A5140" s="1">
        <v>45902</v>
      </c>
      <c r="B5140" s="2" t="s">
        <v>20</v>
      </c>
      <c r="C5140" s="2" t="s">
        <v>35</v>
      </c>
      <c r="D5140" s="2" t="s">
        <v>19</v>
      </c>
      <c r="E5140">
        <v>13460</v>
      </c>
      <c r="F5140">
        <v>530</v>
      </c>
      <c r="G5140">
        <v>32</v>
      </c>
      <c r="H5140">
        <v>912.99</v>
      </c>
      <c r="I5140">
        <v>3487.48</v>
      </c>
      <c r="J5140">
        <v>3.94</v>
      </c>
      <c r="K5140">
        <v>6.04</v>
      </c>
      <c r="L5140">
        <v>28.53</v>
      </c>
      <c r="M5140">
        <v>3.82</v>
      </c>
      <c r="N5140">
        <v>2574.4899999999998</v>
      </c>
    </row>
    <row r="5141" spans="1:14" x14ac:dyDescent="0.2">
      <c r="A5141" s="1">
        <v>45902</v>
      </c>
      <c r="B5141" s="2" t="s">
        <v>23</v>
      </c>
      <c r="C5141" s="2" t="s">
        <v>28</v>
      </c>
      <c r="D5141" s="2" t="s">
        <v>16</v>
      </c>
      <c r="E5141">
        <v>5727</v>
      </c>
      <c r="F5141">
        <v>129</v>
      </c>
      <c r="G5141">
        <v>18</v>
      </c>
      <c r="H5141">
        <v>1735.62</v>
      </c>
      <c r="I5141">
        <v>5191.18</v>
      </c>
      <c r="J5141">
        <v>2.25</v>
      </c>
      <c r="K5141">
        <v>13.95</v>
      </c>
      <c r="L5141">
        <v>96.42</v>
      </c>
      <c r="M5141">
        <v>2.99</v>
      </c>
      <c r="N5141">
        <v>3455.56</v>
      </c>
    </row>
    <row r="5142" spans="1:14" x14ac:dyDescent="0.2">
      <c r="A5142" s="1">
        <v>45902</v>
      </c>
      <c r="B5142" s="2" t="s">
        <v>24</v>
      </c>
      <c r="C5142" s="2" t="s">
        <v>21</v>
      </c>
      <c r="D5142" s="2" t="s">
        <v>36</v>
      </c>
      <c r="E5142">
        <v>18432</v>
      </c>
      <c r="F5142">
        <v>3609</v>
      </c>
      <c r="G5142">
        <v>401</v>
      </c>
      <c r="H5142">
        <v>203.97</v>
      </c>
      <c r="I5142">
        <v>56799.77</v>
      </c>
      <c r="J5142">
        <v>19.579999999999998</v>
      </c>
      <c r="K5142">
        <v>11.11</v>
      </c>
      <c r="L5142">
        <v>0.51</v>
      </c>
      <c r="M5142">
        <v>278.47000000000003</v>
      </c>
      <c r="N5142">
        <v>56595.8</v>
      </c>
    </row>
    <row r="5143" spans="1:14" x14ac:dyDescent="0.2">
      <c r="A5143" s="1">
        <v>45902</v>
      </c>
      <c r="B5143" s="2" t="s">
        <v>26</v>
      </c>
      <c r="C5143" s="2" t="s">
        <v>21</v>
      </c>
      <c r="D5143" s="2" t="s">
        <v>19</v>
      </c>
      <c r="E5143">
        <v>30650</v>
      </c>
      <c r="F5143">
        <v>2379</v>
      </c>
      <c r="G5143">
        <v>265</v>
      </c>
      <c r="H5143">
        <v>0</v>
      </c>
      <c r="I5143">
        <v>28094.34</v>
      </c>
      <c r="J5143">
        <v>7.76</v>
      </c>
      <c r="K5143">
        <v>11.14</v>
      </c>
      <c r="L5143">
        <v>0</v>
      </c>
      <c r="M5143">
        <v>0</v>
      </c>
      <c r="N5143">
        <v>28094.34</v>
      </c>
    </row>
    <row r="5144" spans="1:14" x14ac:dyDescent="0.2">
      <c r="A5144" s="1">
        <v>45902</v>
      </c>
      <c r="B5144" s="2" t="s">
        <v>27</v>
      </c>
      <c r="C5144" s="2" t="s">
        <v>15</v>
      </c>
      <c r="D5144" s="2" t="s">
        <v>16</v>
      </c>
      <c r="E5144">
        <v>36152</v>
      </c>
      <c r="F5144">
        <v>594</v>
      </c>
      <c r="G5144">
        <v>19</v>
      </c>
      <c r="H5144">
        <v>1047.55</v>
      </c>
      <c r="I5144">
        <v>2377.3000000000002</v>
      </c>
      <c r="J5144">
        <v>1.64</v>
      </c>
      <c r="K5144">
        <v>3.2</v>
      </c>
      <c r="L5144">
        <v>55.13</v>
      </c>
      <c r="M5144">
        <v>2.27</v>
      </c>
      <c r="N5144">
        <v>1329.75</v>
      </c>
    </row>
    <row r="5145" spans="1:14" x14ac:dyDescent="0.2">
      <c r="A5145" s="1">
        <v>45902</v>
      </c>
      <c r="B5145" s="2" t="s">
        <v>29</v>
      </c>
      <c r="C5145" s="2" t="s">
        <v>35</v>
      </c>
      <c r="D5145" s="2" t="s">
        <v>16</v>
      </c>
      <c r="E5145">
        <v>23548</v>
      </c>
      <c r="F5145">
        <v>436</v>
      </c>
      <c r="G5145">
        <v>26</v>
      </c>
      <c r="H5145">
        <v>1219.51</v>
      </c>
      <c r="I5145">
        <v>3326.04</v>
      </c>
      <c r="J5145">
        <v>1.85</v>
      </c>
      <c r="K5145">
        <v>5.96</v>
      </c>
      <c r="L5145">
        <v>46.9</v>
      </c>
      <c r="M5145">
        <v>2.73</v>
      </c>
      <c r="N5145">
        <v>2106.5300000000002</v>
      </c>
    </row>
    <row r="5146" spans="1:14" x14ac:dyDescent="0.2">
      <c r="A5146" s="1">
        <v>45902</v>
      </c>
      <c r="B5146" s="2" t="s">
        <v>30</v>
      </c>
      <c r="C5146" s="2" t="s">
        <v>35</v>
      </c>
      <c r="D5146" s="2" t="s">
        <v>25</v>
      </c>
      <c r="E5146">
        <v>10530</v>
      </c>
      <c r="F5146">
        <v>320</v>
      </c>
      <c r="G5146">
        <v>15</v>
      </c>
      <c r="H5146">
        <v>793.15</v>
      </c>
      <c r="I5146">
        <v>1617.94</v>
      </c>
      <c r="J5146">
        <v>3.04</v>
      </c>
      <c r="K5146">
        <v>4.6900000000000004</v>
      </c>
      <c r="L5146">
        <v>52.88</v>
      </c>
      <c r="M5146">
        <v>2.04</v>
      </c>
      <c r="N5146">
        <v>824.79</v>
      </c>
    </row>
    <row r="5147" spans="1:14" x14ac:dyDescent="0.2">
      <c r="A5147" s="1">
        <v>45902</v>
      </c>
      <c r="B5147" s="2" t="s">
        <v>31</v>
      </c>
      <c r="C5147" s="2" t="s">
        <v>32</v>
      </c>
      <c r="D5147" s="2" t="s">
        <v>25</v>
      </c>
      <c r="E5147">
        <v>20028</v>
      </c>
      <c r="F5147">
        <v>865</v>
      </c>
      <c r="G5147">
        <v>28</v>
      </c>
      <c r="H5147">
        <v>826.34</v>
      </c>
      <c r="I5147">
        <v>2454.21</v>
      </c>
      <c r="J5147">
        <v>4.32</v>
      </c>
      <c r="K5147">
        <v>3.24</v>
      </c>
      <c r="L5147">
        <v>29.51</v>
      </c>
      <c r="M5147">
        <v>2.97</v>
      </c>
      <c r="N5147">
        <v>1627.87</v>
      </c>
    </row>
    <row r="5148" spans="1:14" x14ac:dyDescent="0.2">
      <c r="A5148" s="1">
        <v>45902</v>
      </c>
      <c r="B5148" s="2" t="s">
        <v>33</v>
      </c>
      <c r="C5148" s="2" t="s">
        <v>15</v>
      </c>
      <c r="D5148" s="2" t="s">
        <v>16</v>
      </c>
      <c r="E5148">
        <v>9806</v>
      </c>
      <c r="F5148">
        <v>632</v>
      </c>
      <c r="G5148">
        <v>75</v>
      </c>
      <c r="H5148">
        <v>394.84</v>
      </c>
      <c r="I5148">
        <v>9774.5499999999993</v>
      </c>
      <c r="J5148">
        <v>6.45</v>
      </c>
      <c r="K5148">
        <v>11.87</v>
      </c>
      <c r="L5148">
        <v>5.26</v>
      </c>
      <c r="M5148">
        <v>24.76</v>
      </c>
      <c r="N5148">
        <v>9379.7099999999991</v>
      </c>
    </row>
    <row r="5149" spans="1:14" x14ac:dyDescent="0.2">
      <c r="A5149" s="1">
        <v>45902</v>
      </c>
      <c r="B5149" s="2" t="s">
        <v>34</v>
      </c>
      <c r="C5149" s="2" t="s">
        <v>35</v>
      </c>
      <c r="D5149" s="2" t="s">
        <v>22</v>
      </c>
      <c r="E5149">
        <v>6448</v>
      </c>
      <c r="F5149">
        <v>466</v>
      </c>
      <c r="G5149">
        <v>75</v>
      </c>
      <c r="H5149">
        <v>107.75</v>
      </c>
      <c r="I5149">
        <v>9416.98</v>
      </c>
      <c r="J5149">
        <v>7.23</v>
      </c>
      <c r="K5149">
        <v>16.09</v>
      </c>
      <c r="L5149">
        <v>1.44</v>
      </c>
      <c r="M5149">
        <v>87.4</v>
      </c>
      <c r="N5149">
        <v>9309.23</v>
      </c>
    </row>
    <row r="5150" spans="1:14" x14ac:dyDescent="0.2">
      <c r="A5150" s="1">
        <v>45903</v>
      </c>
      <c r="B5150" s="2" t="s">
        <v>14</v>
      </c>
      <c r="C5150" s="2" t="s">
        <v>18</v>
      </c>
      <c r="D5150" s="2" t="s">
        <v>16</v>
      </c>
      <c r="E5150">
        <v>8431</v>
      </c>
      <c r="F5150">
        <v>335</v>
      </c>
      <c r="G5150">
        <v>30</v>
      </c>
      <c r="H5150">
        <v>1120.83</v>
      </c>
      <c r="I5150">
        <v>3983.96</v>
      </c>
      <c r="J5150">
        <v>3.97</v>
      </c>
      <c r="K5150">
        <v>8.9600000000000009</v>
      </c>
      <c r="L5150">
        <v>37.36</v>
      </c>
      <c r="M5150">
        <v>3.55</v>
      </c>
      <c r="N5150">
        <v>2863.13</v>
      </c>
    </row>
    <row r="5151" spans="1:14" x14ac:dyDescent="0.2">
      <c r="A5151" s="1">
        <v>45903</v>
      </c>
      <c r="B5151" s="2" t="s">
        <v>17</v>
      </c>
      <c r="C5151" s="2" t="s">
        <v>18</v>
      </c>
      <c r="D5151" s="2" t="s">
        <v>19</v>
      </c>
      <c r="E5151">
        <v>16873</v>
      </c>
      <c r="F5151">
        <v>528</v>
      </c>
      <c r="G5151">
        <v>36</v>
      </c>
      <c r="H5151">
        <v>1029.45</v>
      </c>
      <c r="I5151">
        <v>3983.46</v>
      </c>
      <c r="J5151">
        <v>3.13</v>
      </c>
      <c r="K5151">
        <v>6.82</v>
      </c>
      <c r="L5151">
        <v>28.6</v>
      </c>
      <c r="M5151">
        <v>3.87</v>
      </c>
      <c r="N5151">
        <v>2954.01</v>
      </c>
    </row>
    <row r="5152" spans="1:14" x14ac:dyDescent="0.2">
      <c r="A5152" s="1">
        <v>45903</v>
      </c>
      <c r="B5152" s="2" t="s">
        <v>20</v>
      </c>
      <c r="C5152" s="2" t="s">
        <v>18</v>
      </c>
      <c r="D5152" s="2" t="s">
        <v>25</v>
      </c>
      <c r="E5152">
        <v>14954</v>
      </c>
      <c r="F5152">
        <v>502</v>
      </c>
      <c r="G5152">
        <v>25</v>
      </c>
      <c r="H5152">
        <v>730.31</v>
      </c>
      <c r="I5152">
        <v>2387.63</v>
      </c>
      <c r="J5152">
        <v>3.36</v>
      </c>
      <c r="K5152">
        <v>4.9800000000000004</v>
      </c>
      <c r="L5152">
        <v>29.21</v>
      </c>
      <c r="M5152">
        <v>3.27</v>
      </c>
      <c r="N5152">
        <v>1657.32</v>
      </c>
    </row>
    <row r="5153" spans="1:14" x14ac:dyDescent="0.2">
      <c r="A5153" s="1">
        <v>45903</v>
      </c>
      <c r="B5153" s="2" t="s">
        <v>23</v>
      </c>
      <c r="C5153" s="2" t="s">
        <v>21</v>
      </c>
      <c r="D5153" s="2" t="s">
        <v>19</v>
      </c>
      <c r="E5153">
        <v>5192</v>
      </c>
      <c r="F5153">
        <v>107</v>
      </c>
      <c r="G5153">
        <v>12</v>
      </c>
      <c r="H5153">
        <v>1228.42</v>
      </c>
      <c r="I5153">
        <v>3643.32</v>
      </c>
      <c r="J5153">
        <v>2.06</v>
      </c>
      <c r="K5153">
        <v>11.21</v>
      </c>
      <c r="L5153">
        <v>102.37</v>
      </c>
      <c r="M5153">
        <v>2.97</v>
      </c>
      <c r="N5153">
        <v>2414.9</v>
      </c>
    </row>
    <row r="5154" spans="1:14" x14ac:dyDescent="0.2">
      <c r="A5154" s="1">
        <v>45903</v>
      </c>
      <c r="B5154" s="2" t="s">
        <v>24</v>
      </c>
      <c r="C5154" s="2" t="s">
        <v>21</v>
      </c>
      <c r="D5154" s="2" t="s">
        <v>19</v>
      </c>
      <c r="E5154">
        <v>24790</v>
      </c>
      <c r="F5154">
        <v>4568</v>
      </c>
      <c r="G5154">
        <v>476</v>
      </c>
      <c r="H5154">
        <v>251.46</v>
      </c>
      <c r="I5154">
        <v>60437.97</v>
      </c>
      <c r="J5154">
        <v>18.43</v>
      </c>
      <c r="K5154">
        <v>10.42</v>
      </c>
      <c r="L5154">
        <v>0.53</v>
      </c>
      <c r="M5154">
        <v>240.35</v>
      </c>
      <c r="N5154">
        <v>60186.51</v>
      </c>
    </row>
    <row r="5155" spans="1:14" x14ac:dyDescent="0.2">
      <c r="A5155" s="1">
        <v>45903</v>
      </c>
      <c r="B5155" s="2" t="s">
        <v>26</v>
      </c>
      <c r="C5155" s="2" t="s">
        <v>35</v>
      </c>
      <c r="D5155" s="2" t="s">
        <v>19</v>
      </c>
      <c r="E5155">
        <v>32410</v>
      </c>
      <c r="F5155">
        <v>2566</v>
      </c>
      <c r="G5155">
        <v>348</v>
      </c>
      <c r="H5155">
        <v>0</v>
      </c>
      <c r="I5155">
        <v>39847.14</v>
      </c>
      <c r="J5155">
        <v>7.92</v>
      </c>
      <c r="K5155">
        <v>13.56</v>
      </c>
      <c r="L5155">
        <v>0</v>
      </c>
      <c r="M5155">
        <v>0</v>
      </c>
      <c r="N5155">
        <v>39847.14</v>
      </c>
    </row>
    <row r="5156" spans="1:14" x14ac:dyDescent="0.2">
      <c r="A5156" s="1">
        <v>45903</v>
      </c>
      <c r="B5156" s="2" t="s">
        <v>27</v>
      </c>
      <c r="C5156" s="2" t="s">
        <v>15</v>
      </c>
      <c r="D5156" s="2" t="s">
        <v>19</v>
      </c>
      <c r="E5156">
        <v>29291</v>
      </c>
      <c r="F5156">
        <v>550</v>
      </c>
      <c r="G5156">
        <v>21</v>
      </c>
      <c r="H5156">
        <v>1237.01</v>
      </c>
      <c r="I5156">
        <v>2406.41</v>
      </c>
      <c r="J5156">
        <v>1.88</v>
      </c>
      <c r="K5156">
        <v>3.82</v>
      </c>
      <c r="L5156">
        <v>58.91</v>
      </c>
      <c r="M5156">
        <v>1.95</v>
      </c>
      <c r="N5156">
        <v>1169.4000000000001</v>
      </c>
    </row>
    <row r="5157" spans="1:14" x14ac:dyDescent="0.2">
      <c r="A5157" s="1">
        <v>45903</v>
      </c>
      <c r="B5157" s="2" t="s">
        <v>29</v>
      </c>
      <c r="C5157" s="2" t="s">
        <v>21</v>
      </c>
      <c r="D5157" s="2" t="s">
        <v>25</v>
      </c>
      <c r="E5157">
        <v>24566</v>
      </c>
      <c r="F5157">
        <v>731</v>
      </c>
      <c r="G5157">
        <v>48</v>
      </c>
      <c r="H5157">
        <v>1351.06</v>
      </c>
      <c r="I5157">
        <v>4275.8900000000003</v>
      </c>
      <c r="J5157">
        <v>2.98</v>
      </c>
      <c r="K5157">
        <v>6.57</v>
      </c>
      <c r="L5157">
        <v>28.15</v>
      </c>
      <c r="M5157">
        <v>3.16</v>
      </c>
      <c r="N5157">
        <v>2924.83</v>
      </c>
    </row>
    <row r="5158" spans="1:14" x14ac:dyDescent="0.2">
      <c r="A5158" s="1">
        <v>45903</v>
      </c>
      <c r="B5158" s="2" t="s">
        <v>30</v>
      </c>
      <c r="C5158" s="2" t="s">
        <v>21</v>
      </c>
      <c r="D5158" s="2" t="s">
        <v>25</v>
      </c>
      <c r="E5158">
        <v>11069</v>
      </c>
      <c r="F5158">
        <v>271</v>
      </c>
      <c r="G5158">
        <v>10</v>
      </c>
      <c r="H5158">
        <v>674.03</v>
      </c>
      <c r="I5158">
        <v>997.06</v>
      </c>
      <c r="J5158">
        <v>2.4500000000000002</v>
      </c>
      <c r="K5158">
        <v>3.69</v>
      </c>
      <c r="L5158">
        <v>67.400000000000006</v>
      </c>
      <c r="M5158">
        <v>1.48</v>
      </c>
      <c r="N5158">
        <v>323.02999999999997</v>
      </c>
    </row>
    <row r="5159" spans="1:14" x14ac:dyDescent="0.2">
      <c r="A5159" s="1">
        <v>45903</v>
      </c>
      <c r="B5159" s="2" t="s">
        <v>31</v>
      </c>
      <c r="C5159" s="2" t="s">
        <v>35</v>
      </c>
      <c r="D5159" s="2" t="s">
        <v>16</v>
      </c>
      <c r="E5159">
        <v>18124</v>
      </c>
      <c r="F5159">
        <v>680</v>
      </c>
      <c r="G5159">
        <v>22</v>
      </c>
      <c r="H5159">
        <v>1076.8599999999999</v>
      </c>
      <c r="I5159">
        <v>1722.64</v>
      </c>
      <c r="J5159">
        <v>3.75</v>
      </c>
      <c r="K5159">
        <v>3.24</v>
      </c>
      <c r="L5159">
        <v>48.95</v>
      </c>
      <c r="M5159">
        <v>1.6</v>
      </c>
      <c r="N5159">
        <v>645.78</v>
      </c>
    </row>
    <row r="5160" spans="1:14" x14ac:dyDescent="0.2">
      <c r="A5160" s="1">
        <v>45903</v>
      </c>
      <c r="B5160" s="2" t="s">
        <v>33</v>
      </c>
      <c r="C5160" s="2" t="s">
        <v>35</v>
      </c>
      <c r="D5160" s="2" t="s">
        <v>19</v>
      </c>
      <c r="E5160">
        <v>9732</v>
      </c>
      <c r="F5160">
        <v>517</v>
      </c>
      <c r="G5160">
        <v>62</v>
      </c>
      <c r="H5160">
        <v>622.64</v>
      </c>
      <c r="I5160">
        <v>8571.0300000000007</v>
      </c>
      <c r="J5160">
        <v>5.31</v>
      </c>
      <c r="K5160">
        <v>11.99</v>
      </c>
      <c r="L5160">
        <v>10.039999999999999</v>
      </c>
      <c r="M5160">
        <v>13.77</v>
      </c>
      <c r="N5160">
        <v>7948.39</v>
      </c>
    </row>
    <row r="5161" spans="1:14" x14ac:dyDescent="0.2">
      <c r="A5161" s="1">
        <v>45903</v>
      </c>
      <c r="B5161" s="2" t="s">
        <v>34</v>
      </c>
      <c r="C5161" s="2" t="s">
        <v>35</v>
      </c>
      <c r="D5161" s="2" t="s">
        <v>36</v>
      </c>
      <c r="E5161">
        <v>4955</v>
      </c>
      <c r="F5161">
        <v>429</v>
      </c>
      <c r="G5161">
        <v>76</v>
      </c>
      <c r="H5161">
        <v>58.83</v>
      </c>
      <c r="I5161">
        <v>13687.45</v>
      </c>
      <c r="J5161">
        <v>8.66</v>
      </c>
      <c r="K5161">
        <v>17.72</v>
      </c>
      <c r="L5161">
        <v>0.77</v>
      </c>
      <c r="M5161">
        <v>232.66</v>
      </c>
      <c r="N5161">
        <v>13628.62</v>
      </c>
    </row>
    <row r="5162" spans="1:14" x14ac:dyDescent="0.2">
      <c r="A5162" s="1">
        <v>45904</v>
      </c>
      <c r="B5162" s="2" t="s">
        <v>14</v>
      </c>
      <c r="C5162" s="2" t="s">
        <v>28</v>
      </c>
      <c r="D5162" s="2" t="s">
        <v>25</v>
      </c>
      <c r="E5162">
        <v>13550</v>
      </c>
      <c r="F5162">
        <v>526</v>
      </c>
      <c r="G5162">
        <v>44</v>
      </c>
      <c r="H5162">
        <v>891.97</v>
      </c>
      <c r="I5162">
        <v>5043.8500000000004</v>
      </c>
      <c r="J5162">
        <v>3.88</v>
      </c>
      <c r="K5162">
        <v>8.3699999999999992</v>
      </c>
      <c r="L5162">
        <v>20.27</v>
      </c>
      <c r="M5162">
        <v>5.65</v>
      </c>
      <c r="N5162">
        <v>4151.88</v>
      </c>
    </row>
    <row r="5163" spans="1:14" x14ac:dyDescent="0.2">
      <c r="A5163" s="1">
        <v>45904</v>
      </c>
      <c r="B5163" s="2" t="s">
        <v>17</v>
      </c>
      <c r="C5163" s="2" t="s">
        <v>15</v>
      </c>
      <c r="D5163" s="2" t="s">
        <v>16</v>
      </c>
      <c r="E5163">
        <v>13548</v>
      </c>
      <c r="F5163">
        <v>464</v>
      </c>
      <c r="G5163">
        <v>29</v>
      </c>
      <c r="H5163">
        <v>1120.1099999999999</v>
      </c>
      <c r="I5163">
        <v>2716.73</v>
      </c>
      <c r="J5163">
        <v>3.42</v>
      </c>
      <c r="K5163">
        <v>6.25</v>
      </c>
      <c r="L5163">
        <v>38.619999999999997</v>
      </c>
      <c r="M5163">
        <v>2.4300000000000002</v>
      </c>
      <c r="N5163">
        <v>1596.62</v>
      </c>
    </row>
    <row r="5164" spans="1:14" x14ac:dyDescent="0.2">
      <c r="A5164" s="1">
        <v>45904</v>
      </c>
      <c r="B5164" s="2" t="s">
        <v>20</v>
      </c>
      <c r="C5164" s="2" t="s">
        <v>28</v>
      </c>
      <c r="D5164" s="2" t="s">
        <v>25</v>
      </c>
      <c r="E5164">
        <v>11104</v>
      </c>
      <c r="F5164">
        <v>379</v>
      </c>
      <c r="G5164">
        <v>19</v>
      </c>
      <c r="H5164">
        <v>617.65</v>
      </c>
      <c r="I5164">
        <v>2038.44</v>
      </c>
      <c r="J5164">
        <v>3.41</v>
      </c>
      <c r="K5164">
        <v>5.01</v>
      </c>
      <c r="L5164">
        <v>32.51</v>
      </c>
      <c r="M5164">
        <v>3.3</v>
      </c>
      <c r="N5164">
        <v>1420.79</v>
      </c>
    </row>
    <row r="5165" spans="1:14" x14ac:dyDescent="0.2">
      <c r="A5165" s="1">
        <v>45904</v>
      </c>
      <c r="B5165" s="2" t="s">
        <v>23</v>
      </c>
      <c r="C5165" s="2" t="s">
        <v>21</v>
      </c>
      <c r="D5165" s="2" t="s">
        <v>36</v>
      </c>
      <c r="E5165">
        <v>4739</v>
      </c>
      <c r="F5165">
        <v>88</v>
      </c>
      <c r="G5165">
        <v>12</v>
      </c>
      <c r="H5165">
        <v>1632.01</v>
      </c>
      <c r="I5165">
        <v>2927.11</v>
      </c>
      <c r="J5165">
        <v>1.86</v>
      </c>
      <c r="K5165">
        <v>13.64</v>
      </c>
      <c r="L5165">
        <v>136</v>
      </c>
      <c r="M5165">
        <v>1.79</v>
      </c>
      <c r="N5165">
        <v>1295.0999999999999</v>
      </c>
    </row>
    <row r="5166" spans="1:14" x14ac:dyDescent="0.2">
      <c r="A5166" s="1">
        <v>45904</v>
      </c>
      <c r="B5166" s="2" t="s">
        <v>24</v>
      </c>
      <c r="C5166" s="2" t="s">
        <v>21</v>
      </c>
      <c r="D5166" s="2" t="s">
        <v>22</v>
      </c>
      <c r="E5166">
        <v>24416</v>
      </c>
      <c r="F5166">
        <v>3694</v>
      </c>
      <c r="G5166">
        <v>331</v>
      </c>
      <c r="H5166">
        <v>220.56</v>
      </c>
      <c r="I5166">
        <v>36950.74</v>
      </c>
      <c r="J5166">
        <v>15.13</v>
      </c>
      <c r="K5166">
        <v>8.9600000000000009</v>
      </c>
      <c r="L5166">
        <v>0.67</v>
      </c>
      <c r="M5166">
        <v>167.53</v>
      </c>
      <c r="N5166">
        <v>36730.18</v>
      </c>
    </row>
    <row r="5167" spans="1:14" x14ac:dyDescent="0.2">
      <c r="A5167" s="1">
        <v>45904</v>
      </c>
      <c r="B5167" s="2" t="s">
        <v>26</v>
      </c>
      <c r="C5167" s="2" t="s">
        <v>15</v>
      </c>
      <c r="D5167" s="2" t="s">
        <v>22</v>
      </c>
      <c r="E5167">
        <v>26136</v>
      </c>
      <c r="F5167">
        <v>1943</v>
      </c>
      <c r="G5167">
        <v>203</v>
      </c>
      <c r="H5167">
        <v>0</v>
      </c>
      <c r="I5167">
        <v>25909.03</v>
      </c>
      <c r="J5167">
        <v>7.43</v>
      </c>
      <c r="K5167">
        <v>10.45</v>
      </c>
      <c r="L5167">
        <v>0</v>
      </c>
      <c r="M5167">
        <v>0</v>
      </c>
      <c r="N5167">
        <v>25909.03</v>
      </c>
    </row>
    <row r="5168" spans="1:14" x14ac:dyDescent="0.2">
      <c r="A5168" s="1">
        <v>45904</v>
      </c>
      <c r="B5168" s="2" t="s">
        <v>27</v>
      </c>
      <c r="C5168" s="2" t="s">
        <v>28</v>
      </c>
      <c r="D5168" s="2" t="s">
        <v>22</v>
      </c>
      <c r="E5168">
        <v>39340</v>
      </c>
      <c r="F5168">
        <v>757</v>
      </c>
      <c r="G5168">
        <v>16</v>
      </c>
      <c r="H5168">
        <v>998.73</v>
      </c>
      <c r="I5168">
        <v>1498.48</v>
      </c>
      <c r="J5168">
        <v>1.92</v>
      </c>
      <c r="K5168">
        <v>2.11</v>
      </c>
      <c r="L5168">
        <v>62.42</v>
      </c>
      <c r="M5168">
        <v>1.5</v>
      </c>
      <c r="N5168">
        <v>499.75</v>
      </c>
    </row>
    <row r="5169" spans="1:14" x14ac:dyDescent="0.2">
      <c r="A5169" s="1">
        <v>45904</v>
      </c>
      <c r="B5169" s="2" t="s">
        <v>29</v>
      </c>
      <c r="C5169" s="2" t="s">
        <v>32</v>
      </c>
      <c r="D5169" s="2" t="s">
        <v>25</v>
      </c>
      <c r="E5169">
        <v>17056</v>
      </c>
      <c r="F5169">
        <v>395</v>
      </c>
      <c r="G5169">
        <v>29</v>
      </c>
      <c r="H5169">
        <v>1271.8900000000001</v>
      </c>
      <c r="I5169">
        <v>4082.84</v>
      </c>
      <c r="J5169">
        <v>2.3199999999999998</v>
      </c>
      <c r="K5169">
        <v>7.34</v>
      </c>
      <c r="L5169">
        <v>43.86</v>
      </c>
      <c r="M5169">
        <v>3.21</v>
      </c>
      <c r="N5169">
        <v>2810.95</v>
      </c>
    </row>
    <row r="5170" spans="1:14" x14ac:dyDescent="0.2">
      <c r="A5170" s="1">
        <v>45904</v>
      </c>
      <c r="B5170" s="2" t="s">
        <v>30</v>
      </c>
      <c r="C5170" s="2" t="s">
        <v>32</v>
      </c>
      <c r="D5170" s="2" t="s">
        <v>36</v>
      </c>
      <c r="E5170">
        <v>9305</v>
      </c>
      <c r="F5170">
        <v>216</v>
      </c>
      <c r="G5170">
        <v>7</v>
      </c>
      <c r="H5170">
        <v>493.7</v>
      </c>
      <c r="I5170">
        <v>628.34</v>
      </c>
      <c r="J5170">
        <v>2.3199999999999998</v>
      </c>
      <c r="K5170">
        <v>3.24</v>
      </c>
      <c r="L5170">
        <v>70.53</v>
      </c>
      <c r="M5170">
        <v>1.27</v>
      </c>
      <c r="N5170">
        <v>134.63999999999999</v>
      </c>
    </row>
    <row r="5171" spans="1:14" x14ac:dyDescent="0.2">
      <c r="A5171" s="1">
        <v>45904</v>
      </c>
      <c r="B5171" s="2" t="s">
        <v>31</v>
      </c>
      <c r="C5171" s="2" t="s">
        <v>15</v>
      </c>
      <c r="D5171" s="2" t="s">
        <v>36</v>
      </c>
      <c r="E5171">
        <v>20292</v>
      </c>
      <c r="F5171">
        <v>766</v>
      </c>
      <c r="G5171">
        <v>52</v>
      </c>
      <c r="H5171">
        <v>883.18</v>
      </c>
      <c r="I5171">
        <v>3775.91</v>
      </c>
      <c r="J5171">
        <v>3.77</v>
      </c>
      <c r="K5171">
        <v>6.79</v>
      </c>
      <c r="L5171">
        <v>16.98</v>
      </c>
      <c r="M5171">
        <v>4.28</v>
      </c>
      <c r="N5171">
        <v>2892.73</v>
      </c>
    </row>
    <row r="5172" spans="1:14" x14ac:dyDescent="0.2">
      <c r="A5172" s="1">
        <v>45904</v>
      </c>
      <c r="B5172" s="2" t="s">
        <v>33</v>
      </c>
      <c r="C5172" s="2" t="s">
        <v>35</v>
      </c>
      <c r="D5172" s="2" t="s">
        <v>16</v>
      </c>
      <c r="E5172">
        <v>6917</v>
      </c>
      <c r="F5172">
        <v>311</v>
      </c>
      <c r="G5172">
        <v>25</v>
      </c>
      <c r="H5172">
        <v>322.2</v>
      </c>
      <c r="I5172">
        <v>3396.62</v>
      </c>
      <c r="J5172">
        <v>4.5</v>
      </c>
      <c r="K5172">
        <v>8.0399999999999991</v>
      </c>
      <c r="L5172">
        <v>12.89</v>
      </c>
      <c r="M5172">
        <v>10.54</v>
      </c>
      <c r="N5172">
        <v>3074.42</v>
      </c>
    </row>
    <row r="5173" spans="1:14" x14ac:dyDescent="0.2">
      <c r="A5173" s="1">
        <v>45904</v>
      </c>
      <c r="B5173" s="2" t="s">
        <v>34</v>
      </c>
      <c r="C5173" s="2" t="s">
        <v>35</v>
      </c>
      <c r="D5173" s="2" t="s">
        <v>22</v>
      </c>
      <c r="E5173">
        <v>3588</v>
      </c>
      <c r="F5173">
        <v>293</v>
      </c>
      <c r="G5173">
        <v>42</v>
      </c>
      <c r="H5173">
        <v>63.52</v>
      </c>
      <c r="I5173">
        <v>6558.55</v>
      </c>
      <c r="J5173">
        <v>8.17</v>
      </c>
      <c r="K5173">
        <v>14.33</v>
      </c>
      <c r="L5173">
        <v>1.51</v>
      </c>
      <c r="M5173">
        <v>103.25</v>
      </c>
      <c r="N5173">
        <v>6495.03</v>
      </c>
    </row>
    <row r="5174" spans="1:14" x14ac:dyDescent="0.2">
      <c r="A5174" s="1">
        <v>45905</v>
      </c>
      <c r="B5174" s="2" t="s">
        <v>14</v>
      </c>
      <c r="C5174" s="2" t="s">
        <v>28</v>
      </c>
      <c r="D5174" s="2" t="s">
        <v>36</v>
      </c>
      <c r="E5174">
        <v>14586</v>
      </c>
      <c r="F5174">
        <v>685</v>
      </c>
      <c r="G5174">
        <v>56</v>
      </c>
      <c r="H5174">
        <v>1155.46</v>
      </c>
      <c r="I5174">
        <v>6845.97</v>
      </c>
      <c r="J5174">
        <v>4.7</v>
      </c>
      <c r="K5174">
        <v>8.18</v>
      </c>
      <c r="L5174">
        <v>20.63</v>
      </c>
      <c r="M5174">
        <v>5.92</v>
      </c>
      <c r="N5174">
        <v>5690.51</v>
      </c>
    </row>
    <row r="5175" spans="1:14" x14ac:dyDescent="0.2">
      <c r="A5175" s="1">
        <v>45905</v>
      </c>
      <c r="B5175" s="2" t="s">
        <v>17</v>
      </c>
      <c r="C5175" s="2" t="s">
        <v>21</v>
      </c>
      <c r="D5175" s="2" t="s">
        <v>36</v>
      </c>
      <c r="E5175">
        <v>12021</v>
      </c>
      <c r="F5175">
        <v>270</v>
      </c>
      <c r="G5175">
        <v>23</v>
      </c>
      <c r="H5175">
        <v>778.94</v>
      </c>
      <c r="I5175">
        <v>2943.62</v>
      </c>
      <c r="J5175">
        <v>2.25</v>
      </c>
      <c r="K5175">
        <v>8.52</v>
      </c>
      <c r="L5175">
        <v>33.869999999999997</v>
      </c>
      <c r="M5175">
        <v>3.78</v>
      </c>
      <c r="N5175">
        <v>2164.6799999999998</v>
      </c>
    </row>
    <row r="5176" spans="1:14" x14ac:dyDescent="0.2">
      <c r="A5176" s="1">
        <v>45905</v>
      </c>
      <c r="B5176" s="2" t="s">
        <v>20</v>
      </c>
      <c r="C5176" s="2" t="s">
        <v>28</v>
      </c>
      <c r="D5176" s="2" t="s">
        <v>25</v>
      </c>
      <c r="E5176">
        <v>10122</v>
      </c>
      <c r="F5176">
        <v>275</v>
      </c>
      <c r="G5176">
        <v>17</v>
      </c>
      <c r="H5176">
        <v>926.45</v>
      </c>
      <c r="I5176">
        <v>2185.8200000000002</v>
      </c>
      <c r="J5176">
        <v>2.72</v>
      </c>
      <c r="K5176">
        <v>6.18</v>
      </c>
      <c r="L5176">
        <v>54.5</v>
      </c>
      <c r="M5176">
        <v>2.36</v>
      </c>
      <c r="N5176">
        <v>1259.3699999999999</v>
      </c>
    </row>
    <row r="5177" spans="1:14" x14ac:dyDescent="0.2">
      <c r="A5177" s="1">
        <v>45905</v>
      </c>
      <c r="B5177" s="2" t="s">
        <v>23</v>
      </c>
      <c r="C5177" s="2" t="s">
        <v>18</v>
      </c>
      <c r="D5177" s="2" t="s">
        <v>19</v>
      </c>
      <c r="E5177">
        <v>3732</v>
      </c>
      <c r="F5177">
        <v>66</v>
      </c>
      <c r="G5177">
        <v>9</v>
      </c>
      <c r="H5177">
        <v>1274.49</v>
      </c>
      <c r="I5177">
        <v>1828.34</v>
      </c>
      <c r="J5177">
        <v>1.77</v>
      </c>
      <c r="K5177">
        <v>13.64</v>
      </c>
      <c r="L5177">
        <v>141.61000000000001</v>
      </c>
      <c r="M5177">
        <v>1.43</v>
      </c>
      <c r="N5177">
        <v>553.85</v>
      </c>
    </row>
    <row r="5178" spans="1:14" x14ac:dyDescent="0.2">
      <c r="A5178" s="1">
        <v>45905</v>
      </c>
      <c r="B5178" s="2" t="s">
        <v>24</v>
      </c>
      <c r="C5178" s="2" t="s">
        <v>21</v>
      </c>
      <c r="D5178" s="2" t="s">
        <v>25</v>
      </c>
      <c r="E5178">
        <v>18947</v>
      </c>
      <c r="F5178">
        <v>4606</v>
      </c>
      <c r="G5178">
        <v>512</v>
      </c>
      <c r="H5178">
        <v>214.49</v>
      </c>
      <c r="I5178">
        <v>59687.13</v>
      </c>
      <c r="J5178">
        <v>24.31</v>
      </c>
      <c r="K5178">
        <v>11.12</v>
      </c>
      <c r="L5178">
        <v>0.42</v>
      </c>
      <c r="M5178">
        <v>278.27</v>
      </c>
      <c r="N5178">
        <v>59472.639999999999</v>
      </c>
    </row>
    <row r="5179" spans="1:14" x14ac:dyDescent="0.2">
      <c r="A5179" s="1">
        <v>45905</v>
      </c>
      <c r="B5179" s="2" t="s">
        <v>26</v>
      </c>
      <c r="C5179" s="2" t="s">
        <v>21</v>
      </c>
      <c r="D5179" s="2" t="s">
        <v>19</v>
      </c>
      <c r="E5179">
        <v>33872</v>
      </c>
      <c r="F5179">
        <v>2699</v>
      </c>
      <c r="G5179">
        <v>283</v>
      </c>
      <c r="H5179">
        <v>0</v>
      </c>
      <c r="I5179">
        <v>33935.910000000003</v>
      </c>
      <c r="J5179">
        <v>7.97</v>
      </c>
      <c r="K5179">
        <v>10.49</v>
      </c>
      <c r="L5179">
        <v>0</v>
      </c>
      <c r="M5179">
        <v>0</v>
      </c>
      <c r="N5179">
        <v>33935.910000000003</v>
      </c>
    </row>
    <row r="5180" spans="1:14" x14ac:dyDescent="0.2">
      <c r="A5180" s="1">
        <v>45905</v>
      </c>
      <c r="B5180" s="2" t="s">
        <v>27</v>
      </c>
      <c r="C5180" s="2" t="s">
        <v>15</v>
      </c>
      <c r="D5180" s="2" t="s">
        <v>16</v>
      </c>
      <c r="E5180">
        <v>38514</v>
      </c>
      <c r="F5180">
        <v>551</v>
      </c>
      <c r="G5180">
        <v>13</v>
      </c>
      <c r="H5180">
        <v>756.72</v>
      </c>
      <c r="I5180">
        <v>1262.71</v>
      </c>
      <c r="J5180">
        <v>1.43</v>
      </c>
      <c r="K5180">
        <v>2.36</v>
      </c>
      <c r="L5180">
        <v>58.21</v>
      </c>
      <c r="M5180">
        <v>1.67</v>
      </c>
      <c r="N5180">
        <v>505.99</v>
      </c>
    </row>
    <row r="5181" spans="1:14" x14ac:dyDescent="0.2">
      <c r="A5181" s="1">
        <v>45905</v>
      </c>
      <c r="B5181" s="2" t="s">
        <v>29</v>
      </c>
      <c r="C5181" s="2" t="s">
        <v>28</v>
      </c>
      <c r="D5181" s="2" t="s">
        <v>19</v>
      </c>
      <c r="E5181">
        <v>24903</v>
      </c>
      <c r="F5181">
        <v>425</v>
      </c>
      <c r="G5181">
        <v>31</v>
      </c>
      <c r="H5181">
        <v>1319.35</v>
      </c>
      <c r="I5181">
        <v>3628.94</v>
      </c>
      <c r="J5181">
        <v>1.71</v>
      </c>
      <c r="K5181">
        <v>7.29</v>
      </c>
      <c r="L5181">
        <v>42.56</v>
      </c>
      <c r="M5181">
        <v>2.75</v>
      </c>
      <c r="N5181">
        <v>2309.59</v>
      </c>
    </row>
    <row r="5182" spans="1:14" x14ac:dyDescent="0.2">
      <c r="A5182" s="1">
        <v>45905</v>
      </c>
      <c r="B5182" s="2" t="s">
        <v>30</v>
      </c>
      <c r="C5182" s="2" t="s">
        <v>35</v>
      </c>
      <c r="D5182" s="2" t="s">
        <v>22</v>
      </c>
      <c r="E5182">
        <v>9907</v>
      </c>
      <c r="F5182">
        <v>320</v>
      </c>
      <c r="G5182">
        <v>11</v>
      </c>
      <c r="H5182">
        <v>476.6</v>
      </c>
      <c r="I5182">
        <v>938.11</v>
      </c>
      <c r="J5182">
        <v>3.23</v>
      </c>
      <c r="K5182">
        <v>3.44</v>
      </c>
      <c r="L5182">
        <v>43.33</v>
      </c>
      <c r="M5182">
        <v>1.97</v>
      </c>
      <c r="N5182">
        <v>461.51</v>
      </c>
    </row>
    <row r="5183" spans="1:14" x14ac:dyDescent="0.2">
      <c r="A5183" s="1">
        <v>45905</v>
      </c>
      <c r="B5183" s="2" t="s">
        <v>31</v>
      </c>
      <c r="C5183" s="2" t="s">
        <v>28</v>
      </c>
      <c r="D5183" s="2" t="s">
        <v>36</v>
      </c>
      <c r="E5183">
        <v>23772</v>
      </c>
      <c r="F5183">
        <v>747</v>
      </c>
      <c r="G5183">
        <v>47</v>
      </c>
      <c r="H5183">
        <v>721.8</v>
      </c>
      <c r="I5183">
        <v>3203.95</v>
      </c>
      <c r="J5183">
        <v>3.14</v>
      </c>
      <c r="K5183">
        <v>6.29</v>
      </c>
      <c r="L5183">
        <v>15.36</v>
      </c>
      <c r="M5183">
        <v>4.4400000000000004</v>
      </c>
      <c r="N5183">
        <v>2482.15</v>
      </c>
    </row>
    <row r="5184" spans="1:14" x14ac:dyDescent="0.2">
      <c r="A5184" s="1">
        <v>45905</v>
      </c>
      <c r="B5184" s="2" t="s">
        <v>33</v>
      </c>
      <c r="C5184" s="2" t="s">
        <v>15</v>
      </c>
      <c r="D5184" s="2" t="s">
        <v>36</v>
      </c>
      <c r="E5184">
        <v>5598</v>
      </c>
      <c r="F5184">
        <v>363</v>
      </c>
      <c r="G5184">
        <v>31</v>
      </c>
      <c r="H5184">
        <v>437.65</v>
      </c>
      <c r="I5184">
        <v>4064.64</v>
      </c>
      <c r="J5184">
        <v>6.48</v>
      </c>
      <c r="K5184">
        <v>8.5399999999999991</v>
      </c>
      <c r="L5184">
        <v>14.12</v>
      </c>
      <c r="M5184">
        <v>9.2899999999999991</v>
      </c>
      <c r="N5184">
        <v>3626.99</v>
      </c>
    </row>
    <row r="5185" spans="1:14" x14ac:dyDescent="0.2">
      <c r="A5185" s="1">
        <v>45905</v>
      </c>
      <c r="B5185" s="2" t="s">
        <v>34</v>
      </c>
      <c r="C5185" s="2" t="s">
        <v>15</v>
      </c>
      <c r="D5185" s="2" t="s">
        <v>25</v>
      </c>
      <c r="E5185">
        <v>5095</v>
      </c>
      <c r="F5185">
        <v>471</v>
      </c>
      <c r="G5185">
        <v>69</v>
      </c>
      <c r="H5185">
        <v>118.62</v>
      </c>
      <c r="I5185">
        <v>8942.7800000000007</v>
      </c>
      <c r="J5185">
        <v>9.24</v>
      </c>
      <c r="K5185">
        <v>14.65</v>
      </c>
      <c r="L5185">
        <v>1.72</v>
      </c>
      <c r="M5185">
        <v>75.39</v>
      </c>
      <c r="N5185">
        <v>8824.16</v>
      </c>
    </row>
    <row r="5186" spans="1:14" x14ac:dyDescent="0.2">
      <c r="A5186" s="1">
        <v>45906</v>
      </c>
      <c r="B5186" s="2" t="s">
        <v>14</v>
      </c>
      <c r="C5186" s="2" t="s">
        <v>35</v>
      </c>
      <c r="D5186" s="2" t="s">
        <v>19</v>
      </c>
      <c r="E5186">
        <v>6157</v>
      </c>
      <c r="F5186">
        <v>252</v>
      </c>
      <c r="G5186">
        <v>22</v>
      </c>
      <c r="H5186">
        <v>789.59</v>
      </c>
      <c r="I5186">
        <v>3395.52</v>
      </c>
      <c r="J5186">
        <v>4.09</v>
      </c>
      <c r="K5186">
        <v>8.73</v>
      </c>
      <c r="L5186">
        <v>35.89</v>
      </c>
      <c r="M5186">
        <v>4.3</v>
      </c>
      <c r="N5186">
        <v>2605.9299999999998</v>
      </c>
    </row>
    <row r="5187" spans="1:14" x14ac:dyDescent="0.2">
      <c r="A5187" s="1">
        <v>45906</v>
      </c>
      <c r="B5187" s="2" t="s">
        <v>17</v>
      </c>
      <c r="C5187" s="2" t="s">
        <v>32</v>
      </c>
      <c r="D5187" s="2" t="s">
        <v>16</v>
      </c>
      <c r="E5187">
        <v>12124</v>
      </c>
      <c r="F5187">
        <v>452</v>
      </c>
      <c r="G5187">
        <v>31</v>
      </c>
      <c r="H5187">
        <v>499.32</v>
      </c>
      <c r="I5187">
        <v>3356.21</v>
      </c>
      <c r="J5187">
        <v>3.73</v>
      </c>
      <c r="K5187">
        <v>6.86</v>
      </c>
      <c r="L5187">
        <v>16.11</v>
      </c>
      <c r="M5187">
        <v>6.72</v>
      </c>
      <c r="N5187">
        <v>2856.89</v>
      </c>
    </row>
    <row r="5188" spans="1:14" x14ac:dyDescent="0.2">
      <c r="A5188" s="1">
        <v>45906</v>
      </c>
      <c r="B5188" s="2" t="s">
        <v>20</v>
      </c>
      <c r="C5188" s="2" t="s">
        <v>32</v>
      </c>
      <c r="D5188" s="2" t="s">
        <v>16</v>
      </c>
      <c r="E5188">
        <v>7535</v>
      </c>
      <c r="F5188">
        <v>205</v>
      </c>
      <c r="G5188">
        <v>11</v>
      </c>
      <c r="H5188">
        <v>484.46</v>
      </c>
      <c r="I5188">
        <v>1242.99</v>
      </c>
      <c r="J5188">
        <v>2.72</v>
      </c>
      <c r="K5188">
        <v>5.37</v>
      </c>
      <c r="L5188">
        <v>44.04</v>
      </c>
      <c r="M5188">
        <v>2.57</v>
      </c>
      <c r="N5188">
        <v>758.53</v>
      </c>
    </row>
    <row r="5189" spans="1:14" x14ac:dyDescent="0.2">
      <c r="A5189" s="1">
        <v>45906</v>
      </c>
      <c r="B5189" s="2" t="s">
        <v>23</v>
      </c>
      <c r="C5189" s="2" t="s">
        <v>21</v>
      </c>
      <c r="D5189" s="2" t="s">
        <v>22</v>
      </c>
      <c r="E5189">
        <v>3215</v>
      </c>
      <c r="F5189">
        <v>68</v>
      </c>
      <c r="G5189">
        <v>8</v>
      </c>
      <c r="H5189">
        <v>744.84</v>
      </c>
      <c r="I5189">
        <v>1804.8</v>
      </c>
      <c r="J5189">
        <v>2.12</v>
      </c>
      <c r="K5189">
        <v>11.76</v>
      </c>
      <c r="L5189">
        <v>93.1</v>
      </c>
      <c r="M5189">
        <v>2.42</v>
      </c>
      <c r="N5189">
        <v>1059.96</v>
      </c>
    </row>
    <row r="5190" spans="1:14" x14ac:dyDescent="0.2">
      <c r="A5190" s="1">
        <v>45906</v>
      </c>
      <c r="B5190" s="2" t="s">
        <v>24</v>
      </c>
      <c r="C5190" s="2" t="s">
        <v>35</v>
      </c>
      <c r="D5190" s="2" t="s">
        <v>25</v>
      </c>
      <c r="E5190">
        <v>10588</v>
      </c>
      <c r="F5190">
        <v>2476</v>
      </c>
      <c r="G5190">
        <v>302</v>
      </c>
      <c r="H5190">
        <v>143.75</v>
      </c>
      <c r="I5190">
        <v>40964.82</v>
      </c>
      <c r="J5190">
        <v>23.38</v>
      </c>
      <c r="K5190">
        <v>12.2</v>
      </c>
      <c r="L5190">
        <v>0.48</v>
      </c>
      <c r="M5190">
        <v>284.97000000000003</v>
      </c>
      <c r="N5190">
        <v>40821.07</v>
      </c>
    </row>
    <row r="5191" spans="1:14" x14ac:dyDescent="0.2">
      <c r="A5191" s="1">
        <v>45906</v>
      </c>
      <c r="B5191" s="2" t="s">
        <v>26</v>
      </c>
      <c r="C5191" s="2" t="s">
        <v>15</v>
      </c>
      <c r="D5191" s="2" t="s">
        <v>25</v>
      </c>
      <c r="E5191">
        <v>24047</v>
      </c>
      <c r="F5191">
        <v>1092</v>
      </c>
      <c r="G5191">
        <v>146</v>
      </c>
      <c r="H5191">
        <v>0</v>
      </c>
      <c r="I5191">
        <v>21849.07</v>
      </c>
      <c r="J5191">
        <v>4.54</v>
      </c>
      <c r="K5191">
        <v>13.37</v>
      </c>
      <c r="L5191">
        <v>0</v>
      </c>
      <c r="M5191">
        <v>0</v>
      </c>
      <c r="N5191">
        <v>21849.07</v>
      </c>
    </row>
    <row r="5192" spans="1:14" x14ac:dyDescent="0.2">
      <c r="A5192" s="1">
        <v>45906</v>
      </c>
      <c r="B5192" s="2" t="s">
        <v>27</v>
      </c>
      <c r="C5192" s="2" t="s">
        <v>32</v>
      </c>
      <c r="D5192" s="2" t="s">
        <v>25</v>
      </c>
      <c r="E5192">
        <v>26278</v>
      </c>
      <c r="F5192">
        <v>380</v>
      </c>
      <c r="G5192">
        <v>13</v>
      </c>
      <c r="H5192">
        <v>558.75</v>
      </c>
      <c r="I5192">
        <v>1607.68</v>
      </c>
      <c r="J5192">
        <v>1.45</v>
      </c>
      <c r="K5192">
        <v>3.42</v>
      </c>
      <c r="L5192">
        <v>42.98</v>
      </c>
      <c r="M5192">
        <v>2.88</v>
      </c>
      <c r="N5192">
        <v>1048.93</v>
      </c>
    </row>
    <row r="5193" spans="1:14" x14ac:dyDescent="0.2">
      <c r="A5193" s="1">
        <v>45906</v>
      </c>
      <c r="B5193" s="2" t="s">
        <v>29</v>
      </c>
      <c r="C5193" s="2" t="s">
        <v>28</v>
      </c>
      <c r="D5193" s="2" t="s">
        <v>36</v>
      </c>
      <c r="E5193">
        <v>14268</v>
      </c>
      <c r="F5193">
        <v>341</v>
      </c>
      <c r="G5193">
        <v>13</v>
      </c>
      <c r="H5193">
        <v>602.48</v>
      </c>
      <c r="I5193">
        <v>1650.39</v>
      </c>
      <c r="J5193">
        <v>2.39</v>
      </c>
      <c r="K5193">
        <v>3.81</v>
      </c>
      <c r="L5193">
        <v>46.34</v>
      </c>
      <c r="M5193">
        <v>2.74</v>
      </c>
      <c r="N5193">
        <v>1047.9100000000001</v>
      </c>
    </row>
    <row r="5194" spans="1:14" x14ac:dyDescent="0.2">
      <c r="A5194" s="1">
        <v>45906</v>
      </c>
      <c r="B5194" s="2" t="s">
        <v>30</v>
      </c>
      <c r="C5194" s="2" t="s">
        <v>21</v>
      </c>
      <c r="D5194" s="2" t="s">
        <v>36</v>
      </c>
      <c r="E5194">
        <v>9237</v>
      </c>
      <c r="F5194">
        <v>275</v>
      </c>
      <c r="G5194">
        <v>13</v>
      </c>
      <c r="H5194">
        <v>297.61</v>
      </c>
      <c r="I5194">
        <v>1443.23</v>
      </c>
      <c r="J5194">
        <v>2.98</v>
      </c>
      <c r="K5194">
        <v>4.7300000000000004</v>
      </c>
      <c r="L5194">
        <v>22.89</v>
      </c>
      <c r="M5194">
        <v>4.8499999999999996</v>
      </c>
      <c r="N5194">
        <v>1145.6199999999999</v>
      </c>
    </row>
    <row r="5195" spans="1:14" x14ac:dyDescent="0.2">
      <c r="A5195" s="1">
        <v>45906</v>
      </c>
      <c r="B5195" s="2" t="s">
        <v>31</v>
      </c>
      <c r="C5195" s="2" t="s">
        <v>18</v>
      </c>
      <c r="D5195" s="2" t="s">
        <v>25</v>
      </c>
      <c r="E5195">
        <v>13587</v>
      </c>
      <c r="F5195">
        <v>441</v>
      </c>
      <c r="G5195">
        <v>21</v>
      </c>
      <c r="H5195">
        <v>654.07000000000005</v>
      </c>
      <c r="I5195">
        <v>1596.53</v>
      </c>
      <c r="J5195">
        <v>3.25</v>
      </c>
      <c r="K5195">
        <v>4.76</v>
      </c>
      <c r="L5195">
        <v>31.15</v>
      </c>
      <c r="M5195">
        <v>2.44</v>
      </c>
      <c r="N5195">
        <v>942.46</v>
      </c>
    </row>
    <row r="5196" spans="1:14" x14ac:dyDescent="0.2">
      <c r="A5196" s="1">
        <v>45906</v>
      </c>
      <c r="B5196" s="2" t="s">
        <v>33</v>
      </c>
      <c r="C5196" s="2" t="s">
        <v>28</v>
      </c>
      <c r="D5196" s="2" t="s">
        <v>22</v>
      </c>
      <c r="E5196">
        <v>4802</v>
      </c>
      <c r="F5196">
        <v>315</v>
      </c>
      <c r="G5196">
        <v>34</v>
      </c>
      <c r="H5196">
        <v>320.17</v>
      </c>
      <c r="I5196">
        <v>4656</v>
      </c>
      <c r="J5196">
        <v>6.56</v>
      </c>
      <c r="K5196">
        <v>10.79</v>
      </c>
      <c r="L5196">
        <v>9.42</v>
      </c>
      <c r="M5196">
        <v>14.54</v>
      </c>
      <c r="N5196">
        <v>4335.83</v>
      </c>
    </row>
    <row r="5197" spans="1:14" x14ac:dyDescent="0.2">
      <c r="A5197" s="1">
        <v>45906</v>
      </c>
      <c r="B5197" s="2" t="s">
        <v>34</v>
      </c>
      <c r="C5197" s="2" t="s">
        <v>28</v>
      </c>
      <c r="D5197" s="2" t="s">
        <v>16</v>
      </c>
      <c r="E5197">
        <v>3861</v>
      </c>
      <c r="F5197">
        <v>324</v>
      </c>
      <c r="G5197">
        <v>43</v>
      </c>
      <c r="H5197">
        <v>114.57</v>
      </c>
      <c r="I5197">
        <v>5802.58</v>
      </c>
      <c r="J5197">
        <v>8.39</v>
      </c>
      <c r="K5197">
        <v>13.27</v>
      </c>
      <c r="L5197">
        <v>2.66</v>
      </c>
      <c r="M5197">
        <v>50.65</v>
      </c>
      <c r="N5197">
        <v>5688.01</v>
      </c>
    </row>
    <row r="5198" spans="1:14" x14ac:dyDescent="0.2">
      <c r="A5198" s="1">
        <v>45907</v>
      </c>
      <c r="B5198" s="2" t="s">
        <v>14</v>
      </c>
      <c r="C5198" s="2" t="s">
        <v>35</v>
      </c>
      <c r="D5198" s="2" t="s">
        <v>25</v>
      </c>
      <c r="E5198">
        <v>6951</v>
      </c>
      <c r="F5198">
        <v>320</v>
      </c>
      <c r="G5198">
        <v>29</v>
      </c>
      <c r="H5198">
        <v>845.04</v>
      </c>
      <c r="I5198">
        <v>3538.34</v>
      </c>
      <c r="J5198">
        <v>4.5999999999999996</v>
      </c>
      <c r="K5198">
        <v>9.06</v>
      </c>
      <c r="L5198">
        <v>29.14</v>
      </c>
      <c r="M5198">
        <v>4.1900000000000004</v>
      </c>
      <c r="N5198">
        <v>2693.3</v>
      </c>
    </row>
    <row r="5199" spans="1:14" x14ac:dyDescent="0.2">
      <c r="A5199" s="1">
        <v>45907</v>
      </c>
      <c r="B5199" s="2" t="s">
        <v>17</v>
      </c>
      <c r="C5199" s="2" t="s">
        <v>28</v>
      </c>
      <c r="D5199" s="2" t="s">
        <v>19</v>
      </c>
      <c r="E5199">
        <v>10892</v>
      </c>
      <c r="F5199">
        <v>331</v>
      </c>
      <c r="G5199">
        <v>20</v>
      </c>
      <c r="H5199">
        <v>640.79</v>
      </c>
      <c r="I5199">
        <v>2073.46</v>
      </c>
      <c r="J5199">
        <v>3.04</v>
      </c>
      <c r="K5199">
        <v>6.04</v>
      </c>
      <c r="L5199">
        <v>32.04</v>
      </c>
      <c r="M5199">
        <v>3.24</v>
      </c>
      <c r="N5199">
        <v>1432.67</v>
      </c>
    </row>
    <row r="5200" spans="1:14" x14ac:dyDescent="0.2">
      <c r="A5200" s="1">
        <v>45907</v>
      </c>
      <c r="B5200" s="2" t="s">
        <v>20</v>
      </c>
      <c r="C5200" s="2" t="s">
        <v>18</v>
      </c>
      <c r="D5200" s="2" t="s">
        <v>22</v>
      </c>
      <c r="E5200">
        <v>9437</v>
      </c>
      <c r="F5200">
        <v>276</v>
      </c>
      <c r="G5200">
        <v>21</v>
      </c>
      <c r="H5200">
        <v>582.87</v>
      </c>
      <c r="I5200">
        <v>2251.11</v>
      </c>
      <c r="J5200">
        <v>2.92</v>
      </c>
      <c r="K5200">
        <v>7.61</v>
      </c>
      <c r="L5200">
        <v>27.76</v>
      </c>
      <c r="M5200">
        <v>3.86</v>
      </c>
      <c r="N5200">
        <v>1668.24</v>
      </c>
    </row>
    <row r="5201" spans="1:14" x14ac:dyDescent="0.2">
      <c r="A5201" s="1">
        <v>45907</v>
      </c>
      <c r="B5201" s="2" t="s">
        <v>23</v>
      </c>
      <c r="C5201" s="2" t="s">
        <v>18</v>
      </c>
      <c r="D5201" s="2" t="s">
        <v>25</v>
      </c>
      <c r="E5201">
        <v>3650</v>
      </c>
      <c r="F5201">
        <v>102</v>
      </c>
      <c r="G5201">
        <v>14</v>
      </c>
      <c r="H5201">
        <v>1186.1400000000001</v>
      </c>
      <c r="I5201">
        <v>3462.04</v>
      </c>
      <c r="J5201">
        <v>2.79</v>
      </c>
      <c r="K5201">
        <v>13.73</v>
      </c>
      <c r="L5201">
        <v>84.72</v>
      </c>
      <c r="M5201">
        <v>2.92</v>
      </c>
      <c r="N5201">
        <v>2275.9</v>
      </c>
    </row>
    <row r="5202" spans="1:14" x14ac:dyDescent="0.2">
      <c r="A5202" s="1">
        <v>45907</v>
      </c>
      <c r="B5202" s="2" t="s">
        <v>24</v>
      </c>
      <c r="C5202" s="2" t="s">
        <v>21</v>
      </c>
      <c r="D5202" s="2" t="s">
        <v>16</v>
      </c>
      <c r="E5202">
        <v>17383</v>
      </c>
      <c r="F5202">
        <v>2793</v>
      </c>
      <c r="G5202">
        <v>273</v>
      </c>
      <c r="H5202">
        <v>125.86</v>
      </c>
      <c r="I5202">
        <v>29579.01</v>
      </c>
      <c r="J5202">
        <v>16.07</v>
      </c>
      <c r="K5202">
        <v>9.77</v>
      </c>
      <c r="L5202">
        <v>0.46</v>
      </c>
      <c r="M5202">
        <v>235.02</v>
      </c>
      <c r="N5202">
        <v>29453.15</v>
      </c>
    </row>
    <row r="5203" spans="1:14" x14ac:dyDescent="0.2">
      <c r="A5203" s="1">
        <v>45907</v>
      </c>
      <c r="B5203" s="2" t="s">
        <v>26</v>
      </c>
      <c r="C5203" s="2" t="s">
        <v>15</v>
      </c>
      <c r="D5203" s="2" t="s">
        <v>25</v>
      </c>
      <c r="E5203">
        <v>22787</v>
      </c>
      <c r="F5203">
        <v>1215</v>
      </c>
      <c r="G5203">
        <v>178</v>
      </c>
      <c r="H5203">
        <v>0</v>
      </c>
      <c r="I5203">
        <v>23295.84</v>
      </c>
      <c r="J5203">
        <v>5.33</v>
      </c>
      <c r="K5203">
        <v>14.65</v>
      </c>
      <c r="L5203">
        <v>0</v>
      </c>
      <c r="M5203">
        <v>0</v>
      </c>
      <c r="N5203">
        <v>23295.84</v>
      </c>
    </row>
    <row r="5204" spans="1:14" x14ac:dyDescent="0.2">
      <c r="A5204" s="1">
        <v>45907</v>
      </c>
      <c r="B5204" s="2" t="s">
        <v>27</v>
      </c>
      <c r="C5204" s="2" t="s">
        <v>28</v>
      </c>
      <c r="D5204" s="2" t="s">
        <v>16</v>
      </c>
      <c r="E5204">
        <v>26561</v>
      </c>
      <c r="F5204">
        <v>285</v>
      </c>
      <c r="G5204">
        <v>8</v>
      </c>
      <c r="H5204">
        <v>639.36</v>
      </c>
      <c r="I5204">
        <v>839.37</v>
      </c>
      <c r="J5204">
        <v>1.07</v>
      </c>
      <c r="K5204">
        <v>2.81</v>
      </c>
      <c r="L5204">
        <v>79.92</v>
      </c>
      <c r="M5204">
        <v>1.31</v>
      </c>
      <c r="N5204">
        <v>200.01</v>
      </c>
    </row>
    <row r="5205" spans="1:14" x14ac:dyDescent="0.2">
      <c r="A5205" s="1">
        <v>45907</v>
      </c>
      <c r="B5205" s="2" t="s">
        <v>29</v>
      </c>
      <c r="C5205" s="2" t="s">
        <v>21</v>
      </c>
      <c r="D5205" s="2" t="s">
        <v>22</v>
      </c>
      <c r="E5205">
        <v>12394</v>
      </c>
      <c r="F5205">
        <v>270</v>
      </c>
      <c r="G5205">
        <v>19</v>
      </c>
      <c r="H5205">
        <v>724.77</v>
      </c>
      <c r="I5205">
        <v>2714.77</v>
      </c>
      <c r="J5205">
        <v>2.1800000000000002</v>
      </c>
      <c r="K5205">
        <v>7.04</v>
      </c>
      <c r="L5205">
        <v>38.15</v>
      </c>
      <c r="M5205">
        <v>3.75</v>
      </c>
      <c r="N5205">
        <v>1990</v>
      </c>
    </row>
    <row r="5206" spans="1:14" x14ac:dyDescent="0.2">
      <c r="A5206" s="1">
        <v>45907</v>
      </c>
      <c r="B5206" s="2" t="s">
        <v>30</v>
      </c>
      <c r="C5206" s="2" t="s">
        <v>18</v>
      </c>
      <c r="D5206" s="2" t="s">
        <v>36</v>
      </c>
      <c r="E5206">
        <v>8370</v>
      </c>
      <c r="F5206">
        <v>239</v>
      </c>
      <c r="G5206">
        <v>11</v>
      </c>
      <c r="H5206">
        <v>378.42</v>
      </c>
      <c r="I5206">
        <v>1160.8</v>
      </c>
      <c r="J5206">
        <v>2.86</v>
      </c>
      <c r="K5206">
        <v>4.5999999999999996</v>
      </c>
      <c r="L5206">
        <v>34.4</v>
      </c>
      <c r="M5206">
        <v>3.07</v>
      </c>
      <c r="N5206">
        <v>782.38</v>
      </c>
    </row>
    <row r="5207" spans="1:14" x14ac:dyDescent="0.2">
      <c r="A5207" s="1">
        <v>45907</v>
      </c>
      <c r="B5207" s="2" t="s">
        <v>31</v>
      </c>
      <c r="C5207" s="2" t="s">
        <v>35</v>
      </c>
      <c r="D5207" s="2" t="s">
        <v>22</v>
      </c>
      <c r="E5207">
        <v>15283</v>
      </c>
      <c r="F5207">
        <v>465</v>
      </c>
      <c r="G5207">
        <v>18</v>
      </c>
      <c r="H5207">
        <v>548.70000000000005</v>
      </c>
      <c r="I5207">
        <v>1547.9</v>
      </c>
      <c r="J5207">
        <v>3.04</v>
      </c>
      <c r="K5207">
        <v>3.87</v>
      </c>
      <c r="L5207">
        <v>30.48</v>
      </c>
      <c r="M5207">
        <v>2.82</v>
      </c>
      <c r="N5207">
        <v>999.2</v>
      </c>
    </row>
    <row r="5208" spans="1:14" x14ac:dyDescent="0.2">
      <c r="A5208" s="1">
        <v>45907</v>
      </c>
      <c r="B5208" s="2" t="s">
        <v>33</v>
      </c>
      <c r="C5208" s="2" t="s">
        <v>21</v>
      </c>
      <c r="D5208" s="2" t="s">
        <v>19</v>
      </c>
      <c r="E5208">
        <v>5217</v>
      </c>
      <c r="F5208">
        <v>350</v>
      </c>
      <c r="G5208">
        <v>33</v>
      </c>
      <c r="H5208">
        <v>265.3</v>
      </c>
      <c r="I5208">
        <v>4782.16</v>
      </c>
      <c r="J5208">
        <v>6.71</v>
      </c>
      <c r="K5208">
        <v>9.43</v>
      </c>
      <c r="L5208">
        <v>8.0399999999999991</v>
      </c>
      <c r="M5208">
        <v>18.03</v>
      </c>
      <c r="N5208">
        <v>4516.8599999999997</v>
      </c>
    </row>
    <row r="5209" spans="1:14" x14ac:dyDescent="0.2">
      <c r="A5209" s="1">
        <v>45907</v>
      </c>
      <c r="B5209" s="2" t="s">
        <v>34</v>
      </c>
      <c r="C5209" s="2" t="s">
        <v>15</v>
      </c>
      <c r="D5209" s="2" t="s">
        <v>25</v>
      </c>
      <c r="E5209">
        <v>3530</v>
      </c>
      <c r="F5209">
        <v>191</v>
      </c>
      <c r="G5209">
        <v>31</v>
      </c>
      <c r="H5209">
        <v>52.78</v>
      </c>
      <c r="I5209">
        <v>4780.01</v>
      </c>
      <c r="J5209">
        <v>5.41</v>
      </c>
      <c r="K5209">
        <v>16.23</v>
      </c>
      <c r="L5209">
        <v>1.7</v>
      </c>
      <c r="M5209">
        <v>90.56</v>
      </c>
      <c r="N5209">
        <v>4727.2299999999996</v>
      </c>
    </row>
    <row r="5210" spans="1:14" x14ac:dyDescent="0.2">
      <c r="A5210" s="1">
        <v>45908</v>
      </c>
      <c r="B5210" s="2" t="s">
        <v>14</v>
      </c>
      <c r="C5210" s="2" t="s">
        <v>18</v>
      </c>
      <c r="D5210" s="2" t="s">
        <v>36</v>
      </c>
      <c r="E5210">
        <v>12754</v>
      </c>
      <c r="F5210">
        <v>383</v>
      </c>
      <c r="G5210">
        <v>38</v>
      </c>
      <c r="H5210">
        <v>882.54</v>
      </c>
      <c r="I5210">
        <v>5512.63</v>
      </c>
      <c r="J5210">
        <v>3</v>
      </c>
      <c r="K5210">
        <v>9.92</v>
      </c>
      <c r="L5210">
        <v>23.22</v>
      </c>
      <c r="M5210">
        <v>6.25</v>
      </c>
      <c r="N5210">
        <v>4630.09</v>
      </c>
    </row>
    <row r="5211" spans="1:14" x14ac:dyDescent="0.2">
      <c r="A5211" s="1">
        <v>45908</v>
      </c>
      <c r="B5211" s="2" t="s">
        <v>17</v>
      </c>
      <c r="C5211" s="2" t="s">
        <v>18</v>
      </c>
      <c r="D5211" s="2" t="s">
        <v>19</v>
      </c>
      <c r="E5211">
        <v>14042</v>
      </c>
      <c r="F5211">
        <v>499</v>
      </c>
      <c r="G5211">
        <v>32</v>
      </c>
      <c r="H5211">
        <v>884.05</v>
      </c>
      <c r="I5211">
        <v>3427.3</v>
      </c>
      <c r="J5211">
        <v>3.55</v>
      </c>
      <c r="K5211">
        <v>6.41</v>
      </c>
      <c r="L5211">
        <v>27.63</v>
      </c>
      <c r="M5211">
        <v>3.88</v>
      </c>
      <c r="N5211">
        <v>2543.25</v>
      </c>
    </row>
    <row r="5212" spans="1:14" x14ac:dyDescent="0.2">
      <c r="A5212" s="1">
        <v>45908</v>
      </c>
      <c r="B5212" s="2" t="s">
        <v>20</v>
      </c>
      <c r="C5212" s="2" t="s">
        <v>32</v>
      </c>
      <c r="D5212" s="2" t="s">
        <v>16</v>
      </c>
      <c r="E5212">
        <v>14027</v>
      </c>
      <c r="F5212">
        <v>414</v>
      </c>
      <c r="G5212">
        <v>25</v>
      </c>
      <c r="H5212">
        <v>689.65</v>
      </c>
      <c r="I5212">
        <v>2806.71</v>
      </c>
      <c r="J5212">
        <v>2.95</v>
      </c>
      <c r="K5212">
        <v>6.04</v>
      </c>
      <c r="L5212">
        <v>27.59</v>
      </c>
      <c r="M5212">
        <v>4.07</v>
      </c>
      <c r="N5212">
        <v>2117.06</v>
      </c>
    </row>
    <row r="5213" spans="1:14" x14ac:dyDescent="0.2">
      <c r="A5213" s="1">
        <v>45908</v>
      </c>
      <c r="B5213" s="2" t="s">
        <v>23</v>
      </c>
      <c r="C5213" s="2" t="s">
        <v>21</v>
      </c>
      <c r="D5213" s="2" t="s">
        <v>19</v>
      </c>
      <c r="E5213">
        <v>3694</v>
      </c>
      <c r="F5213">
        <v>99</v>
      </c>
      <c r="G5213">
        <v>14</v>
      </c>
      <c r="H5213">
        <v>1344.9</v>
      </c>
      <c r="I5213">
        <v>3661.78</v>
      </c>
      <c r="J5213">
        <v>2.68</v>
      </c>
      <c r="K5213">
        <v>14.14</v>
      </c>
      <c r="L5213">
        <v>96.06</v>
      </c>
      <c r="M5213">
        <v>2.72</v>
      </c>
      <c r="N5213">
        <v>2316.88</v>
      </c>
    </row>
    <row r="5214" spans="1:14" x14ac:dyDescent="0.2">
      <c r="A5214" s="1">
        <v>45908</v>
      </c>
      <c r="B5214" s="2" t="s">
        <v>24</v>
      </c>
      <c r="C5214" s="2" t="s">
        <v>28</v>
      </c>
      <c r="D5214" s="2" t="s">
        <v>36</v>
      </c>
      <c r="E5214">
        <v>22445</v>
      </c>
      <c r="F5214">
        <v>4767</v>
      </c>
      <c r="G5214">
        <v>398</v>
      </c>
      <c r="H5214">
        <v>272.12</v>
      </c>
      <c r="I5214">
        <v>55947.51</v>
      </c>
      <c r="J5214">
        <v>21.24</v>
      </c>
      <c r="K5214">
        <v>8.35</v>
      </c>
      <c r="L5214">
        <v>0.68</v>
      </c>
      <c r="M5214">
        <v>205.6</v>
      </c>
      <c r="N5214">
        <v>55675.39</v>
      </c>
    </row>
    <row r="5215" spans="1:14" x14ac:dyDescent="0.2">
      <c r="A5215" s="1">
        <v>45908</v>
      </c>
      <c r="B5215" s="2" t="s">
        <v>26</v>
      </c>
      <c r="C5215" s="2" t="s">
        <v>21</v>
      </c>
      <c r="D5215" s="2" t="s">
        <v>16</v>
      </c>
      <c r="E5215">
        <v>25469</v>
      </c>
      <c r="F5215">
        <v>1234</v>
      </c>
      <c r="G5215">
        <v>126</v>
      </c>
      <c r="H5215">
        <v>0</v>
      </c>
      <c r="I5215">
        <v>18440.580000000002</v>
      </c>
      <c r="J5215">
        <v>4.8499999999999996</v>
      </c>
      <c r="K5215">
        <v>10.210000000000001</v>
      </c>
      <c r="L5215">
        <v>0</v>
      </c>
      <c r="M5215">
        <v>0</v>
      </c>
      <c r="N5215">
        <v>18440.580000000002</v>
      </c>
    </row>
    <row r="5216" spans="1:14" x14ac:dyDescent="0.2">
      <c r="A5216" s="1">
        <v>45908</v>
      </c>
      <c r="B5216" s="2" t="s">
        <v>27</v>
      </c>
      <c r="C5216" s="2" t="s">
        <v>21</v>
      </c>
      <c r="D5216" s="2" t="s">
        <v>25</v>
      </c>
      <c r="E5216">
        <v>35865</v>
      </c>
      <c r="F5216">
        <v>654</v>
      </c>
      <c r="G5216">
        <v>13</v>
      </c>
      <c r="H5216">
        <v>1090.6400000000001</v>
      </c>
      <c r="I5216">
        <v>1285.1099999999999</v>
      </c>
      <c r="J5216">
        <v>1.82</v>
      </c>
      <c r="K5216">
        <v>1.99</v>
      </c>
      <c r="L5216">
        <v>83.9</v>
      </c>
      <c r="M5216">
        <v>1.18</v>
      </c>
      <c r="N5216">
        <v>194.47</v>
      </c>
    </row>
    <row r="5217" spans="1:14" x14ac:dyDescent="0.2">
      <c r="A5217" s="1">
        <v>45908</v>
      </c>
      <c r="B5217" s="2" t="s">
        <v>29</v>
      </c>
      <c r="C5217" s="2" t="s">
        <v>28</v>
      </c>
      <c r="D5217" s="2" t="s">
        <v>36</v>
      </c>
      <c r="E5217">
        <v>18624</v>
      </c>
      <c r="F5217">
        <v>292</v>
      </c>
      <c r="G5217">
        <v>17</v>
      </c>
      <c r="H5217">
        <v>1340.16</v>
      </c>
      <c r="I5217">
        <v>1497.61</v>
      </c>
      <c r="J5217">
        <v>1.57</v>
      </c>
      <c r="K5217">
        <v>5.82</v>
      </c>
      <c r="L5217">
        <v>78.83</v>
      </c>
      <c r="M5217">
        <v>1.1200000000000001</v>
      </c>
      <c r="N5217">
        <v>157.44999999999999</v>
      </c>
    </row>
    <row r="5218" spans="1:14" x14ac:dyDescent="0.2">
      <c r="A5218" s="1">
        <v>45908</v>
      </c>
      <c r="B5218" s="2" t="s">
        <v>30</v>
      </c>
      <c r="C5218" s="2" t="s">
        <v>15</v>
      </c>
      <c r="D5218" s="2" t="s">
        <v>16</v>
      </c>
      <c r="E5218">
        <v>9554</v>
      </c>
      <c r="F5218">
        <v>306</v>
      </c>
      <c r="G5218">
        <v>15</v>
      </c>
      <c r="H5218">
        <v>657.46</v>
      </c>
      <c r="I5218">
        <v>1131.83</v>
      </c>
      <c r="J5218">
        <v>3.2</v>
      </c>
      <c r="K5218">
        <v>4.9000000000000004</v>
      </c>
      <c r="L5218">
        <v>43.83</v>
      </c>
      <c r="M5218">
        <v>1.72</v>
      </c>
      <c r="N5218">
        <v>474.37</v>
      </c>
    </row>
    <row r="5219" spans="1:14" x14ac:dyDescent="0.2">
      <c r="A5219" s="1">
        <v>45908</v>
      </c>
      <c r="B5219" s="2" t="s">
        <v>31</v>
      </c>
      <c r="C5219" s="2" t="s">
        <v>28</v>
      </c>
      <c r="D5219" s="2" t="s">
        <v>22</v>
      </c>
      <c r="E5219">
        <v>29774</v>
      </c>
      <c r="F5219">
        <v>1265</v>
      </c>
      <c r="G5219">
        <v>70</v>
      </c>
      <c r="H5219">
        <v>968.34</v>
      </c>
      <c r="I5219">
        <v>5402.67</v>
      </c>
      <c r="J5219">
        <v>4.25</v>
      </c>
      <c r="K5219">
        <v>5.53</v>
      </c>
      <c r="L5219">
        <v>13.83</v>
      </c>
      <c r="M5219">
        <v>5.58</v>
      </c>
      <c r="N5219">
        <v>4434.33</v>
      </c>
    </row>
    <row r="5220" spans="1:14" x14ac:dyDescent="0.2">
      <c r="A5220" s="1">
        <v>45908</v>
      </c>
      <c r="B5220" s="2" t="s">
        <v>33</v>
      </c>
      <c r="C5220" s="2" t="s">
        <v>21</v>
      </c>
      <c r="D5220" s="2" t="s">
        <v>22</v>
      </c>
      <c r="E5220">
        <v>6767</v>
      </c>
      <c r="F5220">
        <v>388</v>
      </c>
      <c r="G5220">
        <v>36</v>
      </c>
      <c r="H5220">
        <v>554.35</v>
      </c>
      <c r="I5220">
        <v>3760.72</v>
      </c>
      <c r="J5220">
        <v>5.73</v>
      </c>
      <c r="K5220">
        <v>9.2799999999999994</v>
      </c>
      <c r="L5220">
        <v>15.4</v>
      </c>
      <c r="M5220">
        <v>6.78</v>
      </c>
      <c r="N5220">
        <v>3206.37</v>
      </c>
    </row>
    <row r="5221" spans="1:14" x14ac:dyDescent="0.2">
      <c r="A5221" s="1">
        <v>45908</v>
      </c>
      <c r="B5221" s="2" t="s">
        <v>34</v>
      </c>
      <c r="C5221" s="2" t="s">
        <v>35</v>
      </c>
      <c r="D5221" s="2" t="s">
        <v>36</v>
      </c>
      <c r="E5221">
        <v>6128</v>
      </c>
      <c r="F5221">
        <v>480</v>
      </c>
      <c r="G5221">
        <v>72</v>
      </c>
      <c r="H5221">
        <v>87.83</v>
      </c>
      <c r="I5221">
        <v>10423.68</v>
      </c>
      <c r="J5221">
        <v>7.83</v>
      </c>
      <c r="K5221">
        <v>15</v>
      </c>
      <c r="L5221">
        <v>1.22</v>
      </c>
      <c r="M5221">
        <v>118.68</v>
      </c>
      <c r="N5221">
        <v>10335.85</v>
      </c>
    </row>
    <row r="5222" spans="1:14" x14ac:dyDescent="0.2">
      <c r="A5222" s="1">
        <v>45909</v>
      </c>
      <c r="B5222" s="2" t="s">
        <v>14</v>
      </c>
      <c r="C5222" s="2" t="s">
        <v>15</v>
      </c>
      <c r="D5222" s="2" t="s">
        <v>36</v>
      </c>
      <c r="E5222">
        <v>9660</v>
      </c>
      <c r="F5222">
        <v>359</v>
      </c>
      <c r="G5222">
        <v>42</v>
      </c>
      <c r="H5222">
        <v>1076.48</v>
      </c>
      <c r="I5222">
        <v>6579.74</v>
      </c>
      <c r="J5222">
        <v>3.72</v>
      </c>
      <c r="K5222">
        <v>11.7</v>
      </c>
      <c r="L5222">
        <v>25.63</v>
      </c>
      <c r="M5222">
        <v>6.11</v>
      </c>
      <c r="N5222">
        <v>5503.26</v>
      </c>
    </row>
    <row r="5223" spans="1:14" x14ac:dyDescent="0.2">
      <c r="A5223" s="1">
        <v>45909</v>
      </c>
      <c r="B5223" s="2" t="s">
        <v>17</v>
      </c>
      <c r="C5223" s="2" t="s">
        <v>21</v>
      </c>
      <c r="D5223" s="2" t="s">
        <v>25</v>
      </c>
      <c r="E5223">
        <v>18328</v>
      </c>
      <c r="F5223">
        <v>546</v>
      </c>
      <c r="G5223">
        <v>37</v>
      </c>
      <c r="H5223">
        <v>1047.56</v>
      </c>
      <c r="I5223">
        <v>4606.07</v>
      </c>
      <c r="J5223">
        <v>2.98</v>
      </c>
      <c r="K5223">
        <v>6.78</v>
      </c>
      <c r="L5223">
        <v>28.31</v>
      </c>
      <c r="M5223">
        <v>4.4000000000000004</v>
      </c>
      <c r="N5223">
        <v>3558.51</v>
      </c>
    </row>
    <row r="5224" spans="1:14" x14ac:dyDescent="0.2">
      <c r="A5224" s="1">
        <v>45909</v>
      </c>
      <c r="B5224" s="2" t="s">
        <v>20</v>
      </c>
      <c r="C5224" s="2" t="s">
        <v>32</v>
      </c>
      <c r="D5224" s="2" t="s">
        <v>19</v>
      </c>
      <c r="E5224">
        <v>10495</v>
      </c>
      <c r="F5224">
        <v>359</v>
      </c>
      <c r="G5224">
        <v>23</v>
      </c>
      <c r="H5224">
        <v>800.31</v>
      </c>
      <c r="I5224">
        <v>2260.29</v>
      </c>
      <c r="J5224">
        <v>3.42</v>
      </c>
      <c r="K5224">
        <v>6.41</v>
      </c>
      <c r="L5224">
        <v>34.799999999999997</v>
      </c>
      <c r="M5224">
        <v>2.82</v>
      </c>
      <c r="N5224">
        <v>1459.98</v>
      </c>
    </row>
    <row r="5225" spans="1:14" x14ac:dyDescent="0.2">
      <c r="A5225" s="1">
        <v>45909</v>
      </c>
      <c r="B5225" s="2" t="s">
        <v>23</v>
      </c>
      <c r="C5225" s="2" t="s">
        <v>32</v>
      </c>
      <c r="D5225" s="2" t="s">
        <v>22</v>
      </c>
      <c r="E5225">
        <v>5680</v>
      </c>
      <c r="F5225">
        <v>122</v>
      </c>
      <c r="G5225">
        <v>14</v>
      </c>
      <c r="H5225">
        <v>1555.66</v>
      </c>
      <c r="I5225">
        <v>3927.01</v>
      </c>
      <c r="J5225">
        <v>2.15</v>
      </c>
      <c r="K5225">
        <v>11.48</v>
      </c>
      <c r="L5225">
        <v>111.12</v>
      </c>
      <c r="M5225">
        <v>2.52</v>
      </c>
      <c r="N5225">
        <v>2371.35</v>
      </c>
    </row>
    <row r="5226" spans="1:14" x14ac:dyDescent="0.2">
      <c r="A5226" s="1">
        <v>45909</v>
      </c>
      <c r="B5226" s="2" t="s">
        <v>24</v>
      </c>
      <c r="C5226" s="2" t="s">
        <v>32</v>
      </c>
      <c r="D5226" s="2" t="s">
        <v>36</v>
      </c>
      <c r="E5226">
        <v>22888</v>
      </c>
      <c r="F5226">
        <v>5024</v>
      </c>
      <c r="G5226">
        <v>650</v>
      </c>
      <c r="H5226">
        <v>202.28</v>
      </c>
      <c r="I5226">
        <v>69642.289999999994</v>
      </c>
      <c r="J5226">
        <v>21.95</v>
      </c>
      <c r="K5226">
        <v>12.94</v>
      </c>
      <c r="L5226">
        <v>0.31</v>
      </c>
      <c r="M5226">
        <v>344.29</v>
      </c>
      <c r="N5226">
        <v>69440.009999999995</v>
      </c>
    </row>
    <row r="5227" spans="1:14" x14ac:dyDescent="0.2">
      <c r="A5227" s="1">
        <v>45909</v>
      </c>
      <c r="B5227" s="2" t="s">
        <v>26</v>
      </c>
      <c r="C5227" s="2" t="s">
        <v>35</v>
      </c>
      <c r="D5227" s="2" t="s">
        <v>22</v>
      </c>
      <c r="E5227">
        <v>24144</v>
      </c>
      <c r="F5227">
        <v>1885</v>
      </c>
      <c r="G5227">
        <v>213</v>
      </c>
      <c r="H5227">
        <v>0</v>
      </c>
      <c r="I5227">
        <v>27815.01</v>
      </c>
      <c r="J5227">
        <v>7.81</v>
      </c>
      <c r="K5227">
        <v>11.3</v>
      </c>
      <c r="L5227">
        <v>0</v>
      </c>
      <c r="M5227">
        <v>0</v>
      </c>
      <c r="N5227">
        <v>27815.01</v>
      </c>
    </row>
    <row r="5228" spans="1:14" x14ac:dyDescent="0.2">
      <c r="A5228" s="1">
        <v>45909</v>
      </c>
      <c r="B5228" s="2" t="s">
        <v>27</v>
      </c>
      <c r="C5228" s="2" t="s">
        <v>18</v>
      </c>
      <c r="D5228" s="2" t="s">
        <v>22</v>
      </c>
      <c r="E5228">
        <v>31511</v>
      </c>
      <c r="F5228">
        <v>335</v>
      </c>
      <c r="G5228">
        <v>15</v>
      </c>
      <c r="H5228">
        <v>849.72</v>
      </c>
      <c r="I5228">
        <v>1826.1</v>
      </c>
      <c r="J5228">
        <v>1.06</v>
      </c>
      <c r="K5228">
        <v>4.4800000000000004</v>
      </c>
      <c r="L5228">
        <v>56.65</v>
      </c>
      <c r="M5228">
        <v>2.15</v>
      </c>
      <c r="N5228">
        <v>976.38</v>
      </c>
    </row>
    <row r="5229" spans="1:14" x14ac:dyDescent="0.2">
      <c r="A5229" s="1">
        <v>45909</v>
      </c>
      <c r="B5229" s="2" t="s">
        <v>29</v>
      </c>
      <c r="C5229" s="2" t="s">
        <v>28</v>
      </c>
      <c r="D5229" s="2" t="s">
        <v>16</v>
      </c>
      <c r="E5229">
        <v>19085</v>
      </c>
      <c r="F5229">
        <v>303</v>
      </c>
      <c r="G5229">
        <v>19</v>
      </c>
      <c r="H5229">
        <v>1227.93</v>
      </c>
      <c r="I5229">
        <v>2855.49</v>
      </c>
      <c r="J5229">
        <v>1.59</v>
      </c>
      <c r="K5229">
        <v>6.27</v>
      </c>
      <c r="L5229">
        <v>64.63</v>
      </c>
      <c r="M5229">
        <v>2.33</v>
      </c>
      <c r="N5229">
        <v>1627.56</v>
      </c>
    </row>
    <row r="5230" spans="1:14" x14ac:dyDescent="0.2">
      <c r="A5230" s="1">
        <v>45909</v>
      </c>
      <c r="B5230" s="2" t="s">
        <v>30</v>
      </c>
      <c r="C5230" s="2" t="s">
        <v>28</v>
      </c>
      <c r="D5230" s="2" t="s">
        <v>25</v>
      </c>
      <c r="E5230">
        <v>13667</v>
      </c>
      <c r="F5230">
        <v>444</v>
      </c>
      <c r="G5230">
        <v>18</v>
      </c>
      <c r="H5230">
        <v>559.05999999999995</v>
      </c>
      <c r="I5230">
        <v>1787.34</v>
      </c>
      <c r="J5230">
        <v>3.25</v>
      </c>
      <c r="K5230">
        <v>4.05</v>
      </c>
      <c r="L5230">
        <v>31.06</v>
      </c>
      <c r="M5230">
        <v>3.2</v>
      </c>
      <c r="N5230">
        <v>1228.28</v>
      </c>
    </row>
    <row r="5231" spans="1:14" x14ac:dyDescent="0.2">
      <c r="A5231" s="1">
        <v>45909</v>
      </c>
      <c r="B5231" s="2" t="s">
        <v>31</v>
      </c>
      <c r="C5231" s="2" t="s">
        <v>21</v>
      </c>
      <c r="D5231" s="2" t="s">
        <v>25</v>
      </c>
      <c r="E5231">
        <v>18728</v>
      </c>
      <c r="F5231">
        <v>661</v>
      </c>
      <c r="G5231">
        <v>23</v>
      </c>
      <c r="H5231">
        <v>691.24</v>
      </c>
      <c r="I5231">
        <v>2231.23</v>
      </c>
      <c r="J5231">
        <v>3.53</v>
      </c>
      <c r="K5231">
        <v>3.48</v>
      </c>
      <c r="L5231">
        <v>30.05</v>
      </c>
      <c r="M5231">
        <v>3.23</v>
      </c>
      <c r="N5231">
        <v>1539.99</v>
      </c>
    </row>
    <row r="5232" spans="1:14" x14ac:dyDescent="0.2">
      <c r="A5232" s="1">
        <v>45909</v>
      </c>
      <c r="B5232" s="2" t="s">
        <v>33</v>
      </c>
      <c r="C5232" s="2" t="s">
        <v>35</v>
      </c>
      <c r="D5232" s="2" t="s">
        <v>25</v>
      </c>
      <c r="E5232">
        <v>9521</v>
      </c>
      <c r="F5232">
        <v>532</v>
      </c>
      <c r="G5232">
        <v>68</v>
      </c>
      <c r="H5232">
        <v>342.25</v>
      </c>
      <c r="I5232">
        <v>6628.38</v>
      </c>
      <c r="J5232">
        <v>5.59</v>
      </c>
      <c r="K5232">
        <v>12.78</v>
      </c>
      <c r="L5232">
        <v>5.03</v>
      </c>
      <c r="M5232">
        <v>19.37</v>
      </c>
      <c r="N5232">
        <v>6286.13</v>
      </c>
    </row>
    <row r="5233" spans="1:14" x14ac:dyDescent="0.2">
      <c r="A5233" s="1">
        <v>45909</v>
      </c>
      <c r="B5233" s="2" t="s">
        <v>34</v>
      </c>
      <c r="C5233" s="2" t="s">
        <v>28</v>
      </c>
      <c r="D5233" s="2" t="s">
        <v>36</v>
      </c>
      <c r="E5233">
        <v>4375</v>
      </c>
      <c r="F5233">
        <v>354</v>
      </c>
      <c r="G5233">
        <v>62</v>
      </c>
      <c r="H5233">
        <v>159.81</v>
      </c>
      <c r="I5233">
        <v>7324.35</v>
      </c>
      <c r="J5233">
        <v>8.09</v>
      </c>
      <c r="K5233">
        <v>17.510000000000002</v>
      </c>
      <c r="L5233">
        <v>2.58</v>
      </c>
      <c r="M5233">
        <v>45.83</v>
      </c>
      <c r="N5233">
        <v>7164.54</v>
      </c>
    </row>
    <row r="5234" spans="1:14" x14ac:dyDescent="0.2">
      <c r="A5234" s="1">
        <v>45910</v>
      </c>
      <c r="B5234" s="2" t="s">
        <v>14</v>
      </c>
      <c r="C5234" s="2" t="s">
        <v>28</v>
      </c>
      <c r="D5234" s="2" t="s">
        <v>25</v>
      </c>
      <c r="E5234">
        <v>11223</v>
      </c>
      <c r="F5234">
        <v>440</v>
      </c>
      <c r="G5234">
        <v>52</v>
      </c>
      <c r="H5234">
        <v>1397.36</v>
      </c>
      <c r="I5234">
        <v>6546.85</v>
      </c>
      <c r="J5234">
        <v>3.92</v>
      </c>
      <c r="K5234">
        <v>11.82</v>
      </c>
      <c r="L5234">
        <v>26.87</v>
      </c>
      <c r="M5234">
        <v>4.6900000000000004</v>
      </c>
      <c r="N5234">
        <v>5149.49</v>
      </c>
    </row>
    <row r="5235" spans="1:14" x14ac:dyDescent="0.2">
      <c r="A5235" s="1">
        <v>45910</v>
      </c>
      <c r="B5235" s="2" t="s">
        <v>17</v>
      </c>
      <c r="C5235" s="2" t="s">
        <v>18</v>
      </c>
      <c r="D5235" s="2" t="s">
        <v>16</v>
      </c>
      <c r="E5235">
        <v>15614</v>
      </c>
      <c r="F5235">
        <v>439</v>
      </c>
      <c r="G5235">
        <v>22</v>
      </c>
      <c r="H5235">
        <v>1188.33</v>
      </c>
      <c r="I5235">
        <v>2578.25</v>
      </c>
      <c r="J5235">
        <v>2.81</v>
      </c>
      <c r="K5235">
        <v>5.01</v>
      </c>
      <c r="L5235">
        <v>54.01</v>
      </c>
      <c r="M5235">
        <v>2.17</v>
      </c>
      <c r="N5235">
        <v>1389.92</v>
      </c>
    </row>
    <row r="5236" spans="1:14" x14ac:dyDescent="0.2">
      <c r="A5236" s="1">
        <v>45910</v>
      </c>
      <c r="B5236" s="2" t="s">
        <v>20</v>
      </c>
      <c r="C5236" s="2" t="s">
        <v>35</v>
      </c>
      <c r="D5236" s="2" t="s">
        <v>36</v>
      </c>
      <c r="E5236">
        <v>13199</v>
      </c>
      <c r="F5236">
        <v>512</v>
      </c>
      <c r="G5236">
        <v>27</v>
      </c>
      <c r="H5236">
        <v>611.16999999999996</v>
      </c>
      <c r="I5236">
        <v>2130.09</v>
      </c>
      <c r="J5236">
        <v>3.88</v>
      </c>
      <c r="K5236">
        <v>5.27</v>
      </c>
      <c r="L5236">
        <v>22.64</v>
      </c>
      <c r="M5236">
        <v>3.49</v>
      </c>
      <c r="N5236">
        <v>1518.92</v>
      </c>
    </row>
    <row r="5237" spans="1:14" x14ac:dyDescent="0.2">
      <c r="A5237" s="1">
        <v>45910</v>
      </c>
      <c r="B5237" s="2" t="s">
        <v>23</v>
      </c>
      <c r="C5237" s="2" t="s">
        <v>35</v>
      </c>
      <c r="D5237" s="2" t="s">
        <v>19</v>
      </c>
      <c r="E5237">
        <v>5775</v>
      </c>
      <c r="F5237">
        <v>159</v>
      </c>
      <c r="G5237">
        <v>18</v>
      </c>
      <c r="H5237">
        <v>1085.9100000000001</v>
      </c>
      <c r="I5237">
        <v>4423.8999999999996</v>
      </c>
      <c r="J5237">
        <v>2.75</v>
      </c>
      <c r="K5237">
        <v>11.32</v>
      </c>
      <c r="L5237">
        <v>60.33</v>
      </c>
      <c r="M5237">
        <v>4.07</v>
      </c>
      <c r="N5237">
        <v>3337.99</v>
      </c>
    </row>
    <row r="5238" spans="1:14" x14ac:dyDescent="0.2">
      <c r="A5238" s="1">
        <v>45910</v>
      </c>
      <c r="B5238" s="2" t="s">
        <v>24</v>
      </c>
      <c r="C5238" s="2" t="s">
        <v>28</v>
      </c>
      <c r="D5238" s="2" t="s">
        <v>25</v>
      </c>
      <c r="E5238">
        <v>18869</v>
      </c>
      <c r="F5238">
        <v>3873</v>
      </c>
      <c r="G5238">
        <v>319</v>
      </c>
      <c r="H5238">
        <v>115.6</v>
      </c>
      <c r="I5238">
        <v>33968.49</v>
      </c>
      <c r="J5238">
        <v>20.53</v>
      </c>
      <c r="K5238">
        <v>8.24</v>
      </c>
      <c r="L5238">
        <v>0.36</v>
      </c>
      <c r="M5238">
        <v>293.85000000000002</v>
      </c>
      <c r="N5238">
        <v>33852.89</v>
      </c>
    </row>
    <row r="5239" spans="1:14" x14ac:dyDescent="0.2">
      <c r="A5239" s="1">
        <v>45910</v>
      </c>
      <c r="B5239" s="2" t="s">
        <v>26</v>
      </c>
      <c r="C5239" s="2" t="s">
        <v>21</v>
      </c>
      <c r="D5239" s="2" t="s">
        <v>36</v>
      </c>
      <c r="E5239">
        <v>25561</v>
      </c>
      <c r="F5239">
        <v>1354</v>
      </c>
      <c r="G5239">
        <v>160</v>
      </c>
      <c r="H5239">
        <v>0</v>
      </c>
      <c r="I5239">
        <v>19344.689999999999</v>
      </c>
      <c r="J5239">
        <v>5.3</v>
      </c>
      <c r="K5239">
        <v>11.82</v>
      </c>
      <c r="L5239">
        <v>0</v>
      </c>
      <c r="M5239">
        <v>0</v>
      </c>
      <c r="N5239">
        <v>19344.689999999999</v>
      </c>
    </row>
    <row r="5240" spans="1:14" x14ac:dyDescent="0.2">
      <c r="A5240" s="1">
        <v>45910</v>
      </c>
      <c r="B5240" s="2" t="s">
        <v>27</v>
      </c>
      <c r="C5240" s="2" t="s">
        <v>21</v>
      </c>
      <c r="D5240" s="2" t="s">
        <v>22</v>
      </c>
      <c r="E5240">
        <v>25468</v>
      </c>
      <c r="F5240">
        <v>288</v>
      </c>
      <c r="G5240">
        <v>11</v>
      </c>
      <c r="H5240">
        <v>891.4</v>
      </c>
      <c r="I5240">
        <v>1255.3</v>
      </c>
      <c r="J5240">
        <v>1.1299999999999999</v>
      </c>
      <c r="K5240">
        <v>3.82</v>
      </c>
      <c r="L5240">
        <v>81.040000000000006</v>
      </c>
      <c r="M5240">
        <v>1.41</v>
      </c>
      <c r="N5240">
        <v>363.9</v>
      </c>
    </row>
    <row r="5241" spans="1:14" x14ac:dyDescent="0.2">
      <c r="A5241" s="1">
        <v>45910</v>
      </c>
      <c r="B5241" s="2" t="s">
        <v>29</v>
      </c>
      <c r="C5241" s="2" t="s">
        <v>32</v>
      </c>
      <c r="D5241" s="2" t="s">
        <v>36</v>
      </c>
      <c r="E5241">
        <v>15308</v>
      </c>
      <c r="F5241">
        <v>265</v>
      </c>
      <c r="G5241">
        <v>15</v>
      </c>
      <c r="H5241">
        <v>885.74</v>
      </c>
      <c r="I5241">
        <v>1322.16</v>
      </c>
      <c r="J5241">
        <v>1.73</v>
      </c>
      <c r="K5241">
        <v>5.66</v>
      </c>
      <c r="L5241">
        <v>59.05</v>
      </c>
      <c r="M5241">
        <v>1.49</v>
      </c>
      <c r="N5241">
        <v>436.42</v>
      </c>
    </row>
    <row r="5242" spans="1:14" x14ac:dyDescent="0.2">
      <c r="A5242" s="1">
        <v>45910</v>
      </c>
      <c r="B5242" s="2" t="s">
        <v>30</v>
      </c>
      <c r="C5242" s="2" t="s">
        <v>28</v>
      </c>
      <c r="D5242" s="2" t="s">
        <v>36</v>
      </c>
      <c r="E5242">
        <v>9280</v>
      </c>
      <c r="F5242">
        <v>310</v>
      </c>
      <c r="G5242">
        <v>18</v>
      </c>
      <c r="H5242">
        <v>764.85</v>
      </c>
      <c r="I5242">
        <v>1586.91</v>
      </c>
      <c r="J5242">
        <v>3.34</v>
      </c>
      <c r="K5242">
        <v>5.81</v>
      </c>
      <c r="L5242">
        <v>42.49</v>
      </c>
      <c r="M5242">
        <v>2.0699999999999998</v>
      </c>
      <c r="N5242">
        <v>822.06</v>
      </c>
    </row>
    <row r="5243" spans="1:14" x14ac:dyDescent="0.2">
      <c r="A5243" s="1">
        <v>45910</v>
      </c>
      <c r="B5243" s="2" t="s">
        <v>31</v>
      </c>
      <c r="C5243" s="2" t="s">
        <v>15</v>
      </c>
      <c r="D5243" s="2" t="s">
        <v>22</v>
      </c>
      <c r="E5243">
        <v>20343</v>
      </c>
      <c r="F5243">
        <v>519</v>
      </c>
      <c r="G5243">
        <v>15</v>
      </c>
      <c r="H5243">
        <v>1099.3399999999999</v>
      </c>
      <c r="I5243">
        <v>1114.28</v>
      </c>
      <c r="J5243">
        <v>2.5499999999999998</v>
      </c>
      <c r="K5243">
        <v>2.89</v>
      </c>
      <c r="L5243">
        <v>73.290000000000006</v>
      </c>
      <c r="M5243">
        <v>1.01</v>
      </c>
      <c r="N5243">
        <v>14.94</v>
      </c>
    </row>
    <row r="5244" spans="1:14" x14ac:dyDescent="0.2">
      <c r="A5244" s="1">
        <v>45910</v>
      </c>
      <c r="B5244" s="2" t="s">
        <v>33</v>
      </c>
      <c r="C5244" s="2" t="s">
        <v>15</v>
      </c>
      <c r="D5244" s="2" t="s">
        <v>25</v>
      </c>
      <c r="E5244">
        <v>5703</v>
      </c>
      <c r="F5244">
        <v>280</v>
      </c>
      <c r="G5244">
        <v>22</v>
      </c>
      <c r="H5244">
        <v>460.94</v>
      </c>
      <c r="I5244">
        <v>3466.2</v>
      </c>
      <c r="J5244">
        <v>4.91</v>
      </c>
      <c r="K5244">
        <v>7.86</v>
      </c>
      <c r="L5244">
        <v>20.95</v>
      </c>
      <c r="M5244">
        <v>7.52</v>
      </c>
      <c r="N5244">
        <v>3005.26</v>
      </c>
    </row>
    <row r="5245" spans="1:14" x14ac:dyDescent="0.2">
      <c r="A5245" s="1">
        <v>45910</v>
      </c>
      <c r="B5245" s="2" t="s">
        <v>34</v>
      </c>
      <c r="C5245" s="2" t="s">
        <v>18</v>
      </c>
      <c r="D5245" s="2" t="s">
        <v>36</v>
      </c>
      <c r="E5245">
        <v>4619</v>
      </c>
      <c r="F5245">
        <v>262</v>
      </c>
      <c r="G5245">
        <v>37</v>
      </c>
      <c r="H5245">
        <v>173.97</v>
      </c>
      <c r="I5245">
        <v>5764.68</v>
      </c>
      <c r="J5245">
        <v>5.67</v>
      </c>
      <c r="K5245">
        <v>14.12</v>
      </c>
      <c r="L5245">
        <v>4.7</v>
      </c>
      <c r="M5245">
        <v>33.14</v>
      </c>
      <c r="N5245">
        <v>5590.71</v>
      </c>
    </row>
    <row r="5246" spans="1:14" x14ac:dyDescent="0.2">
      <c r="A5246" s="1">
        <v>45911</v>
      </c>
      <c r="B5246" s="2" t="s">
        <v>14</v>
      </c>
      <c r="C5246" s="2" t="s">
        <v>15</v>
      </c>
      <c r="D5246" s="2" t="s">
        <v>16</v>
      </c>
      <c r="E5246">
        <v>11227</v>
      </c>
      <c r="F5246">
        <v>495</v>
      </c>
      <c r="G5246">
        <v>45</v>
      </c>
      <c r="H5246">
        <v>847.63</v>
      </c>
      <c r="I5246">
        <v>6666.91</v>
      </c>
      <c r="J5246">
        <v>4.41</v>
      </c>
      <c r="K5246">
        <v>9.09</v>
      </c>
      <c r="L5246">
        <v>18.84</v>
      </c>
      <c r="M5246">
        <v>7.87</v>
      </c>
      <c r="N5246">
        <v>5819.28</v>
      </c>
    </row>
    <row r="5247" spans="1:14" x14ac:dyDescent="0.2">
      <c r="A5247" s="1">
        <v>45911</v>
      </c>
      <c r="B5247" s="2" t="s">
        <v>17</v>
      </c>
      <c r="C5247" s="2" t="s">
        <v>21</v>
      </c>
      <c r="D5247" s="2" t="s">
        <v>22</v>
      </c>
      <c r="E5247">
        <v>15539</v>
      </c>
      <c r="F5247">
        <v>498</v>
      </c>
      <c r="G5247">
        <v>25</v>
      </c>
      <c r="H5247">
        <v>947.73</v>
      </c>
      <c r="I5247">
        <v>2637.82</v>
      </c>
      <c r="J5247">
        <v>3.2</v>
      </c>
      <c r="K5247">
        <v>5.0199999999999996</v>
      </c>
      <c r="L5247">
        <v>37.909999999999997</v>
      </c>
      <c r="M5247">
        <v>2.78</v>
      </c>
      <c r="N5247">
        <v>1690.09</v>
      </c>
    </row>
    <row r="5248" spans="1:14" x14ac:dyDescent="0.2">
      <c r="A5248" s="1">
        <v>45911</v>
      </c>
      <c r="B5248" s="2" t="s">
        <v>20</v>
      </c>
      <c r="C5248" s="2" t="s">
        <v>35</v>
      </c>
      <c r="D5248" s="2" t="s">
        <v>25</v>
      </c>
      <c r="E5248">
        <v>17796</v>
      </c>
      <c r="F5248">
        <v>538</v>
      </c>
      <c r="G5248">
        <v>36</v>
      </c>
      <c r="H5248">
        <v>865.17</v>
      </c>
      <c r="I5248">
        <v>3168.89</v>
      </c>
      <c r="J5248">
        <v>3.02</v>
      </c>
      <c r="K5248">
        <v>6.69</v>
      </c>
      <c r="L5248">
        <v>24.03</v>
      </c>
      <c r="M5248">
        <v>3.66</v>
      </c>
      <c r="N5248">
        <v>2303.7199999999998</v>
      </c>
    </row>
    <row r="5249" spans="1:14" x14ac:dyDescent="0.2">
      <c r="A5249" s="1">
        <v>45911</v>
      </c>
      <c r="B5249" s="2" t="s">
        <v>23</v>
      </c>
      <c r="C5249" s="2" t="s">
        <v>35</v>
      </c>
      <c r="D5249" s="2" t="s">
        <v>16</v>
      </c>
      <c r="E5249">
        <v>3581</v>
      </c>
      <c r="F5249">
        <v>69</v>
      </c>
      <c r="G5249">
        <v>8</v>
      </c>
      <c r="H5249">
        <v>1474.61</v>
      </c>
      <c r="I5249">
        <v>1976.83</v>
      </c>
      <c r="J5249">
        <v>1.93</v>
      </c>
      <c r="K5249">
        <v>11.59</v>
      </c>
      <c r="L5249">
        <v>184.33</v>
      </c>
      <c r="M5249">
        <v>1.34</v>
      </c>
      <c r="N5249">
        <v>502.22</v>
      </c>
    </row>
    <row r="5250" spans="1:14" x14ac:dyDescent="0.2">
      <c r="A5250" s="1">
        <v>45911</v>
      </c>
      <c r="B5250" s="2" t="s">
        <v>24</v>
      </c>
      <c r="C5250" s="2" t="s">
        <v>15</v>
      </c>
      <c r="D5250" s="2" t="s">
        <v>22</v>
      </c>
      <c r="E5250">
        <v>22151</v>
      </c>
      <c r="F5250">
        <v>3476</v>
      </c>
      <c r="G5250">
        <v>446</v>
      </c>
      <c r="H5250">
        <v>296.02999999999997</v>
      </c>
      <c r="I5250">
        <v>54191.95</v>
      </c>
      <c r="J5250">
        <v>15.69</v>
      </c>
      <c r="K5250">
        <v>12.83</v>
      </c>
      <c r="L5250">
        <v>0.66</v>
      </c>
      <c r="M5250">
        <v>183.06</v>
      </c>
      <c r="N5250">
        <v>53895.92</v>
      </c>
    </row>
    <row r="5251" spans="1:14" x14ac:dyDescent="0.2">
      <c r="A5251" s="1">
        <v>45911</v>
      </c>
      <c r="B5251" s="2" t="s">
        <v>26</v>
      </c>
      <c r="C5251" s="2" t="s">
        <v>28</v>
      </c>
      <c r="D5251" s="2" t="s">
        <v>36</v>
      </c>
      <c r="E5251">
        <v>21551</v>
      </c>
      <c r="F5251">
        <v>888</v>
      </c>
      <c r="G5251">
        <v>106</v>
      </c>
      <c r="H5251">
        <v>0</v>
      </c>
      <c r="I5251">
        <v>14281.37</v>
      </c>
      <c r="J5251">
        <v>4.12</v>
      </c>
      <c r="K5251">
        <v>11.94</v>
      </c>
      <c r="L5251">
        <v>0</v>
      </c>
      <c r="M5251">
        <v>0</v>
      </c>
      <c r="N5251">
        <v>14281.37</v>
      </c>
    </row>
    <row r="5252" spans="1:14" x14ac:dyDescent="0.2">
      <c r="A5252" s="1">
        <v>45911</v>
      </c>
      <c r="B5252" s="2" t="s">
        <v>27</v>
      </c>
      <c r="C5252" s="2" t="s">
        <v>32</v>
      </c>
      <c r="D5252" s="2" t="s">
        <v>16</v>
      </c>
      <c r="E5252">
        <v>32545</v>
      </c>
      <c r="F5252">
        <v>440</v>
      </c>
      <c r="G5252">
        <v>10</v>
      </c>
      <c r="H5252">
        <v>1083.18</v>
      </c>
      <c r="I5252">
        <v>906.62</v>
      </c>
      <c r="J5252">
        <v>1.35</v>
      </c>
      <c r="K5252">
        <v>2.27</v>
      </c>
      <c r="L5252">
        <v>108.32</v>
      </c>
      <c r="M5252">
        <v>0.84</v>
      </c>
      <c r="N5252">
        <v>-176.56</v>
      </c>
    </row>
    <row r="5253" spans="1:14" x14ac:dyDescent="0.2">
      <c r="A5253" s="1">
        <v>45911</v>
      </c>
      <c r="B5253" s="2" t="s">
        <v>29</v>
      </c>
      <c r="C5253" s="2" t="s">
        <v>35</v>
      </c>
      <c r="D5253" s="2" t="s">
        <v>16</v>
      </c>
      <c r="E5253">
        <v>18558</v>
      </c>
      <c r="F5253">
        <v>367</v>
      </c>
      <c r="G5253">
        <v>26</v>
      </c>
      <c r="H5253">
        <v>1326.64</v>
      </c>
      <c r="I5253">
        <v>2770.53</v>
      </c>
      <c r="J5253">
        <v>1.98</v>
      </c>
      <c r="K5253">
        <v>7.08</v>
      </c>
      <c r="L5253">
        <v>51.02</v>
      </c>
      <c r="M5253">
        <v>2.09</v>
      </c>
      <c r="N5253">
        <v>1443.89</v>
      </c>
    </row>
    <row r="5254" spans="1:14" x14ac:dyDescent="0.2">
      <c r="A5254" s="1">
        <v>45911</v>
      </c>
      <c r="B5254" s="2" t="s">
        <v>30</v>
      </c>
      <c r="C5254" s="2" t="s">
        <v>18</v>
      </c>
      <c r="D5254" s="2" t="s">
        <v>25</v>
      </c>
      <c r="E5254">
        <v>8515</v>
      </c>
      <c r="F5254">
        <v>196</v>
      </c>
      <c r="G5254">
        <v>5</v>
      </c>
      <c r="H5254">
        <v>405.16</v>
      </c>
      <c r="I5254">
        <v>562.54999999999995</v>
      </c>
      <c r="J5254">
        <v>2.2999999999999998</v>
      </c>
      <c r="K5254">
        <v>2.5499999999999998</v>
      </c>
      <c r="L5254">
        <v>81.03</v>
      </c>
      <c r="M5254">
        <v>1.39</v>
      </c>
      <c r="N5254">
        <v>157.38999999999999</v>
      </c>
    </row>
    <row r="5255" spans="1:14" x14ac:dyDescent="0.2">
      <c r="A5255" s="1">
        <v>45911</v>
      </c>
      <c r="B5255" s="2" t="s">
        <v>31</v>
      </c>
      <c r="C5255" s="2" t="s">
        <v>35</v>
      </c>
      <c r="D5255" s="2" t="s">
        <v>36</v>
      </c>
      <c r="E5255">
        <v>26222</v>
      </c>
      <c r="F5255">
        <v>666</v>
      </c>
      <c r="G5255">
        <v>26</v>
      </c>
      <c r="H5255">
        <v>1061.28</v>
      </c>
      <c r="I5255">
        <v>2783.78</v>
      </c>
      <c r="J5255">
        <v>2.54</v>
      </c>
      <c r="K5255">
        <v>3.9</v>
      </c>
      <c r="L5255">
        <v>40.82</v>
      </c>
      <c r="M5255">
        <v>2.62</v>
      </c>
      <c r="N5255">
        <v>1722.5</v>
      </c>
    </row>
    <row r="5256" spans="1:14" x14ac:dyDescent="0.2">
      <c r="A5256" s="1">
        <v>45911</v>
      </c>
      <c r="B5256" s="2" t="s">
        <v>33</v>
      </c>
      <c r="C5256" s="2" t="s">
        <v>28</v>
      </c>
      <c r="D5256" s="2" t="s">
        <v>22</v>
      </c>
      <c r="E5256">
        <v>9307</v>
      </c>
      <c r="F5256">
        <v>556</v>
      </c>
      <c r="G5256">
        <v>59</v>
      </c>
      <c r="H5256">
        <v>600.92999999999995</v>
      </c>
      <c r="I5256">
        <v>6460.66</v>
      </c>
      <c r="J5256">
        <v>5.97</v>
      </c>
      <c r="K5256">
        <v>10.61</v>
      </c>
      <c r="L5256">
        <v>10.19</v>
      </c>
      <c r="M5256">
        <v>10.75</v>
      </c>
      <c r="N5256">
        <v>5859.73</v>
      </c>
    </row>
    <row r="5257" spans="1:14" x14ac:dyDescent="0.2">
      <c r="A5257" s="1">
        <v>45911</v>
      </c>
      <c r="B5257" s="2" t="s">
        <v>34</v>
      </c>
      <c r="C5257" s="2" t="s">
        <v>35</v>
      </c>
      <c r="D5257" s="2" t="s">
        <v>22</v>
      </c>
      <c r="E5257">
        <v>5129</v>
      </c>
      <c r="F5257">
        <v>479</v>
      </c>
      <c r="G5257">
        <v>74</v>
      </c>
      <c r="H5257">
        <v>182.73</v>
      </c>
      <c r="I5257">
        <v>11116.74</v>
      </c>
      <c r="J5257">
        <v>9.34</v>
      </c>
      <c r="K5257">
        <v>15.45</v>
      </c>
      <c r="L5257">
        <v>2.4700000000000002</v>
      </c>
      <c r="M5257">
        <v>60.84</v>
      </c>
      <c r="N5257">
        <v>10934.01</v>
      </c>
    </row>
    <row r="5258" spans="1:14" x14ac:dyDescent="0.2">
      <c r="A5258" s="1">
        <v>45912</v>
      </c>
      <c r="B5258" s="2" t="s">
        <v>14</v>
      </c>
      <c r="C5258" s="2" t="s">
        <v>32</v>
      </c>
      <c r="D5258" s="2" t="s">
        <v>16</v>
      </c>
      <c r="E5258">
        <v>13353</v>
      </c>
      <c r="F5258">
        <v>652</v>
      </c>
      <c r="G5258">
        <v>73</v>
      </c>
      <c r="H5258">
        <v>836</v>
      </c>
      <c r="I5258">
        <v>11778.93</v>
      </c>
      <c r="J5258">
        <v>4.88</v>
      </c>
      <c r="K5258">
        <v>11.2</v>
      </c>
      <c r="L5258">
        <v>11.45</v>
      </c>
      <c r="M5258">
        <v>14.09</v>
      </c>
      <c r="N5258">
        <v>10942.93</v>
      </c>
    </row>
    <row r="5259" spans="1:14" x14ac:dyDescent="0.2">
      <c r="A5259" s="1">
        <v>45912</v>
      </c>
      <c r="B5259" s="2" t="s">
        <v>17</v>
      </c>
      <c r="C5259" s="2" t="s">
        <v>28</v>
      </c>
      <c r="D5259" s="2" t="s">
        <v>16</v>
      </c>
      <c r="E5259">
        <v>16813</v>
      </c>
      <c r="F5259">
        <v>443</v>
      </c>
      <c r="G5259">
        <v>24</v>
      </c>
      <c r="H5259">
        <v>887.57</v>
      </c>
      <c r="I5259">
        <v>2561.8200000000002</v>
      </c>
      <c r="J5259">
        <v>2.63</v>
      </c>
      <c r="K5259">
        <v>5.42</v>
      </c>
      <c r="L5259">
        <v>36.979999999999997</v>
      </c>
      <c r="M5259">
        <v>2.89</v>
      </c>
      <c r="N5259">
        <v>1674.25</v>
      </c>
    </row>
    <row r="5260" spans="1:14" x14ac:dyDescent="0.2">
      <c r="A5260" s="1">
        <v>45912</v>
      </c>
      <c r="B5260" s="2" t="s">
        <v>20</v>
      </c>
      <c r="C5260" s="2" t="s">
        <v>18</v>
      </c>
      <c r="D5260" s="2" t="s">
        <v>36</v>
      </c>
      <c r="E5260">
        <v>15083</v>
      </c>
      <c r="F5260">
        <v>537</v>
      </c>
      <c r="G5260">
        <v>41</v>
      </c>
      <c r="H5260">
        <v>523.44000000000005</v>
      </c>
      <c r="I5260">
        <v>4525.0600000000004</v>
      </c>
      <c r="J5260">
        <v>3.56</v>
      </c>
      <c r="K5260">
        <v>7.64</v>
      </c>
      <c r="L5260">
        <v>12.77</v>
      </c>
      <c r="M5260">
        <v>8.64</v>
      </c>
      <c r="N5260">
        <v>4001.62</v>
      </c>
    </row>
    <row r="5261" spans="1:14" x14ac:dyDescent="0.2">
      <c r="A5261" s="1">
        <v>45912</v>
      </c>
      <c r="B5261" s="2" t="s">
        <v>23</v>
      </c>
      <c r="C5261" s="2" t="s">
        <v>28</v>
      </c>
      <c r="D5261" s="2" t="s">
        <v>19</v>
      </c>
      <c r="E5261">
        <v>3748</v>
      </c>
      <c r="F5261">
        <v>79</v>
      </c>
      <c r="G5261">
        <v>8</v>
      </c>
      <c r="H5261">
        <v>1128.4100000000001</v>
      </c>
      <c r="I5261">
        <v>2427.79</v>
      </c>
      <c r="J5261">
        <v>2.11</v>
      </c>
      <c r="K5261">
        <v>10.130000000000001</v>
      </c>
      <c r="L5261">
        <v>141.05000000000001</v>
      </c>
      <c r="M5261">
        <v>2.15</v>
      </c>
      <c r="N5261">
        <v>1299.3800000000001</v>
      </c>
    </row>
    <row r="5262" spans="1:14" x14ac:dyDescent="0.2">
      <c r="A5262" s="1">
        <v>45912</v>
      </c>
      <c r="B5262" s="2" t="s">
        <v>24</v>
      </c>
      <c r="C5262" s="2" t="s">
        <v>15</v>
      </c>
      <c r="D5262" s="2" t="s">
        <v>36</v>
      </c>
      <c r="E5262">
        <v>18127</v>
      </c>
      <c r="F5262">
        <v>3858</v>
      </c>
      <c r="G5262">
        <v>367</v>
      </c>
      <c r="H5262">
        <v>250.44</v>
      </c>
      <c r="I5262">
        <v>59668.84</v>
      </c>
      <c r="J5262">
        <v>21.28</v>
      </c>
      <c r="K5262">
        <v>9.51</v>
      </c>
      <c r="L5262">
        <v>0.68</v>
      </c>
      <c r="M5262">
        <v>238.26</v>
      </c>
      <c r="N5262">
        <v>59418.400000000001</v>
      </c>
    </row>
    <row r="5263" spans="1:14" x14ac:dyDescent="0.2">
      <c r="A5263" s="1">
        <v>45912</v>
      </c>
      <c r="B5263" s="2" t="s">
        <v>26</v>
      </c>
      <c r="C5263" s="2" t="s">
        <v>21</v>
      </c>
      <c r="D5263" s="2" t="s">
        <v>36</v>
      </c>
      <c r="E5263">
        <v>29623</v>
      </c>
      <c r="F5263">
        <v>1717</v>
      </c>
      <c r="G5263">
        <v>252</v>
      </c>
      <c r="H5263">
        <v>0</v>
      </c>
      <c r="I5263">
        <v>33201.31</v>
      </c>
      <c r="J5263">
        <v>5.8</v>
      </c>
      <c r="K5263">
        <v>14.68</v>
      </c>
      <c r="L5263">
        <v>0</v>
      </c>
      <c r="M5263">
        <v>0</v>
      </c>
      <c r="N5263">
        <v>33201.31</v>
      </c>
    </row>
    <row r="5264" spans="1:14" x14ac:dyDescent="0.2">
      <c r="A5264" s="1">
        <v>45912</v>
      </c>
      <c r="B5264" s="2" t="s">
        <v>27</v>
      </c>
      <c r="C5264" s="2" t="s">
        <v>18</v>
      </c>
      <c r="D5264" s="2" t="s">
        <v>16</v>
      </c>
      <c r="E5264">
        <v>31424</v>
      </c>
      <c r="F5264">
        <v>426</v>
      </c>
      <c r="G5264">
        <v>9</v>
      </c>
      <c r="H5264">
        <v>1227.6400000000001</v>
      </c>
      <c r="I5264">
        <v>952.77</v>
      </c>
      <c r="J5264">
        <v>1.36</v>
      </c>
      <c r="K5264">
        <v>2.11</v>
      </c>
      <c r="L5264">
        <v>136.4</v>
      </c>
      <c r="M5264">
        <v>0.78</v>
      </c>
      <c r="N5264">
        <v>-274.87</v>
      </c>
    </row>
    <row r="5265" spans="1:14" x14ac:dyDescent="0.2">
      <c r="A5265" s="1">
        <v>45912</v>
      </c>
      <c r="B5265" s="2" t="s">
        <v>29</v>
      </c>
      <c r="C5265" s="2" t="s">
        <v>35</v>
      </c>
      <c r="D5265" s="2" t="s">
        <v>16</v>
      </c>
      <c r="E5265">
        <v>15375</v>
      </c>
      <c r="F5265">
        <v>397</v>
      </c>
      <c r="G5265">
        <v>17</v>
      </c>
      <c r="H5265">
        <v>991.4</v>
      </c>
      <c r="I5265">
        <v>2500.63</v>
      </c>
      <c r="J5265">
        <v>2.58</v>
      </c>
      <c r="K5265">
        <v>4.28</v>
      </c>
      <c r="L5265">
        <v>58.32</v>
      </c>
      <c r="M5265">
        <v>2.52</v>
      </c>
      <c r="N5265">
        <v>1509.23</v>
      </c>
    </row>
    <row r="5266" spans="1:14" x14ac:dyDescent="0.2">
      <c r="A5266" s="1">
        <v>45912</v>
      </c>
      <c r="B5266" s="2" t="s">
        <v>30</v>
      </c>
      <c r="C5266" s="2" t="s">
        <v>15</v>
      </c>
      <c r="D5266" s="2" t="s">
        <v>22</v>
      </c>
      <c r="E5266">
        <v>8328</v>
      </c>
      <c r="F5266">
        <v>244</v>
      </c>
      <c r="G5266">
        <v>11</v>
      </c>
      <c r="H5266">
        <v>516.04</v>
      </c>
      <c r="I5266">
        <v>1004.66</v>
      </c>
      <c r="J5266">
        <v>2.93</v>
      </c>
      <c r="K5266">
        <v>4.51</v>
      </c>
      <c r="L5266">
        <v>46.91</v>
      </c>
      <c r="M5266">
        <v>1.95</v>
      </c>
      <c r="N5266">
        <v>488.62</v>
      </c>
    </row>
    <row r="5267" spans="1:14" x14ac:dyDescent="0.2">
      <c r="A5267" s="1">
        <v>45912</v>
      </c>
      <c r="B5267" s="2" t="s">
        <v>31</v>
      </c>
      <c r="C5267" s="2" t="s">
        <v>35</v>
      </c>
      <c r="D5267" s="2" t="s">
        <v>36</v>
      </c>
      <c r="E5267">
        <v>29925</v>
      </c>
      <c r="F5267">
        <v>1318</v>
      </c>
      <c r="G5267">
        <v>88</v>
      </c>
      <c r="H5267">
        <v>627.09</v>
      </c>
      <c r="I5267">
        <v>5844.09</v>
      </c>
      <c r="J5267">
        <v>4.4000000000000004</v>
      </c>
      <c r="K5267">
        <v>6.68</v>
      </c>
      <c r="L5267">
        <v>7.13</v>
      </c>
      <c r="M5267">
        <v>9.32</v>
      </c>
      <c r="N5267">
        <v>5217</v>
      </c>
    </row>
    <row r="5268" spans="1:14" x14ac:dyDescent="0.2">
      <c r="A5268" s="1">
        <v>45912</v>
      </c>
      <c r="B5268" s="2" t="s">
        <v>33</v>
      </c>
      <c r="C5268" s="2" t="s">
        <v>28</v>
      </c>
      <c r="D5268" s="2" t="s">
        <v>36</v>
      </c>
      <c r="E5268">
        <v>6473</v>
      </c>
      <c r="F5268">
        <v>399</v>
      </c>
      <c r="G5268">
        <v>38</v>
      </c>
      <c r="H5268">
        <v>567.77</v>
      </c>
      <c r="I5268">
        <v>5374.21</v>
      </c>
      <c r="J5268">
        <v>6.16</v>
      </c>
      <c r="K5268">
        <v>9.52</v>
      </c>
      <c r="L5268">
        <v>14.94</v>
      </c>
      <c r="M5268">
        <v>9.4700000000000006</v>
      </c>
      <c r="N5268">
        <v>4806.4399999999996</v>
      </c>
    </row>
    <row r="5269" spans="1:14" x14ac:dyDescent="0.2">
      <c r="A5269" s="1">
        <v>45912</v>
      </c>
      <c r="B5269" s="2" t="s">
        <v>34</v>
      </c>
      <c r="C5269" s="2" t="s">
        <v>18</v>
      </c>
      <c r="D5269" s="2" t="s">
        <v>16</v>
      </c>
      <c r="E5269">
        <v>5880</v>
      </c>
      <c r="F5269">
        <v>494</v>
      </c>
      <c r="G5269">
        <v>75</v>
      </c>
      <c r="H5269">
        <v>80.150000000000006</v>
      </c>
      <c r="I5269">
        <v>12831.47</v>
      </c>
      <c r="J5269">
        <v>8.4</v>
      </c>
      <c r="K5269">
        <v>15.18</v>
      </c>
      <c r="L5269">
        <v>1.07</v>
      </c>
      <c r="M5269">
        <v>160.09</v>
      </c>
      <c r="N5269">
        <v>12751.32</v>
      </c>
    </row>
    <row r="5270" spans="1:14" x14ac:dyDescent="0.2">
      <c r="A5270" s="1">
        <v>45913</v>
      </c>
      <c r="B5270" s="2" t="s">
        <v>14</v>
      </c>
      <c r="C5270" s="2" t="s">
        <v>32</v>
      </c>
      <c r="D5270" s="2" t="s">
        <v>22</v>
      </c>
      <c r="E5270">
        <v>6622</v>
      </c>
      <c r="F5270">
        <v>213</v>
      </c>
      <c r="G5270">
        <v>23</v>
      </c>
      <c r="H5270">
        <v>944.91</v>
      </c>
      <c r="I5270">
        <v>3252.93</v>
      </c>
      <c r="J5270">
        <v>3.22</v>
      </c>
      <c r="K5270">
        <v>10.8</v>
      </c>
      <c r="L5270">
        <v>41.08</v>
      </c>
      <c r="M5270">
        <v>3.44</v>
      </c>
      <c r="N5270">
        <v>2308.02</v>
      </c>
    </row>
    <row r="5271" spans="1:14" x14ac:dyDescent="0.2">
      <c r="A5271" s="1">
        <v>45913</v>
      </c>
      <c r="B5271" s="2" t="s">
        <v>17</v>
      </c>
      <c r="C5271" s="2" t="s">
        <v>15</v>
      </c>
      <c r="D5271" s="2" t="s">
        <v>36</v>
      </c>
      <c r="E5271">
        <v>9469</v>
      </c>
      <c r="F5271">
        <v>317</v>
      </c>
      <c r="G5271">
        <v>21</v>
      </c>
      <c r="H5271">
        <v>525.52</v>
      </c>
      <c r="I5271">
        <v>2619.13</v>
      </c>
      <c r="J5271">
        <v>3.35</v>
      </c>
      <c r="K5271">
        <v>6.62</v>
      </c>
      <c r="L5271">
        <v>25.02</v>
      </c>
      <c r="M5271">
        <v>4.9800000000000004</v>
      </c>
      <c r="N5271">
        <v>2093.61</v>
      </c>
    </row>
    <row r="5272" spans="1:14" x14ac:dyDescent="0.2">
      <c r="A5272" s="1">
        <v>45913</v>
      </c>
      <c r="B5272" s="2" t="s">
        <v>20</v>
      </c>
      <c r="C5272" s="2" t="s">
        <v>21</v>
      </c>
      <c r="D5272" s="2" t="s">
        <v>36</v>
      </c>
      <c r="E5272">
        <v>7408</v>
      </c>
      <c r="F5272">
        <v>224</v>
      </c>
      <c r="G5272">
        <v>9</v>
      </c>
      <c r="H5272">
        <v>377.65</v>
      </c>
      <c r="I5272">
        <v>772.83</v>
      </c>
      <c r="J5272">
        <v>3.02</v>
      </c>
      <c r="K5272">
        <v>4.0199999999999996</v>
      </c>
      <c r="L5272">
        <v>41.96</v>
      </c>
      <c r="M5272">
        <v>2.0499999999999998</v>
      </c>
      <c r="N5272">
        <v>395.18</v>
      </c>
    </row>
    <row r="5273" spans="1:14" x14ac:dyDescent="0.2">
      <c r="A5273" s="1">
        <v>45913</v>
      </c>
      <c r="B5273" s="2" t="s">
        <v>23</v>
      </c>
      <c r="C5273" s="2" t="s">
        <v>35</v>
      </c>
      <c r="D5273" s="2" t="s">
        <v>22</v>
      </c>
      <c r="E5273">
        <v>3566</v>
      </c>
      <c r="F5273">
        <v>101</v>
      </c>
      <c r="G5273">
        <v>10</v>
      </c>
      <c r="H5273">
        <v>659.59</v>
      </c>
      <c r="I5273">
        <v>2368.0100000000002</v>
      </c>
      <c r="J5273">
        <v>2.83</v>
      </c>
      <c r="K5273">
        <v>9.9</v>
      </c>
      <c r="L5273">
        <v>65.959999999999994</v>
      </c>
      <c r="M5273">
        <v>3.59</v>
      </c>
      <c r="N5273">
        <v>1708.42</v>
      </c>
    </row>
    <row r="5274" spans="1:14" x14ac:dyDescent="0.2">
      <c r="A5274" s="1">
        <v>45913</v>
      </c>
      <c r="B5274" s="2" t="s">
        <v>24</v>
      </c>
      <c r="C5274" s="2" t="s">
        <v>21</v>
      </c>
      <c r="D5274" s="2" t="s">
        <v>16</v>
      </c>
      <c r="E5274">
        <v>11379</v>
      </c>
      <c r="F5274">
        <v>2306</v>
      </c>
      <c r="G5274">
        <v>311</v>
      </c>
      <c r="H5274">
        <v>176.83</v>
      </c>
      <c r="I5274">
        <v>50631.34</v>
      </c>
      <c r="J5274">
        <v>20.27</v>
      </c>
      <c r="K5274">
        <v>13.49</v>
      </c>
      <c r="L5274">
        <v>0.56999999999999995</v>
      </c>
      <c r="M5274">
        <v>286.33</v>
      </c>
      <c r="N5274">
        <v>50454.51</v>
      </c>
    </row>
    <row r="5275" spans="1:14" x14ac:dyDescent="0.2">
      <c r="A5275" s="1">
        <v>45913</v>
      </c>
      <c r="B5275" s="2" t="s">
        <v>26</v>
      </c>
      <c r="C5275" s="2" t="s">
        <v>32</v>
      </c>
      <c r="D5275" s="2" t="s">
        <v>16</v>
      </c>
      <c r="E5275">
        <v>21646</v>
      </c>
      <c r="F5275">
        <v>1680</v>
      </c>
      <c r="G5275">
        <v>188</v>
      </c>
      <c r="H5275">
        <v>0</v>
      </c>
      <c r="I5275">
        <v>23065.040000000001</v>
      </c>
      <c r="J5275">
        <v>7.76</v>
      </c>
      <c r="K5275">
        <v>11.19</v>
      </c>
      <c r="L5275">
        <v>0</v>
      </c>
      <c r="M5275">
        <v>0</v>
      </c>
      <c r="N5275">
        <v>23065.040000000001</v>
      </c>
    </row>
    <row r="5276" spans="1:14" x14ac:dyDescent="0.2">
      <c r="A5276" s="1">
        <v>45913</v>
      </c>
      <c r="B5276" s="2" t="s">
        <v>27</v>
      </c>
      <c r="C5276" s="2" t="s">
        <v>21</v>
      </c>
      <c r="D5276" s="2" t="s">
        <v>19</v>
      </c>
      <c r="E5276">
        <v>18951</v>
      </c>
      <c r="F5276">
        <v>347</v>
      </c>
      <c r="G5276">
        <v>14</v>
      </c>
      <c r="H5276">
        <v>720.4</v>
      </c>
      <c r="I5276">
        <v>1243.49</v>
      </c>
      <c r="J5276">
        <v>1.83</v>
      </c>
      <c r="K5276">
        <v>4.03</v>
      </c>
      <c r="L5276">
        <v>51.46</v>
      </c>
      <c r="M5276">
        <v>1.73</v>
      </c>
      <c r="N5276">
        <v>523.09</v>
      </c>
    </row>
    <row r="5277" spans="1:14" x14ac:dyDescent="0.2">
      <c r="A5277" s="1">
        <v>45913</v>
      </c>
      <c r="B5277" s="2" t="s">
        <v>29</v>
      </c>
      <c r="C5277" s="2" t="s">
        <v>18</v>
      </c>
      <c r="D5277" s="2" t="s">
        <v>25</v>
      </c>
      <c r="E5277">
        <v>11129</v>
      </c>
      <c r="F5277">
        <v>204</v>
      </c>
      <c r="G5277">
        <v>15</v>
      </c>
      <c r="H5277">
        <v>720.4</v>
      </c>
      <c r="I5277">
        <v>1694.58</v>
      </c>
      <c r="J5277">
        <v>1.83</v>
      </c>
      <c r="K5277">
        <v>7.35</v>
      </c>
      <c r="L5277">
        <v>48.03</v>
      </c>
      <c r="M5277">
        <v>2.35</v>
      </c>
      <c r="N5277">
        <v>974.18</v>
      </c>
    </row>
    <row r="5278" spans="1:14" x14ac:dyDescent="0.2">
      <c r="A5278" s="1">
        <v>45913</v>
      </c>
      <c r="B5278" s="2" t="s">
        <v>30</v>
      </c>
      <c r="C5278" s="2" t="s">
        <v>15</v>
      </c>
      <c r="D5278" s="2" t="s">
        <v>36</v>
      </c>
      <c r="E5278">
        <v>5749</v>
      </c>
      <c r="F5278">
        <v>189</v>
      </c>
      <c r="G5278">
        <v>7</v>
      </c>
      <c r="H5278">
        <v>449.86</v>
      </c>
      <c r="I5278">
        <v>635.29999999999995</v>
      </c>
      <c r="J5278">
        <v>3.29</v>
      </c>
      <c r="K5278">
        <v>3.7</v>
      </c>
      <c r="L5278">
        <v>64.27</v>
      </c>
      <c r="M5278">
        <v>1.41</v>
      </c>
      <c r="N5278">
        <v>185.44</v>
      </c>
    </row>
    <row r="5279" spans="1:14" x14ac:dyDescent="0.2">
      <c r="A5279" s="1">
        <v>45913</v>
      </c>
      <c r="B5279" s="2" t="s">
        <v>31</v>
      </c>
      <c r="C5279" s="2" t="s">
        <v>21</v>
      </c>
      <c r="D5279" s="2" t="s">
        <v>16</v>
      </c>
      <c r="E5279">
        <v>12928</v>
      </c>
      <c r="F5279">
        <v>473</v>
      </c>
      <c r="G5279">
        <v>27</v>
      </c>
      <c r="H5279">
        <v>652.99</v>
      </c>
      <c r="I5279">
        <v>2867.95</v>
      </c>
      <c r="J5279">
        <v>3.66</v>
      </c>
      <c r="K5279">
        <v>5.71</v>
      </c>
      <c r="L5279">
        <v>24.18</v>
      </c>
      <c r="M5279">
        <v>4.3899999999999997</v>
      </c>
      <c r="N5279">
        <v>2214.96</v>
      </c>
    </row>
    <row r="5280" spans="1:14" x14ac:dyDescent="0.2">
      <c r="A5280" s="1">
        <v>45913</v>
      </c>
      <c r="B5280" s="2" t="s">
        <v>33</v>
      </c>
      <c r="C5280" s="2" t="s">
        <v>15</v>
      </c>
      <c r="D5280" s="2" t="s">
        <v>16</v>
      </c>
      <c r="E5280">
        <v>6785</v>
      </c>
      <c r="F5280">
        <v>326</v>
      </c>
      <c r="G5280">
        <v>32</v>
      </c>
      <c r="H5280">
        <v>393.02</v>
      </c>
      <c r="I5280">
        <v>4945.05</v>
      </c>
      <c r="J5280">
        <v>4.8</v>
      </c>
      <c r="K5280">
        <v>9.82</v>
      </c>
      <c r="L5280">
        <v>12.28</v>
      </c>
      <c r="M5280">
        <v>12.58</v>
      </c>
      <c r="N5280">
        <v>4552.03</v>
      </c>
    </row>
    <row r="5281" spans="1:14" x14ac:dyDescent="0.2">
      <c r="A5281" s="1">
        <v>45913</v>
      </c>
      <c r="B5281" s="2" t="s">
        <v>34</v>
      </c>
      <c r="C5281" s="2" t="s">
        <v>15</v>
      </c>
      <c r="D5281" s="2" t="s">
        <v>19</v>
      </c>
      <c r="E5281">
        <v>2767</v>
      </c>
      <c r="F5281">
        <v>189</v>
      </c>
      <c r="G5281">
        <v>28</v>
      </c>
      <c r="H5281">
        <v>64.819999999999993</v>
      </c>
      <c r="I5281">
        <v>4565.37</v>
      </c>
      <c r="J5281">
        <v>6.83</v>
      </c>
      <c r="K5281">
        <v>14.81</v>
      </c>
      <c r="L5281">
        <v>2.3199999999999998</v>
      </c>
      <c r="M5281">
        <v>70.430000000000007</v>
      </c>
      <c r="N5281">
        <v>4500.55</v>
      </c>
    </row>
    <row r="5282" spans="1:14" x14ac:dyDescent="0.2">
      <c r="A5282" s="1">
        <v>45914</v>
      </c>
      <c r="B5282" s="2" t="s">
        <v>14</v>
      </c>
      <c r="C5282" s="2" t="s">
        <v>21</v>
      </c>
      <c r="D5282" s="2" t="s">
        <v>36</v>
      </c>
      <c r="E5282">
        <v>8623</v>
      </c>
      <c r="F5282">
        <v>423</v>
      </c>
      <c r="G5282">
        <v>46</v>
      </c>
      <c r="H5282">
        <v>808.96</v>
      </c>
      <c r="I5282">
        <v>5372.2</v>
      </c>
      <c r="J5282">
        <v>4.91</v>
      </c>
      <c r="K5282">
        <v>10.87</v>
      </c>
      <c r="L5282">
        <v>17.59</v>
      </c>
      <c r="M5282">
        <v>6.64</v>
      </c>
      <c r="N5282">
        <v>4563.24</v>
      </c>
    </row>
    <row r="5283" spans="1:14" x14ac:dyDescent="0.2">
      <c r="A5283" s="1">
        <v>45914</v>
      </c>
      <c r="B5283" s="2" t="s">
        <v>17</v>
      </c>
      <c r="C5283" s="2" t="s">
        <v>35</v>
      </c>
      <c r="D5283" s="2" t="s">
        <v>22</v>
      </c>
      <c r="E5283">
        <v>10822</v>
      </c>
      <c r="F5283">
        <v>303</v>
      </c>
      <c r="G5283">
        <v>25</v>
      </c>
      <c r="H5283">
        <v>555.85</v>
      </c>
      <c r="I5283">
        <v>2810.26</v>
      </c>
      <c r="J5283">
        <v>2.8</v>
      </c>
      <c r="K5283">
        <v>8.25</v>
      </c>
      <c r="L5283">
        <v>22.23</v>
      </c>
      <c r="M5283">
        <v>5.0599999999999996</v>
      </c>
      <c r="N5283">
        <v>2254.41</v>
      </c>
    </row>
    <row r="5284" spans="1:14" x14ac:dyDescent="0.2">
      <c r="A5284" s="1">
        <v>45914</v>
      </c>
      <c r="B5284" s="2" t="s">
        <v>20</v>
      </c>
      <c r="C5284" s="2" t="s">
        <v>21</v>
      </c>
      <c r="D5284" s="2" t="s">
        <v>16</v>
      </c>
      <c r="E5284">
        <v>11261</v>
      </c>
      <c r="F5284">
        <v>468</v>
      </c>
      <c r="G5284">
        <v>25</v>
      </c>
      <c r="H5284">
        <v>691.32</v>
      </c>
      <c r="I5284">
        <v>2132.6799999999998</v>
      </c>
      <c r="J5284">
        <v>4.16</v>
      </c>
      <c r="K5284">
        <v>5.34</v>
      </c>
      <c r="L5284">
        <v>27.65</v>
      </c>
      <c r="M5284">
        <v>3.08</v>
      </c>
      <c r="N5284">
        <v>1441.36</v>
      </c>
    </row>
    <row r="5285" spans="1:14" x14ac:dyDescent="0.2">
      <c r="A5285" s="1">
        <v>45914</v>
      </c>
      <c r="B5285" s="2" t="s">
        <v>23</v>
      </c>
      <c r="C5285" s="2" t="s">
        <v>15</v>
      </c>
      <c r="D5285" s="2" t="s">
        <v>25</v>
      </c>
      <c r="E5285">
        <v>3263</v>
      </c>
      <c r="F5285">
        <v>77</v>
      </c>
      <c r="G5285">
        <v>10</v>
      </c>
      <c r="H5285">
        <v>1085.77</v>
      </c>
      <c r="I5285">
        <v>2348.6799999999998</v>
      </c>
      <c r="J5285">
        <v>2.36</v>
      </c>
      <c r="K5285">
        <v>12.99</v>
      </c>
      <c r="L5285">
        <v>108.58</v>
      </c>
      <c r="M5285">
        <v>2.16</v>
      </c>
      <c r="N5285">
        <v>1262.9100000000001</v>
      </c>
    </row>
    <row r="5286" spans="1:14" x14ac:dyDescent="0.2">
      <c r="A5286" s="1">
        <v>45914</v>
      </c>
      <c r="B5286" s="2" t="s">
        <v>24</v>
      </c>
      <c r="C5286" s="2" t="s">
        <v>21</v>
      </c>
      <c r="D5286" s="2" t="s">
        <v>36</v>
      </c>
      <c r="E5286">
        <v>16477</v>
      </c>
      <c r="F5286">
        <v>3431</v>
      </c>
      <c r="G5286">
        <v>450</v>
      </c>
      <c r="H5286">
        <v>176.52</v>
      </c>
      <c r="I5286">
        <v>70068.78</v>
      </c>
      <c r="J5286">
        <v>20.82</v>
      </c>
      <c r="K5286">
        <v>13.12</v>
      </c>
      <c r="L5286">
        <v>0.39</v>
      </c>
      <c r="M5286">
        <v>396.95</v>
      </c>
      <c r="N5286">
        <v>69892.259999999995</v>
      </c>
    </row>
    <row r="5287" spans="1:14" x14ac:dyDescent="0.2">
      <c r="A5287" s="1">
        <v>45914</v>
      </c>
      <c r="B5287" s="2" t="s">
        <v>26</v>
      </c>
      <c r="C5287" s="2" t="s">
        <v>15</v>
      </c>
      <c r="D5287" s="2" t="s">
        <v>16</v>
      </c>
      <c r="E5287">
        <v>24447</v>
      </c>
      <c r="F5287">
        <v>981</v>
      </c>
      <c r="G5287">
        <v>144</v>
      </c>
      <c r="H5287">
        <v>0</v>
      </c>
      <c r="I5287">
        <v>18651</v>
      </c>
      <c r="J5287">
        <v>4.01</v>
      </c>
      <c r="K5287">
        <v>14.68</v>
      </c>
      <c r="L5287">
        <v>0</v>
      </c>
      <c r="M5287">
        <v>0</v>
      </c>
      <c r="N5287">
        <v>18651</v>
      </c>
    </row>
    <row r="5288" spans="1:14" x14ac:dyDescent="0.2">
      <c r="A5288" s="1">
        <v>45914</v>
      </c>
      <c r="B5288" s="2" t="s">
        <v>27</v>
      </c>
      <c r="C5288" s="2" t="s">
        <v>15</v>
      </c>
      <c r="D5288" s="2" t="s">
        <v>25</v>
      </c>
      <c r="E5288">
        <v>21235</v>
      </c>
      <c r="F5288">
        <v>237</v>
      </c>
      <c r="G5288">
        <v>5</v>
      </c>
      <c r="H5288">
        <v>549.54</v>
      </c>
      <c r="I5288">
        <v>399.83</v>
      </c>
      <c r="J5288">
        <v>1.1200000000000001</v>
      </c>
      <c r="K5288">
        <v>2.11</v>
      </c>
      <c r="L5288">
        <v>109.91</v>
      </c>
      <c r="M5288">
        <v>0.73</v>
      </c>
      <c r="N5288">
        <v>-149.71</v>
      </c>
    </row>
    <row r="5289" spans="1:14" x14ac:dyDescent="0.2">
      <c r="A5289" s="1">
        <v>45914</v>
      </c>
      <c r="B5289" s="2" t="s">
        <v>29</v>
      </c>
      <c r="C5289" s="2" t="s">
        <v>15</v>
      </c>
      <c r="D5289" s="2" t="s">
        <v>16</v>
      </c>
      <c r="E5289">
        <v>10809</v>
      </c>
      <c r="F5289">
        <v>303</v>
      </c>
      <c r="G5289">
        <v>18</v>
      </c>
      <c r="H5289">
        <v>919.24</v>
      </c>
      <c r="I5289">
        <v>1920.85</v>
      </c>
      <c r="J5289">
        <v>2.8</v>
      </c>
      <c r="K5289">
        <v>5.94</v>
      </c>
      <c r="L5289">
        <v>51.07</v>
      </c>
      <c r="M5289">
        <v>2.09</v>
      </c>
      <c r="N5289">
        <v>1001.61</v>
      </c>
    </row>
    <row r="5290" spans="1:14" x14ac:dyDescent="0.2">
      <c r="A5290" s="1">
        <v>45914</v>
      </c>
      <c r="B5290" s="2" t="s">
        <v>30</v>
      </c>
      <c r="C5290" s="2" t="s">
        <v>28</v>
      </c>
      <c r="D5290" s="2" t="s">
        <v>19</v>
      </c>
      <c r="E5290">
        <v>7643</v>
      </c>
      <c r="F5290">
        <v>226</v>
      </c>
      <c r="G5290">
        <v>10</v>
      </c>
      <c r="H5290">
        <v>391.9</v>
      </c>
      <c r="I5290">
        <v>974.94</v>
      </c>
      <c r="J5290">
        <v>2.96</v>
      </c>
      <c r="K5290">
        <v>4.42</v>
      </c>
      <c r="L5290">
        <v>39.19</v>
      </c>
      <c r="M5290">
        <v>2.4900000000000002</v>
      </c>
      <c r="N5290">
        <v>583.04</v>
      </c>
    </row>
    <row r="5291" spans="1:14" x14ac:dyDescent="0.2">
      <c r="A5291" s="1">
        <v>45914</v>
      </c>
      <c r="B5291" s="2" t="s">
        <v>31</v>
      </c>
      <c r="C5291" s="2" t="s">
        <v>28</v>
      </c>
      <c r="D5291" s="2" t="s">
        <v>16</v>
      </c>
      <c r="E5291">
        <v>14392</v>
      </c>
      <c r="F5291">
        <v>501</v>
      </c>
      <c r="G5291">
        <v>20</v>
      </c>
      <c r="H5291">
        <v>585.98</v>
      </c>
      <c r="I5291">
        <v>2081.56</v>
      </c>
      <c r="J5291">
        <v>3.48</v>
      </c>
      <c r="K5291">
        <v>3.99</v>
      </c>
      <c r="L5291">
        <v>29.3</v>
      </c>
      <c r="M5291">
        <v>3.55</v>
      </c>
      <c r="N5291">
        <v>1495.58</v>
      </c>
    </row>
    <row r="5292" spans="1:14" x14ac:dyDescent="0.2">
      <c r="A5292" s="1">
        <v>45914</v>
      </c>
      <c r="B5292" s="2" t="s">
        <v>33</v>
      </c>
      <c r="C5292" s="2" t="s">
        <v>32</v>
      </c>
      <c r="D5292" s="2" t="s">
        <v>16</v>
      </c>
      <c r="E5292">
        <v>5136</v>
      </c>
      <c r="F5292">
        <v>292</v>
      </c>
      <c r="G5292">
        <v>26</v>
      </c>
      <c r="H5292">
        <v>350.17</v>
      </c>
      <c r="I5292">
        <v>2906.86</v>
      </c>
      <c r="J5292">
        <v>5.69</v>
      </c>
      <c r="K5292">
        <v>8.9</v>
      </c>
      <c r="L5292">
        <v>13.47</v>
      </c>
      <c r="M5292">
        <v>8.3000000000000007</v>
      </c>
      <c r="N5292">
        <v>2556.69</v>
      </c>
    </row>
    <row r="5293" spans="1:14" x14ac:dyDescent="0.2">
      <c r="A5293" s="1">
        <v>45914</v>
      </c>
      <c r="B5293" s="2" t="s">
        <v>34</v>
      </c>
      <c r="C5293" s="2" t="s">
        <v>18</v>
      </c>
      <c r="D5293" s="2" t="s">
        <v>36</v>
      </c>
      <c r="E5293">
        <v>4677</v>
      </c>
      <c r="F5293">
        <v>265</v>
      </c>
      <c r="G5293">
        <v>39</v>
      </c>
      <c r="H5293">
        <v>38.630000000000003</v>
      </c>
      <c r="I5293">
        <v>5525.26</v>
      </c>
      <c r="J5293">
        <v>5.67</v>
      </c>
      <c r="K5293">
        <v>14.72</v>
      </c>
      <c r="L5293">
        <v>0.99</v>
      </c>
      <c r="M5293">
        <v>143.03</v>
      </c>
      <c r="N5293">
        <v>5486.63</v>
      </c>
    </row>
    <row r="5294" spans="1:14" x14ac:dyDescent="0.2">
      <c r="A5294" s="1">
        <v>45915</v>
      </c>
      <c r="B5294" s="2" t="s">
        <v>14</v>
      </c>
      <c r="C5294" s="2" t="s">
        <v>21</v>
      </c>
      <c r="D5294" s="2" t="s">
        <v>22</v>
      </c>
      <c r="E5294">
        <v>13986</v>
      </c>
      <c r="F5294">
        <v>641</v>
      </c>
      <c r="G5294">
        <v>70</v>
      </c>
      <c r="H5294">
        <v>1102.7</v>
      </c>
      <c r="I5294">
        <v>9211.36</v>
      </c>
      <c r="J5294">
        <v>4.58</v>
      </c>
      <c r="K5294">
        <v>10.92</v>
      </c>
      <c r="L5294">
        <v>15.75</v>
      </c>
      <c r="M5294">
        <v>8.35</v>
      </c>
      <c r="N5294">
        <v>8108.66</v>
      </c>
    </row>
    <row r="5295" spans="1:14" x14ac:dyDescent="0.2">
      <c r="A5295" s="1">
        <v>45915</v>
      </c>
      <c r="B5295" s="2" t="s">
        <v>17</v>
      </c>
      <c r="C5295" s="2" t="s">
        <v>35</v>
      </c>
      <c r="D5295" s="2" t="s">
        <v>22</v>
      </c>
      <c r="E5295">
        <v>19402</v>
      </c>
      <c r="F5295">
        <v>723</v>
      </c>
      <c r="G5295">
        <v>42</v>
      </c>
      <c r="H5295">
        <v>817.83</v>
      </c>
      <c r="I5295">
        <v>3632.48</v>
      </c>
      <c r="J5295">
        <v>3.73</v>
      </c>
      <c r="K5295">
        <v>5.81</v>
      </c>
      <c r="L5295">
        <v>19.47</v>
      </c>
      <c r="M5295">
        <v>4.4400000000000004</v>
      </c>
      <c r="N5295">
        <v>2814.65</v>
      </c>
    </row>
    <row r="5296" spans="1:14" x14ac:dyDescent="0.2">
      <c r="A5296" s="1">
        <v>45915</v>
      </c>
      <c r="B5296" s="2" t="s">
        <v>20</v>
      </c>
      <c r="C5296" s="2" t="s">
        <v>21</v>
      </c>
      <c r="D5296" s="2" t="s">
        <v>16</v>
      </c>
      <c r="E5296">
        <v>17062</v>
      </c>
      <c r="F5296">
        <v>678</v>
      </c>
      <c r="G5296">
        <v>39</v>
      </c>
      <c r="H5296">
        <v>580.84</v>
      </c>
      <c r="I5296">
        <v>3469.57</v>
      </c>
      <c r="J5296">
        <v>3.97</v>
      </c>
      <c r="K5296">
        <v>5.75</v>
      </c>
      <c r="L5296">
        <v>14.89</v>
      </c>
      <c r="M5296">
        <v>5.97</v>
      </c>
      <c r="N5296">
        <v>2888.73</v>
      </c>
    </row>
    <row r="5297" spans="1:14" x14ac:dyDescent="0.2">
      <c r="A5297" s="1">
        <v>45915</v>
      </c>
      <c r="B5297" s="2" t="s">
        <v>23</v>
      </c>
      <c r="C5297" s="2" t="s">
        <v>18</v>
      </c>
      <c r="D5297" s="2" t="s">
        <v>36</v>
      </c>
      <c r="E5297">
        <v>5007</v>
      </c>
      <c r="F5297">
        <v>117</v>
      </c>
      <c r="G5297">
        <v>13</v>
      </c>
      <c r="H5297">
        <v>1626.7</v>
      </c>
      <c r="I5297">
        <v>2927.45</v>
      </c>
      <c r="J5297">
        <v>2.34</v>
      </c>
      <c r="K5297">
        <v>11.11</v>
      </c>
      <c r="L5297">
        <v>125.13</v>
      </c>
      <c r="M5297">
        <v>1.8</v>
      </c>
      <c r="N5297">
        <v>1300.75</v>
      </c>
    </row>
    <row r="5298" spans="1:14" x14ac:dyDescent="0.2">
      <c r="A5298" s="1">
        <v>45915</v>
      </c>
      <c r="B5298" s="2" t="s">
        <v>24</v>
      </c>
      <c r="C5298" s="2" t="s">
        <v>18</v>
      </c>
      <c r="D5298" s="2" t="s">
        <v>16</v>
      </c>
      <c r="E5298">
        <v>20990</v>
      </c>
      <c r="F5298">
        <v>4463</v>
      </c>
      <c r="G5298">
        <v>598</v>
      </c>
      <c r="H5298">
        <v>129.38999999999999</v>
      </c>
      <c r="I5298">
        <v>67807.38</v>
      </c>
      <c r="J5298">
        <v>21.26</v>
      </c>
      <c r="K5298">
        <v>13.4</v>
      </c>
      <c r="L5298">
        <v>0.22</v>
      </c>
      <c r="M5298">
        <v>524.04999999999995</v>
      </c>
      <c r="N5298">
        <v>67677.990000000005</v>
      </c>
    </row>
    <row r="5299" spans="1:14" x14ac:dyDescent="0.2">
      <c r="A5299" s="1">
        <v>45915</v>
      </c>
      <c r="B5299" s="2" t="s">
        <v>26</v>
      </c>
      <c r="C5299" s="2" t="s">
        <v>35</v>
      </c>
      <c r="D5299" s="2" t="s">
        <v>22</v>
      </c>
      <c r="E5299">
        <v>21920</v>
      </c>
      <c r="F5299">
        <v>1051</v>
      </c>
      <c r="G5299">
        <v>112</v>
      </c>
      <c r="H5299">
        <v>0</v>
      </c>
      <c r="I5299">
        <v>14125.26</v>
      </c>
      <c r="J5299">
        <v>4.79</v>
      </c>
      <c r="K5299">
        <v>10.66</v>
      </c>
      <c r="L5299">
        <v>0</v>
      </c>
      <c r="M5299">
        <v>0</v>
      </c>
      <c r="N5299">
        <v>14125.26</v>
      </c>
    </row>
    <row r="5300" spans="1:14" x14ac:dyDescent="0.2">
      <c r="A5300" s="1">
        <v>45915</v>
      </c>
      <c r="B5300" s="2" t="s">
        <v>27</v>
      </c>
      <c r="C5300" s="2" t="s">
        <v>15</v>
      </c>
      <c r="D5300" s="2" t="s">
        <v>16</v>
      </c>
      <c r="E5300">
        <v>32897</v>
      </c>
      <c r="F5300">
        <v>635</v>
      </c>
      <c r="G5300">
        <v>30</v>
      </c>
      <c r="H5300">
        <v>973.33</v>
      </c>
      <c r="I5300">
        <v>3563.35</v>
      </c>
      <c r="J5300">
        <v>1.93</v>
      </c>
      <c r="K5300">
        <v>4.72</v>
      </c>
      <c r="L5300">
        <v>32.44</v>
      </c>
      <c r="M5300">
        <v>3.66</v>
      </c>
      <c r="N5300">
        <v>2590.02</v>
      </c>
    </row>
    <row r="5301" spans="1:14" x14ac:dyDescent="0.2">
      <c r="A5301" s="1">
        <v>45915</v>
      </c>
      <c r="B5301" s="2" t="s">
        <v>29</v>
      </c>
      <c r="C5301" s="2" t="s">
        <v>21</v>
      </c>
      <c r="D5301" s="2" t="s">
        <v>16</v>
      </c>
      <c r="E5301">
        <v>18913</v>
      </c>
      <c r="F5301">
        <v>526</v>
      </c>
      <c r="G5301">
        <v>37</v>
      </c>
      <c r="H5301">
        <v>915.83</v>
      </c>
      <c r="I5301">
        <v>3846.72</v>
      </c>
      <c r="J5301">
        <v>2.78</v>
      </c>
      <c r="K5301">
        <v>7.03</v>
      </c>
      <c r="L5301">
        <v>24.75</v>
      </c>
      <c r="M5301">
        <v>4.2</v>
      </c>
      <c r="N5301">
        <v>2930.89</v>
      </c>
    </row>
    <row r="5302" spans="1:14" x14ac:dyDescent="0.2">
      <c r="A5302" s="1">
        <v>45915</v>
      </c>
      <c r="B5302" s="2" t="s">
        <v>30</v>
      </c>
      <c r="C5302" s="2" t="s">
        <v>15</v>
      </c>
      <c r="D5302" s="2" t="s">
        <v>22</v>
      </c>
      <c r="E5302">
        <v>8278</v>
      </c>
      <c r="F5302">
        <v>224</v>
      </c>
      <c r="G5302">
        <v>8</v>
      </c>
      <c r="H5302">
        <v>465.54</v>
      </c>
      <c r="I5302">
        <v>853.75</v>
      </c>
      <c r="J5302">
        <v>2.71</v>
      </c>
      <c r="K5302">
        <v>3.57</v>
      </c>
      <c r="L5302">
        <v>58.19</v>
      </c>
      <c r="M5302">
        <v>1.83</v>
      </c>
      <c r="N5302">
        <v>388.21</v>
      </c>
    </row>
    <row r="5303" spans="1:14" x14ac:dyDescent="0.2">
      <c r="A5303" s="1">
        <v>45915</v>
      </c>
      <c r="B5303" s="2" t="s">
        <v>31</v>
      </c>
      <c r="C5303" s="2" t="s">
        <v>15</v>
      </c>
      <c r="D5303" s="2" t="s">
        <v>22</v>
      </c>
      <c r="E5303">
        <v>21042</v>
      </c>
      <c r="F5303">
        <v>576</v>
      </c>
      <c r="G5303">
        <v>33</v>
      </c>
      <c r="H5303">
        <v>737.98</v>
      </c>
      <c r="I5303">
        <v>2571.98</v>
      </c>
      <c r="J5303">
        <v>2.74</v>
      </c>
      <c r="K5303">
        <v>5.73</v>
      </c>
      <c r="L5303">
        <v>22.36</v>
      </c>
      <c r="M5303">
        <v>3.49</v>
      </c>
      <c r="N5303">
        <v>1834</v>
      </c>
    </row>
    <row r="5304" spans="1:14" x14ac:dyDescent="0.2">
      <c r="A5304" s="1">
        <v>45915</v>
      </c>
      <c r="B5304" s="2" t="s">
        <v>33</v>
      </c>
      <c r="C5304" s="2" t="s">
        <v>18</v>
      </c>
      <c r="D5304" s="2" t="s">
        <v>36</v>
      </c>
      <c r="E5304">
        <v>8151</v>
      </c>
      <c r="F5304">
        <v>469</v>
      </c>
      <c r="G5304">
        <v>51</v>
      </c>
      <c r="H5304">
        <v>305.08</v>
      </c>
      <c r="I5304">
        <v>5738.96</v>
      </c>
      <c r="J5304">
        <v>5.75</v>
      </c>
      <c r="K5304">
        <v>10.87</v>
      </c>
      <c r="L5304">
        <v>5.98</v>
      </c>
      <c r="M5304">
        <v>18.809999999999999</v>
      </c>
      <c r="N5304">
        <v>5433.88</v>
      </c>
    </row>
    <row r="5305" spans="1:14" x14ac:dyDescent="0.2">
      <c r="A5305" s="1">
        <v>45915</v>
      </c>
      <c r="B5305" s="2" t="s">
        <v>34</v>
      </c>
      <c r="C5305" s="2" t="s">
        <v>32</v>
      </c>
      <c r="D5305" s="2" t="s">
        <v>16</v>
      </c>
      <c r="E5305">
        <v>6214</v>
      </c>
      <c r="F5305">
        <v>400</v>
      </c>
      <c r="G5305">
        <v>55</v>
      </c>
      <c r="H5305">
        <v>186.77</v>
      </c>
      <c r="I5305">
        <v>8234.7900000000009</v>
      </c>
      <c r="J5305">
        <v>6.44</v>
      </c>
      <c r="K5305">
        <v>13.75</v>
      </c>
      <c r="L5305">
        <v>3.4</v>
      </c>
      <c r="M5305">
        <v>44.09</v>
      </c>
      <c r="N5305">
        <v>8048.02</v>
      </c>
    </row>
    <row r="5306" spans="1:14" x14ac:dyDescent="0.2">
      <c r="A5306" s="1">
        <v>45916</v>
      </c>
      <c r="B5306" s="2" t="s">
        <v>14</v>
      </c>
      <c r="C5306" s="2" t="s">
        <v>35</v>
      </c>
      <c r="D5306" s="2" t="s">
        <v>19</v>
      </c>
      <c r="E5306">
        <v>11987</v>
      </c>
      <c r="F5306">
        <v>379</v>
      </c>
      <c r="G5306">
        <v>34</v>
      </c>
      <c r="H5306">
        <v>968.1</v>
      </c>
      <c r="I5306">
        <v>4503.62</v>
      </c>
      <c r="J5306">
        <v>3.16</v>
      </c>
      <c r="K5306">
        <v>8.9700000000000006</v>
      </c>
      <c r="L5306">
        <v>28.47</v>
      </c>
      <c r="M5306">
        <v>4.6500000000000004</v>
      </c>
      <c r="N5306">
        <v>3535.52</v>
      </c>
    </row>
    <row r="5307" spans="1:14" x14ac:dyDescent="0.2">
      <c r="A5307" s="1">
        <v>45916</v>
      </c>
      <c r="B5307" s="2" t="s">
        <v>17</v>
      </c>
      <c r="C5307" s="2" t="s">
        <v>32</v>
      </c>
      <c r="D5307" s="2" t="s">
        <v>22</v>
      </c>
      <c r="E5307">
        <v>19999</v>
      </c>
      <c r="F5307">
        <v>492</v>
      </c>
      <c r="G5307">
        <v>42</v>
      </c>
      <c r="H5307">
        <v>785.94</v>
      </c>
      <c r="I5307">
        <v>3965.53</v>
      </c>
      <c r="J5307">
        <v>2.46</v>
      </c>
      <c r="K5307">
        <v>8.5399999999999991</v>
      </c>
      <c r="L5307">
        <v>18.71</v>
      </c>
      <c r="M5307">
        <v>5.05</v>
      </c>
      <c r="N5307">
        <v>3179.59</v>
      </c>
    </row>
    <row r="5308" spans="1:14" x14ac:dyDescent="0.2">
      <c r="A5308" s="1">
        <v>45916</v>
      </c>
      <c r="B5308" s="2" t="s">
        <v>20</v>
      </c>
      <c r="C5308" s="2" t="s">
        <v>32</v>
      </c>
      <c r="D5308" s="2" t="s">
        <v>22</v>
      </c>
      <c r="E5308">
        <v>17462</v>
      </c>
      <c r="F5308">
        <v>574</v>
      </c>
      <c r="G5308">
        <v>45</v>
      </c>
      <c r="H5308">
        <v>701</v>
      </c>
      <c r="I5308">
        <v>4726.83</v>
      </c>
      <c r="J5308">
        <v>3.29</v>
      </c>
      <c r="K5308">
        <v>7.84</v>
      </c>
      <c r="L5308">
        <v>15.58</v>
      </c>
      <c r="M5308">
        <v>6.74</v>
      </c>
      <c r="N5308">
        <v>4025.83</v>
      </c>
    </row>
    <row r="5309" spans="1:14" x14ac:dyDescent="0.2">
      <c r="A5309" s="1">
        <v>45916</v>
      </c>
      <c r="B5309" s="2" t="s">
        <v>23</v>
      </c>
      <c r="C5309" s="2" t="s">
        <v>32</v>
      </c>
      <c r="D5309" s="2" t="s">
        <v>36</v>
      </c>
      <c r="E5309">
        <v>3818</v>
      </c>
      <c r="F5309">
        <v>94</v>
      </c>
      <c r="G5309">
        <v>9</v>
      </c>
      <c r="H5309">
        <v>1765.95</v>
      </c>
      <c r="I5309">
        <v>2076.7399999999998</v>
      </c>
      <c r="J5309">
        <v>2.46</v>
      </c>
      <c r="K5309">
        <v>9.57</v>
      </c>
      <c r="L5309">
        <v>196.22</v>
      </c>
      <c r="M5309">
        <v>1.18</v>
      </c>
      <c r="N5309">
        <v>310.79000000000002</v>
      </c>
    </row>
    <row r="5310" spans="1:14" x14ac:dyDescent="0.2">
      <c r="A5310" s="1">
        <v>45916</v>
      </c>
      <c r="B5310" s="2" t="s">
        <v>24</v>
      </c>
      <c r="C5310" s="2" t="s">
        <v>28</v>
      </c>
      <c r="D5310" s="2" t="s">
        <v>16</v>
      </c>
      <c r="E5310">
        <v>17326</v>
      </c>
      <c r="F5310">
        <v>3270</v>
      </c>
      <c r="G5310">
        <v>456</v>
      </c>
      <c r="H5310">
        <v>265.08999999999997</v>
      </c>
      <c r="I5310">
        <v>68011.14</v>
      </c>
      <c r="J5310">
        <v>18.87</v>
      </c>
      <c r="K5310">
        <v>13.94</v>
      </c>
      <c r="L5310">
        <v>0.57999999999999996</v>
      </c>
      <c r="M5310">
        <v>256.56</v>
      </c>
      <c r="N5310">
        <v>67746.05</v>
      </c>
    </row>
    <row r="5311" spans="1:14" x14ac:dyDescent="0.2">
      <c r="A5311" s="1">
        <v>45916</v>
      </c>
      <c r="B5311" s="2" t="s">
        <v>26</v>
      </c>
      <c r="C5311" s="2" t="s">
        <v>21</v>
      </c>
      <c r="D5311" s="2" t="s">
        <v>22</v>
      </c>
      <c r="E5311">
        <v>25044</v>
      </c>
      <c r="F5311">
        <v>1778</v>
      </c>
      <c r="G5311">
        <v>279</v>
      </c>
      <c r="H5311">
        <v>0</v>
      </c>
      <c r="I5311">
        <v>33900.230000000003</v>
      </c>
      <c r="J5311">
        <v>7.1</v>
      </c>
      <c r="K5311">
        <v>15.69</v>
      </c>
      <c r="L5311">
        <v>0</v>
      </c>
      <c r="M5311">
        <v>0</v>
      </c>
      <c r="N5311">
        <v>33900.230000000003</v>
      </c>
    </row>
    <row r="5312" spans="1:14" x14ac:dyDescent="0.2">
      <c r="A5312" s="1">
        <v>45916</v>
      </c>
      <c r="B5312" s="2" t="s">
        <v>27</v>
      </c>
      <c r="C5312" s="2" t="s">
        <v>18</v>
      </c>
      <c r="D5312" s="2" t="s">
        <v>19</v>
      </c>
      <c r="E5312">
        <v>30916</v>
      </c>
      <c r="F5312">
        <v>437</v>
      </c>
      <c r="G5312">
        <v>19</v>
      </c>
      <c r="H5312">
        <v>1261.44</v>
      </c>
      <c r="I5312">
        <v>1818.47</v>
      </c>
      <c r="J5312">
        <v>1.41</v>
      </c>
      <c r="K5312">
        <v>4.3499999999999996</v>
      </c>
      <c r="L5312">
        <v>66.39</v>
      </c>
      <c r="M5312">
        <v>1.44</v>
      </c>
      <c r="N5312">
        <v>557.03</v>
      </c>
    </row>
    <row r="5313" spans="1:14" x14ac:dyDescent="0.2">
      <c r="A5313" s="1">
        <v>45916</v>
      </c>
      <c r="B5313" s="2" t="s">
        <v>29</v>
      </c>
      <c r="C5313" s="2" t="s">
        <v>35</v>
      </c>
      <c r="D5313" s="2" t="s">
        <v>22</v>
      </c>
      <c r="E5313">
        <v>23595</v>
      </c>
      <c r="F5313">
        <v>535</v>
      </c>
      <c r="G5313">
        <v>36</v>
      </c>
      <c r="H5313">
        <v>1314.1</v>
      </c>
      <c r="I5313">
        <v>4975.17</v>
      </c>
      <c r="J5313">
        <v>2.27</v>
      </c>
      <c r="K5313">
        <v>6.73</v>
      </c>
      <c r="L5313">
        <v>36.5</v>
      </c>
      <c r="M5313">
        <v>3.79</v>
      </c>
      <c r="N5313">
        <v>3661.07</v>
      </c>
    </row>
    <row r="5314" spans="1:14" x14ac:dyDescent="0.2">
      <c r="A5314" s="1">
        <v>45916</v>
      </c>
      <c r="B5314" s="2" t="s">
        <v>30</v>
      </c>
      <c r="C5314" s="2" t="s">
        <v>18</v>
      </c>
      <c r="D5314" s="2" t="s">
        <v>36</v>
      </c>
      <c r="E5314">
        <v>10782</v>
      </c>
      <c r="F5314">
        <v>266</v>
      </c>
      <c r="G5314">
        <v>14</v>
      </c>
      <c r="H5314">
        <v>668.38</v>
      </c>
      <c r="I5314">
        <v>1347.06</v>
      </c>
      <c r="J5314">
        <v>2.4700000000000002</v>
      </c>
      <c r="K5314">
        <v>5.26</v>
      </c>
      <c r="L5314">
        <v>47.74</v>
      </c>
      <c r="M5314">
        <v>2.02</v>
      </c>
      <c r="N5314">
        <v>678.68</v>
      </c>
    </row>
    <row r="5315" spans="1:14" x14ac:dyDescent="0.2">
      <c r="A5315" s="1">
        <v>45916</v>
      </c>
      <c r="B5315" s="2" t="s">
        <v>31</v>
      </c>
      <c r="C5315" s="2" t="s">
        <v>15</v>
      </c>
      <c r="D5315" s="2" t="s">
        <v>19</v>
      </c>
      <c r="E5315">
        <v>27516</v>
      </c>
      <c r="F5315">
        <v>1163</v>
      </c>
      <c r="G5315">
        <v>38</v>
      </c>
      <c r="H5315">
        <v>728.79</v>
      </c>
      <c r="I5315">
        <v>3320.45</v>
      </c>
      <c r="J5315">
        <v>4.2300000000000004</v>
      </c>
      <c r="K5315">
        <v>3.27</v>
      </c>
      <c r="L5315">
        <v>19.18</v>
      </c>
      <c r="M5315">
        <v>4.5599999999999996</v>
      </c>
      <c r="N5315">
        <v>2591.66</v>
      </c>
    </row>
    <row r="5316" spans="1:14" x14ac:dyDescent="0.2">
      <c r="A5316" s="1">
        <v>45916</v>
      </c>
      <c r="B5316" s="2" t="s">
        <v>33</v>
      </c>
      <c r="C5316" s="2" t="s">
        <v>18</v>
      </c>
      <c r="D5316" s="2" t="s">
        <v>36</v>
      </c>
      <c r="E5316">
        <v>6153</v>
      </c>
      <c r="F5316">
        <v>263</v>
      </c>
      <c r="G5316">
        <v>30</v>
      </c>
      <c r="H5316">
        <v>572.33000000000004</v>
      </c>
      <c r="I5316">
        <v>3547.02</v>
      </c>
      <c r="J5316">
        <v>4.2699999999999996</v>
      </c>
      <c r="K5316">
        <v>11.41</v>
      </c>
      <c r="L5316">
        <v>19.079999999999998</v>
      </c>
      <c r="M5316">
        <v>6.2</v>
      </c>
      <c r="N5316">
        <v>2974.69</v>
      </c>
    </row>
    <row r="5317" spans="1:14" x14ac:dyDescent="0.2">
      <c r="A5317" s="1">
        <v>45916</v>
      </c>
      <c r="B5317" s="2" t="s">
        <v>34</v>
      </c>
      <c r="C5317" s="2" t="s">
        <v>21</v>
      </c>
      <c r="D5317" s="2" t="s">
        <v>36</v>
      </c>
      <c r="E5317">
        <v>5486</v>
      </c>
      <c r="F5317">
        <v>459</v>
      </c>
      <c r="G5317">
        <v>58</v>
      </c>
      <c r="H5317">
        <v>150.28</v>
      </c>
      <c r="I5317">
        <v>9962.18</v>
      </c>
      <c r="J5317">
        <v>8.3699999999999992</v>
      </c>
      <c r="K5317">
        <v>12.64</v>
      </c>
      <c r="L5317">
        <v>2.59</v>
      </c>
      <c r="M5317">
        <v>66.290000000000006</v>
      </c>
      <c r="N5317">
        <v>9811.9</v>
      </c>
    </row>
    <row r="5318" spans="1:14" x14ac:dyDescent="0.2">
      <c r="A5318" s="1">
        <v>45917</v>
      </c>
      <c r="B5318" s="2" t="s">
        <v>14</v>
      </c>
      <c r="C5318" s="2" t="s">
        <v>21</v>
      </c>
      <c r="D5318" s="2" t="s">
        <v>16</v>
      </c>
      <c r="E5318">
        <v>9776</v>
      </c>
      <c r="F5318">
        <v>310</v>
      </c>
      <c r="G5318">
        <v>30</v>
      </c>
      <c r="H5318">
        <v>829.79</v>
      </c>
      <c r="I5318">
        <v>3667.92</v>
      </c>
      <c r="J5318">
        <v>3.17</v>
      </c>
      <c r="K5318">
        <v>9.68</v>
      </c>
      <c r="L5318">
        <v>27.66</v>
      </c>
      <c r="M5318">
        <v>4.42</v>
      </c>
      <c r="N5318">
        <v>2838.13</v>
      </c>
    </row>
    <row r="5319" spans="1:14" x14ac:dyDescent="0.2">
      <c r="A5319" s="1">
        <v>45917</v>
      </c>
      <c r="B5319" s="2" t="s">
        <v>17</v>
      </c>
      <c r="C5319" s="2" t="s">
        <v>15</v>
      </c>
      <c r="D5319" s="2" t="s">
        <v>19</v>
      </c>
      <c r="E5319">
        <v>17704</v>
      </c>
      <c r="F5319">
        <v>692</v>
      </c>
      <c r="G5319">
        <v>40</v>
      </c>
      <c r="H5319">
        <v>602.64</v>
      </c>
      <c r="I5319">
        <v>4757.1000000000004</v>
      </c>
      <c r="J5319">
        <v>3.91</v>
      </c>
      <c r="K5319">
        <v>5.78</v>
      </c>
      <c r="L5319">
        <v>15.07</v>
      </c>
      <c r="M5319">
        <v>7.89</v>
      </c>
      <c r="N5319">
        <v>4154.46</v>
      </c>
    </row>
    <row r="5320" spans="1:14" x14ac:dyDescent="0.2">
      <c r="A5320" s="1">
        <v>45917</v>
      </c>
      <c r="B5320" s="2" t="s">
        <v>20</v>
      </c>
      <c r="C5320" s="2" t="s">
        <v>15</v>
      </c>
      <c r="D5320" s="2" t="s">
        <v>25</v>
      </c>
      <c r="E5320">
        <v>13738</v>
      </c>
      <c r="F5320">
        <v>606</v>
      </c>
      <c r="G5320">
        <v>25</v>
      </c>
      <c r="H5320">
        <v>930.16</v>
      </c>
      <c r="I5320">
        <v>2612.41</v>
      </c>
      <c r="J5320">
        <v>4.41</v>
      </c>
      <c r="K5320">
        <v>4.13</v>
      </c>
      <c r="L5320">
        <v>37.21</v>
      </c>
      <c r="M5320">
        <v>2.81</v>
      </c>
      <c r="N5320">
        <v>1682.25</v>
      </c>
    </row>
    <row r="5321" spans="1:14" x14ac:dyDescent="0.2">
      <c r="A5321" s="1">
        <v>45917</v>
      </c>
      <c r="B5321" s="2" t="s">
        <v>23</v>
      </c>
      <c r="C5321" s="2" t="s">
        <v>35</v>
      </c>
      <c r="D5321" s="2" t="s">
        <v>16</v>
      </c>
      <c r="E5321">
        <v>5172</v>
      </c>
      <c r="F5321">
        <v>123</v>
      </c>
      <c r="G5321">
        <v>16</v>
      </c>
      <c r="H5321">
        <v>1369.4</v>
      </c>
      <c r="I5321">
        <v>3680.55</v>
      </c>
      <c r="J5321">
        <v>2.38</v>
      </c>
      <c r="K5321">
        <v>13.01</v>
      </c>
      <c r="L5321">
        <v>85.59</v>
      </c>
      <c r="M5321">
        <v>2.69</v>
      </c>
      <c r="N5321">
        <v>2311.15</v>
      </c>
    </row>
    <row r="5322" spans="1:14" x14ac:dyDescent="0.2">
      <c r="A5322" s="1">
        <v>45917</v>
      </c>
      <c r="B5322" s="2" t="s">
        <v>24</v>
      </c>
      <c r="C5322" s="2" t="s">
        <v>18</v>
      </c>
      <c r="D5322" s="2" t="s">
        <v>22</v>
      </c>
      <c r="E5322">
        <v>22818</v>
      </c>
      <c r="F5322">
        <v>4370</v>
      </c>
      <c r="G5322">
        <v>555</v>
      </c>
      <c r="H5322">
        <v>176.19</v>
      </c>
      <c r="I5322">
        <v>80984.899999999994</v>
      </c>
      <c r="J5322">
        <v>19.149999999999999</v>
      </c>
      <c r="K5322">
        <v>12.7</v>
      </c>
      <c r="L5322">
        <v>0.32</v>
      </c>
      <c r="M5322">
        <v>459.65</v>
      </c>
      <c r="N5322">
        <v>80808.710000000006</v>
      </c>
    </row>
    <row r="5323" spans="1:14" x14ac:dyDescent="0.2">
      <c r="A5323" s="1">
        <v>45917</v>
      </c>
      <c r="B5323" s="2" t="s">
        <v>26</v>
      </c>
      <c r="C5323" s="2" t="s">
        <v>28</v>
      </c>
      <c r="D5323" s="2" t="s">
        <v>19</v>
      </c>
      <c r="E5323">
        <v>28822</v>
      </c>
      <c r="F5323">
        <v>1257</v>
      </c>
      <c r="G5323">
        <v>146</v>
      </c>
      <c r="H5323">
        <v>0</v>
      </c>
      <c r="I5323">
        <v>16385.23</v>
      </c>
      <c r="J5323">
        <v>4.3600000000000003</v>
      </c>
      <c r="K5323">
        <v>11.61</v>
      </c>
      <c r="L5323">
        <v>0</v>
      </c>
      <c r="M5323">
        <v>0</v>
      </c>
      <c r="N5323">
        <v>16385.23</v>
      </c>
    </row>
    <row r="5324" spans="1:14" x14ac:dyDescent="0.2">
      <c r="A5324" s="1">
        <v>45917</v>
      </c>
      <c r="B5324" s="2" t="s">
        <v>27</v>
      </c>
      <c r="C5324" s="2" t="s">
        <v>32</v>
      </c>
      <c r="D5324" s="2" t="s">
        <v>36</v>
      </c>
      <c r="E5324">
        <v>28065</v>
      </c>
      <c r="F5324">
        <v>497</v>
      </c>
      <c r="G5324">
        <v>22</v>
      </c>
      <c r="H5324">
        <v>859.64</v>
      </c>
      <c r="I5324">
        <v>2351.4899999999998</v>
      </c>
      <c r="J5324">
        <v>1.77</v>
      </c>
      <c r="K5324">
        <v>4.43</v>
      </c>
      <c r="L5324">
        <v>39.07</v>
      </c>
      <c r="M5324">
        <v>2.74</v>
      </c>
      <c r="N5324">
        <v>1491.85</v>
      </c>
    </row>
    <row r="5325" spans="1:14" x14ac:dyDescent="0.2">
      <c r="A5325" s="1">
        <v>45917</v>
      </c>
      <c r="B5325" s="2" t="s">
        <v>29</v>
      </c>
      <c r="C5325" s="2" t="s">
        <v>18</v>
      </c>
      <c r="D5325" s="2" t="s">
        <v>25</v>
      </c>
      <c r="E5325">
        <v>18703</v>
      </c>
      <c r="F5325">
        <v>400</v>
      </c>
      <c r="G5325">
        <v>20</v>
      </c>
      <c r="H5325">
        <v>878.47</v>
      </c>
      <c r="I5325">
        <v>2404.0700000000002</v>
      </c>
      <c r="J5325">
        <v>2.14</v>
      </c>
      <c r="K5325">
        <v>5</v>
      </c>
      <c r="L5325">
        <v>43.92</v>
      </c>
      <c r="M5325">
        <v>2.74</v>
      </c>
      <c r="N5325">
        <v>1525.6</v>
      </c>
    </row>
    <row r="5326" spans="1:14" x14ac:dyDescent="0.2">
      <c r="A5326" s="1">
        <v>45917</v>
      </c>
      <c r="B5326" s="2" t="s">
        <v>30</v>
      </c>
      <c r="C5326" s="2" t="s">
        <v>32</v>
      </c>
      <c r="D5326" s="2" t="s">
        <v>22</v>
      </c>
      <c r="E5326">
        <v>11359</v>
      </c>
      <c r="F5326">
        <v>290</v>
      </c>
      <c r="G5326">
        <v>9</v>
      </c>
      <c r="H5326">
        <v>716.12</v>
      </c>
      <c r="I5326">
        <v>786.12</v>
      </c>
      <c r="J5326">
        <v>2.5499999999999998</v>
      </c>
      <c r="K5326">
        <v>3.1</v>
      </c>
      <c r="L5326">
        <v>79.569999999999993</v>
      </c>
      <c r="M5326">
        <v>1.1000000000000001</v>
      </c>
      <c r="N5326">
        <v>70</v>
      </c>
    </row>
    <row r="5327" spans="1:14" x14ac:dyDescent="0.2">
      <c r="A5327" s="1">
        <v>45917</v>
      </c>
      <c r="B5327" s="2" t="s">
        <v>31</v>
      </c>
      <c r="C5327" s="2" t="s">
        <v>35</v>
      </c>
      <c r="D5327" s="2" t="s">
        <v>16</v>
      </c>
      <c r="E5327">
        <v>25540</v>
      </c>
      <c r="F5327">
        <v>678</v>
      </c>
      <c r="G5327">
        <v>44</v>
      </c>
      <c r="H5327">
        <v>626.71</v>
      </c>
      <c r="I5327">
        <v>4400.57</v>
      </c>
      <c r="J5327">
        <v>2.65</v>
      </c>
      <c r="K5327">
        <v>6.49</v>
      </c>
      <c r="L5327">
        <v>14.24</v>
      </c>
      <c r="M5327">
        <v>7.02</v>
      </c>
      <c r="N5327">
        <v>3773.86</v>
      </c>
    </row>
    <row r="5328" spans="1:14" x14ac:dyDescent="0.2">
      <c r="A5328" s="1">
        <v>45917</v>
      </c>
      <c r="B5328" s="2" t="s">
        <v>33</v>
      </c>
      <c r="C5328" s="2" t="s">
        <v>32</v>
      </c>
      <c r="D5328" s="2" t="s">
        <v>19</v>
      </c>
      <c r="E5328">
        <v>8008</v>
      </c>
      <c r="F5328">
        <v>348</v>
      </c>
      <c r="G5328">
        <v>38</v>
      </c>
      <c r="H5328">
        <v>370.56</v>
      </c>
      <c r="I5328">
        <v>4872.4399999999996</v>
      </c>
      <c r="J5328">
        <v>4.3499999999999996</v>
      </c>
      <c r="K5328">
        <v>10.92</v>
      </c>
      <c r="L5328">
        <v>9.75</v>
      </c>
      <c r="M5328">
        <v>13.15</v>
      </c>
      <c r="N5328">
        <v>4501.88</v>
      </c>
    </row>
    <row r="5329" spans="1:14" x14ac:dyDescent="0.2">
      <c r="A5329" s="1">
        <v>45917</v>
      </c>
      <c r="B5329" s="2" t="s">
        <v>34</v>
      </c>
      <c r="C5329" s="2" t="s">
        <v>15</v>
      </c>
      <c r="D5329" s="2" t="s">
        <v>36</v>
      </c>
      <c r="E5329">
        <v>6035</v>
      </c>
      <c r="F5329">
        <v>455</v>
      </c>
      <c r="G5329">
        <v>69</v>
      </c>
      <c r="H5329">
        <v>100.56</v>
      </c>
      <c r="I5329">
        <v>9634.35</v>
      </c>
      <c r="J5329">
        <v>7.54</v>
      </c>
      <c r="K5329">
        <v>15.16</v>
      </c>
      <c r="L5329">
        <v>1.46</v>
      </c>
      <c r="M5329">
        <v>95.81</v>
      </c>
      <c r="N5329">
        <v>9533.7900000000009</v>
      </c>
    </row>
    <row r="5330" spans="1:14" x14ac:dyDescent="0.2">
      <c r="A5330" s="1">
        <v>45918</v>
      </c>
      <c r="B5330" s="2" t="s">
        <v>14</v>
      </c>
      <c r="C5330" s="2" t="s">
        <v>15</v>
      </c>
      <c r="D5330" s="2" t="s">
        <v>22</v>
      </c>
      <c r="E5330">
        <v>14964</v>
      </c>
      <c r="F5330">
        <v>538</v>
      </c>
      <c r="G5330">
        <v>61</v>
      </c>
      <c r="H5330">
        <v>842.15</v>
      </c>
      <c r="I5330">
        <v>8343.56</v>
      </c>
      <c r="J5330">
        <v>3.6</v>
      </c>
      <c r="K5330">
        <v>11.34</v>
      </c>
      <c r="L5330">
        <v>13.81</v>
      </c>
      <c r="M5330">
        <v>9.91</v>
      </c>
      <c r="N5330">
        <v>7501.41</v>
      </c>
    </row>
    <row r="5331" spans="1:14" x14ac:dyDescent="0.2">
      <c r="A5331" s="1">
        <v>45918</v>
      </c>
      <c r="B5331" s="2" t="s">
        <v>17</v>
      </c>
      <c r="C5331" s="2" t="s">
        <v>35</v>
      </c>
      <c r="D5331" s="2" t="s">
        <v>22</v>
      </c>
      <c r="E5331">
        <v>12826</v>
      </c>
      <c r="F5331">
        <v>440</v>
      </c>
      <c r="G5331">
        <v>39</v>
      </c>
      <c r="H5331">
        <v>766.17</v>
      </c>
      <c r="I5331">
        <v>4180.22</v>
      </c>
      <c r="J5331">
        <v>3.43</v>
      </c>
      <c r="K5331">
        <v>8.86</v>
      </c>
      <c r="L5331">
        <v>19.649999999999999</v>
      </c>
      <c r="M5331">
        <v>5.46</v>
      </c>
      <c r="N5331">
        <v>3414.05</v>
      </c>
    </row>
    <row r="5332" spans="1:14" x14ac:dyDescent="0.2">
      <c r="A5332" s="1">
        <v>45918</v>
      </c>
      <c r="B5332" s="2" t="s">
        <v>20</v>
      </c>
      <c r="C5332" s="2" t="s">
        <v>15</v>
      </c>
      <c r="D5332" s="2" t="s">
        <v>19</v>
      </c>
      <c r="E5332">
        <v>11443</v>
      </c>
      <c r="F5332">
        <v>409</v>
      </c>
      <c r="G5332">
        <v>30</v>
      </c>
      <c r="H5332">
        <v>918.2</v>
      </c>
      <c r="I5332">
        <v>2490.2399999999998</v>
      </c>
      <c r="J5332">
        <v>3.57</v>
      </c>
      <c r="K5332">
        <v>7.33</v>
      </c>
      <c r="L5332">
        <v>30.61</v>
      </c>
      <c r="M5332">
        <v>2.71</v>
      </c>
      <c r="N5332">
        <v>1572.04</v>
      </c>
    </row>
    <row r="5333" spans="1:14" x14ac:dyDescent="0.2">
      <c r="A5333" s="1">
        <v>45918</v>
      </c>
      <c r="B5333" s="2" t="s">
        <v>23</v>
      </c>
      <c r="C5333" s="2" t="s">
        <v>15</v>
      </c>
      <c r="D5333" s="2" t="s">
        <v>36</v>
      </c>
      <c r="E5333">
        <v>3579</v>
      </c>
      <c r="F5333">
        <v>53</v>
      </c>
      <c r="G5333">
        <v>6</v>
      </c>
      <c r="H5333">
        <v>1259.76</v>
      </c>
      <c r="I5333">
        <v>1373.04</v>
      </c>
      <c r="J5333">
        <v>1.48</v>
      </c>
      <c r="K5333">
        <v>11.32</v>
      </c>
      <c r="L5333">
        <v>209.96</v>
      </c>
      <c r="M5333">
        <v>1.0900000000000001</v>
      </c>
      <c r="N5333">
        <v>113.28</v>
      </c>
    </row>
    <row r="5334" spans="1:14" x14ac:dyDescent="0.2">
      <c r="A5334" s="1">
        <v>45918</v>
      </c>
      <c r="B5334" s="2" t="s">
        <v>24</v>
      </c>
      <c r="C5334" s="2" t="s">
        <v>18</v>
      </c>
      <c r="D5334" s="2" t="s">
        <v>19</v>
      </c>
      <c r="E5334">
        <v>21291</v>
      </c>
      <c r="F5334">
        <v>5027</v>
      </c>
      <c r="G5334">
        <v>404</v>
      </c>
      <c r="H5334">
        <v>152.91999999999999</v>
      </c>
      <c r="I5334">
        <v>49481.43</v>
      </c>
      <c r="J5334">
        <v>23.61</v>
      </c>
      <c r="K5334">
        <v>8.0399999999999991</v>
      </c>
      <c r="L5334">
        <v>0.38</v>
      </c>
      <c r="M5334">
        <v>323.58</v>
      </c>
      <c r="N5334">
        <v>49328.51</v>
      </c>
    </row>
    <row r="5335" spans="1:14" x14ac:dyDescent="0.2">
      <c r="A5335" s="1">
        <v>45918</v>
      </c>
      <c r="B5335" s="2" t="s">
        <v>26</v>
      </c>
      <c r="C5335" s="2" t="s">
        <v>18</v>
      </c>
      <c r="D5335" s="2" t="s">
        <v>25</v>
      </c>
      <c r="E5335">
        <v>27150</v>
      </c>
      <c r="F5335">
        <v>1621</v>
      </c>
      <c r="G5335">
        <v>219</v>
      </c>
      <c r="H5335">
        <v>0</v>
      </c>
      <c r="I5335">
        <v>30494.37</v>
      </c>
      <c r="J5335">
        <v>5.97</v>
      </c>
      <c r="K5335">
        <v>13.51</v>
      </c>
      <c r="L5335">
        <v>0</v>
      </c>
      <c r="M5335">
        <v>0</v>
      </c>
      <c r="N5335">
        <v>30494.37</v>
      </c>
    </row>
    <row r="5336" spans="1:14" x14ac:dyDescent="0.2">
      <c r="A5336" s="1">
        <v>45918</v>
      </c>
      <c r="B5336" s="2" t="s">
        <v>27</v>
      </c>
      <c r="C5336" s="2" t="s">
        <v>32</v>
      </c>
      <c r="D5336" s="2" t="s">
        <v>36</v>
      </c>
      <c r="E5336">
        <v>32018</v>
      </c>
      <c r="F5336">
        <v>631</v>
      </c>
      <c r="G5336">
        <v>14</v>
      </c>
      <c r="H5336">
        <v>1276.31</v>
      </c>
      <c r="I5336">
        <v>1592.65</v>
      </c>
      <c r="J5336">
        <v>1.97</v>
      </c>
      <c r="K5336">
        <v>2.2200000000000002</v>
      </c>
      <c r="L5336">
        <v>91.16</v>
      </c>
      <c r="M5336">
        <v>1.25</v>
      </c>
      <c r="N5336">
        <v>316.33999999999997</v>
      </c>
    </row>
    <row r="5337" spans="1:14" x14ac:dyDescent="0.2">
      <c r="A5337" s="1">
        <v>45918</v>
      </c>
      <c r="B5337" s="2" t="s">
        <v>29</v>
      </c>
      <c r="C5337" s="2" t="s">
        <v>28</v>
      </c>
      <c r="D5337" s="2" t="s">
        <v>25</v>
      </c>
      <c r="E5337">
        <v>18396</v>
      </c>
      <c r="F5337">
        <v>549</v>
      </c>
      <c r="G5337">
        <v>23</v>
      </c>
      <c r="H5337">
        <v>1022.62</v>
      </c>
      <c r="I5337">
        <v>2405.4699999999998</v>
      </c>
      <c r="J5337">
        <v>2.98</v>
      </c>
      <c r="K5337">
        <v>4.1900000000000004</v>
      </c>
      <c r="L5337">
        <v>44.46</v>
      </c>
      <c r="M5337">
        <v>2.35</v>
      </c>
      <c r="N5337">
        <v>1382.85</v>
      </c>
    </row>
    <row r="5338" spans="1:14" x14ac:dyDescent="0.2">
      <c r="A5338" s="1">
        <v>45918</v>
      </c>
      <c r="B5338" s="2" t="s">
        <v>30</v>
      </c>
      <c r="C5338" s="2" t="s">
        <v>15</v>
      </c>
      <c r="D5338" s="2" t="s">
        <v>22</v>
      </c>
      <c r="E5338">
        <v>12869</v>
      </c>
      <c r="F5338">
        <v>292</v>
      </c>
      <c r="G5338">
        <v>10</v>
      </c>
      <c r="H5338">
        <v>477.32</v>
      </c>
      <c r="I5338">
        <v>848.76</v>
      </c>
      <c r="J5338">
        <v>2.27</v>
      </c>
      <c r="K5338">
        <v>3.42</v>
      </c>
      <c r="L5338">
        <v>47.73</v>
      </c>
      <c r="M5338">
        <v>1.78</v>
      </c>
      <c r="N5338">
        <v>371.44</v>
      </c>
    </row>
    <row r="5339" spans="1:14" x14ac:dyDescent="0.2">
      <c r="A5339" s="1">
        <v>45918</v>
      </c>
      <c r="B5339" s="2" t="s">
        <v>31</v>
      </c>
      <c r="C5339" s="2" t="s">
        <v>32</v>
      </c>
      <c r="D5339" s="2" t="s">
        <v>25</v>
      </c>
      <c r="E5339">
        <v>18160</v>
      </c>
      <c r="F5339">
        <v>762</v>
      </c>
      <c r="G5339">
        <v>39</v>
      </c>
      <c r="H5339">
        <v>863.4</v>
      </c>
      <c r="I5339">
        <v>3982.52</v>
      </c>
      <c r="J5339">
        <v>4.2</v>
      </c>
      <c r="K5339">
        <v>5.12</v>
      </c>
      <c r="L5339">
        <v>22.14</v>
      </c>
      <c r="M5339">
        <v>4.6100000000000003</v>
      </c>
      <c r="N5339">
        <v>3119.12</v>
      </c>
    </row>
    <row r="5340" spans="1:14" x14ac:dyDescent="0.2">
      <c r="A5340" s="1">
        <v>45918</v>
      </c>
      <c r="B5340" s="2" t="s">
        <v>33</v>
      </c>
      <c r="C5340" s="2" t="s">
        <v>15</v>
      </c>
      <c r="D5340" s="2" t="s">
        <v>16</v>
      </c>
      <c r="E5340">
        <v>5624</v>
      </c>
      <c r="F5340">
        <v>365</v>
      </c>
      <c r="G5340">
        <v>40</v>
      </c>
      <c r="H5340">
        <v>510.44</v>
      </c>
      <c r="I5340">
        <v>5116.5200000000004</v>
      </c>
      <c r="J5340">
        <v>6.49</v>
      </c>
      <c r="K5340">
        <v>10.96</v>
      </c>
      <c r="L5340">
        <v>12.76</v>
      </c>
      <c r="M5340">
        <v>10.02</v>
      </c>
      <c r="N5340">
        <v>4606.08</v>
      </c>
    </row>
    <row r="5341" spans="1:14" x14ac:dyDescent="0.2">
      <c r="A5341" s="1">
        <v>45918</v>
      </c>
      <c r="B5341" s="2" t="s">
        <v>34</v>
      </c>
      <c r="C5341" s="2" t="s">
        <v>21</v>
      </c>
      <c r="D5341" s="2" t="s">
        <v>16</v>
      </c>
      <c r="E5341">
        <v>6792</v>
      </c>
      <c r="F5341">
        <v>669</v>
      </c>
      <c r="G5341">
        <v>117</v>
      </c>
      <c r="H5341">
        <v>159.4</v>
      </c>
      <c r="I5341">
        <v>16078.13</v>
      </c>
      <c r="J5341">
        <v>9.85</v>
      </c>
      <c r="K5341">
        <v>17.489999999999998</v>
      </c>
      <c r="L5341">
        <v>1.36</v>
      </c>
      <c r="M5341">
        <v>100.87</v>
      </c>
      <c r="N5341">
        <v>15918.73</v>
      </c>
    </row>
    <row r="5342" spans="1:14" x14ac:dyDescent="0.2">
      <c r="A5342" s="1">
        <v>45919</v>
      </c>
      <c r="B5342" s="2" t="s">
        <v>14</v>
      </c>
      <c r="C5342" s="2" t="s">
        <v>32</v>
      </c>
      <c r="D5342" s="2" t="s">
        <v>16</v>
      </c>
      <c r="E5342">
        <v>13125</v>
      </c>
      <c r="F5342">
        <v>422</v>
      </c>
      <c r="G5342">
        <v>43</v>
      </c>
      <c r="H5342">
        <v>985.33</v>
      </c>
      <c r="I5342">
        <v>6868.23</v>
      </c>
      <c r="J5342">
        <v>3.22</v>
      </c>
      <c r="K5342">
        <v>10.19</v>
      </c>
      <c r="L5342">
        <v>22.91</v>
      </c>
      <c r="M5342">
        <v>6.97</v>
      </c>
      <c r="N5342">
        <v>5882.9</v>
      </c>
    </row>
    <row r="5343" spans="1:14" x14ac:dyDescent="0.2">
      <c r="A5343" s="1">
        <v>45919</v>
      </c>
      <c r="B5343" s="2" t="s">
        <v>17</v>
      </c>
      <c r="C5343" s="2" t="s">
        <v>35</v>
      </c>
      <c r="D5343" s="2" t="s">
        <v>22</v>
      </c>
      <c r="E5343">
        <v>14741</v>
      </c>
      <c r="F5343">
        <v>466</v>
      </c>
      <c r="G5343">
        <v>40</v>
      </c>
      <c r="H5343">
        <v>1011.38</v>
      </c>
      <c r="I5343">
        <v>4945.18</v>
      </c>
      <c r="J5343">
        <v>3.16</v>
      </c>
      <c r="K5343">
        <v>8.58</v>
      </c>
      <c r="L5343">
        <v>25.28</v>
      </c>
      <c r="M5343">
        <v>4.8899999999999997</v>
      </c>
      <c r="N5343">
        <v>3933.8</v>
      </c>
    </row>
    <row r="5344" spans="1:14" x14ac:dyDescent="0.2">
      <c r="A5344" s="1">
        <v>45919</v>
      </c>
      <c r="B5344" s="2" t="s">
        <v>20</v>
      </c>
      <c r="C5344" s="2" t="s">
        <v>15</v>
      </c>
      <c r="D5344" s="2" t="s">
        <v>36</v>
      </c>
      <c r="E5344">
        <v>11920</v>
      </c>
      <c r="F5344">
        <v>358</v>
      </c>
      <c r="G5344">
        <v>24</v>
      </c>
      <c r="H5344">
        <v>635.30999999999995</v>
      </c>
      <c r="I5344">
        <v>2971.48</v>
      </c>
      <c r="J5344">
        <v>3</v>
      </c>
      <c r="K5344">
        <v>6.7</v>
      </c>
      <c r="L5344">
        <v>26.47</v>
      </c>
      <c r="M5344">
        <v>4.68</v>
      </c>
      <c r="N5344">
        <v>2336.17</v>
      </c>
    </row>
    <row r="5345" spans="1:14" x14ac:dyDescent="0.2">
      <c r="A5345" s="1">
        <v>45919</v>
      </c>
      <c r="B5345" s="2" t="s">
        <v>23</v>
      </c>
      <c r="C5345" s="2" t="s">
        <v>21</v>
      </c>
      <c r="D5345" s="2" t="s">
        <v>25</v>
      </c>
      <c r="E5345">
        <v>5972</v>
      </c>
      <c r="F5345">
        <v>148</v>
      </c>
      <c r="G5345">
        <v>16</v>
      </c>
      <c r="H5345">
        <v>1535.09</v>
      </c>
      <c r="I5345">
        <v>4174.6899999999996</v>
      </c>
      <c r="J5345">
        <v>2.48</v>
      </c>
      <c r="K5345">
        <v>10.81</v>
      </c>
      <c r="L5345">
        <v>95.94</v>
      </c>
      <c r="M5345">
        <v>2.72</v>
      </c>
      <c r="N5345">
        <v>2639.6</v>
      </c>
    </row>
    <row r="5346" spans="1:14" x14ac:dyDescent="0.2">
      <c r="A5346" s="1">
        <v>45919</v>
      </c>
      <c r="B5346" s="2" t="s">
        <v>24</v>
      </c>
      <c r="C5346" s="2" t="s">
        <v>18</v>
      </c>
      <c r="D5346" s="2" t="s">
        <v>16</v>
      </c>
      <c r="E5346">
        <v>21818</v>
      </c>
      <c r="F5346">
        <v>3564</v>
      </c>
      <c r="G5346">
        <v>313</v>
      </c>
      <c r="H5346">
        <v>261.7</v>
      </c>
      <c r="I5346">
        <v>50247.81</v>
      </c>
      <c r="J5346">
        <v>16.34</v>
      </c>
      <c r="K5346">
        <v>8.7799999999999994</v>
      </c>
      <c r="L5346">
        <v>0.84</v>
      </c>
      <c r="M5346">
        <v>192.01</v>
      </c>
      <c r="N5346">
        <v>49986.11</v>
      </c>
    </row>
    <row r="5347" spans="1:14" x14ac:dyDescent="0.2">
      <c r="A5347" s="1">
        <v>45919</v>
      </c>
      <c r="B5347" s="2" t="s">
        <v>26</v>
      </c>
      <c r="C5347" s="2" t="s">
        <v>21</v>
      </c>
      <c r="D5347" s="2" t="s">
        <v>19</v>
      </c>
      <c r="E5347">
        <v>20779</v>
      </c>
      <c r="F5347">
        <v>1639</v>
      </c>
      <c r="G5347">
        <v>219</v>
      </c>
      <c r="H5347">
        <v>0</v>
      </c>
      <c r="I5347">
        <v>22122.400000000001</v>
      </c>
      <c r="J5347">
        <v>7.89</v>
      </c>
      <c r="K5347">
        <v>13.36</v>
      </c>
      <c r="L5347">
        <v>0</v>
      </c>
      <c r="M5347">
        <v>0</v>
      </c>
      <c r="N5347">
        <v>22122.400000000001</v>
      </c>
    </row>
    <row r="5348" spans="1:14" x14ac:dyDescent="0.2">
      <c r="A5348" s="1">
        <v>45919</v>
      </c>
      <c r="B5348" s="2" t="s">
        <v>27</v>
      </c>
      <c r="C5348" s="2" t="s">
        <v>28</v>
      </c>
      <c r="D5348" s="2" t="s">
        <v>19</v>
      </c>
      <c r="E5348">
        <v>25660</v>
      </c>
      <c r="F5348">
        <v>284</v>
      </c>
      <c r="G5348">
        <v>13</v>
      </c>
      <c r="H5348">
        <v>740.61</v>
      </c>
      <c r="I5348">
        <v>1403.11</v>
      </c>
      <c r="J5348">
        <v>1.1100000000000001</v>
      </c>
      <c r="K5348">
        <v>4.58</v>
      </c>
      <c r="L5348">
        <v>56.97</v>
      </c>
      <c r="M5348">
        <v>1.89</v>
      </c>
      <c r="N5348">
        <v>662.5</v>
      </c>
    </row>
    <row r="5349" spans="1:14" x14ac:dyDescent="0.2">
      <c r="A5349" s="1">
        <v>45919</v>
      </c>
      <c r="B5349" s="2" t="s">
        <v>29</v>
      </c>
      <c r="C5349" s="2" t="s">
        <v>21</v>
      </c>
      <c r="D5349" s="2" t="s">
        <v>22</v>
      </c>
      <c r="E5349">
        <v>15316</v>
      </c>
      <c r="F5349">
        <v>253</v>
      </c>
      <c r="G5349">
        <v>13</v>
      </c>
      <c r="H5349">
        <v>914.91</v>
      </c>
      <c r="I5349">
        <v>1693.24</v>
      </c>
      <c r="J5349">
        <v>1.65</v>
      </c>
      <c r="K5349">
        <v>5.14</v>
      </c>
      <c r="L5349">
        <v>70.38</v>
      </c>
      <c r="M5349">
        <v>1.85</v>
      </c>
      <c r="N5349">
        <v>778.33</v>
      </c>
    </row>
    <row r="5350" spans="1:14" x14ac:dyDescent="0.2">
      <c r="A5350" s="1">
        <v>45919</v>
      </c>
      <c r="B5350" s="2" t="s">
        <v>30</v>
      </c>
      <c r="C5350" s="2" t="s">
        <v>28</v>
      </c>
      <c r="D5350" s="2" t="s">
        <v>22</v>
      </c>
      <c r="E5350">
        <v>9745</v>
      </c>
      <c r="F5350">
        <v>305</v>
      </c>
      <c r="G5350">
        <v>14</v>
      </c>
      <c r="H5350">
        <v>740.78</v>
      </c>
      <c r="I5350">
        <v>1587.71</v>
      </c>
      <c r="J5350">
        <v>3.13</v>
      </c>
      <c r="K5350">
        <v>4.59</v>
      </c>
      <c r="L5350">
        <v>52.91</v>
      </c>
      <c r="M5350">
        <v>2.14</v>
      </c>
      <c r="N5350">
        <v>846.93</v>
      </c>
    </row>
    <row r="5351" spans="1:14" x14ac:dyDescent="0.2">
      <c r="A5351" s="1">
        <v>45919</v>
      </c>
      <c r="B5351" s="2" t="s">
        <v>31</v>
      </c>
      <c r="C5351" s="2" t="s">
        <v>15</v>
      </c>
      <c r="D5351" s="2" t="s">
        <v>16</v>
      </c>
      <c r="E5351">
        <v>24804</v>
      </c>
      <c r="F5351">
        <v>770</v>
      </c>
      <c r="G5351">
        <v>46</v>
      </c>
      <c r="H5351">
        <v>720.91</v>
      </c>
      <c r="I5351">
        <v>3951.08</v>
      </c>
      <c r="J5351">
        <v>3.1</v>
      </c>
      <c r="K5351">
        <v>5.97</v>
      </c>
      <c r="L5351">
        <v>15.67</v>
      </c>
      <c r="M5351">
        <v>5.48</v>
      </c>
      <c r="N5351">
        <v>3230.17</v>
      </c>
    </row>
    <row r="5352" spans="1:14" x14ac:dyDescent="0.2">
      <c r="A5352" s="1">
        <v>45919</v>
      </c>
      <c r="B5352" s="2" t="s">
        <v>33</v>
      </c>
      <c r="C5352" s="2" t="s">
        <v>21</v>
      </c>
      <c r="D5352" s="2" t="s">
        <v>25</v>
      </c>
      <c r="E5352">
        <v>9758</v>
      </c>
      <c r="F5352">
        <v>401</v>
      </c>
      <c r="G5352">
        <v>34</v>
      </c>
      <c r="H5352">
        <v>349.91</v>
      </c>
      <c r="I5352">
        <v>4630.18</v>
      </c>
      <c r="J5352">
        <v>4.1100000000000003</v>
      </c>
      <c r="K5352">
        <v>8.48</v>
      </c>
      <c r="L5352">
        <v>10.29</v>
      </c>
      <c r="M5352">
        <v>13.23</v>
      </c>
      <c r="N5352">
        <v>4280.2700000000004</v>
      </c>
    </row>
    <row r="5353" spans="1:14" x14ac:dyDescent="0.2">
      <c r="A5353" s="1">
        <v>45919</v>
      </c>
      <c r="B5353" s="2" t="s">
        <v>34</v>
      </c>
      <c r="C5353" s="2" t="s">
        <v>28</v>
      </c>
      <c r="D5353" s="2" t="s">
        <v>19</v>
      </c>
      <c r="E5353">
        <v>4304</v>
      </c>
      <c r="F5353">
        <v>417</v>
      </c>
      <c r="G5353">
        <v>73</v>
      </c>
      <c r="H5353">
        <v>160.71</v>
      </c>
      <c r="I5353">
        <v>12939.3</v>
      </c>
      <c r="J5353">
        <v>9.69</v>
      </c>
      <c r="K5353">
        <v>17.510000000000002</v>
      </c>
      <c r="L5353">
        <v>2.2000000000000002</v>
      </c>
      <c r="M5353">
        <v>80.510000000000005</v>
      </c>
      <c r="N5353">
        <v>12778.59</v>
      </c>
    </row>
    <row r="5354" spans="1:14" x14ac:dyDescent="0.2">
      <c r="A5354" s="1">
        <v>45920</v>
      </c>
      <c r="B5354" s="2" t="s">
        <v>14</v>
      </c>
      <c r="C5354" s="2" t="s">
        <v>21</v>
      </c>
      <c r="D5354" s="2" t="s">
        <v>19</v>
      </c>
      <c r="E5354">
        <v>7919</v>
      </c>
      <c r="F5354">
        <v>319</v>
      </c>
      <c r="G5354">
        <v>32</v>
      </c>
      <c r="H5354">
        <v>838.01</v>
      </c>
      <c r="I5354">
        <v>4976.6099999999997</v>
      </c>
      <c r="J5354">
        <v>4.03</v>
      </c>
      <c r="K5354">
        <v>10.029999999999999</v>
      </c>
      <c r="L5354">
        <v>26.19</v>
      </c>
      <c r="M5354">
        <v>5.94</v>
      </c>
      <c r="N5354">
        <v>4138.6000000000004</v>
      </c>
    </row>
    <row r="5355" spans="1:14" x14ac:dyDescent="0.2">
      <c r="A5355" s="1">
        <v>45920</v>
      </c>
      <c r="B5355" s="2" t="s">
        <v>17</v>
      </c>
      <c r="C5355" s="2" t="s">
        <v>35</v>
      </c>
      <c r="D5355" s="2" t="s">
        <v>16</v>
      </c>
      <c r="E5355">
        <v>12518</v>
      </c>
      <c r="F5355">
        <v>421</v>
      </c>
      <c r="G5355">
        <v>29</v>
      </c>
      <c r="H5355">
        <v>807.52</v>
      </c>
      <c r="I5355">
        <v>2875.22</v>
      </c>
      <c r="J5355">
        <v>3.36</v>
      </c>
      <c r="K5355">
        <v>6.89</v>
      </c>
      <c r="L5355">
        <v>27.85</v>
      </c>
      <c r="M5355">
        <v>3.56</v>
      </c>
      <c r="N5355">
        <v>2067.6999999999998</v>
      </c>
    </row>
    <row r="5356" spans="1:14" x14ac:dyDescent="0.2">
      <c r="A5356" s="1">
        <v>45920</v>
      </c>
      <c r="B5356" s="2" t="s">
        <v>20</v>
      </c>
      <c r="C5356" s="2" t="s">
        <v>32</v>
      </c>
      <c r="D5356" s="2" t="s">
        <v>36</v>
      </c>
      <c r="E5356">
        <v>12086</v>
      </c>
      <c r="F5356">
        <v>457</v>
      </c>
      <c r="G5356">
        <v>18</v>
      </c>
      <c r="H5356">
        <v>668.8</v>
      </c>
      <c r="I5356">
        <v>1601.38</v>
      </c>
      <c r="J5356">
        <v>3.78</v>
      </c>
      <c r="K5356">
        <v>3.94</v>
      </c>
      <c r="L5356">
        <v>37.159999999999997</v>
      </c>
      <c r="M5356">
        <v>2.39</v>
      </c>
      <c r="N5356">
        <v>932.58</v>
      </c>
    </row>
    <row r="5357" spans="1:14" x14ac:dyDescent="0.2">
      <c r="A5357" s="1">
        <v>45920</v>
      </c>
      <c r="B5357" s="2" t="s">
        <v>23</v>
      </c>
      <c r="C5357" s="2" t="s">
        <v>15</v>
      </c>
      <c r="D5357" s="2" t="s">
        <v>19</v>
      </c>
      <c r="E5357">
        <v>3628</v>
      </c>
      <c r="F5357">
        <v>103</v>
      </c>
      <c r="G5357">
        <v>10</v>
      </c>
      <c r="H5357">
        <v>913.63</v>
      </c>
      <c r="I5357">
        <v>2220.89</v>
      </c>
      <c r="J5357">
        <v>2.84</v>
      </c>
      <c r="K5357">
        <v>9.7100000000000009</v>
      </c>
      <c r="L5357">
        <v>91.36</v>
      </c>
      <c r="M5357">
        <v>2.4300000000000002</v>
      </c>
      <c r="N5357">
        <v>1307.26</v>
      </c>
    </row>
    <row r="5358" spans="1:14" x14ac:dyDescent="0.2">
      <c r="A5358" s="1">
        <v>45920</v>
      </c>
      <c r="B5358" s="2" t="s">
        <v>24</v>
      </c>
      <c r="C5358" s="2" t="s">
        <v>18</v>
      </c>
      <c r="D5358" s="2" t="s">
        <v>22</v>
      </c>
      <c r="E5358">
        <v>13869</v>
      </c>
      <c r="F5358">
        <v>2984</v>
      </c>
      <c r="G5358">
        <v>244</v>
      </c>
      <c r="H5358">
        <v>106.47</v>
      </c>
      <c r="I5358">
        <v>36275.18</v>
      </c>
      <c r="J5358">
        <v>21.52</v>
      </c>
      <c r="K5358">
        <v>8.18</v>
      </c>
      <c r="L5358">
        <v>0.44</v>
      </c>
      <c r="M5358">
        <v>340.71</v>
      </c>
      <c r="N5358">
        <v>36168.71</v>
      </c>
    </row>
    <row r="5359" spans="1:14" x14ac:dyDescent="0.2">
      <c r="A5359" s="1">
        <v>45920</v>
      </c>
      <c r="B5359" s="2" t="s">
        <v>26</v>
      </c>
      <c r="C5359" s="2" t="s">
        <v>15</v>
      </c>
      <c r="D5359" s="2" t="s">
        <v>19</v>
      </c>
      <c r="E5359">
        <v>16217</v>
      </c>
      <c r="F5359">
        <v>651</v>
      </c>
      <c r="G5359">
        <v>81</v>
      </c>
      <c r="H5359">
        <v>0</v>
      </c>
      <c r="I5359">
        <v>12422.03</v>
      </c>
      <c r="J5359">
        <v>4.01</v>
      </c>
      <c r="K5359">
        <v>12.44</v>
      </c>
      <c r="L5359">
        <v>0</v>
      </c>
      <c r="M5359">
        <v>0</v>
      </c>
      <c r="N5359">
        <v>12422.03</v>
      </c>
    </row>
    <row r="5360" spans="1:14" x14ac:dyDescent="0.2">
      <c r="A5360" s="1">
        <v>45920</v>
      </c>
      <c r="B5360" s="2" t="s">
        <v>27</v>
      </c>
      <c r="C5360" s="2" t="s">
        <v>35</v>
      </c>
      <c r="D5360" s="2" t="s">
        <v>22</v>
      </c>
      <c r="E5360">
        <v>26100</v>
      </c>
      <c r="F5360">
        <v>388</v>
      </c>
      <c r="G5360">
        <v>18</v>
      </c>
      <c r="H5360">
        <v>794.45</v>
      </c>
      <c r="I5360">
        <v>2014.03</v>
      </c>
      <c r="J5360">
        <v>1.49</v>
      </c>
      <c r="K5360">
        <v>4.6399999999999997</v>
      </c>
      <c r="L5360">
        <v>44.14</v>
      </c>
      <c r="M5360">
        <v>2.54</v>
      </c>
      <c r="N5360">
        <v>1219.58</v>
      </c>
    </row>
    <row r="5361" spans="1:14" x14ac:dyDescent="0.2">
      <c r="A5361" s="1">
        <v>45920</v>
      </c>
      <c r="B5361" s="2" t="s">
        <v>29</v>
      </c>
      <c r="C5361" s="2" t="s">
        <v>21</v>
      </c>
      <c r="D5361" s="2" t="s">
        <v>25</v>
      </c>
      <c r="E5361">
        <v>13262</v>
      </c>
      <c r="F5361">
        <v>251</v>
      </c>
      <c r="G5361">
        <v>18</v>
      </c>
      <c r="H5361">
        <v>964.55</v>
      </c>
      <c r="I5361">
        <v>2184.19</v>
      </c>
      <c r="J5361">
        <v>1.89</v>
      </c>
      <c r="K5361">
        <v>7.17</v>
      </c>
      <c r="L5361">
        <v>53.59</v>
      </c>
      <c r="M5361">
        <v>2.2599999999999998</v>
      </c>
      <c r="N5361">
        <v>1219.6400000000001</v>
      </c>
    </row>
    <row r="5362" spans="1:14" x14ac:dyDescent="0.2">
      <c r="A5362" s="1">
        <v>45920</v>
      </c>
      <c r="B5362" s="2" t="s">
        <v>30</v>
      </c>
      <c r="C5362" s="2" t="s">
        <v>18</v>
      </c>
      <c r="D5362" s="2" t="s">
        <v>22</v>
      </c>
      <c r="E5362">
        <v>6512</v>
      </c>
      <c r="F5362">
        <v>154</v>
      </c>
      <c r="G5362">
        <v>6</v>
      </c>
      <c r="H5362">
        <v>352.51</v>
      </c>
      <c r="I5362">
        <v>509.24</v>
      </c>
      <c r="J5362">
        <v>2.36</v>
      </c>
      <c r="K5362">
        <v>3.9</v>
      </c>
      <c r="L5362">
        <v>58.75</v>
      </c>
      <c r="M5362">
        <v>1.44</v>
      </c>
      <c r="N5362">
        <v>156.72999999999999</v>
      </c>
    </row>
    <row r="5363" spans="1:14" x14ac:dyDescent="0.2">
      <c r="A5363" s="1">
        <v>45920</v>
      </c>
      <c r="B5363" s="2" t="s">
        <v>31</v>
      </c>
      <c r="C5363" s="2" t="s">
        <v>15</v>
      </c>
      <c r="D5363" s="2" t="s">
        <v>22</v>
      </c>
      <c r="E5363">
        <v>17869</v>
      </c>
      <c r="F5363">
        <v>792</v>
      </c>
      <c r="G5363">
        <v>30</v>
      </c>
      <c r="H5363">
        <v>609.28</v>
      </c>
      <c r="I5363">
        <v>2354.5700000000002</v>
      </c>
      <c r="J5363">
        <v>4.43</v>
      </c>
      <c r="K5363">
        <v>3.79</v>
      </c>
      <c r="L5363">
        <v>20.309999999999999</v>
      </c>
      <c r="M5363">
        <v>3.86</v>
      </c>
      <c r="N5363">
        <v>1745.29</v>
      </c>
    </row>
    <row r="5364" spans="1:14" x14ac:dyDescent="0.2">
      <c r="A5364" s="1">
        <v>45920</v>
      </c>
      <c r="B5364" s="2" t="s">
        <v>33</v>
      </c>
      <c r="C5364" s="2" t="s">
        <v>32</v>
      </c>
      <c r="D5364" s="2" t="s">
        <v>36</v>
      </c>
      <c r="E5364">
        <v>6064</v>
      </c>
      <c r="F5364">
        <v>307</v>
      </c>
      <c r="G5364">
        <v>25</v>
      </c>
      <c r="H5364">
        <v>453.92</v>
      </c>
      <c r="I5364">
        <v>3250.2</v>
      </c>
      <c r="J5364">
        <v>5.0599999999999996</v>
      </c>
      <c r="K5364">
        <v>8.14</v>
      </c>
      <c r="L5364">
        <v>18.16</v>
      </c>
      <c r="M5364">
        <v>7.16</v>
      </c>
      <c r="N5364">
        <v>2796.28</v>
      </c>
    </row>
    <row r="5365" spans="1:14" x14ac:dyDescent="0.2">
      <c r="A5365" s="1">
        <v>45920</v>
      </c>
      <c r="B5365" s="2" t="s">
        <v>34</v>
      </c>
      <c r="C5365" s="2" t="s">
        <v>32</v>
      </c>
      <c r="D5365" s="2" t="s">
        <v>19</v>
      </c>
      <c r="E5365">
        <v>2382</v>
      </c>
      <c r="F5365">
        <v>131</v>
      </c>
      <c r="G5365">
        <v>19</v>
      </c>
      <c r="H5365">
        <v>92.31</v>
      </c>
      <c r="I5365">
        <v>2653.4</v>
      </c>
      <c r="J5365">
        <v>5.5</v>
      </c>
      <c r="K5365">
        <v>14.5</v>
      </c>
      <c r="L5365">
        <v>4.8600000000000003</v>
      </c>
      <c r="M5365">
        <v>28.74</v>
      </c>
      <c r="N5365">
        <v>2561.09</v>
      </c>
    </row>
    <row r="5366" spans="1:14" x14ac:dyDescent="0.2">
      <c r="A5366" s="1">
        <v>45921</v>
      </c>
      <c r="B5366" s="2" t="s">
        <v>14</v>
      </c>
      <c r="C5366" s="2" t="s">
        <v>21</v>
      </c>
      <c r="D5366" s="2" t="s">
        <v>36</v>
      </c>
      <c r="E5366">
        <v>7979</v>
      </c>
      <c r="F5366">
        <v>251</v>
      </c>
      <c r="G5366">
        <v>22</v>
      </c>
      <c r="H5366">
        <v>974.06</v>
      </c>
      <c r="I5366">
        <v>3054.04</v>
      </c>
      <c r="J5366">
        <v>3.15</v>
      </c>
      <c r="K5366">
        <v>8.76</v>
      </c>
      <c r="L5366">
        <v>44.28</v>
      </c>
      <c r="M5366">
        <v>3.14</v>
      </c>
      <c r="N5366">
        <v>2079.98</v>
      </c>
    </row>
    <row r="5367" spans="1:14" x14ac:dyDescent="0.2">
      <c r="A5367" s="1">
        <v>45921</v>
      </c>
      <c r="B5367" s="2" t="s">
        <v>17</v>
      </c>
      <c r="C5367" s="2" t="s">
        <v>15</v>
      </c>
      <c r="D5367" s="2" t="s">
        <v>16</v>
      </c>
      <c r="E5367">
        <v>12161</v>
      </c>
      <c r="F5367">
        <v>322</v>
      </c>
      <c r="G5367">
        <v>27</v>
      </c>
      <c r="H5367">
        <v>557.02</v>
      </c>
      <c r="I5367">
        <v>2556.0100000000002</v>
      </c>
      <c r="J5367">
        <v>2.65</v>
      </c>
      <c r="K5367">
        <v>8.39</v>
      </c>
      <c r="L5367">
        <v>20.63</v>
      </c>
      <c r="M5367">
        <v>4.59</v>
      </c>
      <c r="N5367">
        <v>1998.99</v>
      </c>
    </row>
    <row r="5368" spans="1:14" x14ac:dyDescent="0.2">
      <c r="A5368" s="1">
        <v>45921</v>
      </c>
      <c r="B5368" s="2" t="s">
        <v>20</v>
      </c>
      <c r="C5368" s="2" t="s">
        <v>18</v>
      </c>
      <c r="D5368" s="2" t="s">
        <v>36</v>
      </c>
      <c r="E5368">
        <v>7847</v>
      </c>
      <c r="F5368">
        <v>233</v>
      </c>
      <c r="G5368">
        <v>11</v>
      </c>
      <c r="H5368">
        <v>499.81</v>
      </c>
      <c r="I5368">
        <v>948.48</v>
      </c>
      <c r="J5368">
        <v>2.97</v>
      </c>
      <c r="K5368">
        <v>4.72</v>
      </c>
      <c r="L5368">
        <v>45.44</v>
      </c>
      <c r="M5368">
        <v>1.9</v>
      </c>
      <c r="N5368">
        <v>448.67</v>
      </c>
    </row>
    <row r="5369" spans="1:14" x14ac:dyDescent="0.2">
      <c r="A5369" s="1">
        <v>45921</v>
      </c>
      <c r="B5369" s="2" t="s">
        <v>23</v>
      </c>
      <c r="C5369" s="2" t="s">
        <v>18</v>
      </c>
      <c r="D5369" s="2" t="s">
        <v>22</v>
      </c>
      <c r="E5369">
        <v>3819</v>
      </c>
      <c r="F5369">
        <v>78</v>
      </c>
      <c r="G5369">
        <v>9</v>
      </c>
      <c r="H5369">
        <v>1225.0899999999999</v>
      </c>
      <c r="I5369">
        <v>2265.6</v>
      </c>
      <c r="J5369">
        <v>2.04</v>
      </c>
      <c r="K5369">
        <v>11.54</v>
      </c>
      <c r="L5369">
        <v>136.12</v>
      </c>
      <c r="M5369">
        <v>1.85</v>
      </c>
      <c r="N5369">
        <v>1040.51</v>
      </c>
    </row>
    <row r="5370" spans="1:14" x14ac:dyDescent="0.2">
      <c r="A5370" s="1">
        <v>45921</v>
      </c>
      <c r="B5370" s="2" t="s">
        <v>24</v>
      </c>
      <c r="C5370" s="2" t="s">
        <v>18</v>
      </c>
      <c r="D5370" s="2" t="s">
        <v>22</v>
      </c>
      <c r="E5370">
        <v>17378</v>
      </c>
      <c r="F5370">
        <v>3373</v>
      </c>
      <c r="G5370">
        <v>423</v>
      </c>
      <c r="H5370">
        <v>177.69</v>
      </c>
      <c r="I5370">
        <v>61717.58</v>
      </c>
      <c r="J5370">
        <v>19.41</v>
      </c>
      <c r="K5370">
        <v>12.54</v>
      </c>
      <c r="L5370">
        <v>0.42</v>
      </c>
      <c r="M5370">
        <v>347.33</v>
      </c>
      <c r="N5370">
        <v>61539.89</v>
      </c>
    </row>
    <row r="5371" spans="1:14" x14ac:dyDescent="0.2">
      <c r="A5371" s="1">
        <v>45921</v>
      </c>
      <c r="B5371" s="2" t="s">
        <v>26</v>
      </c>
      <c r="C5371" s="2" t="s">
        <v>21</v>
      </c>
      <c r="D5371" s="2" t="s">
        <v>22</v>
      </c>
      <c r="E5371">
        <v>18695</v>
      </c>
      <c r="F5371">
        <v>902</v>
      </c>
      <c r="G5371">
        <v>94</v>
      </c>
      <c r="H5371">
        <v>0</v>
      </c>
      <c r="I5371">
        <v>12151.02</v>
      </c>
      <c r="J5371">
        <v>4.82</v>
      </c>
      <c r="K5371">
        <v>10.42</v>
      </c>
      <c r="L5371">
        <v>0</v>
      </c>
      <c r="M5371">
        <v>0</v>
      </c>
      <c r="N5371">
        <v>12151.02</v>
      </c>
    </row>
    <row r="5372" spans="1:14" x14ac:dyDescent="0.2">
      <c r="A5372" s="1">
        <v>45921</v>
      </c>
      <c r="B5372" s="2" t="s">
        <v>27</v>
      </c>
      <c r="C5372" s="2" t="s">
        <v>18</v>
      </c>
      <c r="D5372" s="2" t="s">
        <v>22</v>
      </c>
      <c r="E5372">
        <v>20358</v>
      </c>
      <c r="F5372">
        <v>370</v>
      </c>
      <c r="G5372">
        <v>8</v>
      </c>
      <c r="H5372">
        <v>659.37</v>
      </c>
      <c r="I5372">
        <v>774.8</v>
      </c>
      <c r="J5372">
        <v>1.82</v>
      </c>
      <c r="K5372">
        <v>2.16</v>
      </c>
      <c r="L5372">
        <v>82.42</v>
      </c>
      <c r="M5372">
        <v>1.18</v>
      </c>
      <c r="N5372">
        <v>115.43</v>
      </c>
    </row>
    <row r="5373" spans="1:14" x14ac:dyDescent="0.2">
      <c r="A5373" s="1">
        <v>45921</v>
      </c>
      <c r="B5373" s="2" t="s">
        <v>29</v>
      </c>
      <c r="C5373" s="2" t="s">
        <v>32</v>
      </c>
      <c r="D5373" s="2" t="s">
        <v>25</v>
      </c>
      <c r="E5373">
        <v>14909</v>
      </c>
      <c r="F5373">
        <v>374</v>
      </c>
      <c r="G5373">
        <v>20</v>
      </c>
      <c r="H5373">
        <v>708.98</v>
      </c>
      <c r="I5373">
        <v>2237.3200000000002</v>
      </c>
      <c r="J5373">
        <v>2.5099999999999998</v>
      </c>
      <c r="K5373">
        <v>5.35</v>
      </c>
      <c r="L5373">
        <v>35.450000000000003</v>
      </c>
      <c r="M5373">
        <v>3.16</v>
      </c>
      <c r="N5373">
        <v>1528.34</v>
      </c>
    </row>
    <row r="5374" spans="1:14" x14ac:dyDescent="0.2">
      <c r="A5374" s="1">
        <v>45921</v>
      </c>
      <c r="B5374" s="2" t="s">
        <v>30</v>
      </c>
      <c r="C5374" s="2" t="s">
        <v>21</v>
      </c>
      <c r="D5374" s="2" t="s">
        <v>22</v>
      </c>
      <c r="E5374">
        <v>9284</v>
      </c>
      <c r="F5374">
        <v>306</v>
      </c>
      <c r="G5374">
        <v>11</v>
      </c>
      <c r="H5374">
        <v>358.84</v>
      </c>
      <c r="I5374">
        <v>977.95</v>
      </c>
      <c r="J5374">
        <v>3.3</v>
      </c>
      <c r="K5374">
        <v>3.59</v>
      </c>
      <c r="L5374">
        <v>32.619999999999997</v>
      </c>
      <c r="M5374">
        <v>2.73</v>
      </c>
      <c r="N5374">
        <v>619.11</v>
      </c>
    </row>
    <row r="5375" spans="1:14" x14ac:dyDescent="0.2">
      <c r="A5375" s="1">
        <v>45921</v>
      </c>
      <c r="B5375" s="2" t="s">
        <v>31</v>
      </c>
      <c r="C5375" s="2" t="s">
        <v>32</v>
      </c>
      <c r="D5375" s="2" t="s">
        <v>16</v>
      </c>
      <c r="E5375">
        <v>16150</v>
      </c>
      <c r="F5375">
        <v>643</v>
      </c>
      <c r="G5375">
        <v>32</v>
      </c>
      <c r="H5375">
        <v>654.27</v>
      </c>
      <c r="I5375">
        <v>3371.64</v>
      </c>
      <c r="J5375">
        <v>3.98</v>
      </c>
      <c r="K5375">
        <v>4.9800000000000004</v>
      </c>
      <c r="L5375">
        <v>20.45</v>
      </c>
      <c r="M5375">
        <v>5.15</v>
      </c>
      <c r="N5375">
        <v>2717.37</v>
      </c>
    </row>
    <row r="5376" spans="1:14" x14ac:dyDescent="0.2">
      <c r="A5376" s="1">
        <v>45921</v>
      </c>
      <c r="B5376" s="2" t="s">
        <v>33</v>
      </c>
      <c r="C5376" s="2" t="s">
        <v>28</v>
      </c>
      <c r="D5376" s="2" t="s">
        <v>36</v>
      </c>
      <c r="E5376">
        <v>6449</v>
      </c>
      <c r="F5376">
        <v>285</v>
      </c>
      <c r="G5376">
        <v>26</v>
      </c>
      <c r="H5376">
        <v>290.86</v>
      </c>
      <c r="I5376">
        <v>2640.85</v>
      </c>
      <c r="J5376">
        <v>4.42</v>
      </c>
      <c r="K5376">
        <v>9.1199999999999992</v>
      </c>
      <c r="L5376">
        <v>11.19</v>
      </c>
      <c r="M5376">
        <v>9.08</v>
      </c>
      <c r="N5376">
        <v>2349.9899999999998</v>
      </c>
    </row>
    <row r="5377" spans="1:14" x14ac:dyDescent="0.2">
      <c r="A5377" s="1">
        <v>45921</v>
      </c>
      <c r="B5377" s="2" t="s">
        <v>34</v>
      </c>
      <c r="C5377" s="2" t="s">
        <v>35</v>
      </c>
      <c r="D5377" s="2" t="s">
        <v>22</v>
      </c>
      <c r="E5377">
        <v>3470</v>
      </c>
      <c r="F5377">
        <v>208</v>
      </c>
      <c r="G5377">
        <v>30</v>
      </c>
      <c r="H5377">
        <v>68.58</v>
      </c>
      <c r="I5377">
        <v>4901.04</v>
      </c>
      <c r="J5377">
        <v>5.99</v>
      </c>
      <c r="K5377">
        <v>14.42</v>
      </c>
      <c r="L5377">
        <v>2.29</v>
      </c>
      <c r="M5377">
        <v>71.459999999999994</v>
      </c>
      <c r="N5377">
        <v>4832.46</v>
      </c>
    </row>
    <row r="5378" spans="1:14" x14ac:dyDescent="0.2">
      <c r="A5378" s="1">
        <v>45922</v>
      </c>
      <c r="B5378" s="2" t="s">
        <v>14</v>
      </c>
      <c r="C5378" s="2" t="s">
        <v>15</v>
      </c>
      <c r="D5378" s="2" t="s">
        <v>22</v>
      </c>
      <c r="E5378">
        <v>9414</v>
      </c>
      <c r="F5378">
        <v>308</v>
      </c>
      <c r="G5378">
        <v>30</v>
      </c>
      <c r="H5378">
        <v>1102.46</v>
      </c>
      <c r="I5378">
        <v>4375.1099999999997</v>
      </c>
      <c r="J5378">
        <v>3.27</v>
      </c>
      <c r="K5378">
        <v>9.74</v>
      </c>
      <c r="L5378">
        <v>36.75</v>
      </c>
      <c r="M5378">
        <v>3.97</v>
      </c>
      <c r="N5378">
        <v>3272.65</v>
      </c>
    </row>
    <row r="5379" spans="1:14" x14ac:dyDescent="0.2">
      <c r="A5379" s="1">
        <v>45922</v>
      </c>
      <c r="B5379" s="2" t="s">
        <v>17</v>
      </c>
      <c r="C5379" s="2" t="s">
        <v>21</v>
      </c>
      <c r="D5379" s="2" t="s">
        <v>36</v>
      </c>
      <c r="E5379">
        <v>16723</v>
      </c>
      <c r="F5379">
        <v>336</v>
      </c>
      <c r="G5379">
        <v>21</v>
      </c>
      <c r="H5379">
        <v>1134.0999999999999</v>
      </c>
      <c r="I5379">
        <v>2228.04</v>
      </c>
      <c r="J5379">
        <v>2.0099999999999998</v>
      </c>
      <c r="K5379">
        <v>6.25</v>
      </c>
      <c r="L5379">
        <v>54</v>
      </c>
      <c r="M5379">
        <v>1.96</v>
      </c>
      <c r="N5379">
        <v>1093.94</v>
      </c>
    </row>
    <row r="5380" spans="1:14" x14ac:dyDescent="0.2">
      <c r="A5380" s="1">
        <v>45922</v>
      </c>
      <c r="B5380" s="2" t="s">
        <v>20</v>
      </c>
      <c r="C5380" s="2" t="s">
        <v>21</v>
      </c>
      <c r="D5380" s="2" t="s">
        <v>25</v>
      </c>
      <c r="E5380">
        <v>17546</v>
      </c>
      <c r="F5380">
        <v>675</v>
      </c>
      <c r="G5380">
        <v>43</v>
      </c>
      <c r="H5380">
        <v>803.8</v>
      </c>
      <c r="I5380">
        <v>4571.4799999999996</v>
      </c>
      <c r="J5380">
        <v>3.85</v>
      </c>
      <c r="K5380">
        <v>6.37</v>
      </c>
      <c r="L5380">
        <v>18.690000000000001</v>
      </c>
      <c r="M5380">
        <v>5.69</v>
      </c>
      <c r="N5380">
        <v>3767.68</v>
      </c>
    </row>
    <row r="5381" spans="1:14" x14ac:dyDescent="0.2">
      <c r="A5381" s="1">
        <v>45922</v>
      </c>
      <c r="B5381" s="2" t="s">
        <v>23</v>
      </c>
      <c r="C5381" s="2" t="s">
        <v>21</v>
      </c>
      <c r="D5381" s="2" t="s">
        <v>19</v>
      </c>
      <c r="E5381">
        <v>5309</v>
      </c>
      <c r="F5381">
        <v>139</v>
      </c>
      <c r="G5381">
        <v>14</v>
      </c>
      <c r="H5381">
        <v>1345.13</v>
      </c>
      <c r="I5381">
        <v>4197.2</v>
      </c>
      <c r="J5381">
        <v>2.62</v>
      </c>
      <c r="K5381">
        <v>10.07</v>
      </c>
      <c r="L5381">
        <v>96.08</v>
      </c>
      <c r="M5381">
        <v>3.12</v>
      </c>
      <c r="N5381">
        <v>2852.07</v>
      </c>
    </row>
    <row r="5382" spans="1:14" x14ac:dyDescent="0.2">
      <c r="A5382" s="1">
        <v>45922</v>
      </c>
      <c r="B5382" s="2" t="s">
        <v>24</v>
      </c>
      <c r="C5382" s="2" t="s">
        <v>35</v>
      </c>
      <c r="D5382" s="2" t="s">
        <v>25</v>
      </c>
      <c r="E5382">
        <v>22132</v>
      </c>
      <c r="F5382">
        <v>3392</v>
      </c>
      <c r="G5382">
        <v>339</v>
      </c>
      <c r="H5382">
        <v>125.18</v>
      </c>
      <c r="I5382">
        <v>43996.3</v>
      </c>
      <c r="J5382">
        <v>15.33</v>
      </c>
      <c r="K5382">
        <v>9.99</v>
      </c>
      <c r="L5382">
        <v>0.37</v>
      </c>
      <c r="M5382">
        <v>351.46</v>
      </c>
      <c r="N5382">
        <v>43871.12</v>
      </c>
    </row>
    <row r="5383" spans="1:14" x14ac:dyDescent="0.2">
      <c r="A5383" s="1">
        <v>45922</v>
      </c>
      <c r="B5383" s="2" t="s">
        <v>26</v>
      </c>
      <c r="C5383" s="2" t="s">
        <v>28</v>
      </c>
      <c r="D5383" s="2" t="s">
        <v>22</v>
      </c>
      <c r="E5383">
        <v>26843</v>
      </c>
      <c r="F5383">
        <v>2067</v>
      </c>
      <c r="G5383">
        <v>284</v>
      </c>
      <c r="H5383">
        <v>0</v>
      </c>
      <c r="I5383">
        <v>36136.050000000003</v>
      </c>
      <c r="J5383">
        <v>7.7</v>
      </c>
      <c r="K5383">
        <v>13.74</v>
      </c>
      <c r="L5383">
        <v>0</v>
      </c>
      <c r="M5383">
        <v>0</v>
      </c>
      <c r="N5383">
        <v>36136.050000000003</v>
      </c>
    </row>
    <row r="5384" spans="1:14" x14ac:dyDescent="0.2">
      <c r="A5384" s="1">
        <v>45922</v>
      </c>
      <c r="B5384" s="2" t="s">
        <v>27</v>
      </c>
      <c r="C5384" s="2" t="s">
        <v>35</v>
      </c>
      <c r="D5384" s="2" t="s">
        <v>36</v>
      </c>
      <c r="E5384">
        <v>30066</v>
      </c>
      <c r="F5384">
        <v>555</v>
      </c>
      <c r="G5384">
        <v>17</v>
      </c>
      <c r="H5384">
        <v>1118.94</v>
      </c>
      <c r="I5384">
        <v>1538.1</v>
      </c>
      <c r="J5384">
        <v>1.85</v>
      </c>
      <c r="K5384">
        <v>3.06</v>
      </c>
      <c r="L5384">
        <v>65.819999999999993</v>
      </c>
      <c r="M5384">
        <v>1.37</v>
      </c>
      <c r="N5384">
        <v>419.16</v>
      </c>
    </row>
    <row r="5385" spans="1:14" x14ac:dyDescent="0.2">
      <c r="A5385" s="1">
        <v>45922</v>
      </c>
      <c r="B5385" s="2" t="s">
        <v>29</v>
      </c>
      <c r="C5385" s="2" t="s">
        <v>18</v>
      </c>
      <c r="D5385" s="2" t="s">
        <v>19</v>
      </c>
      <c r="E5385">
        <v>20577</v>
      </c>
      <c r="F5385">
        <v>369</v>
      </c>
      <c r="G5385">
        <v>26</v>
      </c>
      <c r="H5385">
        <v>912.77</v>
      </c>
      <c r="I5385">
        <v>2830.37</v>
      </c>
      <c r="J5385">
        <v>1.79</v>
      </c>
      <c r="K5385">
        <v>7.05</v>
      </c>
      <c r="L5385">
        <v>35.11</v>
      </c>
      <c r="M5385">
        <v>3.1</v>
      </c>
      <c r="N5385">
        <v>1917.6</v>
      </c>
    </row>
    <row r="5386" spans="1:14" x14ac:dyDescent="0.2">
      <c r="A5386" s="1">
        <v>45922</v>
      </c>
      <c r="B5386" s="2" t="s">
        <v>30</v>
      </c>
      <c r="C5386" s="2" t="s">
        <v>28</v>
      </c>
      <c r="D5386" s="2" t="s">
        <v>36</v>
      </c>
      <c r="E5386">
        <v>11728</v>
      </c>
      <c r="F5386">
        <v>270</v>
      </c>
      <c r="G5386">
        <v>9</v>
      </c>
      <c r="H5386">
        <v>695.22</v>
      </c>
      <c r="I5386">
        <v>925.45</v>
      </c>
      <c r="J5386">
        <v>2.2999999999999998</v>
      </c>
      <c r="K5386">
        <v>3.33</v>
      </c>
      <c r="L5386">
        <v>77.25</v>
      </c>
      <c r="M5386">
        <v>1.33</v>
      </c>
      <c r="N5386">
        <v>230.23</v>
      </c>
    </row>
    <row r="5387" spans="1:14" x14ac:dyDescent="0.2">
      <c r="A5387" s="1">
        <v>45922</v>
      </c>
      <c r="B5387" s="2" t="s">
        <v>31</v>
      </c>
      <c r="C5387" s="2" t="s">
        <v>21</v>
      </c>
      <c r="D5387" s="2" t="s">
        <v>36</v>
      </c>
      <c r="E5387">
        <v>21906</v>
      </c>
      <c r="F5387">
        <v>862</v>
      </c>
      <c r="G5387">
        <v>57</v>
      </c>
      <c r="H5387">
        <v>787.84</v>
      </c>
      <c r="I5387">
        <v>5997.7</v>
      </c>
      <c r="J5387">
        <v>3.93</v>
      </c>
      <c r="K5387">
        <v>6.61</v>
      </c>
      <c r="L5387">
        <v>13.82</v>
      </c>
      <c r="M5387">
        <v>7.61</v>
      </c>
      <c r="N5387">
        <v>5209.8599999999997</v>
      </c>
    </row>
    <row r="5388" spans="1:14" x14ac:dyDescent="0.2">
      <c r="A5388" s="1">
        <v>45922</v>
      </c>
      <c r="B5388" s="2" t="s">
        <v>33</v>
      </c>
      <c r="C5388" s="2" t="s">
        <v>28</v>
      </c>
      <c r="D5388" s="2" t="s">
        <v>36</v>
      </c>
      <c r="E5388">
        <v>5042</v>
      </c>
      <c r="F5388">
        <v>297</v>
      </c>
      <c r="G5388">
        <v>36</v>
      </c>
      <c r="H5388">
        <v>365.69</v>
      </c>
      <c r="I5388">
        <v>4584.6899999999996</v>
      </c>
      <c r="J5388">
        <v>5.89</v>
      </c>
      <c r="K5388">
        <v>12.12</v>
      </c>
      <c r="L5388">
        <v>10.16</v>
      </c>
      <c r="M5388">
        <v>12.54</v>
      </c>
      <c r="N5388">
        <v>4219</v>
      </c>
    </row>
    <row r="5389" spans="1:14" x14ac:dyDescent="0.2">
      <c r="A5389" s="1">
        <v>45922</v>
      </c>
      <c r="B5389" s="2" t="s">
        <v>34</v>
      </c>
      <c r="C5389" s="2" t="s">
        <v>32</v>
      </c>
      <c r="D5389" s="2" t="s">
        <v>25</v>
      </c>
      <c r="E5389">
        <v>3185</v>
      </c>
      <c r="F5389">
        <v>271</v>
      </c>
      <c r="G5389">
        <v>42</v>
      </c>
      <c r="H5389">
        <v>181.05</v>
      </c>
      <c r="I5389">
        <v>7286.99</v>
      </c>
      <c r="J5389">
        <v>8.51</v>
      </c>
      <c r="K5389">
        <v>15.5</v>
      </c>
      <c r="L5389">
        <v>4.3099999999999996</v>
      </c>
      <c r="M5389">
        <v>40.25</v>
      </c>
      <c r="N5389">
        <v>7105.94</v>
      </c>
    </row>
    <row r="5390" spans="1:14" x14ac:dyDescent="0.2">
      <c r="A5390" s="1">
        <v>45923</v>
      </c>
      <c r="B5390" s="2" t="s">
        <v>14</v>
      </c>
      <c r="C5390" s="2" t="s">
        <v>15</v>
      </c>
      <c r="D5390" s="2" t="s">
        <v>36</v>
      </c>
      <c r="E5390">
        <v>11954</v>
      </c>
      <c r="F5390">
        <v>400</v>
      </c>
      <c r="G5390">
        <v>36</v>
      </c>
      <c r="H5390">
        <v>1012.46</v>
      </c>
      <c r="I5390">
        <v>4414.79</v>
      </c>
      <c r="J5390">
        <v>3.35</v>
      </c>
      <c r="K5390">
        <v>9</v>
      </c>
      <c r="L5390">
        <v>28.12</v>
      </c>
      <c r="M5390">
        <v>4.3600000000000003</v>
      </c>
      <c r="N5390">
        <v>3402.33</v>
      </c>
    </row>
    <row r="5391" spans="1:14" x14ac:dyDescent="0.2">
      <c r="A5391" s="1">
        <v>45923</v>
      </c>
      <c r="B5391" s="2" t="s">
        <v>17</v>
      </c>
      <c r="C5391" s="2" t="s">
        <v>21</v>
      </c>
      <c r="D5391" s="2" t="s">
        <v>36</v>
      </c>
      <c r="E5391">
        <v>15194</v>
      </c>
      <c r="F5391">
        <v>503</v>
      </c>
      <c r="G5391">
        <v>33</v>
      </c>
      <c r="H5391">
        <v>1064.8399999999999</v>
      </c>
      <c r="I5391">
        <v>3956.33</v>
      </c>
      <c r="J5391">
        <v>3.31</v>
      </c>
      <c r="K5391">
        <v>6.56</v>
      </c>
      <c r="L5391">
        <v>32.270000000000003</v>
      </c>
      <c r="M5391">
        <v>3.72</v>
      </c>
      <c r="N5391">
        <v>2891.49</v>
      </c>
    </row>
    <row r="5392" spans="1:14" x14ac:dyDescent="0.2">
      <c r="A5392" s="1">
        <v>45923</v>
      </c>
      <c r="B5392" s="2" t="s">
        <v>20</v>
      </c>
      <c r="C5392" s="2" t="s">
        <v>18</v>
      </c>
      <c r="D5392" s="2" t="s">
        <v>36</v>
      </c>
      <c r="E5392">
        <v>12013</v>
      </c>
      <c r="F5392">
        <v>303</v>
      </c>
      <c r="G5392">
        <v>17</v>
      </c>
      <c r="H5392">
        <v>580.72</v>
      </c>
      <c r="I5392">
        <v>1499.15</v>
      </c>
      <c r="J5392">
        <v>2.52</v>
      </c>
      <c r="K5392">
        <v>5.61</v>
      </c>
      <c r="L5392">
        <v>34.159999999999997</v>
      </c>
      <c r="M5392">
        <v>2.58</v>
      </c>
      <c r="N5392">
        <v>918.43</v>
      </c>
    </row>
    <row r="5393" spans="1:14" x14ac:dyDescent="0.2">
      <c r="A5393" s="1">
        <v>45923</v>
      </c>
      <c r="B5393" s="2" t="s">
        <v>23</v>
      </c>
      <c r="C5393" s="2" t="s">
        <v>28</v>
      </c>
      <c r="D5393" s="2" t="s">
        <v>16</v>
      </c>
      <c r="E5393">
        <v>3699</v>
      </c>
      <c r="F5393">
        <v>100</v>
      </c>
      <c r="G5393">
        <v>12</v>
      </c>
      <c r="H5393">
        <v>1174.3</v>
      </c>
      <c r="I5393">
        <v>3550.08</v>
      </c>
      <c r="J5393">
        <v>2.7</v>
      </c>
      <c r="K5393">
        <v>12</v>
      </c>
      <c r="L5393">
        <v>97.86</v>
      </c>
      <c r="M5393">
        <v>3.02</v>
      </c>
      <c r="N5393">
        <v>2375.7800000000002</v>
      </c>
    </row>
    <row r="5394" spans="1:14" x14ac:dyDescent="0.2">
      <c r="A5394" s="1">
        <v>45923</v>
      </c>
      <c r="B5394" s="2" t="s">
        <v>24</v>
      </c>
      <c r="C5394" s="2" t="s">
        <v>35</v>
      </c>
      <c r="D5394" s="2" t="s">
        <v>25</v>
      </c>
      <c r="E5394">
        <v>24428</v>
      </c>
      <c r="F5394">
        <v>3810</v>
      </c>
      <c r="G5394">
        <v>438</v>
      </c>
      <c r="H5394">
        <v>277.92</v>
      </c>
      <c r="I5394">
        <v>53796.94</v>
      </c>
      <c r="J5394">
        <v>15.6</v>
      </c>
      <c r="K5394">
        <v>11.5</v>
      </c>
      <c r="L5394">
        <v>0.63</v>
      </c>
      <c r="M5394">
        <v>193.57</v>
      </c>
      <c r="N5394">
        <v>53519.02</v>
      </c>
    </row>
    <row r="5395" spans="1:14" x14ac:dyDescent="0.2">
      <c r="A5395" s="1">
        <v>45923</v>
      </c>
      <c r="B5395" s="2" t="s">
        <v>26</v>
      </c>
      <c r="C5395" s="2" t="s">
        <v>32</v>
      </c>
      <c r="D5395" s="2" t="s">
        <v>22</v>
      </c>
      <c r="E5395">
        <v>30548</v>
      </c>
      <c r="F5395">
        <v>2046</v>
      </c>
      <c r="G5395">
        <v>287</v>
      </c>
      <c r="H5395">
        <v>0</v>
      </c>
      <c r="I5395">
        <v>42641.95</v>
      </c>
      <c r="J5395">
        <v>6.7</v>
      </c>
      <c r="K5395">
        <v>14.03</v>
      </c>
      <c r="L5395">
        <v>0</v>
      </c>
      <c r="M5395">
        <v>0</v>
      </c>
      <c r="N5395">
        <v>42641.95</v>
      </c>
    </row>
    <row r="5396" spans="1:14" x14ac:dyDescent="0.2">
      <c r="A5396" s="1">
        <v>45923</v>
      </c>
      <c r="B5396" s="2" t="s">
        <v>27</v>
      </c>
      <c r="C5396" s="2" t="s">
        <v>32</v>
      </c>
      <c r="D5396" s="2" t="s">
        <v>22</v>
      </c>
      <c r="E5396">
        <v>39053</v>
      </c>
      <c r="F5396">
        <v>668</v>
      </c>
      <c r="G5396">
        <v>19</v>
      </c>
      <c r="H5396">
        <v>799.26</v>
      </c>
      <c r="I5396">
        <v>1874.34</v>
      </c>
      <c r="J5396">
        <v>1.71</v>
      </c>
      <c r="K5396">
        <v>2.84</v>
      </c>
      <c r="L5396">
        <v>42.07</v>
      </c>
      <c r="M5396">
        <v>2.35</v>
      </c>
      <c r="N5396">
        <v>1075.08</v>
      </c>
    </row>
    <row r="5397" spans="1:14" x14ac:dyDescent="0.2">
      <c r="A5397" s="1">
        <v>45923</v>
      </c>
      <c r="B5397" s="2" t="s">
        <v>29</v>
      </c>
      <c r="C5397" s="2" t="s">
        <v>35</v>
      </c>
      <c r="D5397" s="2" t="s">
        <v>36</v>
      </c>
      <c r="E5397">
        <v>17504</v>
      </c>
      <c r="F5397">
        <v>333</v>
      </c>
      <c r="G5397">
        <v>14</v>
      </c>
      <c r="H5397">
        <v>930.41</v>
      </c>
      <c r="I5397">
        <v>1780.25</v>
      </c>
      <c r="J5397">
        <v>1.9</v>
      </c>
      <c r="K5397">
        <v>4.2</v>
      </c>
      <c r="L5397">
        <v>66.459999999999994</v>
      </c>
      <c r="M5397">
        <v>1.91</v>
      </c>
      <c r="N5397">
        <v>849.84</v>
      </c>
    </row>
    <row r="5398" spans="1:14" x14ac:dyDescent="0.2">
      <c r="A5398" s="1">
        <v>45923</v>
      </c>
      <c r="B5398" s="2" t="s">
        <v>30</v>
      </c>
      <c r="C5398" s="2" t="s">
        <v>28</v>
      </c>
      <c r="D5398" s="2" t="s">
        <v>19</v>
      </c>
      <c r="E5398">
        <v>11133</v>
      </c>
      <c r="F5398">
        <v>330</v>
      </c>
      <c r="G5398">
        <v>17</v>
      </c>
      <c r="H5398">
        <v>737.69</v>
      </c>
      <c r="I5398">
        <v>2059.0500000000002</v>
      </c>
      <c r="J5398">
        <v>2.96</v>
      </c>
      <c r="K5398">
        <v>5.15</v>
      </c>
      <c r="L5398">
        <v>43.39</v>
      </c>
      <c r="M5398">
        <v>2.79</v>
      </c>
      <c r="N5398">
        <v>1321.36</v>
      </c>
    </row>
    <row r="5399" spans="1:14" x14ac:dyDescent="0.2">
      <c r="A5399" s="1">
        <v>45923</v>
      </c>
      <c r="B5399" s="2" t="s">
        <v>31</v>
      </c>
      <c r="C5399" s="2" t="s">
        <v>28</v>
      </c>
      <c r="D5399" s="2" t="s">
        <v>19</v>
      </c>
      <c r="E5399">
        <v>27228</v>
      </c>
      <c r="F5399">
        <v>1191</v>
      </c>
      <c r="G5399">
        <v>49</v>
      </c>
      <c r="H5399">
        <v>702.13</v>
      </c>
      <c r="I5399">
        <v>4103.18</v>
      </c>
      <c r="J5399">
        <v>4.37</v>
      </c>
      <c r="K5399">
        <v>4.1100000000000003</v>
      </c>
      <c r="L5399">
        <v>14.33</v>
      </c>
      <c r="M5399">
        <v>5.84</v>
      </c>
      <c r="N5399">
        <v>3401.05</v>
      </c>
    </row>
    <row r="5400" spans="1:14" x14ac:dyDescent="0.2">
      <c r="A5400" s="1">
        <v>45923</v>
      </c>
      <c r="B5400" s="2" t="s">
        <v>33</v>
      </c>
      <c r="C5400" s="2" t="s">
        <v>28</v>
      </c>
      <c r="D5400" s="2" t="s">
        <v>25</v>
      </c>
      <c r="E5400">
        <v>7168</v>
      </c>
      <c r="F5400">
        <v>358</v>
      </c>
      <c r="G5400">
        <v>38</v>
      </c>
      <c r="H5400">
        <v>472.95</v>
      </c>
      <c r="I5400">
        <v>4701.5200000000004</v>
      </c>
      <c r="J5400">
        <v>4.99</v>
      </c>
      <c r="K5400">
        <v>10.61</v>
      </c>
      <c r="L5400">
        <v>12.45</v>
      </c>
      <c r="M5400">
        <v>9.94</v>
      </c>
      <c r="N5400">
        <v>4228.57</v>
      </c>
    </row>
    <row r="5401" spans="1:14" x14ac:dyDescent="0.2">
      <c r="A5401" s="1">
        <v>45923</v>
      </c>
      <c r="B5401" s="2" t="s">
        <v>34</v>
      </c>
      <c r="C5401" s="2" t="s">
        <v>32</v>
      </c>
      <c r="D5401" s="2" t="s">
        <v>36</v>
      </c>
      <c r="E5401">
        <v>3567</v>
      </c>
      <c r="F5401">
        <v>306</v>
      </c>
      <c r="G5401">
        <v>54</v>
      </c>
      <c r="H5401">
        <v>189.08</v>
      </c>
      <c r="I5401">
        <v>7571.06</v>
      </c>
      <c r="J5401">
        <v>8.58</v>
      </c>
      <c r="K5401">
        <v>17.649999999999999</v>
      </c>
      <c r="L5401">
        <v>3.5</v>
      </c>
      <c r="M5401">
        <v>40.04</v>
      </c>
      <c r="N5401">
        <v>7381.98</v>
      </c>
    </row>
    <row r="5402" spans="1:14" x14ac:dyDescent="0.2">
      <c r="A5402" s="1">
        <v>45924</v>
      </c>
      <c r="B5402" s="2" t="s">
        <v>14</v>
      </c>
      <c r="C5402" s="2" t="s">
        <v>18</v>
      </c>
      <c r="D5402" s="2" t="s">
        <v>19</v>
      </c>
      <c r="E5402">
        <v>10529</v>
      </c>
      <c r="F5402">
        <v>510</v>
      </c>
      <c r="G5402">
        <v>58</v>
      </c>
      <c r="H5402">
        <v>1475.82</v>
      </c>
      <c r="I5402">
        <v>7888.85</v>
      </c>
      <c r="J5402">
        <v>4.84</v>
      </c>
      <c r="K5402">
        <v>11.37</v>
      </c>
      <c r="L5402">
        <v>25.45</v>
      </c>
      <c r="M5402">
        <v>5.35</v>
      </c>
      <c r="N5402">
        <v>6413.03</v>
      </c>
    </row>
    <row r="5403" spans="1:14" x14ac:dyDescent="0.2">
      <c r="A5403" s="1">
        <v>45924</v>
      </c>
      <c r="B5403" s="2" t="s">
        <v>17</v>
      </c>
      <c r="C5403" s="2" t="s">
        <v>21</v>
      </c>
      <c r="D5403" s="2" t="s">
        <v>36</v>
      </c>
      <c r="E5403">
        <v>14285</v>
      </c>
      <c r="F5403">
        <v>551</v>
      </c>
      <c r="G5403">
        <v>30</v>
      </c>
      <c r="H5403">
        <v>639.19000000000005</v>
      </c>
      <c r="I5403">
        <v>3094.36</v>
      </c>
      <c r="J5403">
        <v>3.86</v>
      </c>
      <c r="K5403">
        <v>5.44</v>
      </c>
      <c r="L5403">
        <v>21.31</v>
      </c>
      <c r="M5403">
        <v>4.84</v>
      </c>
      <c r="N5403">
        <v>2455.17</v>
      </c>
    </row>
    <row r="5404" spans="1:14" x14ac:dyDescent="0.2">
      <c r="A5404" s="1">
        <v>45924</v>
      </c>
      <c r="B5404" s="2" t="s">
        <v>20</v>
      </c>
      <c r="C5404" s="2" t="s">
        <v>21</v>
      </c>
      <c r="D5404" s="2" t="s">
        <v>22</v>
      </c>
      <c r="E5404">
        <v>12874</v>
      </c>
      <c r="F5404">
        <v>554</v>
      </c>
      <c r="G5404">
        <v>38</v>
      </c>
      <c r="H5404">
        <v>505.46</v>
      </c>
      <c r="I5404">
        <v>3135</v>
      </c>
      <c r="J5404">
        <v>4.3</v>
      </c>
      <c r="K5404">
        <v>6.86</v>
      </c>
      <c r="L5404">
        <v>13.3</v>
      </c>
      <c r="M5404">
        <v>6.2</v>
      </c>
      <c r="N5404">
        <v>2629.54</v>
      </c>
    </row>
    <row r="5405" spans="1:14" x14ac:dyDescent="0.2">
      <c r="A5405" s="1">
        <v>45924</v>
      </c>
      <c r="B5405" s="2" t="s">
        <v>23</v>
      </c>
      <c r="C5405" s="2" t="s">
        <v>21</v>
      </c>
      <c r="D5405" s="2" t="s">
        <v>16</v>
      </c>
      <c r="E5405">
        <v>5870</v>
      </c>
      <c r="F5405">
        <v>102</v>
      </c>
      <c r="G5405">
        <v>13</v>
      </c>
      <c r="H5405">
        <v>1449.59</v>
      </c>
      <c r="I5405">
        <v>3526.44</v>
      </c>
      <c r="J5405">
        <v>1.74</v>
      </c>
      <c r="K5405">
        <v>12.75</v>
      </c>
      <c r="L5405">
        <v>111.51</v>
      </c>
      <c r="M5405">
        <v>2.4300000000000002</v>
      </c>
      <c r="N5405">
        <v>2076.85</v>
      </c>
    </row>
    <row r="5406" spans="1:14" x14ac:dyDescent="0.2">
      <c r="A5406" s="1">
        <v>45924</v>
      </c>
      <c r="B5406" s="2" t="s">
        <v>24</v>
      </c>
      <c r="C5406" s="2" t="s">
        <v>18</v>
      </c>
      <c r="D5406" s="2" t="s">
        <v>25</v>
      </c>
      <c r="E5406">
        <v>16784</v>
      </c>
      <c r="F5406">
        <v>2781</v>
      </c>
      <c r="G5406">
        <v>388</v>
      </c>
      <c r="H5406">
        <v>266.57</v>
      </c>
      <c r="I5406">
        <v>58248.5</v>
      </c>
      <c r="J5406">
        <v>16.57</v>
      </c>
      <c r="K5406">
        <v>13.95</v>
      </c>
      <c r="L5406">
        <v>0.69</v>
      </c>
      <c r="M5406">
        <v>218.51</v>
      </c>
      <c r="N5406">
        <v>57981.93</v>
      </c>
    </row>
    <row r="5407" spans="1:14" x14ac:dyDescent="0.2">
      <c r="A5407" s="1">
        <v>45924</v>
      </c>
      <c r="B5407" s="2" t="s">
        <v>26</v>
      </c>
      <c r="C5407" s="2" t="s">
        <v>15</v>
      </c>
      <c r="D5407" s="2" t="s">
        <v>19</v>
      </c>
      <c r="E5407">
        <v>32402</v>
      </c>
      <c r="F5407">
        <v>1835</v>
      </c>
      <c r="G5407">
        <v>199</v>
      </c>
      <c r="H5407">
        <v>0</v>
      </c>
      <c r="I5407">
        <v>27589.74</v>
      </c>
      <c r="J5407">
        <v>5.66</v>
      </c>
      <c r="K5407">
        <v>10.84</v>
      </c>
      <c r="L5407">
        <v>0</v>
      </c>
      <c r="M5407">
        <v>0</v>
      </c>
      <c r="N5407">
        <v>27589.74</v>
      </c>
    </row>
    <row r="5408" spans="1:14" x14ac:dyDescent="0.2">
      <c r="A5408" s="1">
        <v>45924</v>
      </c>
      <c r="B5408" s="2" t="s">
        <v>27</v>
      </c>
      <c r="C5408" s="2" t="s">
        <v>28</v>
      </c>
      <c r="D5408" s="2" t="s">
        <v>36</v>
      </c>
      <c r="E5408">
        <v>39898</v>
      </c>
      <c r="F5408">
        <v>780</v>
      </c>
      <c r="G5408">
        <v>21</v>
      </c>
      <c r="H5408">
        <v>906.2</v>
      </c>
      <c r="I5408">
        <v>2168.08</v>
      </c>
      <c r="J5408">
        <v>1.95</v>
      </c>
      <c r="K5408">
        <v>2.69</v>
      </c>
      <c r="L5408">
        <v>43.15</v>
      </c>
      <c r="M5408">
        <v>2.39</v>
      </c>
      <c r="N5408">
        <v>1261.8800000000001</v>
      </c>
    </row>
    <row r="5409" spans="1:14" x14ac:dyDescent="0.2">
      <c r="A5409" s="1">
        <v>45924</v>
      </c>
      <c r="B5409" s="2" t="s">
        <v>29</v>
      </c>
      <c r="C5409" s="2" t="s">
        <v>28</v>
      </c>
      <c r="D5409" s="2" t="s">
        <v>36</v>
      </c>
      <c r="E5409">
        <v>24641</v>
      </c>
      <c r="F5409">
        <v>507</v>
      </c>
      <c r="G5409">
        <v>21</v>
      </c>
      <c r="H5409">
        <v>1238.9100000000001</v>
      </c>
      <c r="I5409">
        <v>1995.38</v>
      </c>
      <c r="J5409">
        <v>2.06</v>
      </c>
      <c r="K5409">
        <v>4.1399999999999997</v>
      </c>
      <c r="L5409">
        <v>59</v>
      </c>
      <c r="M5409">
        <v>1.61</v>
      </c>
      <c r="N5409">
        <v>756.47</v>
      </c>
    </row>
    <row r="5410" spans="1:14" x14ac:dyDescent="0.2">
      <c r="A5410" s="1">
        <v>45924</v>
      </c>
      <c r="B5410" s="2" t="s">
        <v>30</v>
      </c>
      <c r="C5410" s="2" t="s">
        <v>15</v>
      </c>
      <c r="D5410" s="2" t="s">
        <v>19</v>
      </c>
      <c r="E5410">
        <v>8014</v>
      </c>
      <c r="F5410">
        <v>210</v>
      </c>
      <c r="G5410">
        <v>12</v>
      </c>
      <c r="H5410">
        <v>516.4</v>
      </c>
      <c r="I5410">
        <v>1382.91</v>
      </c>
      <c r="J5410">
        <v>2.62</v>
      </c>
      <c r="K5410">
        <v>5.71</v>
      </c>
      <c r="L5410">
        <v>43.03</v>
      </c>
      <c r="M5410">
        <v>2.68</v>
      </c>
      <c r="N5410">
        <v>866.51</v>
      </c>
    </row>
    <row r="5411" spans="1:14" x14ac:dyDescent="0.2">
      <c r="A5411" s="1">
        <v>45924</v>
      </c>
      <c r="B5411" s="2" t="s">
        <v>31</v>
      </c>
      <c r="C5411" s="2" t="s">
        <v>28</v>
      </c>
      <c r="D5411" s="2" t="s">
        <v>36</v>
      </c>
      <c r="E5411">
        <v>28527</v>
      </c>
      <c r="F5411">
        <v>905</v>
      </c>
      <c r="G5411">
        <v>51</v>
      </c>
      <c r="H5411">
        <v>1039.67</v>
      </c>
      <c r="I5411">
        <v>5199.71</v>
      </c>
      <c r="J5411">
        <v>3.17</v>
      </c>
      <c r="K5411">
        <v>5.64</v>
      </c>
      <c r="L5411">
        <v>20.39</v>
      </c>
      <c r="M5411">
        <v>5</v>
      </c>
      <c r="N5411">
        <v>4160.04</v>
      </c>
    </row>
    <row r="5412" spans="1:14" x14ac:dyDescent="0.2">
      <c r="A5412" s="1">
        <v>45924</v>
      </c>
      <c r="B5412" s="2" t="s">
        <v>33</v>
      </c>
      <c r="C5412" s="2" t="s">
        <v>35</v>
      </c>
      <c r="D5412" s="2" t="s">
        <v>25</v>
      </c>
      <c r="E5412">
        <v>7764</v>
      </c>
      <c r="F5412">
        <v>420</v>
      </c>
      <c r="G5412">
        <v>51</v>
      </c>
      <c r="H5412">
        <v>316.64999999999998</v>
      </c>
      <c r="I5412">
        <v>6746.87</v>
      </c>
      <c r="J5412">
        <v>5.41</v>
      </c>
      <c r="K5412">
        <v>12.14</v>
      </c>
      <c r="L5412">
        <v>6.21</v>
      </c>
      <c r="M5412">
        <v>21.31</v>
      </c>
      <c r="N5412">
        <v>6430.22</v>
      </c>
    </row>
    <row r="5413" spans="1:14" x14ac:dyDescent="0.2">
      <c r="A5413" s="1">
        <v>45924</v>
      </c>
      <c r="B5413" s="2" t="s">
        <v>34</v>
      </c>
      <c r="C5413" s="2" t="s">
        <v>18</v>
      </c>
      <c r="D5413" s="2" t="s">
        <v>36</v>
      </c>
      <c r="E5413">
        <v>5664</v>
      </c>
      <c r="F5413">
        <v>531</v>
      </c>
      <c r="G5413">
        <v>90</v>
      </c>
      <c r="H5413">
        <v>75.959999999999994</v>
      </c>
      <c r="I5413">
        <v>13420.93</v>
      </c>
      <c r="J5413">
        <v>9.3800000000000008</v>
      </c>
      <c r="K5413">
        <v>16.95</v>
      </c>
      <c r="L5413">
        <v>0.84</v>
      </c>
      <c r="M5413">
        <v>176.68</v>
      </c>
      <c r="N5413">
        <v>13344.97</v>
      </c>
    </row>
    <row r="5414" spans="1:14" x14ac:dyDescent="0.2">
      <c r="A5414" s="1">
        <v>45925</v>
      </c>
      <c r="B5414" s="2" t="s">
        <v>14</v>
      </c>
      <c r="C5414" s="2" t="s">
        <v>18</v>
      </c>
      <c r="D5414" s="2" t="s">
        <v>16</v>
      </c>
      <c r="E5414">
        <v>9474</v>
      </c>
      <c r="F5414">
        <v>349</v>
      </c>
      <c r="G5414">
        <v>35</v>
      </c>
      <c r="H5414">
        <v>906.37</v>
      </c>
      <c r="I5414">
        <v>5726.57</v>
      </c>
      <c r="J5414">
        <v>3.68</v>
      </c>
      <c r="K5414">
        <v>10.029999999999999</v>
      </c>
      <c r="L5414">
        <v>25.9</v>
      </c>
      <c r="M5414">
        <v>6.32</v>
      </c>
      <c r="N5414">
        <v>4820.2</v>
      </c>
    </row>
    <row r="5415" spans="1:14" x14ac:dyDescent="0.2">
      <c r="A5415" s="1">
        <v>45925</v>
      </c>
      <c r="B5415" s="2" t="s">
        <v>17</v>
      </c>
      <c r="C5415" s="2" t="s">
        <v>28</v>
      </c>
      <c r="D5415" s="2" t="s">
        <v>25</v>
      </c>
      <c r="E5415">
        <v>17914</v>
      </c>
      <c r="F5415">
        <v>532</v>
      </c>
      <c r="G5415">
        <v>32</v>
      </c>
      <c r="H5415">
        <v>657.97</v>
      </c>
      <c r="I5415">
        <v>3689.03</v>
      </c>
      <c r="J5415">
        <v>2.97</v>
      </c>
      <c r="K5415">
        <v>6.02</v>
      </c>
      <c r="L5415">
        <v>20.56</v>
      </c>
      <c r="M5415">
        <v>5.61</v>
      </c>
      <c r="N5415">
        <v>3031.06</v>
      </c>
    </row>
    <row r="5416" spans="1:14" x14ac:dyDescent="0.2">
      <c r="A5416" s="1">
        <v>45925</v>
      </c>
      <c r="B5416" s="2" t="s">
        <v>20</v>
      </c>
      <c r="C5416" s="2" t="s">
        <v>21</v>
      </c>
      <c r="D5416" s="2" t="s">
        <v>22</v>
      </c>
      <c r="E5416">
        <v>10404</v>
      </c>
      <c r="F5416">
        <v>279</v>
      </c>
      <c r="G5416">
        <v>22</v>
      </c>
      <c r="H5416">
        <v>515.09</v>
      </c>
      <c r="I5416">
        <v>2441.6799999999998</v>
      </c>
      <c r="J5416">
        <v>2.68</v>
      </c>
      <c r="K5416">
        <v>7.89</v>
      </c>
      <c r="L5416">
        <v>23.41</v>
      </c>
      <c r="M5416">
        <v>4.74</v>
      </c>
      <c r="N5416">
        <v>1926.59</v>
      </c>
    </row>
    <row r="5417" spans="1:14" x14ac:dyDescent="0.2">
      <c r="A5417" s="1">
        <v>45925</v>
      </c>
      <c r="B5417" s="2" t="s">
        <v>23</v>
      </c>
      <c r="C5417" s="2" t="s">
        <v>28</v>
      </c>
      <c r="D5417" s="2" t="s">
        <v>19</v>
      </c>
      <c r="E5417">
        <v>5639</v>
      </c>
      <c r="F5417">
        <v>105</v>
      </c>
      <c r="G5417">
        <v>12</v>
      </c>
      <c r="H5417">
        <v>1122.5999999999999</v>
      </c>
      <c r="I5417">
        <v>4146.5</v>
      </c>
      <c r="J5417">
        <v>1.86</v>
      </c>
      <c r="K5417">
        <v>11.43</v>
      </c>
      <c r="L5417">
        <v>93.55</v>
      </c>
      <c r="M5417">
        <v>3.69</v>
      </c>
      <c r="N5417">
        <v>3023.9</v>
      </c>
    </row>
    <row r="5418" spans="1:14" x14ac:dyDescent="0.2">
      <c r="A5418" s="1">
        <v>45925</v>
      </c>
      <c r="B5418" s="2" t="s">
        <v>24</v>
      </c>
      <c r="C5418" s="2" t="s">
        <v>15</v>
      </c>
      <c r="D5418" s="2" t="s">
        <v>19</v>
      </c>
      <c r="E5418">
        <v>20391</v>
      </c>
      <c r="F5418">
        <v>3912</v>
      </c>
      <c r="G5418">
        <v>364</v>
      </c>
      <c r="H5418">
        <v>257.29000000000002</v>
      </c>
      <c r="I5418">
        <v>50661.79</v>
      </c>
      <c r="J5418">
        <v>19.18</v>
      </c>
      <c r="K5418">
        <v>9.3000000000000007</v>
      </c>
      <c r="L5418">
        <v>0.71</v>
      </c>
      <c r="M5418">
        <v>196.91</v>
      </c>
      <c r="N5418">
        <v>50404.5</v>
      </c>
    </row>
    <row r="5419" spans="1:14" x14ac:dyDescent="0.2">
      <c r="A5419" s="1">
        <v>45925</v>
      </c>
      <c r="B5419" s="2" t="s">
        <v>26</v>
      </c>
      <c r="C5419" s="2" t="s">
        <v>32</v>
      </c>
      <c r="D5419" s="2" t="s">
        <v>36</v>
      </c>
      <c r="E5419">
        <v>30701</v>
      </c>
      <c r="F5419">
        <v>2347</v>
      </c>
      <c r="G5419">
        <v>345</v>
      </c>
      <c r="H5419">
        <v>0</v>
      </c>
      <c r="I5419">
        <v>48690.720000000001</v>
      </c>
      <c r="J5419">
        <v>7.64</v>
      </c>
      <c r="K5419">
        <v>14.7</v>
      </c>
      <c r="L5419">
        <v>0</v>
      </c>
      <c r="M5419">
        <v>0</v>
      </c>
      <c r="N5419">
        <v>48690.720000000001</v>
      </c>
    </row>
    <row r="5420" spans="1:14" x14ac:dyDescent="0.2">
      <c r="A5420" s="1">
        <v>45925</v>
      </c>
      <c r="B5420" s="2" t="s">
        <v>27</v>
      </c>
      <c r="C5420" s="2" t="s">
        <v>15</v>
      </c>
      <c r="D5420" s="2" t="s">
        <v>19</v>
      </c>
      <c r="E5420">
        <v>36519</v>
      </c>
      <c r="F5420">
        <v>572</v>
      </c>
      <c r="G5420">
        <v>22</v>
      </c>
      <c r="H5420">
        <v>711.44</v>
      </c>
      <c r="I5420">
        <v>2761.96</v>
      </c>
      <c r="J5420">
        <v>1.57</v>
      </c>
      <c r="K5420">
        <v>3.85</v>
      </c>
      <c r="L5420">
        <v>32.340000000000003</v>
      </c>
      <c r="M5420">
        <v>3.88</v>
      </c>
      <c r="N5420">
        <v>2050.52</v>
      </c>
    </row>
    <row r="5421" spans="1:14" x14ac:dyDescent="0.2">
      <c r="A5421" s="1">
        <v>45925</v>
      </c>
      <c r="B5421" s="2" t="s">
        <v>29</v>
      </c>
      <c r="C5421" s="2" t="s">
        <v>15</v>
      </c>
      <c r="D5421" s="2" t="s">
        <v>16</v>
      </c>
      <c r="E5421">
        <v>16473</v>
      </c>
      <c r="F5421">
        <v>434</v>
      </c>
      <c r="G5421">
        <v>28</v>
      </c>
      <c r="H5421">
        <v>1082.92</v>
      </c>
      <c r="I5421">
        <v>4161.57</v>
      </c>
      <c r="J5421">
        <v>2.63</v>
      </c>
      <c r="K5421">
        <v>6.45</v>
      </c>
      <c r="L5421">
        <v>38.68</v>
      </c>
      <c r="M5421">
        <v>3.84</v>
      </c>
      <c r="N5421">
        <v>3078.65</v>
      </c>
    </row>
    <row r="5422" spans="1:14" x14ac:dyDescent="0.2">
      <c r="A5422" s="1">
        <v>45925</v>
      </c>
      <c r="B5422" s="2" t="s">
        <v>30</v>
      </c>
      <c r="C5422" s="2" t="s">
        <v>15</v>
      </c>
      <c r="D5422" s="2" t="s">
        <v>36</v>
      </c>
      <c r="E5422">
        <v>8850</v>
      </c>
      <c r="F5422">
        <v>204</v>
      </c>
      <c r="G5422">
        <v>9</v>
      </c>
      <c r="H5422">
        <v>504.57</v>
      </c>
      <c r="I5422">
        <v>808.33</v>
      </c>
      <c r="J5422">
        <v>2.31</v>
      </c>
      <c r="K5422">
        <v>4.41</v>
      </c>
      <c r="L5422">
        <v>56.06</v>
      </c>
      <c r="M5422">
        <v>1.6</v>
      </c>
      <c r="N5422">
        <v>303.76</v>
      </c>
    </row>
    <row r="5423" spans="1:14" x14ac:dyDescent="0.2">
      <c r="A5423" s="1">
        <v>45925</v>
      </c>
      <c r="B5423" s="2" t="s">
        <v>31</v>
      </c>
      <c r="C5423" s="2" t="s">
        <v>28</v>
      </c>
      <c r="D5423" s="2" t="s">
        <v>22</v>
      </c>
      <c r="E5423">
        <v>28473</v>
      </c>
      <c r="F5423">
        <v>1205</v>
      </c>
      <c r="G5423">
        <v>78</v>
      </c>
      <c r="H5423">
        <v>1095.0999999999999</v>
      </c>
      <c r="I5423">
        <v>5524.86</v>
      </c>
      <c r="J5423">
        <v>4.2300000000000004</v>
      </c>
      <c r="K5423">
        <v>6.47</v>
      </c>
      <c r="L5423">
        <v>14.04</v>
      </c>
      <c r="M5423">
        <v>5.05</v>
      </c>
      <c r="N5423">
        <v>4429.76</v>
      </c>
    </row>
    <row r="5424" spans="1:14" x14ac:dyDescent="0.2">
      <c r="A5424" s="1">
        <v>45925</v>
      </c>
      <c r="B5424" s="2" t="s">
        <v>33</v>
      </c>
      <c r="C5424" s="2" t="s">
        <v>21</v>
      </c>
      <c r="D5424" s="2" t="s">
        <v>36</v>
      </c>
      <c r="E5424">
        <v>9132</v>
      </c>
      <c r="F5424">
        <v>489</v>
      </c>
      <c r="G5424">
        <v>44</v>
      </c>
      <c r="H5424">
        <v>508.2</v>
      </c>
      <c r="I5424">
        <v>6683.24</v>
      </c>
      <c r="J5424">
        <v>5.35</v>
      </c>
      <c r="K5424">
        <v>9</v>
      </c>
      <c r="L5424">
        <v>11.55</v>
      </c>
      <c r="M5424">
        <v>13.15</v>
      </c>
      <c r="N5424">
        <v>6175.04</v>
      </c>
    </row>
    <row r="5425" spans="1:14" x14ac:dyDescent="0.2">
      <c r="A5425" s="1">
        <v>45925</v>
      </c>
      <c r="B5425" s="2" t="s">
        <v>34</v>
      </c>
      <c r="C5425" s="2" t="s">
        <v>18</v>
      </c>
      <c r="D5425" s="2" t="s">
        <v>19</v>
      </c>
      <c r="E5425">
        <v>6199</v>
      </c>
      <c r="F5425">
        <v>453</v>
      </c>
      <c r="G5425">
        <v>72</v>
      </c>
      <c r="H5425">
        <v>51.8</v>
      </c>
      <c r="I5425">
        <v>13960.42</v>
      </c>
      <c r="J5425">
        <v>7.31</v>
      </c>
      <c r="K5425">
        <v>15.89</v>
      </c>
      <c r="L5425">
        <v>0.72</v>
      </c>
      <c r="M5425">
        <v>269.51</v>
      </c>
      <c r="N5425">
        <v>13908.62</v>
      </c>
    </row>
    <row r="5426" spans="1:14" x14ac:dyDescent="0.2">
      <c r="A5426" s="1">
        <v>45926</v>
      </c>
      <c r="B5426" s="2" t="s">
        <v>14</v>
      </c>
      <c r="C5426" s="2" t="s">
        <v>15</v>
      </c>
      <c r="D5426" s="2" t="s">
        <v>16</v>
      </c>
      <c r="E5426">
        <v>12811</v>
      </c>
      <c r="F5426">
        <v>571</v>
      </c>
      <c r="G5426">
        <v>62</v>
      </c>
      <c r="H5426">
        <v>998.82</v>
      </c>
      <c r="I5426">
        <v>10081.950000000001</v>
      </c>
      <c r="J5426">
        <v>4.46</v>
      </c>
      <c r="K5426">
        <v>10.86</v>
      </c>
      <c r="L5426">
        <v>16.11</v>
      </c>
      <c r="M5426">
        <v>10.09</v>
      </c>
      <c r="N5426">
        <v>9083.1299999999992</v>
      </c>
    </row>
    <row r="5427" spans="1:14" x14ac:dyDescent="0.2">
      <c r="A5427" s="1">
        <v>45926</v>
      </c>
      <c r="B5427" s="2" t="s">
        <v>17</v>
      </c>
      <c r="C5427" s="2" t="s">
        <v>15</v>
      </c>
      <c r="D5427" s="2" t="s">
        <v>22</v>
      </c>
      <c r="E5427">
        <v>17396</v>
      </c>
      <c r="F5427">
        <v>622</v>
      </c>
      <c r="G5427">
        <v>53</v>
      </c>
      <c r="H5427">
        <v>903.97</v>
      </c>
      <c r="I5427">
        <v>6187.44</v>
      </c>
      <c r="J5427">
        <v>3.58</v>
      </c>
      <c r="K5427">
        <v>8.52</v>
      </c>
      <c r="L5427">
        <v>17.059999999999999</v>
      </c>
      <c r="M5427">
        <v>6.84</v>
      </c>
      <c r="N5427">
        <v>5283.47</v>
      </c>
    </row>
    <row r="5428" spans="1:14" x14ac:dyDescent="0.2">
      <c r="A5428" s="1">
        <v>45926</v>
      </c>
      <c r="B5428" s="2" t="s">
        <v>20</v>
      </c>
      <c r="C5428" s="2" t="s">
        <v>35</v>
      </c>
      <c r="D5428" s="2" t="s">
        <v>25</v>
      </c>
      <c r="E5428">
        <v>16064</v>
      </c>
      <c r="F5428">
        <v>549</v>
      </c>
      <c r="G5428">
        <v>41</v>
      </c>
      <c r="H5428">
        <v>612.82000000000005</v>
      </c>
      <c r="I5428">
        <v>4074.39</v>
      </c>
      <c r="J5428">
        <v>3.42</v>
      </c>
      <c r="K5428">
        <v>7.47</v>
      </c>
      <c r="L5428">
        <v>14.95</v>
      </c>
      <c r="M5428">
        <v>6.65</v>
      </c>
      <c r="N5428">
        <v>3461.57</v>
      </c>
    </row>
    <row r="5429" spans="1:14" x14ac:dyDescent="0.2">
      <c r="A5429" s="1">
        <v>45926</v>
      </c>
      <c r="B5429" s="2" t="s">
        <v>23</v>
      </c>
      <c r="C5429" s="2" t="s">
        <v>28</v>
      </c>
      <c r="D5429" s="2" t="s">
        <v>22</v>
      </c>
      <c r="E5429">
        <v>3935</v>
      </c>
      <c r="F5429">
        <v>82</v>
      </c>
      <c r="G5429">
        <v>11</v>
      </c>
      <c r="H5429">
        <v>1171.18</v>
      </c>
      <c r="I5429">
        <v>3260.43</v>
      </c>
      <c r="J5429">
        <v>2.08</v>
      </c>
      <c r="K5429">
        <v>13.41</v>
      </c>
      <c r="L5429">
        <v>106.47</v>
      </c>
      <c r="M5429">
        <v>2.78</v>
      </c>
      <c r="N5429">
        <v>2089.25</v>
      </c>
    </row>
    <row r="5430" spans="1:14" x14ac:dyDescent="0.2">
      <c r="A5430" s="1">
        <v>45926</v>
      </c>
      <c r="B5430" s="2" t="s">
        <v>24</v>
      </c>
      <c r="C5430" s="2" t="s">
        <v>35</v>
      </c>
      <c r="D5430" s="2" t="s">
        <v>22</v>
      </c>
      <c r="E5430">
        <v>19874</v>
      </c>
      <c r="F5430">
        <v>3785</v>
      </c>
      <c r="G5430">
        <v>378</v>
      </c>
      <c r="H5430">
        <v>250.27</v>
      </c>
      <c r="I5430">
        <v>45227.37</v>
      </c>
      <c r="J5430">
        <v>19.04</v>
      </c>
      <c r="K5430">
        <v>9.99</v>
      </c>
      <c r="L5430">
        <v>0.66</v>
      </c>
      <c r="M5430">
        <v>180.71</v>
      </c>
      <c r="N5430">
        <v>44977.1</v>
      </c>
    </row>
    <row r="5431" spans="1:14" x14ac:dyDescent="0.2">
      <c r="A5431" s="1">
        <v>45926</v>
      </c>
      <c r="B5431" s="2" t="s">
        <v>26</v>
      </c>
      <c r="C5431" s="2" t="s">
        <v>32</v>
      </c>
      <c r="D5431" s="2" t="s">
        <v>25</v>
      </c>
      <c r="E5431">
        <v>23728</v>
      </c>
      <c r="F5431">
        <v>1214</v>
      </c>
      <c r="G5431">
        <v>136</v>
      </c>
      <c r="H5431">
        <v>0</v>
      </c>
      <c r="I5431">
        <v>17232.41</v>
      </c>
      <c r="J5431">
        <v>5.12</v>
      </c>
      <c r="K5431">
        <v>11.2</v>
      </c>
      <c r="L5431">
        <v>0</v>
      </c>
      <c r="M5431">
        <v>0</v>
      </c>
      <c r="N5431">
        <v>17232.41</v>
      </c>
    </row>
    <row r="5432" spans="1:14" x14ac:dyDescent="0.2">
      <c r="A5432" s="1">
        <v>45926</v>
      </c>
      <c r="B5432" s="2" t="s">
        <v>27</v>
      </c>
      <c r="C5432" s="2" t="s">
        <v>15</v>
      </c>
      <c r="D5432" s="2" t="s">
        <v>22</v>
      </c>
      <c r="E5432">
        <v>33254</v>
      </c>
      <c r="F5432">
        <v>382</v>
      </c>
      <c r="G5432">
        <v>15</v>
      </c>
      <c r="H5432">
        <v>987.62</v>
      </c>
      <c r="I5432">
        <v>1884.61</v>
      </c>
      <c r="J5432">
        <v>1.1499999999999999</v>
      </c>
      <c r="K5432">
        <v>3.93</v>
      </c>
      <c r="L5432">
        <v>65.84</v>
      </c>
      <c r="M5432">
        <v>1.91</v>
      </c>
      <c r="N5432">
        <v>896.99</v>
      </c>
    </row>
    <row r="5433" spans="1:14" x14ac:dyDescent="0.2">
      <c r="A5433" s="1">
        <v>45926</v>
      </c>
      <c r="B5433" s="2" t="s">
        <v>29</v>
      </c>
      <c r="C5433" s="2" t="s">
        <v>18</v>
      </c>
      <c r="D5433" s="2" t="s">
        <v>16</v>
      </c>
      <c r="E5433">
        <v>24989</v>
      </c>
      <c r="F5433">
        <v>554</v>
      </c>
      <c r="G5433">
        <v>40</v>
      </c>
      <c r="H5433">
        <v>899.9</v>
      </c>
      <c r="I5433">
        <v>4837.1899999999996</v>
      </c>
      <c r="J5433">
        <v>2.2200000000000002</v>
      </c>
      <c r="K5433">
        <v>7.22</v>
      </c>
      <c r="L5433">
        <v>22.5</v>
      </c>
      <c r="M5433">
        <v>5.38</v>
      </c>
      <c r="N5433">
        <v>3937.29</v>
      </c>
    </row>
    <row r="5434" spans="1:14" x14ac:dyDescent="0.2">
      <c r="A5434" s="1">
        <v>45926</v>
      </c>
      <c r="B5434" s="2" t="s">
        <v>30</v>
      </c>
      <c r="C5434" s="2" t="s">
        <v>18</v>
      </c>
      <c r="D5434" s="2" t="s">
        <v>36</v>
      </c>
      <c r="E5434">
        <v>10891</v>
      </c>
      <c r="F5434">
        <v>224</v>
      </c>
      <c r="G5434">
        <v>8</v>
      </c>
      <c r="H5434">
        <v>675.47</v>
      </c>
      <c r="I5434">
        <v>894.67</v>
      </c>
      <c r="J5434">
        <v>2.06</v>
      </c>
      <c r="K5434">
        <v>3.57</v>
      </c>
      <c r="L5434">
        <v>84.43</v>
      </c>
      <c r="M5434">
        <v>1.32</v>
      </c>
      <c r="N5434">
        <v>219.2</v>
      </c>
    </row>
    <row r="5435" spans="1:14" x14ac:dyDescent="0.2">
      <c r="A5435" s="1">
        <v>45926</v>
      </c>
      <c r="B5435" s="2" t="s">
        <v>31</v>
      </c>
      <c r="C5435" s="2" t="s">
        <v>28</v>
      </c>
      <c r="D5435" s="2" t="s">
        <v>25</v>
      </c>
      <c r="E5435">
        <v>26534</v>
      </c>
      <c r="F5435">
        <v>1076</v>
      </c>
      <c r="G5435">
        <v>59</v>
      </c>
      <c r="H5435">
        <v>936.45</v>
      </c>
      <c r="I5435">
        <v>4977.3900000000003</v>
      </c>
      <c r="J5435">
        <v>4.0599999999999996</v>
      </c>
      <c r="K5435">
        <v>5.48</v>
      </c>
      <c r="L5435">
        <v>15.87</v>
      </c>
      <c r="M5435">
        <v>5.32</v>
      </c>
      <c r="N5435">
        <v>4040.94</v>
      </c>
    </row>
    <row r="5436" spans="1:14" x14ac:dyDescent="0.2">
      <c r="A5436" s="1">
        <v>45926</v>
      </c>
      <c r="B5436" s="2" t="s">
        <v>33</v>
      </c>
      <c r="C5436" s="2" t="s">
        <v>18</v>
      </c>
      <c r="D5436" s="2" t="s">
        <v>25</v>
      </c>
      <c r="E5436">
        <v>9111</v>
      </c>
      <c r="F5436">
        <v>427</v>
      </c>
      <c r="G5436">
        <v>42</v>
      </c>
      <c r="H5436">
        <v>623.29</v>
      </c>
      <c r="I5436">
        <v>4603.1000000000004</v>
      </c>
      <c r="J5436">
        <v>4.6900000000000004</v>
      </c>
      <c r="K5436">
        <v>9.84</v>
      </c>
      <c r="L5436">
        <v>14.84</v>
      </c>
      <c r="M5436">
        <v>7.39</v>
      </c>
      <c r="N5436">
        <v>3979.81</v>
      </c>
    </row>
    <row r="5437" spans="1:14" x14ac:dyDescent="0.2">
      <c r="A5437" s="1">
        <v>45926</v>
      </c>
      <c r="B5437" s="2" t="s">
        <v>34</v>
      </c>
      <c r="C5437" s="2" t="s">
        <v>21</v>
      </c>
      <c r="D5437" s="2" t="s">
        <v>36</v>
      </c>
      <c r="E5437">
        <v>5616</v>
      </c>
      <c r="F5437">
        <v>412</v>
      </c>
      <c r="G5437">
        <v>71</v>
      </c>
      <c r="H5437">
        <v>150.84</v>
      </c>
      <c r="I5437">
        <v>11062.07</v>
      </c>
      <c r="J5437">
        <v>7.34</v>
      </c>
      <c r="K5437">
        <v>17.23</v>
      </c>
      <c r="L5437">
        <v>2.12</v>
      </c>
      <c r="M5437">
        <v>73.34</v>
      </c>
      <c r="N5437">
        <v>10911.23</v>
      </c>
    </row>
    <row r="5438" spans="1:14" x14ac:dyDescent="0.2">
      <c r="A5438" s="1">
        <v>45927</v>
      </c>
      <c r="B5438" s="2" t="s">
        <v>14</v>
      </c>
      <c r="C5438" s="2" t="s">
        <v>21</v>
      </c>
      <c r="D5438" s="2" t="s">
        <v>36</v>
      </c>
      <c r="E5438">
        <v>6811</v>
      </c>
      <c r="F5438">
        <v>259</v>
      </c>
      <c r="G5438">
        <v>21</v>
      </c>
      <c r="H5438">
        <v>957.27</v>
      </c>
      <c r="I5438">
        <v>3407.32</v>
      </c>
      <c r="J5438">
        <v>3.8</v>
      </c>
      <c r="K5438">
        <v>8.11</v>
      </c>
      <c r="L5438">
        <v>45.58</v>
      </c>
      <c r="M5438">
        <v>3.56</v>
      </c>
      <c r="N5438">
        <v>2450.0500000000002</v>
      </c>
    </row>
    <row r="5439" spans="1:14" x14ac:dyDescent="0.2">
      <c r="A5439" s="1">
        <v>45927</v>
      </c>
      <c r="B5439" s="2" t="s">
        <v>17</v>
      </c>
      <c r="C5439" s="2" t="s">
        <v>35</v>
      </c>
      <c r="D5439" s="2" t="s">
        <v>19</v>
      </c>
      <c r="E5439">
        <v>10343</v>
      </c>
      <c r="F5439">
        <v>330</v>
      </c>
      <c r="G5439">
        <v>20</v>
      </c>
      <c r="H5439">
        <v>452.52</v>
      </c>
      <c r="I5439">
        <v>2201.4</v>
      </c>
      <c r="J5439">
        <v>3.19</v>
      </c>
      <c r="K5439">
        <v>6.06</v>
      </c>
      <c r="L5439">
        <v>22.63</v>
      </c>
      <c r="M5439">
        <v>4.8600000000000003</v>
      </c>
      <c r="N5439">
        <v>1748.88</v>
      </c>
    </row>
    <row r="5440" spans="1:14" x14ac:dyDescent="0.2">
      <c r="A5440" s="1">
        <v>45927</v>
      </c>
      <c r="B5440" s="2" t="s">
        <v>20</v>
      </c>
      <c r="C5440" s="2" t="s">
        <v>32</v>
      </c>
      <c r="D5440" s="2" t="s">
        <v>25</v>
      </c>
      <c r="E5440">
        <v>7909</v>
      </c>
      <c r="F5440">
        <v>345</v>
      </c>
      <c r="G5440">
        <v>26</v>
      </c>
      <c r="H5440">
        <v>650.82000000000005</v>
      </c>
      <c r="I5440">
        <v>2435.6799999999998</v>
      </c>
      <c r="J5440">
        <v>4.3600000000000003</v>
      </c>
      <c r="K5440">
        <v>7.54</v>
      </c>
      <c r="L5440">
        <v>25.03</v>
      </c>
      <c r="M5440">
        <v>3.74</v>
      </c>
      <c r="N5440">
        <v>1784.86</v>
      </c>
    </row>
    <row r="5441" spans="1:14" x14ac:dyDescent="0.2">
      <c r="A5441" s="1">
        <v>45927</v>
      </c>
      <c r="B5441" s="2" t="s">
        <v>23</v>
      </c>
      <c r="C5441" s="2" t="s">
        <v>15</v>
      </c>
      <c r="D5441" s="2" t="s">
        <v>36</v>
      </c>
      <c r="E5441">
        <v>2597</v>
      </c>
      <c r="F5441">
        <v>53</v>
      </c>
      <c r="G5441">
        <v>6</v>
      </c>
      <c r="H5441">
        <v>1044.31</v>
      </c>
      <c r="I5441">
        <v>1609.35</v>
      </c>
      <c r="J5441">
        <v>2.04</v>
      </c>
      <c r="K5441">
        <v>11.32</v>
      </c>
      <c r="L5441">
        <v>174.05</v>
      </c>
      <c r="M5441">
        <v>1.54</v>
      </c>
      <c r="N5441">
        <v>565.04</v>
      </c>
    </row>
    <row r="5442" spans="1:14" x14ac:dyDescent="0.2">
      <c r="A5442" s="1">
        <v>45927</v>
      </c>
      <c r="B5442" s="2" t="s">
        <v>24</v>
      </c>
      <c r="C5442" s="2" t="s">
        <v>32</v>
      </c>
      <c r="D5442" s="2" t="s">
        <v>19</v>
      </c>
      <c r="E5442">
        <v>12509</v>
      </c>
      <c r="F5442">
        <v>2787</v>
      </c>
      <c r="G5442">
        <v>256</v>
      </c>
      <c r="H5442">
        <v>159.31</v>
      </c>
      <c r="I5442">
        <v>35245.379999999997</v>
      </c>
      <c r="J5442">
        <v>22.28</v>
      </c>
      <c r="K5442">
        <v>9.19</v>
      </c>
      <c r="L5442">
        <v>0.62</v>
      </c>
      <c r="M5442">
        <v>221.24</v>
      </c>
      <c r="N5442">
        <v>35086.07</v>
      </c>
    </row>
    <row r="5443" spans="1:14" x14ac:dyDescent="0.2">
      <c r="A5443" s="1">
        <v>45927</v>
      </c>
      <c r="B5443" s="2" t="s">
        <v>26</v>
      </c>
      <c r="C5443" s="2" t="s">
        <v>15</v>
      </c>
      <c r="D5443" s="2" t="s">
        <v>36</v>
      </c>
      <c r="E5443">
        <v>17487</v>
      </c>
      <c r="F5443">
        <v>816</v>
      </c>
      <c r="G5443">
        <v>105</v>
      </c>
      <c r="H5443">
        <v>0</v>
      </c>
      <c r="I5443">
        <v>13948.77</v>
      </c>
      <c r="J5443">
        <v>4.67</v>
      </c>
      <c r="K5443">
        <v>12.87</v>
      </c>
      <c r="L5443">
        <v>0</v>
      </c>
      <c r="M5443">
        <v>0</v>
      </c>
      <c r="N5443">
        <v>13948.77</v>
      </c>
    </row>
    <row r="5444" spans="1:14" x14ac:dyDescent="0.2">
      <c r="A5444" s="1">
        <v>45927</v>
      </c>
      <c r="B5444" s="2" t="s">
        <v>27</v>
      </c>
      <c r="C5444" s="2" t="s">
        <v>15</v>
      </c>
      <c r="D5444" s="2" t="s">
        <v>16</v>
      </c>
      <c r="E5444">
        <v>21901</v>
      </c>
      <c r="F5444">
        <v>403</v>
      </c>
      <c r="G5444">
        <v>18</v>
      </c>
      <c r="H5444">
        <v>698.34</v>
      </c>
      <c r="I5444">
        <v>1593.03</v>
      </c>
      <c r="J5444">
        <v>1.84</v>
      </c>
      <c r="K5444">
        <v>4.47</v>
      </c>
      <c r="L5444">
        <v>38.799999999999997</v>
      </c>
      <c r="M5444">
        <v>2.2799999999999998</v>
      </c>
      <c r="N5444">
        <v>894.69</v>
      </c>
    </row>
    <row r="5445" spans="1:14" x14ac:dyDescent="0.2">
      <c r="A5445" s="1">
        <v>45927</v>
      </c>
      <c r="B5445" s="2" t="s">
        <v>29</v>
      </c>
      <c r="C5445" s="2" t="s">
        <v>18</v>
      </c>
      <c r="D5445" s="2" t="s">
        <v>25</v>
      </c>
      <c r="E5445">
        <v>17025</v>
      </c>
      <c r="F5445">
        <v>477</v>
      </c>
      <c r="G5445">
        <v>29</v>
      </c>
      <c r="H5445">
        <v>608.92999999999995</v>
      </c>
      <c r="I5445">
        <v>4093.79</v>
      </c>
      <c r="J5445">
        <v>2.8</v>
      </c>
      <c r="K5445">
        <v>6.08</v>
      </c>
      <c r="L5445">
        <v>21</v>
      </c>
      <c r="M5445">
        <v>6.72</v>
      </c>
      <c r="N5445">
        <v>3484.86</v>
      </c>
    </row>
    <row r="5446" spans="1:14" x14ac:dyDescent="0.2">
      <c r="A5446" s="1">
        <v>45927</v>
      </c>
      <c r="B5446" s="2" t="s">
        <v>30</v>
      </c>
      <c r="C5446" s="2" t="s">
        <v>35</v>
      </c>
      <c r="D5446" s="2" t="s">
        <v>22</v>
      </c>
      <c r="E5446">
        <v>6286</v>
      </c>
      <c r="F5446">
        <v>147</v>
      </c>
      <c r="G5446">
        <v>8</v>
      </c>
      <c r="H5446">
        <v>396.23</v>
      </c>
      <c r="I5446">
        <v>856.52</v>
      </c>
      <c r="J5446">
        <v>2.34</v>
      </c>
      <c r="K5446">
        <v>5.44</v>
      </c>
      <c r="L5446">
        <v>49.53</v>
      </c>
      <c r="M5446">
        <v>2.16</v>
      </c>
      <c r="N5446">
        <v>460.29</v>
      </c>
    </row>
    <row r="5447" spans="1:14" x14ac:dyDescent="0.2">
      <c r="A5447" s="1">
        <v>45927</v>
      </c>
      <c r="B5447" s="2" t="s">
        <v>31</v>
      </c>
      <c r="C5447" s="2" t="s">
        <v>35</v>
      </c>
      <c r="D5447" s="2" t="s">
        <v>22</v>
      </c>
      <c r="E5447">
        <v>15708</v>
      </c>
      <c r="F5447">
        <v>626</v>
      </c>
      <c r="G5447">
        <v>41</v>
      </c>
      <c r="H5447">
        <v>731.55</v>
      </c>
      <c r="I5447">
        <v>2715.41</v>
      </c>
      <c r="J5447">
        <v>3.99</v>
      </c>
      <c r="K5447">
        <v>6.55</v>
      </c>
      <c r="L5447">
        <v>17.84</v>
      </c>
      <c r="M5447">
        <v>3.71</v>
      </c>
      <c r="N5447">
        <v>1983.86</v>
      </c>
    </row>
    <row r="5448" spans="1:14" x14ac:dyDescent="0.2">
      <c r="A5448" s="1">
        <v>45927</v>
      </c>
      <c r="B5448" s="2" t="s">
        <v>33</v>
      </c>
      <c r="C5448" s="2" t="s">
        <v>15</v>
      </c>
      <c r="D5448" s="2" t="s">
        <v>36</v>
      </c>
      <c r="E5448">
        <v>3950</v>
      </c>
      <c r="F5448">
        <v>198</v>
      </c>
      <c r="G5448">
        <v>16</v>
      </c>
      <c r="H5448">
        <v>377.85</v>
      </c>
      <c r="I5448">
        <v>2067.5700000000002</v>
      </c>
      <c r="J5448">
        <v>5.01</v>
      </c>
      <c r="K5448">
        <v>8.08</v>
      </c>
      <c r="L5448">
        <v>23.62</v>
      </c>
      <c r="M5448">
        <v>5.47</v>
      </c>
      <c r="N5448">
        <v>1689.72</v>
      </c>
    </row>
    <row r="5449" spans="1:14" x14ac:dyDescent="0.2">
      <c r="A5449" s="1">
        <v>45927</v>
      </c>
      <c r="B5449" s="2" t="s">
        <v>34</v>
      </c>
      <c r="C5449" s="2" t="s">
        <v>15</v>
      </c>
      <c r="D5449" s="2" t="s">
        <v>19</v>
      </c>
      <c r="E5449">
        <v>2582</v>
      </c>
      <c r="F5449">
        <v>228</v>
      </c>
      <c r="G5449">
        <v>32</v>
      </c>
      <c r="H5449">
        <v>85.6</v>
      </c>
      <c r="I5449">
        <v>5044.04</v>
      </c>
      <c r="J5449">
        <v>8.83</v>
      </c>
      <c r="K5449">
        <v>14.04</v>
      </c>
      <c r="L5449">
        <v>2.68</v>
      </c>
      <c r="M5449">
        <v>58.93</v>
      </c>
      <c r="N5449">
        <v>4958.4399999999996</v>
      </c>
    </row>
    <row r="5450" spans="1:14" x14ac:dyDescent="0.2">
      <c r="A5450" s="1">
        <v>45928</v>
      </c>
      <c r="B5450" s="2" t="s">
        <v>14</v>
      </c>
      <c r="C5450" s="2" t="s">
        <v>18</v>
      </c>
      <c r="D5450" s="2" t="s">
        <v>22</v>
      </c>
      <c r="E5450">
        <v>5745</v>
      </c>
      <c r="F5450">
        <v>251</v>
      </c>
      <c r="G5450">
        <v>29</v>
      </c>
      <c r="H5450">
        <v>846.97</v>
      </c>
      <c r="I5450">
        <v>4806.76</v>
      </c>
      <c r="J5450">
        <v>4.37</v>
      </c>
      <c r="K5450">
        <v>11.55</v>
      </c>
      <c r="L5450">
        <v>29.21</v>
      </c>
      <c r="M5450">
        <v>5.68</v>
      </c>
      <c r="N5450">
        <v>3959.79</v>
      </c>
    </row>
    <row r="5451" spans="1:14" x14ac:dyDescent="0.2">
      <c r="A5451" s="1">
        <v>45928</v>
      </c>
      <c r="B5451" s="2" t="s">
        <v>17</v>
      </c>
      <c r="C5451" s="2" t="s">
        <v>28</v>
      </c>
      <c r="D5451" s="2" t="s">
        <v>16</v>
      </c>
      <c r="E5451">
        <v>12098</v>
      </c>
      <c r="F5451">
        <v>428</v>
      </c>
      <c r="G5451">
        <v>30</v>
      </c>
      <c r="H5451">
        <v>767.05</v>
      </c>
      <c r="I5451">
        <v>4090.81</v>
      </c>
      <c r="J5451">
        <v>3.54</v>
      </c>
      <c r="K5451">
        <v>7.01</v>
      </c>
      <c r="L5451">
        <v>25.57</v>
      </c>
      <c r="M5451">
        <v>5.33</v>
      </c>
      <c r="N5451">
        <v>3323.76</v>
      </c>
    </row>
    <row r="5452" spans="1:14" x14ac:dyDescent="0.2">
      <c r="A5452" s="1">
        <v>45928</v>
      </c>
      <c r="B5452" s="2" t="s">
        <v>20</v>
      </c>
      <c r="C5452" s="2" t="s">
        <v>18</v>
      </c>
      <c r="D5452" s="2" t="s">
        <v>16</v>
      </c>
      <c r="E5452">
        <v>9723</v>
      </c>
      <c r="F5452">
        <v>249</v>
      </c>
      <c r="G5452">
        <v>18</v>
      </c>
      <c r="H5452">
        <v>374.03</v>
      </c>
      <c r="I5452">
        <v>1639.09</v>
      </c>
      <c r="J5452">
        <v>2.56</v>
      </c>
      <c r="K5452">
        <v>7.23</v>
      </c>
      <c r="L5452">
        <v>20.78</v>
      </c>
      <c r="M5452">
        <v>4.38</v>
      </c>
      <c r="N5452">
        <v>1265.06</v>
      </c>
    </row>
    <row r="5453" spans="1:14" x14ac:dyDescent="0.2">
      <c r="A5453" s="1">
        <v>45928</v>
      </c>
      <c r="B5453" s="2" t="s">
        <v>23</v>
      </c>
      <c r="C5453" s="2" t="s">
        <v>15</v>
      </c>
      <c r="D5453" s="2" t="s">
        <v>36</v>
      </c>
      <c r="E5453">
        <v>3978</v>
      </c>
      <c r="F5453">
        <v>85</v>
      </c>
      <c r="G5453">
        <v>11</v>
      </c>
      <c r="H5453">
        <v>928.58</v>
      </c>
      <c r="I5453">
        <v>2532.4299999999998</v>
      </c>
      <c r="J5453">
        <v>2.14</v>
      </c>
      <c r="K5453">
        <v>12.94</v>
      </c>
      <c r="L5453">
        <v>84.42</v>
      </c>
      <c r="M5453">
        <v>2.73</v>
      </c>
      <c r="N5453">
        <v>1603.85</v>
      </c>
    </row>
    <row r="5454" spans="1:14" x14ac:dyDescent="0.2">
      <c r="A5454" s="1">
        <v>45928</v>
      </c>
      <c r="B5454" s="2" t="s">
        <v>24</v>
      </c>
      <c r="C5454" s="2" t="s">
        <v>32</v>
      </c>
      <c r="D5454" s="2" t="s">
        <v>36</v>
      </c>
      <c r="E5454">
        <v>16104</v>
      </c>
      <c r="F5454">
        <v>2482</v>
      </c>
      <c r="G5454">
        <v>262</v>
      </c>
      <c r="H5454">
        <v>190.96</v>
      </c>
      <c r="I5454">
        <v>39327.64</v>
      </c>
      <c r="J5454">
        <v>15.41</v>
      </c>
      <c r="K5454">
        <v>10.56</v>
      </c>
      <c r="L5454">
        <v>0.73</v>
      </c>
      <c r="M5454">
        <v>205.95</v>
      </c>
      <c r="N5454">
        <v>39136.68</v>
      </c>
    </row>
    <row r="5455" spans="1:14" x14ac:dyDescent="0.2">
      <c r="A5455" s="1">
        <v>45928</v>
      </c>
      <c r="B5455" s="2" t="s">
        <v>26</v>
      </c>
      <c r="C5455" s="2" t="s">
        <v>15</v>
      </c>
      <c r="D5455" s="2" t="s">
        <v>19</v>
      </c>
      <c r="E5455">
        <v>20060</v>
      </c>
      <c r="F5455">
        <v>1435</v>
      </c>
      <c r="G5455">
        <v>167</v>
      </c>
      <c r="H5455">
        <v>0</v>
      </c>
      <c r="I5455">
        <v>18695.189999999999</v>
      </c>
      <c r="J5455">
        <v>7.15</v>
      </c>
      <c r="K5455">
        <v>11.64</v>
      </c>
      <c r="L5455">
        <v>0</v>
      </c>
      <c r="M5455">
        <v>0</v>
      </c>
      <c r="N5455">
        <v>18695.189999999999</v>
      </c>
    </row>
    <row r="5456" spans="1:14" x14ac:dyDescent="0.2">
      <c r="A5456" s="1">
        <v>45928</v>
      </c>
      <c r="B5456" s="2" t="s">
        <v>27</v>
      </c>
      <c r="C5456" s="2" t="s">
        <v>15</v>
      </c>
      <c r="D5456" s="2" t="s">
        <v>36</v>
      </c>
      <c r="E5456">
        <v>19544</v>
      </c>
      <c r="F5456">
        <v>240</v>
      </c>
      <c r="G5456">
        <v>9</v>
      </c>
      <c r="H5456">
        <v>683.22</v>
      </c>
      <c r="I5456">
        <v>831.77</v>
      </c>
      <c r="J5456">
        <v>1.23</v>
      </c>
      <c r="K5456">
        <v>3.75</v>
      </c>
      <c r="L5456">
        <v>75.91</v>
      </c>
      <c r="M5456">
        <v>1.22</v>
      </c>
      <c r="N5456">
        <v>148.55000000000001</v>
      </c>
    </row>
    <row r="5457" spans="1:14" x14ac:dyDescent="0.2">
      <c r="A5457" s="1">
        <v>45928</v>
      </c>
      <c r="B5457" s="2" t="s">
        <v>29</v>
      </c>
      <c r="C5457" s="2" t="s">
        <v>21</v>
      </c>
      <c r="D5457" s="2" t="s">
        <v>22</v>
      </c>
      <c r="E5457">
        <v>12345</v>
      </c>
      <c r="F5457">
        <v>337</v>
      </c>
      <c r="G5457">
        <v>15</v>
      </c>
      <c r="H5457">
        <v>772.79</v>
      </c>
      <c r="I5457">
        <v>1681.47</v>
      </c>
      <c r="J5457">
        <v>2.73</v>
      </c>
      <c r="K5457">
        <v>4.45</v>
      </c>
      <c r="L5457">
        <v>51.52</v>
      </c>
      <c r="M5457">
        <v>2.1800000000000002</v>
      </c>
      <c r="N5457">
        <v>908.68</v>
      </c>
    </row>
    <row r="5458" spans="1:14" x14ac:dyDescent="0.2">
      <c r="A5458" s="1">
        <v>45928</v>
      </c>
      <c r="B5458" s="2" t="s">
        <v>30</v>
      </c>
      <c r="C5458" s="2" t="s">
        <v>35</v>
      </c>
      <c r="D5458" s="2" t="s">
        <v>22</v>
      </c>
      <c r="E5458">
        <v>8118</v>
      </c>
      <c r="F5458">
        <v>256</v>
      </c>
      <c r="G5458">
        <v>13</v>
      </c>
      <c r="H5458">
        <v>288.87</v>
      </c>
      <c r="I5458">
        <v>1079.03</v>
      </c>
      <c r="J5458">
        <v>3.15</v>
      </c>
      <c r="K5458">
        <v>5.08</v>
      </c>
      <c r="L5458">
        <v>22.22</v>
      </c>
      <c r="M5458">
        <v>3.74</v>
      </c>
      <c r="N5458">
        <v>790.16</v>
      </c>
    </row>
    <row r="5459" spans="1:14" x14ac:dyDescent="0.2">
      <c r="A5459" s="1">
        <v>45928</v>
      </c>
      <c r="B5459" s="2" t="s">
        <v>31</v>
      </c>
      <c r="C5459" s="2" t="s">
        <v>15</v>
      </c>
      <c r="D5459" s="2" t="s">
        <v>22</v>
      </c>
      <c r="E5459">
        <v>20903</v>
      </c>
      <c r="F5459">
        <v>723</v>
      </c>
      <c r="G5459">
        <v>24</v>
      </c>
      <c r="H5459">
        <v>556.29</v>
      </c>
      <c r="I5459">
        <v>2272.6</v>
      </c>
      <c r="J5459">
        <v>3.46</v>
      </c>
      <c r="K5459">
        <v>3.32</v>
      </c>
      <c r="L5459">
        <v>23.18</v>
      </c>
      <c r="M5459">
        <v>4.09</v>
      </c>
      <c r="N5459">
        <v>1716.31</v>
      </c>
    </row>
    <row r="5460" spans="1:14" x14ac:dyDescent="0.2">
      <c r="A5460" s="1">
        <v>45928</v>
      </c>
      <c r="B5460" s="2" t="s">
        <v>33</v>
      </c>
      <c r="C5460" s="2" t="s">
        <v>21</v>
      </c>
      <c r="D5460" s="2" t="s">
        <v>36</v>
      </c>
      <c r="E5460">
        <v>4966</v>
      </c>
      <c r="F5460">
        <v>273</v>
      </c>
      <c r="G5460">
        <v>31</v>
      </c>
      <c r="H5460">
        <v>387.35</v>
      </c>
      <c r="I5460">
        <v>4568.8100000000004</v>
      </c>
      <c r="J5460">
        <v>5.5</v>
      </c>
      <c r="K5460">
        <v>11.36</v>
      </c>
      <c r="L5460">
        <v>12.5</v>
      </c>
      <c r="M5460">
        <v>11.8</v>
      </c>
      <c r="N5460">
        <v>4181.46</v>
      </c>
    </row>
    <row r="5461" spans="1:14" x14ac:dyDescent="0.2">
      <c r="A5461" s="1">
        <v>45928</v>
      </c>
      <c r="B5461" s="2" t="s">
        <v>34</v>
      </c>
      <c r="C5461" s="2" t="s">
        <v>21</v>
      </c>
      <c r="D5461" s="2" t="s">
        <v>25</v>
      </c>
      <c r="E5461">
        <v>4289</v>
      </c>
      <c r="F5461">
        <v>348</v>
      </c>
      <c r="G5461">
        <v>42</v>
      </c>
      <c r="H5461">
        <v>69.040000000000006</v>
      </c>
      <c r="I5461">
        <v>6559.99</v>
      </c>
      <c r="J5461">
        <v>8.11</v>
      </c>
      <c r="K5461">
        <v>12.07</v>
      </c>
      <c r="L5461">
        <v>1.64</v>
      </c>
      <c r="M5461">
        <v>95.02</v>
      </c>
      <c r="N5461">
        <v>6490.95</v>
      </c>
    </row>
    <row r="5462" spans="1:14" x14ac:dyDescent="0.2">
      <c r="A5462" s="1">
        <v>45929</v>
      </c>
      <c r="B5462" s="2" t="s">
        <v>14</v>
      </c>
      <c r="C5462" s="2" t="s">
        <v>18</v>
      </c>
      <c r="D5462" s="2" t="s">
        <v>36</v>
      </c>
      <c r="E5462">
        <v>9230</v>
      </c>
      <c r="F5462">
        <v>345</v>
      </c>
      <c r="G5462">
        <v>35</v>
      </c>
      <c r="H5462">
        <v>1454.46</v>
      </c>
      <c r="I5462">
        <v>6145.69</v>
      </c>
      <c r="J5462">
        <v>3.74</v>
      </c>
      <c r="K5462">
        <v>10.14</v>
      </c>
      <c r="L5462">
        <v>41.56</v>
      </c>
      <c r="M5462">
        <v>4.2300000000000004</v>
      </c>
      <c r="N5462">
        <v>4691.2299999999996</v>
      </c>
    </row>
    <row r="5463" spans="1:14" x14ac:dyDescent="0.2">
      <c r="A5463" s="1">
        <v>45929</v>
      </c>
      <c r="B5463" s="2" t="s">
        <v>17</v>
      </c>
      <c r="C5463" s="2" t="s">
        <v>32</v>
      </c>
      <c r="D5463" s="2" t="s">
        <v>22</v>
      </c>
      <c r="E5463">
        <v>12612</v>
      </c>
      <c r="F5463">
        <v>473</v>
      </c>
      <c r="G5463">
        <v>41</v>
      </c>
      <c r="H5463">
        <v>698.21</v>
      </c>
      <c r="I5463">
        <v>4112.18</v>
      </c>
      <c r="J5463">
        <v>3.75</v>
      </c>
      <c r="K5463">
        <v>8.67</v>
      </c>
      <c r="L5463">
        <v>17.03</v>
      </c>
      <c r="M5463">
        <v>5.89</v>
      </c>
      <c r="N5463">
        <v>3413.97</v>
      </c>
    </row>
    <row r="5464" spans="1:14" x14ac:dyDescent="0.2">
      <c r="A5464" s="1">
        <v>45929</v>
      </c>
      <c r="B5464" s="2" t="s">
        <v>20</v>
      </c>
      <c r="C5464" s="2" t="s">
        <v>21</v>
      </c>
      <c r="D5464" s="2" t="s">
        <v>22</v>
      </c>
      <c r="E5464">
        <v>11265</v>
      </c>
      <c r="F5464">
        <v>451</v>
      </c>
      <c r="G5464">
        <v>32</v>
      </c>
      <c r="H5464">
        <v>793.69</v>
      </c>
      <c r="I5464">
        <v>3162.36</v>
      </c>
      <c r="J5464">
        <v>4</v>
      </c>
      <c r="K5464">
        <v>7.1</v>
      </c>
      <c r="L5464">
        <v>24.8</v>
      </c>
      <c r="M5464">
        <v>3.98</v>
      </c>
      <c r="N5464">
        <v>2368.67</v>
      </c>
    </row>
    <row r="5465" spans="1:14" x14ac:dyDescent="0.2">
      <c r="A5465" s="1">
        <v>45929</v>
      </c>
      <c r="B5465" s="2" t="s">
        <v>23</v>
      </c>
      <c r="C5465" s="2" t="s">
        <v>18</v>
      </c>
      <c r="D5465" s="2" t="s">
        <v>22</v>
      </c>
      <c r="E5465">
        <v>3380</v>
      </c>
      <c r="F5465">
        <v>63</v>
      </c>
      <c r="G5465">
        <v>8</v>
      </c>
      <c r="H5465">
        <v>1109.72</v>
      </c>
      <c r="I5465">
        <v>2329.94</v>
      </c>
      <c r="J5465">
        <v>1.86</v>
      </c>
      <c r="K5465">
        <v>12.7</v>
      </c>
      <c r="L5465">
        <v>138.72</v>
      </c>
      <c r="M5465">
        <v>2.1</v>
      </c>
      <c r="N5465">
        <v>1220.22</v>
      </c>
    </row>
    <row r="5466" spans="1:14" x14ac:dyDescent="0.2">
      <c r="A5466" s="1">
        <v>45929</v>
      </c>
      <c r="B5466" s="2" t="s">
        <v>24</v>
      </c>
      <c r="C5466" s="2" t="s">
        <v>21</v>
      </c>
      <c r="D5466" s="2" t="s">
        <v>19</v>
      </c>
      <c r="E5466">
        <v>19225</v>
      </c>
      <c r="F5466">
        <v>3284</v>
      </c>
      <c r="G5466">
        <v>378</v>
      </c>
      <c r="H5466">
        <v>297.14999999999998</v>
      </c>
      <c r="I5466">
        <v>45835.94</v>
      </c>
      <c r="J5466">
        <v>17.079999999999998</v>
      </c>
      <c r="K5466">
        <v>11.51</v>
      </c>
      <c r="L5466">
        <v>0.79</v>
      </c>
      <c r="M5466">
        <v>154.25</v>
      </c>
      <c r="N5466">
        <v>45538.79</v>
      </c>
    </row>
    <row r="5467" spans="1:14" x14ac:dyDescent="0.2">
      <c r="A5467" s="1">
        <v>45929</v>
      </c>
      <c r="B5467" s="2" t="s">
        <v>26</v>
      </c>
      <c r="C5467" s="2" t="s">
        <v>28</v>
      </c>
      <c r="D5467" s="2" t="s">
        <v>36</v>
      </c>
      <c r="E5467">
        <v>20233</v>
      </c>
      <c r="F5467">
        <v>1600</v>
      </c>
      <c r="G5467">
        <v>238</v>
      </c>
      <c r="H5467">
        <v>0</v>
      </c>
      <c r="I5467">
        <v>38787.360000000001</v>
      </c>
      <c r="J5467">
        <v>7.91</v>
      </c>
      <c r="K5467">
        <v>14.88</v>
      </c>
      <c r="L5467">
        <v>0</v>
      </c>
      <c r="M5467">
        <v>0</v>
      </c>
      <c r="N5467">
        <v>38787.360000000001</v>
      </c>
    </row>
    <row r="5468" spans="1:14" x14ac:dyDescent="0.2">
      <c r="A5468" s="1">
        <v>45929</v>
      </c>
      <c r="B5468" s="2" t="s">
        <v>27</v>
      </c>
      <c r="C5468" s="2" t="s">
        <v>15</v>
      </c>
      <c r="D5468" s="2" t="s">
        <v>25</v>
      </c>
      <c r="E5468">
        <v>38126</v>
      </c>
      <c r="F5468">
        <v>432</v>
      </c>
      <c r="G5468">
        <v>12</v>
      </c>
      <c r="H5468">
        <v>1290.72</v>
      </c>
      <c r="I5468">
        <v>1089.67</v>
      </c>
      <c r="J5468">
        <v>1.1299999999999999</v>
      </c>
      <c r="K5468">
        <v>2.78</v>
      </c>
      <c r="L5468">
        <v>107.56</v>
      </c>
      <c r="M5468">
        <v>0.84</v>
      </c>
      <c r="N5468">
        <v>-201.05</v>
      </c>
    </row>
    <row r="5469" spans="1:14" x14ac:dyDescent="0.2">
      <c r="A5469" s="1">
        <v>45929</v>
      </c>
      <c r="B5469" s="2" t="s">
        <v>29</v>
      </c>
      <c r="C5469" s="2" t="s">
        <v>18</v>
      </c>
      <c r="D5469" s="2" t="s">
        <v>22</v>
      </c>
      <c r="E5469">
        <v>22674</v>
      </c>
      <c r="F5469">
        <v>487</v>
      </c>
      <c r="G5469">
        <v>29</v>
      </c>
      <c r="H5469">
        <v>1323.68</v>
      </c>
      <c r="I5469">
        <v>2797.78</v>
      </c>
      <c r="J5469">
        <v>2.15</v>
      </c>
      <c r="K5469">
        <v>5.95</v>
      </c>
      <c r="L5469">
        <v>45.64</v>
      </c>
      <c r="M5469">
        <v>2.11</v>
      </c>
      <c r="N5469">
        <v>1474.1</v>
      </c>
    </row>
    <row r="5470" spans="1:14" x14ac:dyDescent="0.2">
      <c r="A5470" s="1">
        <v>45929</v>
      </c>
      <c r="B5470" s="2" t="s">
        <v>30</v>
      </c>
      <c r="C5470" s="2" t="s">
        <v>18</v>
      </c>
      <c r="D5470" s="2" t="s">
        <v>19</v>
      </c>
      <c r="E5470">
        <v>10834</v>
      </c>
      <c r="F5470">
        <v>346</v>
      </c>
      <c r="G5470">
        <v>14</v>
      </c>
      <c r="H5470">
        <v>440.88</v>
      </c>
      <c r="I5470">
        <v>1427.68</v>
      </c>
      <c r="J5470">
        <v>3.19</v>
      </c>
      <c r="K5470">
        <v>4.05</v>
      </c>
      <c r="L5470">
        <v>31.49</v>
      </c>
      <c r="M5470">
        <v>3.24</v>
      </c>
      <c r="N5470">
        <v>986.8</v>
      </c>
    </row>
    <row r="5471" spans="1:14" x14ac:dyDescent="0.2">
      <c r="A5471" s="1">
        <v>45929</v>
      </c>
      <c r="B5471" s="2" t="s">
        <v>31</v>
      </c>
      <c r="C5471" s="2" t="s">
        <v>18</v>
      </c>
      <c r="D5471" s="2" t="s">
        <v>36</v>
      </c>
      <c r="E5471">
        <v>21788</v>
      </c>
      <c r="F5471">
        <v>636</v>
      </c>
      <c r="G5471">
        <v>32</v>
      </c>
      <c r="H5471">
        <v>725.02</v>
      </c>
      <c r="I5471">
        <v>2476.34</v>
      </c>
      <c r="J5471">
        <v>2.92</v>
      </c>
      <c r="K5471">
        <v>5.03</v>
      </c>
      <c r="L5471">
        <v>22.66</v>
      </c>
      <c r="M5471">
        <v>3.42</v>
      </c>
      <c r="N5471">
        <v>1751.32</v>
      </c>
    </row>
    <row r="5472" spans="1:14" x14ac:dyDescent="0.2">
      <c r="A5472" s="1">
        <v>45929</v>
      </c>
      <c r="B5472" s="2" t="s">
        <v>33</v>
      </c>
      <c r="C5472" s="2" t="s">
        <v>18</v>
      </c>
      <c r="D5472" s="2" t="s">
        <v>19</v>
      </c>
      <c r="E5472">
        <v>8060</v>
      </c>
      <c r="F5472">
        <v>389</v>
      </c>
      <c r="G5472">
        <v>31</v>
      </c>
      <c r="H5472">
        <v>566.28</v>
      </c>
      <c r="I5472">
        <v>3238.97</v>
      </c>
      <c r="J5472">
        <v>4.83</v>
      </c>
      <c r="K5472">
        <v>7.97</v>
      </c>
      <c r="L5472">
        <v>18.27</v>
      </c>
      <c r="M5472">
        <v>5.72</v>
      </c>
      <c r="N5472">
        <v>2672.69</v>
      </c>
    </row>
    <row r="5473" spans="1:14" x14ac:dyDescent="0.2">
      <c r="A5473" s="1">
        <v>45929</v>
      </c>
      <c r="B5473" s="2" t="s">
        <v>34</v>
      </c>
      <c r="C5473" s="2" t="s">
        <v>18</v>
      </c>
      <c r="D5473" s="2" t="s">
        <v>19</v>
      </c>
      <c r="E5473">
        <v>3714</v>
      </c>
      <c r="F5473">
        <v>254</v>
      </c>
      <c r="G5473">
        <v>32</v>
      </c>
      <c r="H5473">
        <v>108.21</v>
      </c>
      <c r="I5473">
        <v>4423.5200000000004</v>
      </c>
      <c r="J5473">
        <v>6.84</v>
      </c>
      <c r="K5473">
        <v>12.6</v>
      </c>
      <c r="L5473">
        <v>3.38</v>
      </c>
      <c r="M5473">
        <v>40.880000000000003</v>
      </c>
      <c r="N5473">
        <v>4315.3100000000004</v>
      </c>
    </row>
    <row r="5474" spans="1:14" x14ac:dyDescent="0.2">
      <c r="A5474" s="1">
        <v>45930</v>
      </c>
      <c r="B5474" s="2" t="s">
        <v>14</v>
      </c>
      <c r="C5474" s="2" t="s">
        <v>18</v>
      </c>
      <c r="D5474" s="2" t="s">
        <v>25</v>
      </c>
      <c r="E5474">
        <v>8692</v>
      </c>
      <c r="F5474">
        <v>304</v>
      </c>
      <c r="G5474">
        <v>24</v>
      </c>
      <c r="H5474">
        <v>1461.96</v>
      </c>
      <c r="I5474">
        <v>4415</v>
      </c>
      <c r="J5474">
        <v>3.5</v>
      </c>
      <c r="K5474">
        <v>7.89</v>
      </c>
      <c r="L5474">
        <v>60.92</v>
      </c>
      <c r="M5474">
        <v>3.02</v>
      </c>
      <c r="N5474">
        <v>2953.04</v>
      </c>
    </row>
    <row r="5475" spans="1:14" x14ac:dyDescent="0.2">
      <c r="A5475" s="1">
        <v>45930</v>
      </c>
      <c r="B5475" s="2" t="s">
        <v>17</v>
      </c>
      <c r="C5475" s="2" t="s">
        <v>21</v>
      </c>
      <c r="D5475" s="2" t="s">
        <v>36</v>
      </c>
      <c r="E5475">
        <v>17722</v>
      </c>
      <c r="F5475">
        <v>627</v>
      </c>
      <c r="G5475">
        <v>45</v>
      </c>
      <c r="H5475">
        <v>882.03</v>
      </c>
      <c r="I5475">
        <v>4641.9399999999996</v>
      </c>
      <c r="J5475">
        <v>3.54</v>
      </c>
      <c r="K5475">
        <v>7.18</v>
      </c>
      <c r="L5475">
        <v>19.600000000000001</v>
      </c>
      <c r="M5475">
        <v>5.26</v>
      </c>
      <c r="N5475">
        <v>3759.91</v>
      </c>
    </row>
    <row r="5476" spans="1:14" x14ac:dyDescent="0.2">
      <c r="A5476" s="1">
        <v>45930</v>
      </c>
      <c r="B5476" s="2" t="s">
        <v>20</v>
      </c>
      <c r="C5476" s="2" t="s">
        <v>28</v>
      </c>
      <c r="D5476" s="2" t="s">
        <v>16</v>
      </c>
      <c r="E5476">
        <v>14423</v>
      </c>
      <c r="F5476">
        <v>622</v>
      </c>
      <c r="G5476">
        <v>39</v>
      </c>
      <c r="H5476">
        <v>947.52</v>
      </c>
      <c r="I5476">
        <v>4281.3100000000004</v>
      </c>
      <c r="J5476">
        <v>4.3099999999999996</v>
      </c>
      <c r="K5476">
        <v>6.27</v>
      </c>
      <c r="L5476">
        <v>24.3</v>
      </c>
      <c r="M5476">
        <v>4.5199999999999996</v>
      </c>
      <c r="N5476">
        <v>3333.79</v>
      </c>
    </row>
    <row r="5477" spans="1:14" x14ac:dyDescent="0.2">
      <c r="A5477" s="1">
        <v>45930</v>
      </c>
      <c r="B5477" s="2" t="s">
        <v>23</v>
      </c>
      <c r="C5477" s="2" t="s">
        <v>18</v>
      </c>
      <c r="D5477" s="2" t="s">
        <v>16</v>
      </c>
      <c r="E5477">
        <v>3872</v>
      </c>
      <c r="F5477">
        <v>83</v>
      </c>
      <c r="G5477">
        <v>9</v>
      </c>
      <c r="H5477">
        <v>1410.8</v>
      </c>
      <c r="I5477">
        <v>1911.06</v>
      </c>
      <c r="J5477">
        <v>2.14</v>
      </c>
      <c r="K5477">
        <v>10.84</v>
      </c>
      <c r="L5477">
        <v>156.76</v>
      </c>
      <c r="M5477">
        <v>1.35</v>
      </c>
      <c r="N5477">
        <v>500.26</v>
      </c>
    </row>
    <row r="5478" spans="1:14" x14ac:dyDescent="0.2">
      <c r="A5478" s="1">
        <v>45930</v>
      </c>
      <c r="B5478" s="2" t="s">
        <v>24</v>
      </c>
      <c r="C5478" s="2" t="s">
        <v>35</v>
      </c>
      <c r="D5478" s="2" t="s">
        <v>16</v>
      </c>
      <c r="E5478">
        <v>15406</v>
      </c>
      <c r="F5478">
        <v>2917</v>
      </c>
      <c r="G5478">
        <v>335</v>
      </c>
      <c r="H5478">
        <v>298.91000000000003</v>
      </c>
      <c r="I5478">
        <v>49780.56</v>
      </c>
      <c r="J5478">
        <v>18.93</v>
      </c>
      <c r="K5478">
        <v>11.48</v>
      </c>
      <c r="L5478">
        <v>0.89</v>
      </c>
      <c r="M5478">
        <v>166.54</v>
      </c>
      <c r="N5478">
        <v>49481.65</v>
      </c>
    </row>
    <row r="5479" spans="1:14" x14ac:dyDescent="0.2">
      <c r="A5479" s="1">
        <v>45930</v>
      </c>
      <c r="B5479" s="2" t="s">
        <v>26</v>
      </c>
      <c r="C5479" s="2" t="s">
        <v>15</v>
      </c>
      <c r="D5479" s="2" t="s">
        <v>25</v>
      </c>
      <c r="E5479">
        <v>33624</v>
      </c>
      <c r="F5479">
        <v>1536</v>
      </c>
      <c r="G5479">
        <v>199</v>
      </c>
      <c r="H5479">
        <v>0</v>
      </c>
      <c r="I5479">
        <v>27168.31</v>
      </c>
      <c r="J5479">
        <v>4.57</v>
      </c>
      <c r="K5479">
        <v>12.96</v>
      </c>
      <c r="L5479">
        <v>0</v>
      </c>
      <c r="M5479">
        <v>0</v>
      </c>
      <c r="N5479">
        <v>27168.31</v>
      </c>
    </row>
    <row r="5480" spans="1:14" x14ac:dyDescent="0.2">
      <c r="A5480" s="1">
        <v>45930</v>
      </c>
      <c r="B5480" s="2" t="s">
        <v>27</v>
      </c>
      <c r="C5480" s="2" t="s">
        <v>18</v>
      </c>
      <c r="D5480" s="2" t="s">
        <v>16</v>
      </c>
      <c r="E5480">
        <v>37480</v>
      </c>
      <c r="F5480">
        <v>480</v>
      </c>
      <c r="G5480">
        <v>23</v>
      </c>
      <c r="H5480">
        <v>1157.95</v>
      </c>
      <c r="I5480">
        <v>2965.78</v>
      </c>
      <c r="J5480">
        <v>1.28</v>
      </c>
      <c r="K5480">
        <v>4.79</v>
      </c>
      <c r="L5480">
        <v>50.35</v>
      </c>
      <c r="M5480">
        <v>2.56</v>
      </c>
      <c r="N5480">
        <v>1807.83</v>
      </c>
    </row>
    <row r="5481" spans="1:14" x14ac:dyDescent="0.2">
      <c r="A5481" s="1">
        <v>45930</v>
      </c>
      <c r="B5481" s="2" t="s">
        <v>29</v>
      </c>
      <c r="C5481" s="2" t="s">
        <v>21</v>
      </c>
      <c r="D5481" s="2" t="s">
        <v>25</v>
      </c>
      <c r="E5481">
        <v>20875</v>
      </c>
      <c r="F5481">
        <v>393</v>
      </c>
      <c r="G5481">
        <v>16</v>
      </c>
      <c r="H5481">
        <v>831.96</v>
      </c>
      <c r="I5481">
        <v>2157</v>
      </c>
      <c r="J5481">
        <v>1.88</v>
      </c>
      <c r="K5481">
        <v>4.07</v>
      </c>
      <c r="L5481">
        <v>52</v>
      </c>
      <c r="M5481">
        <v>2.59</v>
      </c>
      <c r="N5481">
        <v>1325.04</v>
      </c>
    </row>
    <row r="5482" spans="1:14" x14ac:dyDescent="0.2">
      <c r="A5482" s="1">
        <v>45930</v>
      </c>
      <c r="B5482" s="2" t="s">
        <v>30</v>
      </c>
      <c r="C5482" s="2" t="s">
        <v>18</v>
      </c>
      <c r="D5482" s="2" t="s">
        <v>36</v>
      </c>
      <c r="E5482">
        <v>13980</v>
      </c>
      <c r="F5482">
        <v>322</v>
      </c>
      <c r="G5482">
        <v>11</v>
      </c>
      <c r="H5482">
        <v>777.62</v>
      </c>
      <c r="I5482">
        <v>978.3</v>
      </c>
      <c r="J5482">
        <v>2.2999999999999998</v>
      </c>
      <c r="K5482">
        <v>3.42</v>
      </c>
      <c r="L5482">
        <v>70.69</v>
      </c>
      <c r="M5482">
        <v>1.26</v>
      </c>
      <c r="N5482">
        <v>200.68</v>
      </c>
    </row>
    <row r="5483" spans="1:14" x14ac:dyDescent="0.2">
      <c r="A5483" s="1">
        <v>45930</v>
      </c>
      <c r="B5483" s="2" t="s">
        <v>31</v>
      </c>
      <c r="C5483" s="2" t="s">
        <v>32</v>
      </c>
      <c r="D5483" s="2" t="s">
        <v>25</v>
      </c>
      <c r="E5483">
        <v>23220</v>
      </c>
      <c r="F5483">
        <v>854</v>
      </c>
      <c r="G5483">
        <v>44</v>
      </c>
      <c r="H5483">
        <v>874.95</v>
      </c>
      <c r="I5483">
        <v>3215.37</v>
      </c>
      <c r="J5483">
        <v>3.68</v>
      </c>
      <c r="K5483">
        <v>5.15</v>
      </c>
      <c r="L5483">
        <v>19.89</v>
      </c>
      <c r="M5483">
        <v>3.67</v>
      </c>
      <c r="N5483">
        <v>2340.42</v>
      </c>
    </row>
    <row r="5484" spans="1:14" x14ac:dyDescent="0.2">
      <c r="A5484" s="1">
        <v>45930</v>
      </c>
      <c r="B5484" s="2" t="s">
        <v>33</v>
      </c>
      <c r="C5484" s="2" t="s">
        <v>35</v>
      </c>
      <c r="D5484" s="2" t="s">
        <v>36</v>
      </c>
      <c r="E5484">
        <v>8574</v>
      </c>
      <c r="F5484">
        <v>423</v>
      </c>
      <c r="G5484">
        <v>36</v>
      </c>
      <c r="H5484">
        <v>590.07000000000005</v>
      </c>
      <c r="I5484">
        <v>5435.14</v>
      </c>
      <c r="J5484">
        <v>4.93</v>
      </c>
      <c r="K5484">
        <v>8.51</v>
      </c>
      <c r="L5484">
        <v>16.39</v>
      </c>
      <c r="M5484">
        <v>9.2100000000000009</v>
      </c>
      <c r="N5484">
        <v>4845.07</v>
      </c>
    </row>
    <row r="5485" spans="1:14" x14ac:dyDescent="0.2">
      <c r="A5485" s="1">
        <v>45930</v>
      </c>
      <c r="B5485" s="2" t="s">
        <v>34</v>
      </c>
      <c r="C5485" s="2" t="s">
        <v>28</v>
      </c>
      <c r="D5485" s="2" t="s">
        <v>19</v>
      </c>
      <c r="E5485">
        <v>6516</v>
      </c>
      <c r="F5485">
        <v>603</v>
      </c>
      <c r="G5485">
        <v>107</v>
      </c>
      <c r="H5485">
        <v>67.78</v>
      </c>
      <c r="I5485">
        <v>17140.47</v>
      </c>
      <c r="J5485">
        <v>9.25</v>
      </c>
      <c r="K5485">
        <v>17.739999999999998</v>
      </c>
      <c r="L5485">
        <v>0.63</v>
      </c>
      <c r="M5485">
        <v>252.88</v>
      </c>
      <c r="N5485">
        <v>17072.689999999999</v>
      </c>
    </row>
    <row r="5486" spans="1:14" x14ac:dyDescent="0.2">
      <c r="A5486" s="1">
        <v>45931</v>
      </c>
      <c r="B5486" s="2" t="s">
        <v>14</v>
      </c>
      <c r="C5486" s="2" t="s">
        <v>32</v>
      </c>
      <c r="D5486" s="2" t="s">
        <v>36</v>
      </c>
      <c r="E5486">
        <v>12768</v>
      </c>
      <c r="F5486">
        <v>556</v>
      </c>
      <c r="G5486">
        <v>56</v>
      </c>
      <c r="H5486">
        <v>1320.44</v>
      </c>
      <c r="I5486">
        <v>9439.59</v>
      </c>
      <c r="J5486">
        <v>4.3499999999999996</v>
      </c>
      <c r="K5486">
        <v>10.07</v>
      </c>
      <c r="L5486">
        <v>23.58</v>
      </c>
      <c r="M5486">
        <v>7.15</v>
      </c>
      <c r="N5486">
        <v>8119.15</v>
      </c>
    </row>
    <row r="5487" spans="1:14" x14ac:dyDescent="0.2">
      <c r="A5487" s="1">
        <v>45931</v>
      </c>
      <c r="B5487" s="2" t="s">
        <v>17</v>
      </c>
      <c r="C5487" s="2" t="s">
        <v>35</v>
      </c>
      <c r="D5487" s="2" t="s">
        <v>19</v>
      </c>
      <c r="E5487">
        <v>19962</v>
      </c>
      <c r="F5487">
        <v>506</v>
      </c>
      <c r="G5487">
        <v>32</v>
      </c>
      <c r="H5487">
        <v>897.93</v>
      </c>
      <c r="I5487">
        <v>3283.34</v>
      </c>
      <c r="J5487">
        <v>2.5299999999999998</v>
      </c>
      <c r="K5487">
        <v>6.32</v>
      </c>
      <c r="L5487">
        <v>28.06</v>
      </c>
      <c r="M5487">
        <v>3.66</v>
      </c>
      <c r="N5487">
        <v>2385.41</v>
      </c>
    </row>
    <row r="5488" spans="1:14" x14ac:dyDescent="0.2">
      <c r="A5488" s="1">
        <v>45931</v>
      </c>
      <c r="B5488" s="2" t="s">
        <v>20</v>
      </c>
      <c r="C5488" s="2" t="s">
        <v>15</v>
      </c>
      <c r="D5488" s="2" t="s">
        <v>19</v>
      </c>
      <c r="E5488">
        <v>12688</v>
      </c>
      <c r="F5488">
        <v>420</v>
      </c>
      <c r="G5488">
        <v>27</v>
      </c>
      <c r="H5488">
        <v>577.67999999999995</v>
      </c>
      <c r="I5488">
        <v>2839.29</v>
      </c>
      <c r="J5488">
        <v>3.31</v>
      </c>
      <c r="K5488">
        <v>6.43</v>
      </c>
      <c r="L5488">
        <v>21.4</v>
      </c>
      <c r="M5488">
        <v>4.91</v>
      </c>
      <c r="N5488">
        <v>2261.61</v>
      </c>
    </row>
    <row r="5489" spans="1:14" x14ac:dyDescent="0.2">
      <c r="A5489" s="1">
        <v>45931</v>
      </c>
      <c r="B5489" s="2" t="s">
        <v>23</v>
      </c>
      <c r="C5489" s="2" t="s">
        <v>35</v>
      </c>
      <c r="D5489" s="2" t="s">
        <v>22</v>
      </c>
      <c r="E5489">
        <v>3452</v>
      </c>
      <c r="F5489">
        <v>52</v>
      </c>
      <c r="G5489">
        <v>7</v>
      </c>
      <c r="H5489">
        <v>1054.8699999999999</v>
      </c>
      <c r="I5489">
        <v>1339.72</v>
      </c>
      <c r="J5489">
        <v>1.51</v>
      </c>
      <c r="K5489">
        <v>13.46</v>
      </c>
      <c r="L5489">
        <v>150.69999999999999</v>
      </c>
      <c r="M5489">
        <v>1.27</v>
      </c>
      <c r="N5489">
        <v>284.85000000000002</v>
      </c>
    </row>
    <row r="5490" spans="1:14" x14ac:dyDescent="0.2">
      <c r="A5490" s="1">
        <v>45931</v>
      </c>
      <c r="B5490" s="2" t="s">
        <v>24</v>
      </c>
      <c r="C5490" s="2" t="s">
        <v>35</v>
      </c>
      <c r="D5490" s="2" t="s">
        <v>36</v>
      </c>
      <c r="E5490">
        <v>19828</v>
      </c>
      <c r="F5490">
        <v>3000</v>
      </c>
      <c r="G5490">
        <v>273</v>
      </c>
      <c r="H5490">
        <v>176.12</v>
      </c>
      <c r="I5490">
        <v>42699.97</v>
      </c>
      <c r="J5490">
        <v>15.13</v>
      </c>
      <c r="K5490">
        <v>9.1</v>
      </c>
      <c r="L5490">
        <v>0.65</v>
      </c>
      <c r="M5490">
        <v>242.45</v>
      </c>
      <c r="N5490">
        <v>42523.85</v>
      </c>
    </row>
    <row r="5491" spans="1:14" x14ac:dyDescent="0.2">
      <c r="A5491" s="1">
        <v>45931</v>
      </c>
      <c r="B5491" s="2" t="s">
        <v>26</v>
      </c>
      <c r="C5491" s="2" t="s">
        <v>28</v>
      </c>
      <c r="D5491" s="2" t="s">
        <v>25</v>
      </c>
      <c r="E5491">
        <v>32571</v>
      </c>
      <c r="F5491">
        <v>2327</v>
      </c>
      <c r="G5491">
        <v>312</v>
      </c>
      <c r="H5491">
        <v>0</v>
      </c>
      <c r="I5491">
        <v>48821.64</v>
      </c>
      <c r="J5491">
        <v>7.14</v>
      </c>
      <c r="K5491">
        <v>13.41</v>
      </c>
      <c r="L5491">
        <v>0</v>
      </c>
      <c r="M5491">
        <v>0</v>
      </c>
      <c r="N5491">
        <v>48821.64</v>
      </c>
    </row>
    <row r="5492" spans="1:14" x14ac:dyDescent="0.2">
      <c r="A5492" s="1">
        <v>45931</v>
      </c>
      <c r="B5492" s="2" t="s">
        <v>27</v>
      </c>
      <c r="C5492" s="2" t="s">
        <v>18</v>
      </c>
      <c r="D5492" s="2" t="s">
        <v>19</v>
      </c>
      <c r="E5492">
        <v>25806</v>
      </c>
      <c r="F5492">
        <v>507</v>
      </c>
      <c r="G5492">
        <v>24</v>
      </c>
      <c r="H5492">
        <v>1287.51</v>
      </c>
      <c r="I5492">
        <v>2830.46</v>
      </c>
      <c r="J5492">
        <v>1.96</v>
      </c>
      <c r="K5492">
        <v>4.7300000000000004</v>
      </c>
      <c r="L5492">
        <v>53.65</v>
      </c>
      <c r="M5492">
        <v>2.2000000000000002</v>
      </c>
      <c r="N5492">
        <v>1542.95</v>
      </c>
    </row>
    <row r="5493" spans="1:14" x14ac:dyDescent="0.2">
      <c r="A5493" s="1">
        <v>45931</v>
      </c>
      <c r="B5493" s="2" t="s">
        <v>29</v>
      </c>
      <c r="C5493" s="2" t="s">
        <v>35</v>
      </c>
      <c r="D5493" s="2" t="s">
        <v>16</v>
      </c>
      <c r="E5493">
        <v>22449</v>
      </c>
      <c r="F5493">
        <v>623</v>
      </c>
      <c r="G5493">
        <v>25</v>
      </c>
      <c r="H5493">
        <v>914.31</v>
      </c>
      <c r="I5493">
        <v>2769.97</v>
      </c>
      <c r="J5493">
        <v>2.78</v>
      </c>
      <c r="K5493">
        <v>4.01</v>
      </c>
      <c r="L5493">
        <v>36.57</v>
      </c>
      <c r="M5493">
        <v>3.03</v>
      </c>
      <c r="N5493">
        <v>1855.66</v>
      </c>
    </row>
    <row r="5494" spans="1:14" x14ac:dyDescent="0.2">
      <c r="A5494" s="1">
        <v>45931</v>
      </c>
      <c r="B5494" s="2" t="s">
        <v>30</v>
      </c>
      <c r="C5494" s="2" t="s">
        <v>18</v>
      </c>
      <c r="D5494" s="2" t="s">
        <v>36</v>
      </c>
      <c r="E5494">
        <v>10130</v>
      </c>
      <c r="F5494">
        <v>326</v>
      </c>
      <c r="G5494">
        <v>11</v>
      </c>
      <c r="H5494">
        <v>732.96</v>
      </c>
      <c r="I5494">
        <v>1054.8699999999999</v>
      </c>
      <c r="J5494">
        <v>3.22</v>
      </c>
      <c r="K5494">
        <v>3.37</v>
      </c>
      <c r="L5494">
        <v>66.63</v>
      </c>
      <c r="M5494">
        <v>1.44</v>
      </c>
      <c r="N5494">
        <v>321.91000000000003</v>
      </c>
    </row>
    <row r="5495" spans="1:14" x14ac:dyDescent="0.2">
      <c r="A5495" s="1">
        <v>45931</v>
      </c>
      <c r="B5495" s="2" t="s">
        <v>31</v>
      </c>
      <c r="C5495" s="2" t="s">
        <v>15</v>
      </c>
      <c r="D5495" s="2" t="s">
        <v>36</v>
      </c>
      <c r="E5495">
        <v>19511</v>
      </c>
      <c r="F5495">
        <v>820</v>
      </c>
      <c r="G5495">
        <v>32</v>
      </c>
      <c r="H5495">
        <v>1022.94</v>
      </c>
      <c r="I5495">
        <v>2940.62</v>
      </c>
      <c r="J5495">
        <v>4.2</v>
      </c>
      <c r="K5495">
        <v>3.9</v>
      </c>
      <c r="L5495">
        <v>31.97</v>
      </c>
      <c r="M5495">
        <v>2.87</v>
      </c>
      <c r="N5495">
        <v>1917.68</v>
      </c>
    </row>
    <row r="5496" spans="1:14" x14ac:dyDescent="0.2">
      <c r="A5496" s="1">
        <v>45931</v>
      </c>
      <c r="B5496" s="2" t="s">
        <v>33</v>
      </c>
      <c r="C5496" s="2" t="s">
        <v>15</v>
      </c>
      <c r="D5496" s="2" t="s">
        <v>22</v>
      </c>
      <c r="E5496">
        <v>6186</v>
      </c>
      <c r="F5496">
        <v>276</v>
      </c>
      <c r="G5496">
        <v>33</v>
      </c>
      <c r="H5496">
        <v>389.82</v>
      </c>
      <c r="I5496">
        <v>4516.3500000000004</v>
      </c>
      <c r="J5496">
        <v>4.46</v>
      </c>
      <c r="K5496">
        <v>11.96</v>
      </c>
      <c r="L5496">
        <v>11.81</v>
      </c>
      <c r="M5496">
        <v>11.59</v>
      </c>
      <c r="N5496">
        <v>4126.53</v>
      </c>
    </row>
    <row r="5497" spans="1:14" x14ac:dyDescent="0.2">
      <c r="A5497" s="1">
        <v>45931</v>
      </c>
      <c r="B5497" s="2" t="s">
        <v>34</v>
      </c>
      <c r="C5497" s="2" t="s">
        <v>18</v>
      </c>
      <c r="D5497" s="2" t="s">
        <v>25</v>
      </c>
      <c r="E5497">
        <v>5126</v>
      </c>
      <c r="F5497">
        <v>501</v>
      </c>
      <c r="G5497">
        <v>66</v>
      </c>
      <c r="H5497">
        <v>104.45</v>
      </c>
      <c r="I5497">
        <v>10992.97</v>
      </c>
      <c r="J5497">
        <v>9.77</v>
      </c>
      <c r="K5497">
        <v>13.17</v>
      </c>
      <c r="L5497">
        <v>1.58</v>
      </c>
      <c r="M5497">
        <v>105.25</v>
      </c>
      <c r="N5497">
        <v>10888.52</v>
      </c>
    </row>
    <row r="5498" spans="1:14" x14ac:dyDescent="0.2">
      <c r="A5498" s="1">
        <v>45932</v>
      </c>
      <c r="B5498" s="2" t="s">
        <v>14</v>
      </c>
      <c r="C5498" s="2" t="s">
        <v>18</v>
      </c>
      <c r="D5498" s="2" t="s">
        <v>25</v>
      </c>
      <c r="E5498">
        <v>9620</v>
      </c>
      <c r="F5498">
        <v>449</v>
      </c>
      <c r="G5498">
        <v>49</v>
      </c>
      <c r="H5498">
        <v>1493.61</v>
      </c>
      <c r="I5498">
        <v>6395.34</v>
      </c>
      <c r="J5498">
        <v>4.67</v>
      </c>
      <c r="K5498">
        <v>10.91</v>
      </c>
      <c r="L5498">
        <v>30.48</v>
      </c>
      <c r="M5498">
        <v>4.28</v>
      </c>
      <c r="N5498">
        <v>4901.7299999999996</v>
      </c>
    </row>
    <row r="5499" spans="1:14" x14ac:dyDescent="0.2">
      <c r="A5499" s="1">
        <v>45932</v>
      </c>
      <c r="B5499" s="2" t="s">
        <v>17</v>
      </c>
      <c r="C5499" s="2" t="s">
        <v>35</v>
      </c>
      <c r="D5499" s="2" t="s">
        <v>22</v>
      </c>
      <c r="E5499">
        <v>13483</v>
      </c>
      <c r="F5499">
        <v>528</v>
      </c>
      <c r="G5499">
        <v>43</v>
      </c>
      <c r="H5499">
        <v>753.53</v>
      </c>
      <c r="I5499">
        <v>4421.68</v>
      </c>
      <c r="J5499">
        <v>3.92</v>
      </c>
      <c r="K5499">
        <v>8.14</v>
      </c>
      <c r="L5499">
        <v>17.52</v>
      </c>
      <c r="M5499">
        <v>5.87</v>
      </c>
      <c r="N5499">
        <v>3668.15</v>
      </c>
    </row>
    <row r="5500" spans="1:14" x14ac:dyDescent="0.2">
      <c r="A5500" s="1">
        <v>45932</v>
      </c>
      <c r="B5500" s="2" t="s">
        <v>20</v>
      </c>
      <c r="C5500" s="2" t="s">
        <v>35</v>
      </c>
      <c r="D5500" s="2" t="s">
        <v>36</v>
      </c>
      <c r="E5500">
        <v>17872</v>
      </c>
      <c r="F5500">
        <v>453</v>
      </c>
      <c r="G5500">
        <v>33</v>
      </c>
      <c r="H5500">
        <v>701.83</v>
      </c>
      <c r="I5500">
        <v>4147.04</v>
      </c>
      <c r="J5500">
        <v>2.5299999999999998</v>
      </c>
      <c r="K5500">
        <v>7.28</v>
      </c>
      <c r="L5500">
        <v>21.27</v>
      </c>
      <c r="M5500">
        <v>5.91</v>
      </c>
      <c r="N5500">
        <v>3445.21</v>
      </c>
    </row>
    <row r="5501" spans="1:14" x14ac:dyDescent="0.2">
      <c r="A5501" s="1">
        <v>45932</v>
      </c>
      <c r="B5501" s="2" t="s">
        <v>23</v>
      </c>
      <c r="C5501" s="2" t="s">
        <v>32</v>
      </c>
      <c r="D5501" s="2" t="s">
        <v>36</v>
      </c>
      <c r="E5501">
        <v>3055</v>
      </c>
      <c r="F5501">
        <v>48</v>
      </c>
      <c r="G5501">
        <v>6</v>
      </c>
      <c r="H5501">
        <v>1465.92</v>
      </c>
      <c r="I5501">
        <v>1474.77</v>
      </c>
      <c r="J5501">
        <v>1.57</v>
      </c>
      <c r="K5501">
        <v>12.5</v>
      </c>
      <c r="L5501">
        <v>244.32</v>
      </c>
      <c r="M5501">
        <v>1.01</v>
      </c>
      <c r="N5501">
        <v>8.85</v>
      </c>
    </row>
    <row r="5502" spans="1:14" x14ac:dyDescent="0.2">
      <c r="A5502" s="1">
        <v>45932</v>
      </c>
      <c r="B5502" s="2" t="s">
        <v>24</v>
      </c>
      <c r="C5502" s="2" t="s">
        <v>32</v>
      </c>
      <c r="D5502" s="2" t="s">
        <v>36</v>
      </c>
      <c r="E5502">
        <v>15254</v>
      </c>
      <c r="F5502">
        <v>3480</v>
      </c>
      <c r="G5502">
        <v>465</v>
      </c>
      <c r="H5502">
        <v>112.11</v>
      </c>
      <c r="I5502">
        <v>63490.28</v>
      </c>
      <c r="J5502">
        <v>22.81</v>
      </c>
      <c r="K5502">
        <v>13.36</v>
      </c>
      <c r="L5502">
        <v>0.24</v>
      </c>
      <c r="M5502">
        <v>566.32000000000005</v>
      </c>
      <c r="N5502">
        <v>63378.17</v>
      </c>
    </row>
    <row r="5503" spans="1:14" x14ac:dyDescent="0.2">
      <c r="A5503" s="1">
        <v>45932</v>
      </c>
      <c r="B5503" s="2" t="s">
        <v>26</v>
      </c>
      <c r="C5503" s="2" t="s">
        <v>15</v>
      </c>
      <c r="D5503" s="2" t="s">
        <v>22</v>
      </c>
      <c r="E5503">
        <v>33823</v>
      </c>
      <c r="F5503">
        <v>1422</v>
      </c>
      <c r="G5503">
        <v>182</v>
      </c>
      <c r="H5503">
        <v>0</v>
      </c>
      <c r="I5503">
        <v>22705.8</v>
      </c>
      <c r="J5503">
        <v>4.2</v>
      </c>
      <c r="K5503">
        <v>12.8</v>
      </c>
      <c r="L5503">
        <v>0</v>
      </c>
      <c r="M5503">
        <v>0</v>
      </c>
      <c r="N5503">
        <v>22705.8</v>
      </c>
    </row>
    <row r="5504" spans="1:14" x14ac:dyDescent="0.2">
      <c r="A5504" s="1">
        <v>45932</v>
      </c>
      <c r="B5504" s="2" t="s">
        <v>27</v>
      </c>
      <c r="C5504" s="2" t="s">
        <v>18</v>
      </c>
      <c r="D5504" s="2" t="s">
        <v>19</v>
      </c>
      <c r="E5504">
        <v>29669</v>
      </c>
      <c r="F5504">
        <v>360</v>
      </c>
      <c r="G5504">
        <v>12</v>
      </c>
      <c r="H5504">
        <v>725.07</v>
      </c>
      <c r="I5504">
        <v>1518.54</v>
      </c>
      <c r="J5504">
        <v>1.21</v>
      </c>
      <c r="K5504">
        <v>3.33</v>
      </c>
      <c r="L5504">
        <v>60.42</v>
      </c>
      <c r="M5504">
        <v>2.09</v>
      </c>
      <c r="N5504">
        <v>793.47</v>
      </c>
    </row>
    <row r="5505" spans="1:14" x14ac:dyDescent="0.2">
      <c r="A5505" s="1">
        <v>45932</v>
      </c>
      <c r="B5505" s="2" t="s">
        <v>29</v>
      </c>
      <c r="C5505" s="2" t="s">
        <v>18</v>
      </c>
      <c r="D5505" s="2" t="s">
        <v>19</v>
      </c>
      <c r="E5505">
        <v>16363</v>
      </c>
      <c r="F5505">
        <v>420</v>
      </c>
      <c r="G5505">
        <v>22</v>
      </c>
      <c r="H5505">
        <v>1052.02</v>
      </c>
      <c r="I5505">
        <v>2007.92</v>
      </c>
      <c r="J5505">
        <v>2.57</v>
      </c>
      <c r="K5505">
        <v>5.24</v>
      </c>
      <c r="L5505">
        <v>47.82</v>
      </c>
      <c r="M5505">
        <v>1.91</v>
      </c>
      <c r="N5505">
        <v>955.9</v>
      </c>
    </row>
    <row r="5506" spans="1:14" x14ac:dyDescent="0.2">
      <c r="A5506" s="1">
        <v>45932</v>
      </c>
      <c r="B5506" s="2" t="s">
        <v>30</v>
      </c>
      <c r="C5506" s="2" t="s">
        <v>18</v>
      </c>
      <c r="D5506" s="2" t="s">
        <v>19</v>
      </c>
      <c r="E5506">
        <v>12489</v>
      </c>
      <c r="F5506">
        <v>397</v>
      </c>
      <c r="G5506">
        <v>14</v>
      </c>
      <c r="H5506">
        <v>699.59</v>
      </c>
      <c r="I5506">
        <v>1420.99</v>
      </c>
      <c r="J5506">
        <v>3.18</v>
      </c>
      <c r="K5506">
        <v>3.53</v>
      </c>
      <c r="L5506">
        <v>49.97</v>
      </c>
      <c r="M5506">
        <v>2.0299999999999998</v>
      </c>
      <c r="N5506">
        <v>721.4</v>
      </c>
    </row>
    <row r="5507" spans="1:14" x14ac:dyDescent="0.2">
      <c r="A5507" s="1">
        <v>45932</v>
      </c>
      <c r="B5507" s="2" t="s">
        <v>31</v>
      </c>
      <c r="C5507" s="2" t="s">
        <v>15</v>
      </c>
      <c r="D5507" s="2" t="s">
        <v>36</v>
      </c>
      <c r="E5507">
        <v>20329</v>
      </c>
      <c r="F5507">
        <v>666</v>
      </c>
      <c r="G5507">
        <v>36</v>
      </c>
      <c r="H5507">
        <v>1054.6500000000001</v>
      </c>
      <c r="I5507">
        <v>3994.79</v>
      </c>
      <c r="J5507">
        <v>3.28</v>
      </c>
      <c r="K5507">
        <v>5.41</v>
      </c>
      <c r="L5507">
        <v>29.3</v>
      </c>
      <c r="M5507">
        <v>3.79</v>
      </c>
      <c r="N5507">
        <v>2940.14</v>
      </c>
    </row>
    <row r="5508" spans="1:14" x14ac:dyDescent="0.2">
      <c r="A5508" s="1">
        <v>45932</v>
      </c>
      <c r="B5508" s="2" t="s">
        <v>33</v>
      </c>
      <c r="C5508" s="2" t="s">
        <v>21</v>
      </c>
      <c r="D5508" s="2" t="s">
        <v>25</v>
      </c>
      <c r="E5508">
        <v>9032</v>
      </c>
      <c r="F5508">
        <v>450</v>
      </c>
      <c r="G5508">
        <v>43</v>
      </c>
      <c r="H5508">
        <v>463.7</v>
      </c>
      <c r="I5508">
        <v>4308.96</v>
      </c>
      <c r="J5508">
        <v>4.9800000000000004</v>
      </c>
      <c r="K5508">
        <v>9.56</v>
      </c>
      <c r="L5508">
        <v>10.78</v>
      </c>
      <c r="M5508">
        <v>9.2899999999999991</v>
      </c>
      <c r="N5508">
        <v>3845.26</v>
      </c>
    </row>
    <row r="5509" spans="1:14" x14ac:dyDescent="0.2">
      <c r="A5509" s="1">
        <v>45932</v>
      </c>
      <c r="B5509" s="2" t="s">
        <v>34</v>
      </c>
      <c r="C5509" s="2" t="s">
        <v>28</v>
      </c>
      <c r="D5509" s="2" t="s">
        <v>36</v>
      </c>
      <c r="E5509">
        <v>4936</v>
      </c>
      <c r="F5509">
        <v>364</v>
      </c>
      <c r="G5509">
        <v>54</v>
      </c>
      <c r="H5509">
        <v>160.94999999999999</v>
      </c>
      <c r="I5509">
        <v>9704.7199999999993</v>
      </c>
      <c r="J5509">
        <v>7.37</v>
      </c>
      <c r="K5509">
        <v>14.84</v>
      </c>
      <c r="L5509">
        <v>2.98</v>
      </c>
      <c r="M5509">
        <v>60.3</v>
      </c>
      <c r="N5509">
        <v>9543.77</v>
      </c>
    </row>
    <row r="5510" spans="1:14" x14ac:dyDescent="0.2">
      <c r="A5510" s="1">
        <v>45933</v>
      </c>
      <c r="B5510" s="2" t="s">
        <v>14</v>
      </c>
      <c r="C5510" s="2" t="s">
        <v>15</v>
      </c>
      <c r="D5510" s="2" t="s">
        <v>25</v>
      </c>
      <c r="E5510">
        <v>8577</v>
      </c>
      <c r="F5510">
        <v>274</v>
      </c>
      <c r="G5510">
        <v>23</v>
      </c>
      <c r="H5510">
        <v>1012.37</v>
      </c>
      <c r="I5510">
        <v>3224.5</v>
      </c>
      <c r="J5510">
        <v>3.19</v>
      </c>
      <c r="K5510">
        <v>8.39</v>
      </c>
      <c r="L5510">
        <v>44.02</v>
      </c>
      <c r="M5510">
        <v>3.19</v>
      </c>
      <c r="N5510">
        <v>2212.13</v>
      </c>
    </row>
    <row r="5511" spans="1:14" x14ac:dyDescent="0.2">
      <c r="A5511" s="1">
        <v>45933</v>
      </c>
      <c r="B5511" s="2" t="s">
        <v>17</v>
      </c>
      <c r="C5511" s="2" t="s">
        <v>18</v>
      </c>
      <c r="D5511" s="2" t="s">
        <v>19</v>
      </c>
      <c r="E5511">
        <v>12766</v>
      </c>
      <c r="F5511">
        <v>259</v>
      </c>
      <c r="G5511">
        <v>21</v>
      </c>
      <c r="H5511">
        <v>1192.0899999999999</v>
      </c>
      <c r="I5511">
        <v>2735.46</v>
      </c>
      <c r="J5511">
        <v>2.0299999999999998</v>
      </c>
      <c r="K5511">
        <v>8.11</v>
      </c>
      <c r="L5511">
        <v>56.77</v>
      </c>
      <c r="M5511">
        <v>2.29</v>
      </c>
      <c r="N5511">
        <v>1543.37</v>
      </c>
    </row>
    <row r="5512" spans="1:14" x14ac:dyDescent="0.2">
      <c r="A5512" s="1">
        <v>45933</v>
      </c>
      <c r="B5512" s="2" t="s">
        <v>20</v>
      </c>
      <c r="C5512" s="2" t="s">
        <v>28</v>
      </c>
      <c r="D5512" s="2" t="s">
        <v>36</v>
      </c>
      <c r="E5512">
        <v>12772</v>
      </c>
      <c r="F5512">
        <v>355</v>
      </c>
      <c r="G5512">
        <v>17</v>
      </c>
      <c r="H5512">
        <v>519.12</v>
      </c>
      <c r="I5512">
        <v>1631.95</v>
      </c>
      <c r="J5512">
        <v>2.78</v>
      </c>
      <c r="K5512">
        <v>4.79</v>
      </c>
      <c r="L5512">
        <v>30.54</v>
      </c>
      <c r="M5512">
        <v>3.14</v>
      </c>
      <c r="N5512">
        <v>1112.83</v>
      </c>
    </row>
    <row r="5513" spans="1:14" x14ac:dyDescent="0.2">
      <c r="A5513" s="1">
        <v>45933</v>
      </c>
      <c r="B5513" s="2" t="s">
        <v>23</v>
      </c>
      <c r="C5513" s="2" t="s">
        <v>15</v>
      </c>
      <c r="D5513" s="2" t="s">
        <v>16</v>
      </c>
      <c r="E5513">
        <v>4989</v>
      </c>
      <c r="F5513">
        <v>101</v>
      </c>
      <c r="G5513">
        <v>13</v>
      </c>
      <c r="H5513">
        <v>1333.86</v>
      </c>
      <c r="I5513">
        <v>3604.47</v>
      </c>
      <c r="J5513">
        <v>2.02</v>
      </c>
      <c r="K5513">
        <v>12.87</v>
      </c>
      <c r="L5513">
        <v>102.6</v>
      </c>
      <c r="M5513">
        <v>2.7</v>
      </c>
      <c r="N5513">
        <v>2270.61</v>
      </c>
    </row>
    <row r="5514" spans="1:14" x14ac:dyDescent="0.2">
      <c r="A5514" s="1">
        <v>45933</v>
      </c>
      <c r="B5514" s="2" t="s">
        <v>24</v>
      </c>
      <c r="C5514" s="2" t="s">
        <v>15</v>
      </c>
      <c r="D5514" s="2" t="s">
        <v>36</v>
      </c>
      <c r="E5514">
        <v>18683</v>
      </c>
      <c r="F5514">
        <v>4514</v>
      </c>
      <c r="G5514">
        <v>510</v>
      </c>
      <c r="H5514">
        <v>126.84</v>
      </c>
      <c r="I5514">
        <v>70994.320000000007</v>
      </c>
      <c r="J5514">
        <v>24.16</v>
      </c>
      <c r="K5514">
        <v>11.3</v>
      </c>
      <c r="L5514">
        <v>0.25</v>
      </c>
      <c r="M5514">
        <v>559.72</v>
      </c>
      <c r="N5514">
        <v>70867.48</v>
      </c>
    </row>
    <row r="5515" spans="1:14" x14ac:dyDescent="0.2">
      <c r="A5515" s="1">
        <v>45933</v>
      </c>
      <c r="B5515" s="2" t="s">
        <v>26</v>
      </c>
      <c r="C5515" s="2" t="s">
        <v>35</v>
      </c>
      <c r="D5515" s="2" t="s">
        <v>25</v>
      </c>
      <c r="E5515">
        <v>27686</v>
      </c>
      <c r="F5515">
        <v>1269</v>
      </c>
      <c r="G5515">
        <v>162</v>
      </c>
      <c r="H5515">
        <v>0</v>
      </c>
      <c r="I5515">
        <v>17949.48</v>
      </c>
      <c r="J5515">
        <v>4.58</v>
      </c>
      <c r="K5515">
        <v>12.77</v>
      </c>
      <c r="L5515">
        <v>0</v>
      </c>
      <c r="M5515">
        <v>0</v>
      </c>
      <c r="N5515">
        <v>17949.48</v>
      </c>
    </row>
    <row r="5516" spans="1:14" x14ac:dyDescent="0.2">
      <c r="A5516" s="1">
        <v>45933</v>
      </c>
      <c r="B5516" s="2" t="s">
        <v>27</v>
      </c>
      <c r="C5516" s="2" t="s">
        <v>21</v>
      </c>
      <c r="D5516" s="2" t="s">
        <v>22</v>
      </c>
      <c r="E5516">
        <v>32056</v>
      </c>
      <c r="F5516">
        <v>527</v>
      </c>
      <c r="G5516">
        <v>16</v>
      </c>
      <c r="H5516">
        <v>1148.32</v>
      </c>
      <c r="I5516">
        <v>1318.31</v>
      </c>
      <c r="J5516">
        <v>1.64</v>
      </c>
      <c r="K5516">
        <v>3.04</v>
      </c>
      <c r="L5516">
        <v>71.77</v>
      </c>
      <c r="M5516">
        <v>1.1499999999999999</v>
      </c>
      <c r="N5516">
        <v>169.99</v>
      </c>
    </row>
    <row r="5517" spans="1:14" x14ac:dyDescent="0.2">
      <c r="A5517" s="1">
        <v>45933</v>
      </c>
      <c r="B5517" s="2" t="s">
        <v>29</v>
      </c>
      <c r="C5517" s="2" t="s">
        <v>32</v>
      </c>
      <c r="D5517" s="2" t="s">
        <v>25</v>
      </c>
      <c r="E5517">
        <v>22944</v>
      </c>
      <c r="F5517">
        <v>495</v>
      </c>
      <c r="G5517">
        <v>21</v>
      </c>
      <c r="H5517">
        <v>1379.12</v>
      </c>
      <c r="I5517">
        <v>2816.87</v>
      </c>
      <c r="J5517">
        <v>2.16</v>
      </c>
      <c r="K5517">
        <v>4.24</v>
      </c>
      <c r="L5517">
        <v>65.67</v>
      </c>
      <c r="M5517">
        <v>2.04</v>
      </c>
      <c r="N5517">
        <v>1437.75</v>
      </c>
    </row>
    <row r="5518" spans="1:14" x14ac:dyDescent="0.2">
      <c r="A5518" s="1">
        <v>45933</v>
      </c>
      <c r="B5518" s="2" t="s">
        <v>30</v>
      </c>
      <c r="C5518" s="2" t="s">
        <v>15</v>
      </c>
      <c r="D5518" s="2" t="s">
        <v>25</v>
      </c>
      <c r="E5518">
        <v>9725</v>
      </c>
      <c r="F5518">
        <v>319</v>
      </c>
      <c r="G5518">
        <v>18</v>
      </c>
      <c r="H5518">
        <v>441.01</v>
      </c>
      <c r="I5518">
        <v>1954.94</v>
      </c>
      <c r="J5518">
        <v>3.28</v>
      </c>
      <c r="K5518">
        <v>5.64</v>
      </c>
      <c r="L5518">
        <v>24.5</v>
      </c>
      <c r="M5518">
        <v>4.43</v>
      </c>
      <c r="N5518">
        <v>1513.93</v>
      </c>
    </row>
    <row r="5519" spans="1:14" x14ac:dyDescent="0.2">
      <c r="A5519" s="1">
        <v>45933</v>
      </c>
      <c r="B5519" s="2" t="s">
        <v>31</v>
      </c>
      <c r="C5519" s="2" t="s">
        <v>18</v>
      </c>
      <c r="D5519" s="2" t="s">
        <v>22</v>
      </c>
      <c r="E5519">
        <v>26474</v>
      </c>
      <c r="F5519">
        <v>849</v>
      </c>
      <c r="G5519">
        <v>29</v>
      </c>
      <c r="H5519">
        <v>839.07</v>
      </c>
      <c r="I5519">
        <v>2443.6999999999998</v>
      </c>
      <c r="J5519">
        <v>3.21</v>
      </c>
      <c r="K5519">
        <v>3.42</v>
      </c>
      <c r="L5519">
        <v>28.93</v>
      </c>
      <c r="M5519">
        <v>2.91</v>
      </c>
      <c r="N5519">
        <v>1604.63</v>
      </c>
    </row>
    <row r="5520" spans="1:14" x14ac:dyDescent="0.2">
      <c r="A5520" s="1">
        <v>45933</v>
      </c>
      <c r="B5520" s="2" t="s">
        <v>33</v>
      </c>
      <c r="C5520" s="2" t="s">
        <v>28</v>
      </c>
      <c r="D5520" s="2" t="s">
        <v>16</v>
      </c>
      <c r="E5520">
        <v>6340</v>
      </c>
      <c r="F5520">
        <v>375</v>
      </c>
      <c r="G5520">
        <v>31</v>
      </c>
      <c r="H5520">
        <v>519.55999999999995</v>
      </c>
      <c r="I5520">
        <v>3048.95</v>
      </c>
      <c r="J5520">
        <v>5.91</v>
      </c>
      <c r="K5520">
        <v>8.27</v>
      </c>
      <c r="L5520">
        <v>16.760000000000002</v>
      </c>
      <c r="M5520">
        <v>5.87</v>
      </c>
      <c r="N5520">
        <v>2529.39</v>
      </c>
    </row>
    <row r="5521" spans="1:14" x14ac:dyDescent="0.2">
      <c r="A5521" s="1">
        <v>45933</v>
      </c>
      <c r="B5521" s="2" t="s">
        <v>34</v>
      </c>
      <c r="C5521" s="2" t="s">
        <v>35</v>
      </c>
      <c r="D5521" s="2" t="s">
        <v>25</v>
      </c>
      <c r="E5521">
        <v>6658</v>
      </c>
      <c r="F5521">
        <v>665</v>
      </c>
      <c r="G5521">
        <v>108</v>
      </c>
      <c r="H5521">
        <v>75.37</v>
      </c>
      <c r="I5521">
        <v>19247.38</v>
      </c>
      <c r="J5521">
        <v>9.99</v>
      </c>
      <c r="K5521">
        <v>16.239999999999998</v>
      </c>
      <c r="L5521">
        <v>0.7</v>
      </c>
      <c r="M5521">
        <v>255.37</v>
      </c>
      <c r="N5521">
        <v>19172.009999999998</v>
      </c>
    </row>
    <row r="5522" spans="1:14" x14ac:dyDescent="0.2">
      <c r="A5522" s="1">
        <v>45934</v>
      </c>
      <c r="B5522" s="2" t="s">
        <v>14</v>
      </c>
      <c r="C5522" s="2" t="s">
        <v>28</v>
      </c>
      <c r="D5522" s="2" t="s">
        <v>22</v>
      </c>
      <c r="E5522">
        <v>5842</v>
      </c>
      <c r="F5522">
        <v>284</v>
      </c>
      <c r="G5522">
        <v>25</v>
      </c>
      <c r="H5522">
        <v>715.78</v>
      </c>
      <c r="I5522">
        <v>3556.4</v>
      </c>
      <c r="J5522">
        <v>4.8600000000000003</v>
      </c>
      <c r="K5522">
        <v>8.8000000000000007</v>
      </c>
      <c r="L5522">
        <v>28.63</v>
      </c>
      <c r="M5522">
        <v>4.97</v>
      </c>
      <c r="N5522">
        <v>2840.62</v>
      </c>
    </row>
    <row r="5523" spans="1:14" x14ac:dyDescent="0.2">
      <c r="A5523" s="1">
        <v>45934</v>
      </c>
      <c r="B5523" s="2" t="s">
        <v>17</v>
      </c>
      <c r="C5523" s="2" t="s">
        <v>28</v>
      </c>
      <c r="D5523" s="2" t="s">
        <v>16</v>
      </c>
      <c r="E5523">
        <v>13262</v>
      </c>
      <c r="F5523">
        <v>382</v>
      </c>
      <c r="G5523">
        <v>31</v>
      </c>
      <c r="H5523">
        <v>587.13</v>
      </c>
      <c r="I5523">
        <v>3076.91</v>
      </c>
      <c r="J5523">
        <v>2.88</v>
      </c>
      <c r="K5523">
        <v>8.1199999999999992</v>
      </c>
      <c r="L5523">
        <v>18.940000000000001</v>
      </c>
      <c r="M5523">
        <v>5.24</v>
      </c>
      <c r="N5523">
        <v>2489.7800000000002</v>
      </c>
    </row>
    <row r="5524" spans="1:14" x14ac:dyDescent="0.2">
      <c r="A5524" s="1">
        <v>45934</v>
      </c>
      <c r="B5524" s="2" t="s">
        <v>20</v>
      </c>
      <c r="C5524" s="2" t="s">
        <v>28</v>
      </c>
      <c r="D5524" s="2" t="s">
        <v>25</v>
      </c>
      <c r="E5524">
        <v>7618</v>
      </c>
      <c r="F5524">
        <v>203</v>
      </c>
      <c r="G5524">
        <v>13</v>
      </c>
      <c r="H5524">
        <v>512.23</v>
      </c>
      <c r="I5524">
        <v>1322.96</v>
      </c>
      <c r="J5524">
        <v>2.66</v>
      </c>
      <c r="K5524">
        <v>6.4</v>
      </c>
      <c r="L5524">
        <v>39.4</v>
      </c>
      <c r="M5524">
        <v>2.58</v>
      </c>
      <c r="N5524">
        <v>810.73</v>
      </c>
    </row>
    <row r="5525" spans="1:14" x14ac:dyDescent="0.2">
      <c r="A5525" s="1">
        <v>45934</v>
      </c>
      <c r="B5525" s="2" t="s">
        <v>23</v>
      </c>
      <c r="C5525" s="2" t="s">
        <v>21</v>
      </c>
      <c r="D5525" s="2" t="s">
        <v>22</v>
      </c>
      <c r="E5525">
        <v>2422</v>
      </c>
      <c r="F5525">
        <v>60</v>
      </c>
      <c r="G5525">
        <v>8</v>
      </c>
      <c r="H5525">
        <v>721.63</v>
      </c>
      <c r="I5525">
        <v>1787.63</v>
      </c>
      <c r="J5525">
        <v>2.48</v>
      </c>
      <c r="K5525">
        <v>13.33</v>
      </c>
      <c r="L5525">
        <v>90.2</v>
      </c>
      <c r="M5525">
        <v>2.48</v>
      </c>
      <c r="N5525">
        <v>1066</v>
      </c>
    </row>
    <row r="5526" spans="1:14" x14ac:dyDescent="0.2">
      <c r="A5526" s="1">
        <v>45934</v>
      </c>
      <c r="B5526" s="2" t="s">
        <v>24</v>
      </c>
      <c r="C5526" s="2" t="s">
        <v>21</v>
      </c>
      <c r="D5526" s="2" t="s">
        <v>22</v>
      </c>
      <c r="E5526">
        <v>16590</v>
      </c>
      <c r="F5526">
        <v>3338</v>
      </c>
      <c r="G5526">
        <v>427</v>
      </c>
      <c r="H5526">
        <v>124.98</v>
      </c>
      <c r="I5526">
        <v>64419.25</v>
      </c>
      <c r="J5526">
        <v>20.12</v>
      </c>
      <c r="K5526">
        <v>12.79</v>
      </c>
      <c r="L5526">
        <v>0.28999999999999998</v>
      </c>
      <c r="M5526">
        <v>515.44000000000005</v>
      </c>
      <c r="N5526">
        <v>64294.27</v>
      </c>
    </row>
    <row r="5527" spans="1:14" x14ac:dyDescent="0.2">
      <c r="A5527" s="1">
        <v>45934</v>
      </c>
      <c r="B5527" s="2" t="s">
        <v>26</v>
      </c>
      <c r="C5527" s="2" t="s">
        <v>15</v>
      </c>
      <c r="D5527" s="2" t="s">
        <v>16</v>
      </c>
      <c r="E5527">
        <v>17788</v>
      </c>
      <c r="F5527">
        <v>1173</v>
      </c>
      <c r="G5527">
        <v>142</v>
      </c>
      <c r="H5527">
        <v>0</v>
      </c>
      <c r="I5527">
        <v>17897.21</v>
      </c>
      <c r="J5527">
        <v>6.59</v>
      </c>
      <c r="K5527">
        <v>12.11</v>
      </c>
      <c r="L5527">
        <v>0</v>
      </c>
      <c r="M5527">
        <v>0</v>
      </c>
      <c r="N5527">
        <v>17897.21</v>
      </c>
    </row>
    <row r="5528" spans="1:14" x14ac:dyDescent="0.2">
      <c r="A5528" s="1">
        <v>45934</v>
      </c>
      <c r="B5528" s="2" t="s">
        <v>27</v>
      </c>
      <c r="C5528" s="2" t="s">
        <v>18</v>
      </c>
      <c r="D5528" s="2" t="s">
        <v>36</v>
      </c>
      <c r="E5528">
        <v>23147</v>
      </c>
      <c r="F5528">
        <v>408</v>
      </c>
      <c r="G5528">
        <v>11</v>
      </c>
      <c r="H5528">
        <v>727.11</v>
      </c>
      <c r="I5528">
        <v>1213.6099999999999</v>
      </c>
      <c r="J5528">
        <v>1.76</v>
      </c>
      <c r="K5528">
        <v>2.7</v>
      </c>
      <c r="L5528">
        <v>66.099999999999994</v>
      </c>
      <c r="M5528">
        <v>1.67</v>
      </c>
      <c r="N5528">
        <v>486.5</v>
      </c>
    </row>
    <row r="5529" spans="1:14" x14ac:dyDescent="0.2">
      <c r="A5529" s="1">
        <v>45934</v>
      </c>
      <c r="B5529" s="2" t="s">
        <v>29</v>
      </c>
      <c r="C5529" s="2" t="s">
        <v>15</v>
      </c>
      <c r="D5529" s="2" t="s">
        <v>16</v>
      </c>
      <c r="E5529">
        <v>16786</v>
      </c>
      <c r="F5529">
        <v>261</v>
      </c>
      <c r="G5529">
        <v>13</v>
      </c>
      <c r="H5529">
        <v>940.73</v>
      </c>
      <c r="I5529">
        <v>1641.66</v>
      </c>
      <c r="J5529">
        <v>1.55</v>
      </c>
      <c r="K5529">
        <v>4.9800000000000004</v>
      </c>
      <c r="L5529">
        <v>72.36</v>
      </c>
      <c r="M5529">
        <v>1.75</v>
      </c>
      <c r="N5529">
        <v>700.93</v>
      </c>
    </row>
    <row r="5530" spans="1:14" x14ac:dyDescent="0.2">
      <c r="A5530" s="1">
        <v>45934</v>
      </c>
      <c r="B5530" s="2" t="s">
        <v>30</v>
      </c>
      <c r="C5530" s="2" t="s">
        <v>21</v>
      </c>
      <c r="D5530" s="2" t="s">
        <v>19</v>
      </c>
      <c r="E5530">
        <v>5902</v>
      </c>
      <c r="F5530">
        <v>165</v>
      </c>
      <c r="G5530">
        <v>7</v>
      </c>
      <c r="H5530">
        <v>485.67</v>
      </c>
      <c r="I5530">
        <v>609.15</v>
      </c>
      <c r="J5530">
        <v>2.8</v>
      </c>
      <c r="K5530">
        <v>4.24</v>
      </c>
      <c r="L5530">
        <v>69.38</v>
      </c>
      <c r="M5530">
        <v>1.25</v>
      </c>
      <c r="N5530">
        <v>123.48</v>
      </c>
    </row>
    <row r="5531" spans="1:14" x14ac:dyDescent="0.2">
      <c r="A5531" s="1">
        <v>45934</v>
      </c>
      <c r="B5531" s="2" t="s">
        <v>31</v>
      </c>
      <c r="C5531" s="2" t="s">
        <v>28</v>
      </c>
      <c r="D5531" s="2" t="s">
        <v>19</v>
      </c>
      <c r="E5531">
        <v>19944</v>
      </c>
      <c r="F5531">
        <v>701</v>
      </c>
      <c r="G5531">
        <v>33</v>
      </c>
      <c r="H5531">
        <v>432.93</v>
      </c>
      <c r="I5531">
        <v>3062.16</v>
      </c>
      <c r="J5531">
        <v>3.51</v>
      </c>
      <c r="K5531">
        <v>4.71</v>
      </c>
      <c r="L5531">
        <v>13.12</v>
      </c>
      <c r="M5531">
        <v>7.07</v>
      </c>
      <c r="N5531">
        <v>2629.23</v>
      </c>
    </row>
    <row r="5532" spans="1:14" x14ac:dyDescent="0.2">
      <c r="A5532" s="1">
        <v>45934</v>
      </c>
      <c r="B5532" s="2" t="s">
        <v>33</v>
      </c>
      <c r="C5532" s="2" t="s">
        <v>21</v>
      </c>
      <c r="D5532" s="2" t="s">
        <v>19</v>
      </c>
      <c r="E5532">
        <v>5392</v>
      </c>
      <c r="F5532">
        <v>236</v>
      </c>
      <c r="G5532">
        <v>28</v>
      </c>
      <c r="H5532">
        <v>298.11</v>
      </c>
      <c r="I5532">
        <v>3553.79</v>
      </c>
      <c r="J5532">
        <v>4.38</v>
      </c>
      <c r="K5532">
        <v>11.86</v>
      </c>
      <c r="L5532">
        <v>10.65</v>
      </c>
      <c r="M5532">
        <v>11.92</v>
      </c>
      <c r="N5532">
        <v>3255.68</v>
      </c>
    </row>
    <row r="5533" spans="1:14" x14ac:dyDescent="0.2">
      <c r="A5533" s="1">
        <v>45934</v>
      </c>
      <c r="B5533" s="2" t="s">
        <v>34</v>
      </c>
      <c r="C5533" s="2" t="s">
        <v>15</v>
      </c>
      <c r="D5533" s="2" t="s">
        <v>36</v>
      </c>
      <c r="E5533">
        <v>3259</v>
      </c>
      <c r="F5533">
        <v>291</v>
      </c>
      <c r="G5533">
        <v>47</v>
      </c>
      <c r="H5533">
        <v>68.150000000000006</v>
      </c>
      <c r="I5533">
        <v>6624.58</v>
      </c>
      <c r="J5533">
        <v>8.93</v>
      </c>
      <c r="K5533">
        <v>16.149999999999999</v>
      </c>
      <c r="L5533">
        <v>1.45</v>
      </c>
      <c r="M5533">
        <v>97.21</v>
      </c>
      <c r="N5533">
        <v>6556.43</v>
      </c>
    </row>
    <row r="5534" spans="1:14" x14ac:dyDescent="0.2">
      <c r="A5534" s="1">
        <v>45935</v>
      </c>
      <c r="B5534" s="2" t="s">
        <v>14</v>
      </c>
      <c r="C5534" s="2" t="s">
        <v>15</v>
      </c>
      <c r="D5534" s="2" t="s">
        <v>16</v>
      </c>
      <c r="E5534">
        <v>5890</v>
      </c>
      <c r="F5534">
        <v>256</v>
      </c>
      <c r="G5534">
        <v>27</v>
      </c>
      <c r="H5534">
        <v>820.41</v>
      </c>
      <c r="I5534">
        <v>3612.78</v>
      </c>
      <c r="J5534">
        <v>4.3499999999999996</v>
      </c>
      <c r="K5534">
        <v>10.55</v>
      </c>
      <c r="L5534">
        <v>30.39</v>
      </c>
      <c r="M5534">
        <v>4.4000000000000004</v>
      </c>
      <c r="N5534">
        <v>2792.37</v>
      </c>
    </row>
    <row r="5535" spans="1:14" x14ac:dyDescent="0.2">
      <c r="A5535" s="1">
        <v>45935</v>
      </c>
      <c r="B5535" s="2" t="s">
        <v>17</v>
      </c>
      <c r="C5535" s="2" t="s">
        <v>15</v>
      </c>
      <c r="D5535" s="2" t="s">
        <v>22</v>
      </c>
      <c r="E5535">
        <v>8733</v>
      </c>
      <c r="F5535">
        <v>314</v>
      </c>
      <c r="G5535">
        <v>21</v>
      </c>
      <c r="H5535">
        <v>481.93</v>
      </c>
      <c r="I5535">
        <v>2883.12</v>
      </c>
      <c r="J5535">
        <v>3.6</v>
      </c>
      <c r="K5535">
        <v>6.69</v>
      </c>
      <c r="L5535">
        <v>22.95</v>
      </c>
      <c r="M5535">
        <v>5.98</v>
      </c>
      <c r="N5535">
        <v>2401.19</v>
      </c>
    </row>
    <row r="5536" spans="1:14" x14ac:dyDescent="0.2">
      <c r="A5536" s="1">
        <v>45935</v>
      </c>
      <c r="B5536" s="2" t="s">
        <v>20</v>
      </c>
      <c r="C5536" s="2" t="s">
        <v>32</v>
      </c>
      <c r="D5536" s="2" t="s">
        <v>36</v>
      </c>
      <c r="E5536">
        <v>11762</v>
      </c>
      <c r="F5536">
        <v>436</v>
      </c>
      <c r="G5536">
        <v>28</v>
      </c>
      <c r="H5536">
        <v>682.74</v>
      </c>
      <c r="I5536">
        <v>3171.78</v>
      </c>
      <c r="J5536">
        <v>3.71</v>
      </c>
      <c r="K5536">
        <v>6.42</v>
      </c>
      <c r="L5536">
        <v>24.38</v>
      </c>
      <c r="M5536">
        <v>4.6500000000000004</v>
      </c>
      <c r="N5536">
        <v>2489.04</v>
      </c>
    </row>
    <row r="5537" spans="1:14" x14ac:dyDescent="0.2">
      <c r="A5537" s="1">
        <v>45935</v>
      </c>
      <c r="B5537" s="2" t="s">
        <v>23</v>
      </c>
      <c r="C5537" s="2" t="s">
        <v>18</v>
      </c>
      <c r="D5537" s="2" t="s">
        <v>19</v>
      </c>
      <c r="E5537">
        <v>2526</v>
      </c>
      <c r="F5537">
        <v>53</v>
      </c>
      <c r="G5537">
        <v>7</v>
      </c>
      <c r="H5537">
        <v>1198.76</v>
      </c>
      <c r="I5537">
        <v>1976.54</v>
      </c>
      <c r="J5537">
        <v>2.1</v>
      </c>
      <c r="K5537">
        <v>13.21</v>
      </c>
      <c r="L5537">
        <v>171.25</v>
      </c>
      <c r="M5537">
        <v>1.65</v>
      </c>
      <c r="N5537">
        <v>777.78</v>
      </c>
    </row>
    <row r="5538" spans="1:14" x14ac:dyDescent="0.2">
      <c r="A5538" s="1">
        <v>45935</v>
      </c>
      <c r="B5538" s="2" t="s">
        <v>24</v>
      </c>
      <c r="C5538" s="2" t="s">
        <v>21</v>
      </c>
      <c r="D5538" s="2" t="s">
        <v>25</v>
      </c>
      <c r="E5538">
        <v>14019</v>
      </c>
      <c r="F5538">
        <v>3308</v>
      </c>
      <c r="G5538">
        <v>289</v>
      </c>
      <c r="H5538">
        <v>107.66</v>
      </c>
      <c r="I5538">
        <v>39812</v>
      </c>
      <c r="J5538">
        <v>23.6</v>
      </c>
      <c r="K5538">
        <v>8.74</v>
      </c>
      <c r="L5538">
        <v>0.37</v>
      </c>
      <c r="M5538">
        <v>369.79</v>
      </c>
      <c r="N5538">
        <v>39704.339999999997</v>
      </c>
    </row>
    <row r="5539" spans="1:14" x14ac:dyDescent="0.2">
      <c r="A5539" s="1">
        <v>45935</v>
      </c>
      <c r="B5539" s="2" t="s">
        <v>26</v>
      </c>
      <c r="C5539" s="2" t="s">
        <v>32</v>
      </c>
      <c r="D5539" s="2" t="s">
        <v>16</v>
      </c>
      <c r="E5539">
        <v>17552</v>
      </c>
      <c r="F5539">
        <v>993</v>
      </c>
      <c r="G5539">
        <v>107</v>
      </c>
      <c r="H5539">
        <v>0</v>
      </c>
      <c r="I5539">
        <v>12636.3</v>
      </c>
      <c r="J5539">
        <v>5.66</v>
      </c>
      <c r="K5539">
        <v>10.78</v>
      </c>
      <c r="L5539">
        <v>0</v>
      </c>
      <c r="M5539">
        <v>0</v>
      </c>
      <c r="N5539">
        <v>12636.3</v>
      </c>
    </row>
    <row r="5540" spans="1:14" x14ac:dyDescent="0.2">
      <c r="A5540" s="1">
        <v>45935</v>
      </c>
      <c r="B5540" s="2" t="s">
        <v>27</v>
      </c>
      <c r="C5540" s="2" t="s">
        <v>15</v>
      </c>
      <c r="D5540" s="2" t="s">
        <v>19</v>
      </c>
      <c r="E5540">
        <v>24523</v>
      </c>
      <c r="F5540">
        <v>414</v>
      </c>
      <c r="G5540">
        <v>13</v>
      </c>
      <c r="H5540">
        <v>620.29999999999995</v>
      </c>
      <c r="I5540">
        <v>1506.34</v>
      </c>
      <c r="J5540">
        <v>1.69</v>
      </c>
      <c r="K5540">
        <v>3.14</v>
      </c>
      <c r="L5540">
        <v>47.72</v>
      </c>
      <c r="M5540">
        <v>2.4300000000000002</v>
      </c>
      <c r="N5540">
        <v>886.04</v>
      </c>
    </row>
    <row r="5541" spans="1:14" x14ac:dyDescent="0.2">
      <c r="A5541" s="1">
        <v>45935</v>
      </c>
      <c r="B5541" s="2" t="s">
        <v>29</v>
      </c>
      <c r="C5541" s="2" t="s">
        <v>28</v>
      </c>
      <c r="D5541" s="2" t="s">
        <v>36</v>
      </c>
      <c r="E5541">
        <v>11865</v>
      </c>
      <c r="F5541">
        <v>194</v>
      </c>
      <c r="G5541">
        <v>8</v>
      </c>
      <c r="H5541">
        <v>601.71</v>
      </c>
      <c r="I5541">
        <v>1148.42</v>
      </c>
      <c r="J5541">
        <v>1.64</v>
      </c>
      <c r="K5541">
        <v>4.12</v>
      </c>
      <c r="L5541">
        <v>75.209999999999994</v>
      </c>
      <c r="M5541">
        <v>1.91</v>
      </c>
      <c r="N5541">
        <v>546.71</v>
      </c>
    </row>
    <row r="5542" spans="1:14" x14ac:dyDescent="0.2">
      <c r="A5542" s="1">
        <v>45935</v>
      </c>
      <c r="B5542" s="2" t="s">
        <v>30</v>
      </c>
      <c r="C5542" s="2" t="s">
        <v>15</v>
      </c>
      <c r="D5542" s="2" t="s">
        <v>25</v>
      </c>
      <c r="E5542">
        <v>7100</v>
      </c>
      <c r="F5542">
        <v>212</v>
      </c>
      <c r="G5542">
        <v>7</v>
      </c>
      <c r="H5542">
        <v>401.68</v>
      </c>
      <c r="I5542">
        <v>633.47</v>
      </c>
      <c r="J5542">
        <v>2.99</v>
      </c>
      <c r="K5542">
        <v>3.3</v>
      </c>
      <c r="L5542">
        <v>57.38</v>
      </c>
      <c r="M5542">
        <v>1.58</v>
      </c>
      <c r="N5542">
        <v>231.79</v>
      </c>
    </row>
    <row r="5543" spans="1:14" x14ac:dyDescent="0.2">
      <c r="A5543" s="1">
        <v>45935</v>
      </c>
      <c r="B5543" s="2" t="s">
        <v>31</v>
      </c>
      <c r="C5543" s="2" t="s">
        <v>28</v>
      </c>
      <c r="D5543" s="2" t="s">
        <v>22</v>
      </c>
      <c r="E5543">
        <v>15310</v>
      </c>
      <c r="F5543">
        <v>687</v>
      </c>
      <c r="G5543">
        <v>25</v>
      </c>
      <c r="H5543">
        <v>744.74</v>
      </c>
      <c r="I5543">
        <v>1984.53</v>
      </c>
      <c r="J5543">
        <v>4.49</v>
      </c>
      <c r="K5543">
        <v>3.64</v>
      </c>
      <c r="L5543">
        <v>29.79</v>
      </c>
      <c r="M5543">
        <v>2.66</v>
      </c>
      <c r="N5543">
        <v>1239.79</v>
      </c>
    </row>
    <row r="5544" spans="1:14" x14ac:dyDescent="0.2">
      <c r="A5544" s="1">
        <v>45935</v>
      </c>
      <c r="B5544" s="2" t="s">
        <v>33</v>
      </c>
      <c r="C5544" s="2" t="s">
        <v>21</v>
      </c>
      <c r="D5544" s="2" t="s">
        <v>19</v>
      </c>
      <c r="E5544">
        <v>4894</v>
      </c>
      <c r="F5544">
        <v>271</v>
      </c>
      <c r="G5544">
        <v>29</v>
      </c>
      <c r="H5544">
        <v>391.4</v>
      </c>
      <c r="I5544">
        <v>3842.06</v>
      </c>
      <c r="J5544">
        <v>5.54</v>
      </c>
      <c r="K5544">
        <v>10.7</v>
      </c>
      <c r="L5544">
        <v>13.5</v>
      </c>
      <c r="M5544">
        <v>9.82</v>
      </c>
      <c r="N5544">
        <v>3450.66</v>
      </c>
    </row>
    <row r="5545" spans="1:14" x14ac:dyDescent="0.2">
      <c r="A5545" s="1">
        <v>45935</v>
      </c>
      <c r="B5545" s="2" t="s">
        <v>34</v>
      </c>
      <c r="C5545" s="2" t="s">
        <v>18</v>
      </c>
      <c r="D5545" s="2" t="s">
        <v>19</v>
      </c>
      <c r="E5545">
        <v>4402</v>
      </c>
      <c r="F5545">
        <v>269</v>
      </c>
      <c r="G5545">
        <v>45</v>
      </c>
      <c r="H5545">
        <v>106.14</v>
      </c>
      <c r="I5545">
        <v>5610.57</v>
      </c>
      <c r="J5545">
        <v>6.11</v>
      </c>
      <c r="K5545">
        <v>16.73</v>
      </c>
      <c r="L5545">
        <v>2.36</v>
      </c>
      <c r="M5545">
        <v>52.86</v>
      </c>
      <c r="N5545">
        <v>5504.43</v>
      </c>
    </row>
    <row r="5546" spans="1:14" x14ac:dyDescent="0.2">
      <c r="A5546" s="1">
        <v>45936</v>
      </c>
      <c r="B5546" s="2" t="s">
        <v>14</v>
      </c>
      <c r="C5546" s="2" t="s">
        <v>18</v>
      </c>
      <c r="D5546" s="2" t="s">
        <v>16</v>
      </c>
      <c r="E5546">
        <v>10687</v>
      </c>
      <c r="F5546">
        <v>367</v>
      </c>
      <c r="G5546">
        <v>33</v>
      </c>
      <c r="H5546">
        <v>951.4</v>
      </c>
      <c r="I5546">
        <v>4679.78</v>
      </c>
      <c r="J5546">
        <v>3.43</v>
      </c>
      <c r="K5546">
        <v>8.99</v>
      </c>
      <c r="L5546">
        <v>28.83</v>
      </c>
      <c r="M5546">
        <v>4.92</v>
      </c>
      <c r="N5546">
        <v>3728.38</v>
      </c>
    </row>
    <row r="5547" spans="1:14" x14ac:dyDescent="0.2">
      <c r="A5547" s="1">
        <v>45936</v>
      </c>
      <c r="B5547" s="2" t="s">
        <v>17</v>
      </c>
      <c r="C5547" s="2" t="s">
        <v>18</v>
      </c>
      <c r="D5547" s="2" t="s">
        <v>19</v>
      </c>
      <c r="E5547">
        <v>14196</v>
      </c>
      <c r="F5547">
        <v>495</v>
      </c>
      <c r="G5547">
        <v>38</v>
      </c>
      <c r="H5547">
        <v>904.08</v>
      </c>
      <c r="I5547">
        <v>4613.66</v>
      </c>
      <c r="J5547">
        <v>3.49</v>
      </c>
      <c r="K5547">
        <v>7.68</v>
      </c>
      <c r="L5547">
        <v>23.79</v>
      </c>
      <c r="M5547">
        <v>5.0999999999999996</v>
      </c>
      <c r="N5547">
        <v>3709.58</v>
      </c>
    </row>
    <row r="5548" spans="1:14" x14ac:dyDescent="0.2">
      <c r="A5548" s="1">
        <v>45936</v>
      </c>
      <c r="B5548" s="2" t="s">
        <v>20</v>
      </c>
      <c r="C5548" s="2" t="s">
        <v>15</v>
      </c>
      <c r="D5548" s="2" t="s">
        <v>25</v>
      </c>
      <c r="E5548">
        <v>10712</v>
      </c>
      <c r="F5548">
        <v>402</v>
      </c>
      <c r="G5548">
        <v>24</v>
      </c>
      <c r="H5548">
        <v>816.59</v>
      </c>
      <c r="I5548">
        <v>2925.28</v>
      </c>
      <c r="J5548">
        <v>3.75</v>
      </c>
      <c r="K5548">
        <v>5.97</v>
      </c>
      <c r="L5548">
        <v>34.020000000000003</v>
      </c>
      <c r="M5548">
        <v>3.58</v>
      </c>
      <c r="N5548">
        <v>2108.69</v>
      </c>
    </row>
    <row r="5549" spans="1:14" x14ac:dyDescent="0.2">
      <c r="A5549" s="1">
        <v>45936</v>
      </c>
      <c r="B5549" s="2" t="s">
        <v>23</v>
      </c>
      <c r="C5549" s="2" t="s">
        <v>21</v>
      </c>
      <c r="D5549" s="2" t="s">
        <v>16</v>
      </c>
      <c r="E5549">
        <v>3854</v>
      </c>
      <c r="F5549">
        <v>63</v>
      </c>
      <c r="G5549">
        <v>8</v>
      </c>
      <c r="H5549">
        <v>1097.55</v>
      </c>
      <c r="I5549">
        <v>2647.65</v>
      </c>
      <c r="J5549">
        <v>1.63</v>
      </c>
      <c r="K5549">
        <v>12.7</v>
      </c>
      <c r="L5549">
        <v>137.19</v>
      </c>
      <c r="M5549">
        <v>2.41</v>
      </c>
      <c r="N5549">
        <v>1550.1</v>
      </c>
    </row>
    <row r="5550" spans="1:14" x14ac:dyDescent="0.2">
      <c r="A5550" s="1">
        <v>45936</v>
      </c>
      <c r="B5550" s="2" t="s">
        <v>24</v>
      </c>
      <c r="C5550" s="2" t="s">
        <v>32</v>
      </c>
      <c r="D5550" s="2" t="s">
        <v>19</v>
      </c>
      <c r="E5550">
        <v>17054</v>
      </c>
      <c r="F5550">
        <v>3454</v>
      </c>
      <c r="G5550">
        <v>387</v>
      </c>
      <c r="H5550">
        <v>288.36</v>
      </c>
      <c r="I5550">
        <v>45725.21</v>
      </c>
      <c r="J5550">
        <v>20.25</v>
      </c>
      <c r="K5550">
        <v>11.2</v>
      </c>
      <c r="L5550">
        <v>0.75</v>
      </c>
      <c r="M5550">
        <v>158.57</v>
      </c>
      <c r="N5550">
        <v>45436.85</v>
      </c>
    </row>
    <row r="5551" spans="1:14" x14ac:dyDescent="0.2">
      <c r="A5551" s="1">
        <v>45936</v>
      </c>
      <c r="B5551" s="2" t="s">
        <v>26</v>
      </c>
      <c r="C5551" s="2" t="s">
        <v>21</v>
      </c>
      <c r="D5551" s="2" t="s">
        <v>19</v>
      </c>
      <c r="E5551">
        <v>28889</v>
      </c>
      <c r="F5551">
        <v>1342</v>
      </c>
      <c r="G5551">
        <v>152</v>
      </c>
      <c r="H5551">
        <v>0</v>
      </c>
      <c r="I5551">
        <v>18577.560000000001</v>
      </c>
      <c r="J5551">
        <v>4.6500000000000004</v>
      </c>
      <c r="K5551">
        <v>11.33</v>
      </c>
      <c r="L5551">
        <v>0</v>
      </c>
      <c r="M5551">
        <v>0</v>
      </c>
      <c r="N5551">
        <v>18577.560000000001</v>
      </c>
    </row>
    <row r="5552" spans="1:14" x14ac:dyDescent="0.2">
      <c r="A5552" s="1">
        <v>45936</v>
      </c>
      <c r="B5552" s="2" t="s">
        <v>27</v>
      </c>
      <c r="C5552" s="2" t="s">
        <v>28</v>
      </c>
      <c r="D5552" s="2" t="s">
        <v>25</v>
      </c>
      <c r="E5552">
        <v>39920</v>
      </c>
      <c r="F5552">
        <v>441</v>
      </c>
      <c r="G5552">
        <v>10</v>
      </c>
      <c r="H5552">
        <v>1104.2</v>
      </c>
      <c r="I5552">
        <v>1229.18</v>
      </c>
      <c r="J5552">
        <v>1.1000000000000001</v>
      </c>
      <c r="K5552">
        <v>2.27</v>
      </c>
      <c r="L5552">
        <v>110.42</v>
      </c>
      <c r="M5552">
        <v>1.1100000000000001</v>
      </c>
      <c r="N5552">
        <v>124.98</v>
      </c>
    </row>
    <row r="5553" spans="1:14" x14ac:dyDescent="0.2">
      <c r="A5553" s="1">
        <v>45936</v>
      </c>
      <c r="B5553" s="2" t="s">
        <v>29</v>
      </c>
      <c r="C5553" s="2" t="s">
        <v>15</v>
      </c>
      <c r="D5553" s="2" t="s">
        <v>16</v>
      </c>
      <c r="E5553">
        <v>15957</v>
      </c>
      <c r="F5553">
        <v>368</v>
      </c>
      <c r="G5553">
        <v>20</v>
      </c>
      <c r="H5553">
        <v>997.82</v>
      </c>
      <c r="I5553">
        <v>2856.7</v>
      </c>
      <c r="J5553">
        <v>2.31</v>
      </c>
      <c r="K5553">
        <v>5.43</v>
      </c>
      <c r="L5553">
        <v>49.89</v>
      </c>
      <c r="M5553">
        <v>2.86</v>
      </c>
      <c r="N5553">
        <v>1858.88</v>
      </c>
    </row>
    <row r="5554" spans="1:14" x14ac:dyDescent="0.2">
      <c r="A5554" s="1">
        <v>45936</v>
      </c>
      <c r="B5554" s="2" t="s">
        <v>30</v>
      </c>
      <c r="C5554" s="2" t="s">
        <v>35</v>
      </c>
      <c r="D5554" s="2" t="s">
        <v>16</v>
      </c>
      <c r="E5554">
        <v>10312</v>
      </c>
      <c r="F5554">
        <v>271</v>
      </c>
      <c r="G5554">
        <v>12</v>
      </c>
      <c r="H5554">
        <v>737.19</v>
      </c>
      <c r="I5554">
        <v>1332.62</v>
      </c>
      <c r="J5554">
        <v>2.63</v>
      </c>
      <c r="K5554">
        <v>4.43</v>
      </c>
      <c r="L5554">
        <v>61.43</v>
      </c>
      <c r="M5554">
        <v>1.81</v>
      </c>
      <c r="N5554">
        <v>595.42999999999995</v>
      </c>
    </row>
    <row r="5555" spans="1:14" x14ac:dyDescent="0.2">
      <c r="A5555" s="1">
        <v>45936</v>
      </c>
      <c r="B5555" s="2" t="s">
        <v>31</v>
      </c>
      <c r="C5555" s="2" t="s">
        <v>32</v>
      </c>
      <c r="D5555" s="2" t="s">
        <v>25</v>
      </c>
      <c r="E5555">
        <v>28594</v>
      </c>
      <c r="F5555">
        <v>1006</v>
      </c>
      <c r="G5555">
        <v>34</v>
      </c>
      <c r="H5555">
        <v>608.76</v>
      </c>
      <c r="I5555">
        <v>2634.08</v>
      </c>
      <c r="J5555">
        <v>3.52</v>
      </c>
      <c r="K5555">
        <v>3.38</v>
      </c>
      <c r="L5555">
        <v>17.899999999999999</v>
      </c>
      <c r="M5555">
        <v>4.33</v>
      </c>
      <c r="N5555">
        <v>2025.32</v>
      </c>
    </row>
    <row r="5556" spans="1:14" x14ac:dyDescent="0.2">
      <c r="A5556" s="1">
        <v>45936</v>
      </c>
      <c r="B5556" s="2" t="s">
        <v>33</v>
      </c>
      <c r="C5556" s="2" t="s">
        <v>21</v>
      </c>
      <c r="D5556" s="2" t="s">
        <v>36</v>
      </c>
      <c r="E5556">
        <v>5438</v>
      </c>
      <c r="F5556">
        <v>361</v>
      </c>
      <c r="G5556">
        <v>29</v>
      </c>
      <c r="H5556">
        <v>684.64</v>
      </c>
      <c r="I5556">
        <v>3356.02</v>
      </c>
      <c r="J5556">
        <v>6.64</v>
      </c>
      <c r="K5556">
        <v>8.0299999999999994</v>
      </c>
      <c r="L5556">
        <v>23.61</v>
      </c>
      <c r="M5556">
        <v>4.9000000000000004</v>
      </c>
      <c r="N5556">
        <v>2671.38</v>
      </c>
    </row>
    <row r="5557" spans="1:14" x14ac:dyDescent="0.2">
      <c r="A5557" s="1">
        <v>45936</v>
      </c>
      <c r="B5557" s="2" t="s">
        <v>34</v>
      </c>
      <c r="C5557" s="2" t="s">
        <v>28</v>
      </c>
      <c r="D5557" s="2" t="s">
        <v>19</v>
      </c>
      <c r="E5557">
        <v>3160</v>
      </c>
      <c r="F5557">
        <v>280</v>
      </c>
      <c r="G5557">
        <v>42</v>
      </c>
      <c r="H5557">
        <v>114.45</v>
      </c>
      <c r="I5557">
        <v>6806.45</v>
      </c>
      <c r="J5557">
        <v>8.86</v>
      </c>
      <c r="K5557">
        <v>15</v>
      </c>
      <c r="L5557">
        <v>2.72</v>
      </c>
      <c r="M5557">
        <v>59.47</v>
      </c>
      <c r="N5557">
        <v>6692</v>
      </c>
    </row>
    <row r="5558" spans="1:14" x14ac:dyDescent="0.2">
      <c r="A5558" s="1">
        <v>45937</v>
      </c>
      <c r="B5558" s="2" t="s">
        <v>14</v>
      </c>
      <c r="C5558" s="2" t="s">
        <v>35</v>
      </c>
      <c r="D5558" s="2" t="s">
        <v>22</v>
      </c>
      <c r="E5558">
        <v>11078</v>
      </c>
      <c r="F5558">
        <v>382</v>
      </c>
      <c r="G5558">
        <v>37</v>
      </c>
      <c r="H5558">
        <v>1454.46</v>
      </c>
      <c r="I5558">
        <v>5922.22</v>
      </c>
      <c r="J5558">
        <v>3.45</v>
      </c>
      <c r="K5558">
        <v>9.69</v>
      </c>
      <c r="L5558">
        <v>39.31</v>
      </c>
      <c r="M5558">
        <v>4.07</v>
      </c>
      <c r="N5558">
        <v>4467.76</v>
      </c>
    </row>
    <row r="5559" spans="1:14" x14ac:dyDescent="0.2">
      <c r="A5559" s="1">
        <v>45937</v>
      </c>
      <c r="B5559" s="2" t="s">
        <v>17</v>
      </c>
      <c r="C5559" s="2" t="s">
        <v>32</v>
      </c>
      <c r="D5559" s="2" t="s">
        <v>25</v>
      </c>
      <c r="E5559">
        <v>15402</v>
      </c>
      <c r="F5559">
        <v>321</v>
      </c>
      <c r="G5559">
        <v>18</v>
      </c>
      <c r="H5559">
        <v>951.39</v>
      </c>
      <c r="I5559">
        <v>1944.9</v>
      </c>
      <c r="J5559">
        <v>2.08</v>
      </c>
      <c r="K5559">
        <v>5.61</v>
      </c>
      <c r="L5559">
        <v>52.86</v>
      </c>
      <c r="M5559">
        <v>2.04</v>
      </c>
      <c r="N5559">
        <v>993.51</v>
      </c>
    </row>
    <row r="5560" spans="1:14" x14ac:dyDescent="0.2">
      <c r="A5560" s="1">
        <v>45937</v>
      </c>
      <c r="B5560" s="2" t="s">
        <v>20</v>
      </c>
      <c r="C5560" s="2" t="s">
        <v>32</v>
      </c>
      <c r="D5560" s="2" t="s">
        <v>22</v>
      </c>
      <c r="E5560">
        <v>13154</v>
      </c>
      <c r="F5560">
        <v>486</v>
      </c>
      <c r="G5560">
        <v>30</v>
      </c>
      <c r="H5560">
        <v>876.61</v>
      </c>
      <c r="I5560">
        <v>3598.39</v>
      </c>
      <c r="J5560">
        <v>3.69</v>
      </c>
      <c r="K5560">
        <v>6.17</v>
      </c>
      <c r="L5560">
        <v>29.22</v>
      </c>
      <c r="M5560">
        <v>4.0999999999999996</v>
      </c>
      <c r="N5560">
        <v>2721.78</v>
      </c>
    </row>
    <row r="5561" spans="1:14" x14ac:dyDescent="0.2">
      <c r="A5561" s="1">
        <v>45937</v>
      </c>
      <c r="B5561" s="2" t="s">
        <v>23</v>
      </c>
      <c r="C5561" s="2" t="s">
        <v>18</v>
      </c>
      <c r="D5561" s="2" t="s">
        <v>36</v>
      </c>
      <c r="E5561">
        <v>3241</v>
      </c>
      <c r="F5561">
        <v>72</v>
      </c>
      <c r="G5561">
        <v>7</v>
      </c>
      <c r="H5561">
        <v>1196.3800000000001</v>
      </c>
      <c r="I5561">
        <v>1900.01</v>
      </c>
      <c r="J5561">
        <v>2.2200000000000002</v>
      </c>
      <c r="K5561">
        <v>9.7200000000000006</v>
      </c>
      <c r="L5561">
        <v>170.91</v>
      </c>
      <c r="M5561">
        <v>1.59</v>
      </c>
      <c r="N5561">
        <v>703.63</v>
      </c>
    </row>
    <row r="5562" spans="1:14" x14ac:dyDescent="0.2">
      <c r="A5562" s="1">
        <v>45937</v>
      </c>
      <c r="B5562" s="2" t="s">
        <v>24</v>
      </c>
      <c r="C5562" s="2" t="s">
        <v>18</v>
      </c>
      <c r="D5562" s="2" t="s">
        <v>25</v>
      </c>
      <c r="E5562">
        <v>20878</v>
      </c>
      <c r="F5562">
        <v>3144</v>
      </c>
      <c r="G5562">
        <v>413</v>
      </c>
      <c r="H5562">
        <v>122.38</v>
      </c>
      <c r="I5562">
        <v>48349.01</v>
      </c>
      <c r="J5562">
        <v>15.06</v>
      </c>
      <c r="K5562">
        <v>13.14</v>
      </c>
      <c r="L5562">
        <v>0.3</v>
      </c>
      <c r="M5562">
        <v>395.07</v>
      </c>
      <c r="N5562">
        <v>48226.63</v>
      </c>
    </row>
    <row r="5563" spans="1:14" x14ac:dyDescent="0.2">
      <c r="A5563" s="1">
        <v>45937</v>
      </c>
      <c r="B5563" s="2" t="s">
        <v>26</v>
      </c>
      <c r="C5563" s="2" t="s">
        <v>28</v>
      </c>
      <c r="D5563" s="2" t="s">
        <v>19</v>
      </c>
      <c r="E5563">
        <v>27372</v>
      </c>
      <c r="F5563">
        <v>1517</v>
      </c>
      <c r="G5563">
        <v>158</v>
      </c>
      <c r="H5563">
        <v>0</v>
      </c>
      <c r="I5563">
        <v>17986.740000000002</v>
      </c>
      <c r="J5563">
        <v>5.54</v>
      </c>
      <c r="K5563">
        <v>10.42</v>
      </c>
      <c r="L5563">
        <v>0</v>
      </c>
      <c r="M5563">
        <v>0</v>
      </c>
      <c r="N5563">
        <v>17986.740000000002</v>
      </c>
    </row>
    <row r="5564" spans="1:14" x14ac:dyDescent="0.2">
      <c r="A5564" s="1">
        <v>45937</v>
      </c>
      <c r="B5564" s="2" t="s">
        <v>27</v>
      </c>
      <c r="C5564" s="2" t="s">
        <v>21</v>
      </c>
      <c r="D5564" s="2" t="s">
        <v>19</v>
      </c>
      <c r="E5564">
        <v>36487</v>
      </c>
      <c r="F5564">
        <v>497</v>
      </c>
      <c r="G5564">
        <v>13</v>
      </c>
      <c r="H5564">
        <v>1015.48</v>
      </c>
      <c r="I5564">
        <v>1319.41</v>
      </c>
      <c r="J5564">
        <v>1.36</v>
      </c>
      <c r="K5564">
        <v>2.62</v>
      </c>
      <c r="L5564">
        <v>78.11</v>
      </c>
      <c r="M5564">
        <v>1.3</v>
      </c>
      <c r="N5564">
        <v>303.93</v>
      </c>
    </row>
    <row r="5565" spans="1:14" x14ac:dyDescent="0.2">
      <c r="A5565" s="1">
        <v>45937</v>
      </c>
      <c r="B5565" s="2" t="s">
        <v>29</v>
      </c>
      <c r="C5565" s="2" t="s">
        <v>21</v>
      </c>
      <c r="D5565" s="2" t="s">
        <v>36</v>
      </c>
      <c r="E5565">
        <v>21416</v>
      </c>
      <c r="F5565">
        <v>527</v>
      </c>
      <c r="G5565">
        <v>24</v>
      </c>
      <c r="H5565">
        <v>976.87</v>
      </c>
      <c r="I5565">
        <v>3631.46</v>
      </c>
      <c r="J5565">
        <v>2.46</v>
      </c>
      <c r="K5565">
        <v>4.55</v>
      </c>
      <c r="L5565">
        <v>40.700000000000003</v>
      </c>
      <c r="M5565">
        <v>3.72</v>
      </c>
      <c r="N5565">
        <v>2654.59</v>
      </c>
    </row>
    <row r="5566" spans="1:14" x14ac:dyDescent="0.2">
      <c r="A5566" s="1">
        <v>45937</v>
      </c>
      <c r="B5566" s="2" t="s">
        <v>30</v>
      </c>
      <c r="C5566" s="2" t="s">
        <v>15</v>
      </c>
      <c r="D5566" s="2" t="s">
        <v>36</v>
      </c>
      <c r="E5566">
        <v>12667</v>
      </c>
      <c r="F5566">
        <v>337</v>
      </c>
      <c r="G5566">
        <v>19</v>
      </c>
      <c r="H5566">
        <v>441.16</v>
      </c>
      <c r="I5566">
        <v>2135.77</v>
      </c>
      <c r="J5566">
        <v>2.66</v>
      </c>
      <c r="K5566">
        <v>5.64</v>
      </c>
      <c r="L5566">
        <v>23.22</v>
      </c>
      <c r="M5566">
        <v>4.84</v>
      </c>
      <c r="N5566">
        <v>1694.61</v>
      </c>
    </row>
    <row r="5567" spans="1:14" x14ac:dyDescent="0.2">
      <c r="A5567" s="1">
        <v>45937</v>
      </c>
      <c r="B5567" s="2" t="s">
        <v>31</v>
      </c>
      <c r="C5567" s="2" t="s">
        <v>21</v>
      </c>
      <c r="D5567" s="2" t="s">
        <v>25</v>
      </c>
      <c r="E5567">
        <v>25903</v>
      </c>
      <c r="F5567">
        <v>1088</v>
      </c>
      <c r="G5567">
        <v>38</v>
      </c>
      <c r="H5567">
        <v>1087</v>
      </c>
      <c r="I5567">
        <v>3958.88</v>
      </c>
      <c r="J5567">
        <v>4.2</v>
      </c>
      <c r="K5567">
        <v>3.49</v>
      </c>
      <c r="L5567">
        <v>28.61</v>
      </c>
      <c r="M5567">
        <v>3.64</v>
      </c>
      <c r="N5567">
        <v>2871.88</v>
      </c>
    </row>
    <row r="5568" spans="1:14" x14ac:dyDescent="0.2">
      <c r="A5568" s="1">
        <v>45937</v>
      </c>
      <c r="B5568" s="2" t="s">
        <v>33</v>
      </c>
      <c r="C5568" s="2" t="s">
        <v>35</v>
      </c>
      <c r="D5568" s="2" t="s">
        <v>22</v>
      </c>
      <c r="E5568">
        <v>6736</v>
      </c>
      <c r="F5568">
        <v>460</v>
      </c>
      <c r="G5568">
        <v>45</v>
      </c>
      <c r="H5568">
        <v>640.80999999999995</v>
      </c>
      <c r="I5568">
        <v>6970.6</v>
      </c>
      <c r="J5568">
        <v>6.83</v>
      </c>
      <c r="K5568">
        <v>9.7799999999999994</v>
      </c>
      <c r="L5568">
        <v>14.24</v>
      </c>
      <c r="M5568">
        <v>10.88</v>
      </c>
      <c r="N5568">
        <v>6329.79</v>
      </c>
    </row>
    <row r="5569" spans="1:14" x14ac:dyDescent="0.2">
      <c r="A5569" s="1">
        <v>45937</v>
      </c>
      <c r="B5569" s="2" t="s">
        <v>34</v>
      </c>
      <c r="C5569" s="2" t="s">
        <v>15</v>
      </c>
      <c r="D5569" s="2" t="s">
        <v>16</v>
      </c>
      <c r="E5569">
        <v>5004</v>
      </c>
      <c r="F5569">
        <v>293</v>
      </c>
      <c r="G5569">
        <v>39</v>
      </c>
      <c r="H5569">
        <v>177.39</v>
      </c>
      <c r="I5569">
        <v>6099.86</v>
      </c>
      <c r="J5569">
        <v>5.86</v>
      </c>
      <c r="K5569">
        <v>13.31</v>
      </c>
      <c r="L5569">
        <v>4.55</v>
      </c>
      <c r="M5569">
        <v>34.39</v>
      </c>
      <c r="N5569">
        <v>5922.47</v>
      </c>
    </row>
    <row r="5570" spans="1:14" x14ac:dyDescent="0.2">
      <c r="A5570" s="1">
        <v>45938</v>
      </c>
      <c r="B5570" s="2" t="s">
        <v>14</v>
      </c>
      <c r="C5570" s="2" t="s">
        <v>32</v>
      </c>
      <c r="D5570" s="2" t="s">
        <v>19</v>
      </c>
      <c r="E5570">
        <v>13392</v>
      </c>
      <c r="F5570">
        <v>418</v>
      </c>
      <c r="G5570">
        <v>44</v>
      </c>
      <c r="H5570">
        <v>1060.48</v>
      </c>
      <c r="I5570">
        <v>7926.27</v>
      </c>
      <c r="J5570">
        <v>3.12</v>
      </c>
      <c r="K5570">
        <v>10.53</v>
      </c>
      <c r="L5570">
        <v>24.1</v>
      </c>
      <c r="M5570">
        <v>7.47</v>
      </c>
      <c r="N5570">
        <v>6865.79</v>
      </c>
    </row>
    <row r="5571" spans="1:14" x14ac:dyDescent="0.2">
      <c r="A5571" s="1">
        <v>45938</v>
      </c>
      <c r="B5571" s="2" t="s">
        <v>17</v>
      </c>
      <c r="C5571" s="2" t="s">
        <v>35</v>
      </c>
      <c r="D5571" s="2" t="s">
        <v>25</v>
      </c>
      <c r="E5571">
        <v>16799</v>
      </c>
      <c r="F5571">
        <v>515</v>
      </c>
      <c r="G5571">
        <v>36</v>
      </c>
      <c r="H5571">
        <v>1065.3599999999999</v>
      </c>
      <c r="I5571">
        <v>4718.01</v>
      </c>
      <c r="J5571">
        <v>3.07</v>
      </c>
      <c r="K5571">
        <v>6.99</v>
      </c>
      <c r="L5571">
        <v>29.59</v>
      </c>
      <c r="M5571">
        <v>4.43</v>
      </c>
      <c r="N5571">
        <v>3652.65</v>
      </c>
    </row>
    <row r="5572" spans="1:14" x14ac:dyDescent="0.2">
      <c r="A5572" s="1">
        <v>45938</v>
      </c>
      <c r="B5572" s="2" t="s">
        <v>20</v>
      </c>
      <c r="C5572" s="2" t="s">
        <v>15</v>
      </c>
      <c r="D5572" s="2" t="s">
        <v>16</v>
      </c>
      <c r="E5572">
        <v>11441</v>
      </c>
      <c r="F5572">
        <v>384</v>
      </c>
      <c r="G5572">
        <v>20</v>
      </c>
      <c r="H5572">
        <v>900.57</v>
      </c>
      <c r="I5572">
        <v>2104.04</v>
      </c>
      <c r="J5572">
        <v>3.36</v>
      </c>
      <c r="K5572">
        <v>5.21</v>
      </c>
      <c r="L5572">
        <v>45.03</v>
      </c>
      <c r="M5572">
        <v>2.34</v>
      </c>
      <c r="N5572">
        <v>1203.47</v>
      </c>
    </row>
    <row r="5573" spans="1:14" x14ac:dyDescent="0.2">
      <c r="A5573" s="1">
        <v>45938</v>
      </c>
      <c r="B5573" s="2" t="s">
        <v>23</v>
      </c>
      <c r="C5573" s="2" t="s">
        <v>35</v>
      </c>
      <c r="D5573" s="2" t="s">
        <v>25</v>
      </c>
      <c r="E5573">
        <v>4631</v>
      </c>
      <c r="F5573">
        <v>75</v>
      </c>
      <c r="G5573">
        <v>9</v>
      </c>
      <c r="H5573">
        <v>1177.28</v>
      </c>
      <c r="I5573">
        <v>1797.93</v>
      </c>
      <c r="J5573">
        <v>1.62</v>
      </c>
      <c r="K5573">
        <v>12</v>
      </c>
      <c r="L5573">
        <v>130.81</v>
      </c>
      <c r="M5573">
        <v>1.53</v>
      </c>
      <c r="N5573">
        <v>620.65</v>
      </c>
    </row>
    <row r="5574" spans="1:14" x14ac:dyDescent="0.2">
      <c r="A5574" s="1">
        <v>45938</v>
      </c>
      <c r="B5574" s="2" t="s">
        <v>24</v>
      </c>
      <c r="C5574" s="2" t="s">
        <v>28</v>
      </c>
      <c r="D5574" s="2" t="s">
        <v>22</v>
      </c>
      <c r="E5574">
        <v>20519</v>
      </c>
      <c r="F5574">
        <v>4227</v>
      </c>
      <c r="G5574">
        <v>561</v>
      </c>
      <c r="H5574">
        <v>240.53</v>
      </c>
      <c r="I5574">
        <v>79364.570000000007</v>
      </c>
      <c r="J5574">
        <v>20.6</v>
      </c>
      <c r="K5574">
        <v>13.27</v>
      </c>
      <c r="L5574">
        <v>0.43</v>
      </c>
      <c r="M5574">
        <v>329.96</v>
      </c>
      <c r="N5574">
        <v>79124.039999999994</v>
      </c>
    </row>
    <row r="5575" spans="1:14" x14ac:dyDescent="0.2">
      <c r="A5575" s="1">
        <v>45938</v>
      </c>
      <c r="B5575" s="2" t="s">
        <v>26</v>
      </c>
      <c r="C5575" s="2" t="s">
        <v>28</v>
      </c>
      <c r="D5575" s="2" t="s">
        <v>19</v>
      </c>
      <c r="E5575">
        <v>21333</v>
      </c>
      <c r="F5575">
        <v>1685</v>
      </c>
      <c r="G5575">
        <v>229</v>
      </c>
      <c r="H5575">
        <v>0</v>
      </c>
      <c r="I5575">
        <v>28918.48</v>
      </c>
      <c r="J5575">
        <v>7.9</v>
      </c>
      <c r="K5575">
        <v>13.59</v>
      </c>
      <c r="L5575">
        <v>0</v>
      </c>
      <c r="M5575">
        <v>0</v>
      </c>
      <c r="N5575">
        <v>28918.48</v>
      </c>
    </row>
    <row r="5576" spans="1:14" x14ac:dyDescent="0.2">
      <c r="A5576" s="1">
        <v>45938</v>
      </c>
      <c r="B5576" s="2" t="s">
        <v>27</v>
      </c>
      <c r="C5576" s="2" t="s">
        <v>15</v>
      </c>
      <c r="D5576" s="2" t="s">
        <v>36</v>
      </c>
      <c r="E5576">
        <v>35898</v>
      </c>
      <c r="F5576">
        <v>645</v>
      </c>
      <c r="G5576">
        <v>16</v>
      </c>
      <c r="H5576">
        <v>769.15</v>
      </c>
      <c r="I5576">
        <v>1644.36</v>
      </c>
      <c r="J5576">
        <v>1.8</v>
      </c>
      <c r="K5576">
        <v>2.48</v>
      </c>
      <c r="L5576">
        <v>48.07</v>
      </c>
      <c r="M5576">
        <v>2.14</v>
      </c>
      <c r="N5576">
        <v>875.21</v>
      </c>
    </row>
    <row r="5577" spans="1:14" x14ac:dyDescent="0.2">
      <c r="A5577" s="1">
        <v>45938</v>
      </c>
      <c r="B5577" s="2" t="s">
        <v>29</v>
      </c>
      <c r="C5577" s="2" t="s">
        <v>18</v>
      </c>
      <c r="D5577" s="2" t="s">
        <v>19</v>
      </c>
      <c r="E5577">
        <v>16974</v>
      </c>
      <c r="F5577">
        <v>385</v>
      </c>
      <c r="G5577">
        <v>16</v>
      </c>
      <c r="H5577">
        <v>841.57</v>
      </c>
      <c r="I5577">
        <v>1442.21</v>
      </c>
      <c r="J5577">
        <v>2.27</v>
      </c>
      <c r="K5577">
        <v>4.16</v>
      </c>
      <c r="L5577">
        <v>52.6</v>
      </c>
      <c r="M5577">
        <v>1.71</v>
      </c>
      <c r="N5577">
        <v>600.64</v>
      </c>
    </row>
    <row r="5578" spans="1:14" x14ac:dyDescent="0.2">
      <c r="A5578" s="1">
        <v>45938</v>
      </c>
      <c r="B5578" s="2" t="s">
        <v>30</v>
      </c>
      <c r="C5578" s="2" t="s">
        <v>21</v>
      </c>
      <c r="D5578" s="2" t="s">
        <v>22</v>
      </c>
      <c r="E5578">
        <v>12974</v>
      </c>
      <c r="F5578">
        <v>398</v>
      </c>
      <c r="G5578">
        <v>16</v>
      </c>
      <c r="H5578">
        <v>719.99</v>
      </c>
      <c r="I5578">
        <v>1646.76</v>
      </c>
      <c r="J5578">
        <v>3.07</v>
      </c>
      <c r="K5578">
        <v>4.0199999999999996</v>
      </c>
      <c r="L5578">
        <v>45</v>
      </c>
      <c r="M5578">
        <v>2.29</v>
      </c>
      <c r="N5578">
        <v>926.77</v>
      </c>
    </row>
    <row r="5579" spans="1:14" x14ac:dyDescent="0.2">
      <c r="A5579" s="1">
        <v>45938</v>
      </c>
      <c r="B5579" s="2" t="s">
        <v>31</v>
      </c>
      <c r="C5579" s="2" t="s">
        <v>15</v>
      </c>
      <c r="D5579" s="2" t="s">
        <v>22</v>
      </c>
      <c r="E5579">
        <v>24100</v>
      </c>
      <c r="F5579">
        <v>757</v>
      </c>
      <c r="G5579">
        <v>40</v>
      </c>
      <c r="H5579">
        <v>692.66</v>
      </c>
      <c r="I5579">
        <v>4492.76</v>
      </c>
      <c r="J5579">
        <v>3.14</v>
      </c>
      <c r="K5579">
        <v>5.28</v>
      </c>
      <c r="L5579">
        <v>17.32</v>
      </c>
      <c r="M5579">
        <v>6.49</v>
      </c>
      <c r="N5579">
        <v>3800.1</v>
      </c>
    </row>
    <row r="5580" spans="1:14" x14ac:dyDescent="0.2">
      <c r="A5580" s="1">
        <v>45938</v>
      </c>
      <c r="B5580" s="2" t="s">
        <v>33</v>
      </c>
      <c r="C5580" s="2" t="s">
        <v>15</v>
      </c>
      <c r="D5580" s="2" t="s">
        <v>16</v>
      </c>
      <c r="E5580">
        <v>6560</v>
      </c>
      <c r="F5580">
        <v>263</v>
      </c>
      <c r="G5580">
        <v>33</v>
      </c>
      <c r="H5580">
        <v>446.65</v>
      </c>
      <c r="I5580">
        <v>4553.33</v>
      </c>
      <c r="J5580">
        <v>4.01</v>
      </c>
      <c r="K5580">
        <v>12.55</v>
      </c>
      <c r="L5580">
        <v>13.53</v>
      </c>
      <c r="M5580">
        <v>10.19</v>
      </c>
      <c r="N5580">
        <v>4106.68</v>
      </c>
    </row>
    <row r="5581" spans="1:14" x14ac:dyDescent="0.2">
      <c r="A5581" s="1">
        <v>45938</v>
      </c>
      <c r="B5581" s="2" t="s">
        <v>34</v>
      </c>
      <c r="C5581" s="2" t="s">
        <v>21</v>
      </c>
      <c r="D5581" s="2" t="s">
        <v>36</v>
      </c>
      <c r="E5581">
        <v>5123</v>
      </c>
      <c r="F5581">
        <v>271</v>
      </c>
      <c r="G5581">
        <v>42</v>
      </c>
      <c r="H5581">
        <v>83.21</v>
      </c>
      <c r="I5581">
        <v>5769.11</v>
      </c>
      <c r="J5581">
        <v>5.29</v>
      </c>
      <c r="K5581">
        <v>15.5</v>
      </c>
      <c r="L5581">
        <v>1.98</v>
      </c>
      <c r="M5581">
        <v>69.33</v>
      </c>
      <c r="N5581">
        <v>5685.9</v>
      </c>
    </row>
    <row r="5582" spans="1:14" x14ac:dyDescent="0.2">
      <c r="A5582" s="1">
        <v>45939</v>
      </c>
      <c r="B5582" s="2" t="s">
        <v>14</v>
      </c>
      <c r="C5582" s="2" t="s">
        <v>15</v>
      </c>
      <c r="D5582" s="2" t="s">
        <v>36</v>
      </c>
      <c r="E5582">
        <v>9930</v>
      </c>
      <c r="F5582">
        <v>299</v>
      </c>
      <c r="G5582">
        <v>32</v>
      </c>
      <c r="H5582">
        <v>1452.24</v>
      </c>
      <c r="I5582">
        <v>4377.68</v>
      </c>
      <c r="J5582">
        <v>3.01</v>
      </c>
      <c r="K5582">
        <v>10.7</v>
      </c>
      <c r="L5582">
        <v>45.38</v>
      </c>
      <c r="M5582">
        <v>3.01</v>
      </c>
      <c r="N5582">
        <v>2925.44</v>
      </c>
    </row>
    <row r="5583" spans="1:14" x14ac:dyDescent="0.2">
      <c r="A5583" s="1">
        <v>45939</v>
      </c>
      <c r="B5583" s="2" t="s">
        <v>17</v>
      </c>
      <c r="C5583" s="2" t="s">
        <v>35</v>
      </c>
      <c r="D5583" s="2" t="s">
        <v>22</v>
      </c>
      <c r="E5583">
        <v>13879</v>
      </c>
      <c r="F5583">
        <v>401</v>
      </c>
      <c r="G5583">
        <v>31</v>
      </c>
      <c r="H5583">
        <v>946.23</v>
      </c>
      <c r="I5583">
        <v>3412.1</v>
      </c>
      <c r="J5583">
        <v>2.89</v>
      </c>
      <c r="K5583">
        <v>7.73</v>
      </c>
      <c r="L5583">
        <v>30.52</v>
      </c>
      <c r="M5583">
        <v>3.61</v>
      </c>
      <c r="N5583">
        <v>2465.87</v>
      </c>
    </row>
    <row r="5584" spans="1:14" x14ac:dyDescent="0.2">
      <c r="A5584" s="1">
        <v>45939</v>
      </c>
      <c r="B5584" s="2" t="s">
        <v>20</v>
      </c>
      <c r="C5584" s="2" t="s">
        <v>18</v>
      </c>
      <c r="D5584" s="2" t="s">
        <v>25</v>
      </c>
      <c r="E5584">
        <v>17837</v>
      </c>
      <c r="F5584">
        <v>798</v>
      </c>
      <c r="G5584">
        <v>38</v>
      </c>
      <c r="H5584">
        <v>774.71</v>
      </c>
      <c r="I5584">
        <v>3449.07</v>
      </c>
      <c r="J5584">
        <v>4.47</v>
      </c>
      <c r="K5584">
        <v>4.76</v>
      </c>
      <c r="L5584">
        <v>20.39</v>
      </c>
      <c r="M5584">
        <v>4.45</v>
      </c>
      <c r="N5584">
        <v>2674.36</v>
      </c>
    </row>
    <row r="5585" spans="1:14" x14ac:dyDescent="0.2">
      <c r="A5585" s="1">
        <v>45939</v>
      </c>
      <c r="B5585" s="2" t="s">
        <v>23</v>
      </c>
      <c r="C5585" s="2" t="s">
        <v>28</v>
      </c>
      <c r="D5585" s="2" t="s">
        <v>19</v>
      </c>
      <c r="E5585">
        <v>5969</v>
      </c>
      <c r="F5585">
        <v>106</v>
      </c>
      <c r="G5585">
        <v>12</v>
      </c>
      <c r="H5585">
        <v>929.53</v>
      </c>
      <c r="I5585">
        <v>3486.42</v>
      </c>
      <c r="J5585">
        <v>1.78</v>
      </c>
      <c r="K5585">
        <v>11.32</v>
      </c>
      <c r="L5585">
        <v>77.459999999999994</v>
      </c>
      <c r="M5585">
        <v>3.75</v>
      </c>
      <c r="N5585">
        <v>2556.89</v>
      </c>
    </row>
    <row r="5586" spans="1:14" x14ac:dyDescent="0.2">
      <c r="A5586" s="1">
        <v>45939</v>
      </c>
      <c r="B5586" s="2" t="s">
        <v>24</v>
      </c>
      <c r="C5586" s="2" t="s">
        <v>28</v>
      </c>
      <c r="D5586" s="2" t="s">
        <v>36</v>
      </c>
      <c r="E5586">
        <v>16339</v>
      </c>
      <c r="F5586">
        <v>3922</v>
      </c>
      <c r="G5586">
        <v>395</v>
      </c>
      <c r="H5586">
        <v>108.76</v>
      </c>
      <c r="I5586">
        <v>42406.69</v>
      </c>
      <c r="J5586">
        <v>24</v>
      </c>
      <c r="K5586">
        <v>10.07</v>
      </c>
      <c r="L5586">
        <v>0.28000000000000003</v>
      </c>
      <c r="M5586">
        <v>389.91</v>
      </c>
      <c r="N5586">
        <v>42297.93</v>
      </c>
    </row>
    <row r="5587" spans="1:14" x14ac:dyDescent="0.2">
      <c r="A5587" s="1">
        <v>45939</v>
      </c>
      <c r="B5587" s="2" t="s">
        <v>26</v>
      </c>
      <c r="C5587" s="2" t="s">
        <v>35</v>
      </c>
      <c r="D5587" s="2" t="s">
        <v>36</v>
      </c>
      <c r="E5587">
        <v>26292</v>
      </c>
      <c r="F5587">
        <v>1307</v>
      </c>
      <c r="G5587">
        <v>171</v>
      </c>
      <c r="H5587">
        <v>0</v>
      </c>
      <c r="I5587">
        <v>23070.12</v>
      </c>
      <c r="J5587">
        <v>4.97</v>
      </c>
      <c r="K5587">
        <v>13.08</v>
      </c>
      <c r="L5587">
        <v>0</v>
      </c>
      <c r="M5587">
        <v>0</v>
      </c>
      <c r="N5587">
        <v>23070.12</v>
      </c>
    </row>
    <row r="5588" spans="1:14" x14ac:dyDescent="0.2">
      <c r="A5588" s="1">
        <v>45939</v>
      </c>
      <c r="B5588" s="2" t="s">
        <v>27</v>
      </c>
      <c r="C5588" s="2" t="s">
        <v>28</v>
      </c>
      <c r="D5588" s="2" t="s">
        <v>16</v>
      </c>
      <c r="E5588">
        <v>36196</v>
      </c>
      <c r="F5588">
        <v>694</v>
      </c>
      <c r="G5588">
        <v>14</v>
      </c>
      <c r="H5588">
        <v>1113.0999999999999</v>
      </c>
      <c r="I5588">
        <v>1381.33</v>
      </c>
      <c r="J5588">
        <v>1.92</v>
      </c>
      <c r="K5588">
        <v>2.02</v>
      </c>
      <c r="L5588">
        <v>79.510000000000005</v>
      </c>
      <c r="M5588">
        <v>1.24</v>
      </c>
      <c r="N5588">
        <v>268.23</v>
      </c>
    </row>
    <row r="5589" spans="1:14" x14ac:dyDescent="0.2">
      <c r="A5589" s="1">
        <v>45939</v>
      </c>
      <c r="B5589" s="2" t="s">
        <v>29</v>
      </c>
      <c r="C5589" s="2" t="s">
        <v>32</v>
      </c>
      <c r="D5589" s="2" t="s">
        <v>19</v>
      </c>
      <c r="E5589">
        <v>17448</v>
      </c>
      <c r="F5589">
        <v>401</v>
      </c>
      <c r="G5589">
        <v>27</v>
      </c>
      <c r="H5589">
        <v>1142.31</v>
      </c>
      <c r="I5589">
        <v>3249.24</v>
      </c>
      <c r="J5589">
        <v>2.2999999999999998</v>
      </c>
      <c r="K5589">
        <v>6.73</v>
      </c>
      <c r="L5589">
        <v>42.31</v>
      </c>
      <c r="M5589">
        <v>2.84</v>
      </c>
      <c r="N5589">
        <v>2106.9299999999998</v>
      </c>
    </row>
    <row r="5590" spans="1:14" x14ac:dyDescent="0.2">
      <c r="A5590" s="1">
        <v>45939</v>
      </c>
      <c r="B5590" s="2" t="s">
        <v>30</v>
      </c>
      <c r="C5590" s="2" t="s">
        <v>35</v>
      </c>
      <c r="D5590" s="2" t="s">
        <v>22</v>
      </c>
      <c r="E5590">
        <v>13169</v>
      </c>
      <c r="F5590">
        <v>280</v>
      </c>
      <c r="G5590">
        <v>12</v>
      </c>
      <c r="H5590">
        <v>593.39</v>
      </c>
      <c r="I5590">
        <v>947.21</v>
      </c>
      <c r="J5590">
        <v>2.13</v>
      </c>
      <c r="K5590">
        <v>4.29</v>
      </c>
      <c r="L5590">
        <v>49.45</v>
      </c>
      <c r="M5590">
        <v>1.6</v>
      </c>
      <c r="N5590">
        <v>353.82</v>
      </c>
    </row>
    <row r="5591" spans="1:14" x14ac:dyDescent="0.2">
      <c r="A5591" s="1">
        <v>45939</v>
      </c>
      <c r="B5591" s="2" t="s">
        <v>31</v>
      </c>
      <c r="C5591" s="2" t="s">
        <v>15</v>
      </c>
      <c r="D5591" s="2" t="s">
        <v>25</v>
      </c>
      <c r="E5591">
        <v>19583</v>
      </c>
      <c r="F5591">
        <v>638</v>
      </c>
      <c r="G5591">
        <v>24</v>
      </c>
      <c r="H5591">
        <v>776.3</v>
      </c>
      <c r="I5591">
        <v>2299.6799999999998</v>
      </c>
      <c r="J5591">
        <v>3.26</v>
      </c>
      <c r="K5591">
        <v>3.76</v>
      </c>
      <c r="L5591">
        <v>32.35</v>
      </c>
      <c r="M5591">
        <v>2.96</v>
      </c>
      <c r="N5591">
        <v>1523.38</v>
      </c>
    </row>
    <row r="5592" spans="1:14" x14ac:dyDescent="0.2">
      <c r="A5592" s="1">
        <v>45939</v>
      </c>
      <c r="B5592" s="2" t="s">
        <v>33</v>
      </c>
      <c r="C5592" s="2" t="s">
        <v>28</v>
      </c>
      <c r="D5592" s="2" t="s">
        <v>16</v>
      </c>
      <c r="E5592">
        <v>6074</v>
      </c>
      <c r="F5592">
        <v>264</v>
      </c>
      <c r="G5592">
        <v>25</v>
      </c>
      <c r="H5592">
        <v>635.24</v>
      </c>
      <c r="I5592">
        <v>2608.79</v>
      </c>
      <c r="J5592">
        <v>4.3499999999999996</v>
      </c>
      <c r="K5592">
        <v>9.4700000000000006</v>
      </c>
      <c r="L5592">
        <v>25.41</v>
      </c>
      <c r="M5592">
        <v>4.1100000000000003</v>
      </c>
      <c r="N5592">
        <v>1973.55</v>
      </c>
    </row>
    <row r="5593" spans="1:14" x14ac:dyDescent="0.2">
      <c r="A5593" s="1">
        <v>45939</v>
      </c>
      <c r="B5593" s="2" t="s">
        <v>34</v>
      </c>
      <c r="C5593" s="2" t="s">
        <v>21</v>
      </c>
      <c r="D5593" s="2" t="s">
        <v>19</v>
      </c>
      <c r="E5593">
        <v>3910</v>
      </c>
      <c r="F5593">
        <v>276</v>
      </c>
      <c r="G5593">
        <v>48</v>
      </c>
      <c r="H5593">
        <v>164.77</v>
      </c>
      <c r="I5593">
        <v>6709.67</v>
      </c>
      <c r="J5593">
        <v>7.06</v>
      </c>
      <c r="K5593">
        <v>17.39</v>
      </c>
      <c r="L5593">
        <v>3.43</v>
      </c>
      <c r="M5593">
        <v>40.72</v>
      </c>
      <c r="N5593">
        <v>6544.9</v>
      </c>
    </row>
    <row r="5594" spans="1:14" x14ac:dyDescent="0.2">
      <c r="A5594" s="1">
        <v>45940</v>
      </c>
      <c r="B5594" s="2" t="s">
        <v>14</v>
      </c>
      <c r="C5594" s="2" t="s">
        <v>32</v>
      </c>
      <c r="D5594" s="2" t="s">
        <v>16</v>
      </c>
      <c r="E5594">
        <v>14456</v>
      </c>
      <c r="F5594">
        <v>464</v>
      </c>
      <c r="G5594">
        <v>54</v>
      </c>
      <c r="H5594">
        <v>881.83</v>
      </c>
      <c r="I5594">
        <v>8906.6</v>
      </c>
      <c r="J5594">
        <v>3.21</v>
      </c>
      <c r="K5594">
        <v>11.64</v>
      </c>
      <c r="L5594">
        <v>16.329999999999998</v>
      </c>
      <c r="M5594">
        <v>10.1</v>
      </c>
      <c r="N5594">
        <v>8024.77</v>
      </c>
    </row>
    <row r="5595" spans="1:14" x14ac:dyDescent="0.2">
      <c r="A5595" s="1">
        <v>45940</v>
      </c>
      <c r="B5595" s="2" t="s">
        <v>17</v>
      </c>
      <c r="C5595" s="2" t="s">
        <v>15</v>
      </c>
      <c r="D5595" s="2" t="s">
        <v>19</v>
      </c>
      <c r="E5595">
        <v>13669</v>
      </c>
      <c r="F5595">
        <v>393</v>
      </c>
      <c r="G5595">
        <v>35</v>
      </c>
      <c r="H5595">
        <v>633.23</v>
      </c>
      <c r="I5595">
        <v>4697.45</v>
      </c>
      <c r="J5595">
        <v>2.88</v>
      </c>
      <c r="K5595">
        <v>8.91</v>
      </c>
      <c r="L5595">
        <v>18.09</v>
      </c>
      <c r="M5595">
        <v>7.42</v>
      </c>
      <c r="N5595">
        <v>4064.22</v>
      </c>
    </row>
    <row r="5596" spans="1:14" x14ac:dyDescent="0.2">
      <c r="A5596" s="1">
        <v>45940</v>
      </c>
      <c r="B5596" s="2" t="s">
        <v>20</v>
      </c>
      <c r="C5596" s="2" t="s">
        <v>28</v>
      </c>
      <c r="D5596" s="2" t="s">
        <v>22</v>
      </c>
      <c r="E5596">
        <v>15867</v>
      </c>
      <c r="F5596">
        <v>432</v>
      </c>
      <c r="G5596">
        <v>18</v>
      </c>
      <c r="H5596">
        <v>785.5</v>
      </c>
      <c r="I5596">
        <v>1742.67</v>
      </c>
      <c r="J5596">
        <v>2.72</v>
      </c>
      <c r="K5596">
        <v>4.17</v>
      </c>
      <c r="L5596">
        <v>43.64</v>
      </c>
      <c r="M5596">
        <v>2.2200000000000002</v>
      </c>
      <c r="N5596">
        <v>957.17</v>
      </c>
    </row>
    <row r="5597" spans="1:14" x14ac:dyDescent="0.2">
      <c r="A5597" s="1">
        <v>45940</v>
      </c>
      <c r="B5597" s="2" t="s">
        <v>23</v>
      </c>
      <c r="C5597" s="2" t="s">
        <v>32</v>
      </c>
      <c r="D5597" s="2" t="s">
        <v>22</v>
      </c>
      <c r="E5597">
        <v>3274</v>
      </c>
      <c r="F5597">
        <v>73</v>
      </c>
      <c r="G5597">
        <v>7</v>
      </c>
      <c r="H5597">
        <v>1541.48</v>
      </c>
      <c r="I5597">
        <v>2241.09</v>
      </c>
      <c r="J5597">
        <v>2.23</v>
      </c>
      <c r="K5597">
        <v>9.59</v>
      </c>
      <c r="L5597">
        <v>220.21</v>
      </c>
      <c r="M5597">
        <v>1.45</v>
      </c>
      <c r="N5597">
        <v>699.61</v>
      </c>
    </row>
    <row r="5598" spans="1:14" x14ac:dyDescent="0.2">
      <c r="A5598" s="1">
        <v>45940</v>
      </c>
      <c r="B5598" s="2" t="s">
        <v>24</v>
      </c>
      <c r="C5598" s="2" t="s">
        <v>28</v>
      </c>
      <c r="D5598" s="2" t="s">
        <v>36</v>
      </c>
      <c r="E5598">
        <v>22928</v>
      </c>
      <c r="F5598">
        <v>4305</v>
      </c>
      <c r="G5598">
        <v>463</v>
      </c>
      <c r="H5598">
        <v>158.21</v>
      </c>
      <c r="I5598">
        <v>59384.17</v>
      </c>
      <c r="J5598">
        <v>18.78</v>
      </c>
      <c r="K5598">
        <v>10.75</v>
      </c>
      <c r="L5598">
        <v>0.34</v>
      </c>
      <c r="M5598">
        <v>375.35</v>
      </c>
      <c r="N5598">
        <v>59225.96</v>
      </c>
    </row>
    <row r="5599" spans="1:14" x14ac:dyDescent="0.2">
      <c r="A5599" s="1">
        <v>45940</v>
      </c>
      <c r="B5599" s="2" t="s">
        <v>26</v>
      </c>
      <c r="C5599" s="2" t="s">
        <v>35</v>
      </c>
      <c r="D5599" s="2" t="s">
        <v>22</v>
      </c>
      <c r="E5599">
        <v>32320</v>
      </c>
      <c r="F5599">
        <v>1746</v>
      </c>
      <c r="G5599">
        <v>241</v>
      </c>
      <c r="H5599">
        <v>0</v>
      </c>
      <c r="I5599">
        <v>32384.84</v>
      </c>
      <c r="J5599">
        <v>5.4</v>
      </c>
      <c r="K5599">
        <v>13.8</v>
      </c>
      <c r="L5599">
        <v>0</v>
      </c>
      <c r="M5599">
        <v>0</v>
      </c>
      <c r="N5599">
        <v>32384.84</v>
      </c>
    </row>
    <row r="5600" spans="1:14" x14ac:dyDescent="0.2">
      <c r="A5600" s="1">
        <v>45940</v>
      </c>
      <c r="B5600" s="2" t="s">
        <v>27</v>
      </c>
      <c r="C5600" s="2" t="s">
        <v>21</v>
      </c>
      <c r="D5600" s="2" t="s">
        <v>22</v>
      </c>
      <c r="E5600">
        <v>27828</v>
      </c>
      <c r="F5600">
        <v>308</v>
      </c>
      <c r="G5600">
        <v>8</v>
      </c>
      <c r="H5600">
        <v>1154.1199999999999</v>
      </c>
      <c r="I5600">
        <v>808.93</v>
      </c>
      <c r="J5600">
        <v>1.1100000000000001</v>
      </c>
      <c r="K5600">
        <v>2.6</v>
      </c>
      <c r="L5600">
        <v>144.26</v>
      </c>
      <c r="M5600">
        <v>0.7</v>
      </c>
      <c r="N5600">
        <v>-345.19</v>
      </c>
    </row>
    <row r="5601" spans="1:14" x14ac:dyDescent="0.2">
      <c r="A5601" s="1">
        <v>45940</v>
      </c>
      <c r="B5601" s="2" t="s">
        <v>29</v>
      </c>
      <c r="C5601" s="2" t="s">
        <v>15</v>
      </c>
      <c r="D5601" s="2" t="s">
        <v>22</v>
      </c>
      <c r="E5601">
        <v>19530</v>
      </c>
      <c r="F5601">
        <v>521</v>
      </c>
      <c r="G5601">
        <v>38</v>
      </c>
      <c r="H5601">
        <v>1270.48</v>
      </c>
      <c r="I5601">
        <v>4788.93</v>
      </c>
      <c r="J5601">
        <v>2.67</v>
      </c>
      <c r="K5601">
        <v>7.29</v>
      </c>
      <c r="L5601">
        <v>33.43</v>
      </c>
      <c r="M5601">
        <v>3.77</v>
      </c>
      <c r="N5601">
        <v>3518.45</v>
      </c>
    </row>
    <row r="5602" spans="1:14" x14ac:dyDescent="0.2">
      <c r="A5602" s="1">
        <v>45940</v>
      </c>
      <c r="B5602" s="2" t="s">
        <v>30</v>
      </c>
      <c r="C5602" s="2" t="s">
        <v>15</v>
      </c>
      <c r="D5602" s="2" t="s">
        <v>16</v>
      </c>
      <c r="E5602">
        <v>10421</v>
      </c>
      <c r="F5602">
        <v>307</v>
      </c>
      <c r="G5602">
        <v>16</v>
      </c>
      <c r="H5602">
        <v>578.54999999999995</v>
      </c>
      <c r="I5602">
        <v>1246.8699999999999</v>
      </c>
      <c r="J5602">
        <v>2.95</v>
      </c>
      <c r="K5602">
        <v>5.21</v>
      </c>
      <c r="L5602">
        <v>36.159999999999997</v>
      </c>
      <c r="M5602">
        <v>2.16</v>
      </c>
      <c r="N5602">
        <v>668.32</v>
      </c>
    </row>
    <row r="5603" spans="1:14" x14ac:dyDescent="0.2">
      <c r="A5603" s="1">
        <v>45940</v>
      </c>
      <c r="B5603" s="2" t="s">
        <v>31</v>
      </c>
      <c r="C5603" s="2" t="s">
        <v>35</v>
      </c>
      <c r="D5603" s="2" t="s">
        <v>25</v>
      </c>
      <c r="E5603">
        <v>27392</v>
      </c>
      <c r="F5603">
        <v>1104</v>
      </c>
      <c r="G5603">
        <v>59</v>
      </c>
      <c r="H5603">
        <v>605.74</v>
      </c>
      <c r="I5603">
        <v>5515.71</v>
      </c>
      <c r="J5603">
        <v>4.03</v>
      </c>
      <c r="K5603">
        <v>5.34</v>
      </c>
      <c r="L5603">
        <v>10.27</v>
      </c>
      <c r="M5603">
        <v>9.11</v>
      </c>
      <c r="N5603">
        <v>4909.97</v>
      </c>
    </row>
    <row r="5604" spans="1:14" x14ac:dyDescent="0.2">
      <c r="A5604" s="1">
        <v>45940</v>
      </c>
      <c r="B5604" s="2" t="s">
        <v>33</v>
      </c>
      <c r="C5604" s="2" t="s">
        <v>18</v>
      </c>
      <c r="D5604" s="2" t="s">
        <v>22</v>
      </c>
      <c r="E5604">
        <v>5309</v>
      </c>
      <c r="F5604">
        <v>329</v>
      </c>
      <c r="G5604">
        <v>34</v>
      </c>
      <c r="H5604">
        <v>498.53</v>
      </c>
      <c r="I5604">
        <v>4351.95</v>
      </c>
      <c r="J5604">
        <v>6.2</v>
      </c>
      <c r="K5604">
        <v>10.33</v>
      </c>
      <c r="L5604">
        <v>14.66</v>
      </c>
      <c r="M5604">
        <v>8.73</v>
      </c>
      <c r="N5604">
        <v>3853.42</v>
      </c>
    </row>
    <row r="5605" spans="1:14" x14ac:dyDescent="0.2">
      <c r="A5605" s="1">
        <v>45940</v>
      </c>
      <c r="B5605" s="2" t="s">
        <v>34</v>
      </c>
      <c r="C5605" s="2" t="s">
        <v>28</v>
      </c>
      <c r="D5605" s="2" t="s">
        <v>36</v>
      </c>
      <c r="E5605">
        <v>4583</v>
      </c>
      <c r="F5605">
        <v>437</v>
      </c>
      <c r="G5605">
        <v>67</v>
      </c>
      <c r="H5605">
        <v>198.93</v>
      </c>
      <c r="I5605">
        <v>9154.25</v>
      </c>
      <c r="J5605">
        <v>9.5399999999999991</v>
      </c>
      <c r="K5605">
        <v>15.33</v>
      </c>
      <c r="L5605">
        <v>2.97</v>
      </c>
      <c r="M5605">
        <v>46.02</v>
      </c>
      <c r="N5605">
        <v>8955.32</v>
      </c>
    </row>
    <row r="5606" spans="1:14" x14ac:dyDescent="0.2">
      <c r="A5606" s="1">
        <v>45941</v>
      </c>
      <c r="B5606" s="2" t="s">
        <v>14</v>
      </c>
      <c r="C5606" s="2" t="s">
        <v>15</v>
      </c>
      <c r="D5606" s="2" t="s">
        <v>22</v>
      </c>
      <c r="E5606">
        <v>5987</v>
      </c>
      <c r="F5606">
        <v>182</v>
      </c>
      <c r="G5606">
        <v>16</v>
      </c>
      <c r="H5606">
        <v>944.84</v>
      </c>
      <c r="I5606">
        <v>2342.6</v>
      </c>
      <c r="J5606">
        <v>3.04</v>
      </c>
      <c r="K5606">
        <v>8.7899999999999991</v>
      </c>
      <c r="L5606">
        <v>59.05</v>
      </c>
      <c r="M5606">
        <v>2.48</v>
      </c>
      <c r="N5606">
        <v>1397.76</v>
      </c>
    </row>
    <row r="5607" spans="1:14" x14ac:dyDescent="0.2">
      <c r="A5607" s="1">
        <v>45941</v>
      </c>
      <c r="B5607" s="2" t="s">
        <v>17</v>
      </c>
      <c r="C5607" s="2" t="s">
        <v>18</v>
      </c>
      <c r="D5607" s="2" t="s">
        <v>16</v>
      </c>
      <c r="E5607">
        <v>9398</v>
      </c>
      <c r="F5607">
        <v>198</v>
      </c>
      <c r="G5607">
        <v>16</v>
      </c>
      <c r="H5607">
        <v>680.22</v>
      </c>
      <c r="I5607">
        <v>1758.62</v>
      </c>
      <c r="J5607">
        <v>2.11</v>
      </c>
      <c r="K5607">
        <v>8.08</v>
      </c>
      <c r="L5607">
        <v>42.51</v>
      </c>
      <c r="M5607">
        <v>2.59</v>
      </c>
      <c r="N5607">
        <v>1078.4000000000001</v>
      </c>
    </row>
    <row r="5608" spans="1:14" x14ac:dyDescent="0.2">
      <c r="A5608" s="1">
        <v>45941</v>
      </c>
      <c r="B5608" s="2" t="s">
        <v>20</v>
      </c>
      <c r="C5608" s="2" t="s">
        <v>35</v>
      </c>
      <c r="D5608" s="2" t="s">
        <v>36</v>
      </c>
      <c r="E5608">
        <v>7507</v>
      </c>
      <c r="F5608">
        <v>191</v>
      </c>
      <c r="G5608">
        <v>12</v>
      </c>
      <c r="H5608">
        <v>645.02</v>
      </c>
      <c r="I5608">
        <v>1082.05</v>
      </c>
      <c r="J5608">
        <v>2.54</v>
      </c>
      <c r="K5608">
        <v>6.28</v>
      </c>
      <c r="L5608">
        <v>53.75</v>
      </c>
      <c r="M5608">
        <v>1.68</v>
      </c>
      <c r="N5608">
        <v>437.03</v>
      </c>
    </row>
    <row r="5609" spans="1:14" x14ac:dyDescent="0.2">
      <c r="A5609" s="1">
        <v>45941</v>
      </c>
      <c r="B5609" s="2" t="s">
        <v>23</v>
      </c>
      <c r="C5609" s="2" t="s">
        <v>21</v>
      </c>
      <c r="D5609" s="2" t="s">
        <v>16</v>
      </c>
      <c r="E5609">
        <v>2352</v>
      </c>
      <c r="F5609">
        <v>53</v>
      </c>
      <c r="G5609">
        <v>6</v>
      </c>
      <c r="H5609">
        <v>856.67</v>
      </c>
      <c r="I5609">
        <v>1742.14</v>
      </c>
      <c r="J5609">
        <v>2.25</v>
      </c>
      <c r="K5609">
        <v>11.32</v>
      </c>
      <c r="L5609">
        <v>142.78</v>
      </c>
      <c r="M5609">
        <v>2.0299999999999998</v>
      </c>
      <c r="N5609">
        <v>885.47</v>
      </c>
    </row>
    <row r="5610" spans="1:14" x14ac:dyDescent="0.2">
      <c r="A5610" s="1">
        <v>45941</v>
      </c>
      <c r="B5610" s="2" t="s">
        <v>24</v>
      </c>
      <c r="C5610" s="2" t="s">
        <v>18</v>
      </c>
      <c r="D5610" s="2" t="s">
        <v>25</v>
      </c>
      <c r="E5610">
        <v>15602</v>
      </c>
      <c r="F5610">
        <v>2664</v>
      </c>
      <c r="G5610">
        <v>350</v>
      </c>
      <c r="H5610">
        <v>208.68</v>
      </c>
      <c r="I5610">
        <v>51087.92</v>
      </c>
      <c r="J5610">
        <v>17.07</v>
      </c>
      <c r="K5610">
        <v>13.14</v>
      </c>
      <c r="L5610">
        <v>0.6</v>
      </c>
      <c r="M5610">
        <v>244.81</v>
      </c>
      <c r="N5610">
        <v>50879.24</v>
      </c>
    </row>
    <row r="5611" spans="1:14" x14ac:dyDescent="0.2">
      <c r="A5611" s="1">
        <v>45941</v>
      </c>
      <c r="B5611" s="2" t="s">
        <v>26</v>
      </c>
      <c r="C5611" s="2" t="s">
        <v>15</v>
      </c>
      <c r="D5611" s="2" t="s">
        <v>19</v>
      </c>
      <c r="E5611">
        <v>15706</v>
      </c>
      <c r="F5611">
        <v>802</v>
      </c>
      <c r="G5611">
        <v>83</v>
      </c>
      <c r="H5611">
        <v>0</v>
      </c>
      <c r="I5611">
        <v>9411.98</v>
      </c>
      <c r="J5611">
        <v>5.1100000000000003</v>
      </c>
      <c r="K5611">
        <v>10.35</v>
      </c>
      <c r="L5611">
        <v>0</v>
      </c>
      <c r="M5611">
        <v>0</v>
      </c>
      <c r="N5611">
        <v>9411.98</v>
      </c>
    </row>
    <row r="5612" spans="1:14" x14ac:dyDescent="0.2">
      <c r="A5612" s="1">
        <v>45941</v>
      </c>
      <c r="B5612" s="2" t="s">
        <v>27</v>
      </c>
      <c r="C5612" s="2" t="s">
        <v>32</v>
      </c>
      <c r="D5612" s="2" t="s">
        <v>36</v>
      </c>
      <c r="E5612">
        <v>22905</v>
      </c>
      <c r="F5612">
        <v>380</v>
      </c>
      <c r="G5612">
        <v>11</v>
      </c>
      <c r="H5612">
        <v>523.79999999999995</v>
      </c>
      <c r="I5612">
        <v>1466.73</v>
      </c>
      <c r="J5612">
        <v>1.66</v>
      </c>
      <c r="K5612">
        <v>2.89</v>
      </c>
      <c r="L5612">
        <v>47.62</v>
      </c>
      <c r="M5612">
        <v>2.8</v>
      </c>
      <c r="N5612">
        <v>942.93</v>
      </c>
    </row>
    <row r="5613" spans="1:14" x14ac:dyDescent="0.2">
      <c r="A5613" s="1">
        <v>45941</v>
      </c>
      <c r="B5613" s="2" t="s">
        <v>29</v>
      </c>
      <c r="C5613" s="2" t="s">
        <v>21</v>
      </c>
      <c r="D5613" s="2" t="s">
        <v>36</v>
      </c>
      <c r="E5613">
        <v>11426</v>
      </c>
      <c r="F5613">
        <v>233</v>
      </c>
      <c r="G5613">
        <v>17</v>
      </c>
      <c r="H5613">
        <v>887.77</v>
      </c>
      <c r="I5613">
        <v>2135.59</v>
      </c>
      <c r="J5613">
        <v>2.04</v>
      </c>
      <c r="K5613">
        <v>7.3</v>
      </c>
      <c r="L5613">
        <v>52.22</v>
      </c>
      <c r="M5613">
        <v>2.41</v>
      </c>
      <c r="N5613">
        <v>1247.82</v>
      </c>
    </row>
    <row r="5614" spans="1:14" x14ac:dyDescent="0.2">
      <c r="A5614" s="1">
        <v>45941</v>
      </c>
      <c r="B5614" s="2" t="s">
        <v>30</v>
      </c>
      <c r="C5614" s="2" t="s">
        <v>21</v>
      </c>
      <c r="D5614" s="2" t="s">
        <v>16</v>
      </c>
      <c r="E5614">
        <v>5763</v>
      </c>
      <c r="F5614">
        <v>118</v>
      </c>
      <c r="G5614">
        <v>4</v>
      </c>
      <c r="H5614">
        <v>381.72</v>
      </c>
      <c r="I5614">
        <v>332.35</v>
      </c>
      <c r="J5614">
        <v>2.0499999999999998</v>
      </c>
      <c r="K5614">
        <v>3.39</v>
      </c>
      <c r="L5614">
        <v>95.43</v>
      </c>
      <c r="M5614">
        <v>0.87</v>
      </c>
      <c r="N5614">
        <v>-49.37</v>
      </c>
    </row>
    <row r="5615" spans="1:14" x14ac:dyDescent="0.2">
      <c r="A5615" s="1">
        <v>45941</v>
      </c>
      <c r="B5615" s="2" t="s">
        <v>31</v>
      </c>
      <c r="C5615" s="2" t="s">
        <v>18</v>
      </c>
      <c r="D5615" s="2" t="s">
        <v>22</v>
      </c>
      <c r="E5615">
        <v>20825</v>
      </c>
      <c r="F5615">
        <v>897</v>
      </c>
      <c r="G5615">
        <v>33</v>
      </c>
      <c r="H5615">
        <v>694.88</v>
      </c>
      <c r="I5615">
        <v>2550.08</v>
      </c>
      <c r="J5615">
        <v>4.3099999999999996</v>
      </c>
      <c r="K5615">
        <v>3.68</v>
      </c>
      <c r="L5615">
        <v>21.06</v>
      </c>
      <c r="M5615">
        <v>3.67</v>
      </c>
      <c r="N5615">
        <v>1855.2</v>
      </c>
    </row>
    <row r="5616" spans="1:14" x14ac:dyDescent="0.2">
      <c r="A5616" s="1">
        <v>45941</v>
      </c>
      <c r="B5616" s="2" t="s">
        <v>33</v>
      </c>
      <c r="C5616" s="2" t="s">
        <v>28</v>
      </c>
      <c r="D5616" s="2" t="s">
        <v>36</v>
      </c>
      <c r="E5616">
        <v>3735</v>
      </c>
      <c r="F5616">
        <v>232</v>
      </c>
      <c r="G5616">
        <v>29</v>
      </c>
      <c r="H5616">
        <v>330.26</v>
      </c>
      <c r="I5616">
        <v>4185.7700000000004</v>
      </c>
      <c r="J5616">
        <v>6.21</v>
      </c>
      <c r="K5616">
        <v>12.5</v>
      </c>
      <c r="L5616">
        <v>11.39</v>
      </c>
      <c r="M5616">
        <v>12.67</v>
      </c>
      <c r="N5616">
        <v>3855.51</v>
      </c>
    </row>
    <row r="5617" spans="1:14" x14ac:dyDescent="0.2">
      <c r="A5617" s="1">
        <v>45941</v>
      </c>
      <c r="B5617" s="2" t="s">
        <v>34</v>
      </c>
      <c r="C5617" s="2" t="s">
        <v>35</v>
      </c>
      <c r="D5617" s="2" t="s">
        <v>25</v>
      </c>
      <c r="E5617">
        <v>2615</v>
      </c>
      <c r="F5617">
        <v>140</v>
      </c>
      <c r="G5617">
        <v>17</v>
      </c>
      <c r="H5617">
        <v>97.55</v>
      </c>
      <c r="I5617">
        <v>2491.33</v>
      </c>
      <c r="J5617">
        <v>5.35</v>
      </c>
      <c r="K5617">
        <v>12.14</v>
      </c>
      <c r="L5617">
        <v>5.74</v>
      </c>
      <c r="M5617">
        <v>25.54</v>
      </c>
      <c r="N5617">
        <v>2393.7800000000002</v>
      </c>
    </row>
    <row r="5618" spans="1:14" x14ac:dyDescent="0.2">
      <c r="A5618" s="1">
        <v>45942</v>
      </c>
      <c r="B5618" s="2" t="s">
        <v>14</v>
      </c>
      <c r="C5618" s="2" t="s">
        <v>21</v>
      </c>
      <c r="D5618" s="2" t="s">
        <v>36</v>
      </c>
      <c r="E5618">
        <v>9734</v>
      </c>
      <c r="F5618">
        <v>313</v>
      </c>
      <c r="G5618">
        <v>28</v>
      </c>
      <c r="H5618">
        <v>922.77</v>
      </c>
      <c r="I5618">
        <v>3497.32</v>
      </c>
      <c r="J5618">
        <v>3.22</v>
      </c>
      <c r="K5618">
        <v>8.9499999999999993</v>
      </c>
      <c r="L5618">
        <v>32.96</v>
      </c>
      <c r="M5618">
        <v>3.79</v>
      </c>
      <c r="N5618">
        <v>2574.5500000000002</v>
      </c>
    </row>
    <row r="5619" spans="1:14" x14ac:dyDescent="0.2">
      <c r="A5619" s="1">
        <v>45942</v>
      </c>
      <c r="B5619" s="2" t="s">
        <v>17</v>
      </c>
      <c r="C5619" s="2" t="s">
        <v>15</v>
      </c>
      <c r="D5619" s="2" t="s">
        <v>16</v>
      </c>
      <c r="E5619">
        <v>11613</v>
      </c>
      <c r="F5619">
        <v>245</v>
      </c>
      <c r="G5619">
        <v>18</v>
      </c>
      <c r="H5619">
        <v>517.41999999999996</v>
      </c>
      <c r="I5619">
        <v>1664.8</v>
      </c>
      <c r="J5619">
        <v>2.11</v>
      </c>
      <c r="K5619">
        <v>7.35</v>
      </c>
      <c r="L5619">
        <v>28.75</v>
      </c>
      <c r="M5619">
        <v>3.22</v>
      </c>
      <c r="N5619">
        <v>1147.3800000000001</v>
      </c>
    </row>
    <row r="5620" spans="1:14" x14ac:dyDescent="0.2">
      <c r="A5620" s="1">
        <v>45942</v>
      </c>
      <c r="B5620" s="2" t="s">
        <v>20</v>
      </c>
      <c r="C5620" s="2" t="s">
        <v>28</v>
      </c>
      <c r="D5620" s="2" t="s">
        <v>36</v>
      </c>
      <c r="E5620">
        <v>10269</v>
      </c>
      <c r="F5620">
        <v>395</v>
      </c>
      <c r="G5620">
        <v>24</v>
      </c>
      <c r="H5620">
        <v>689.5</v>
      </c>
      <c r="I5620">
        <v>2516.9499999999998</v>
      </c>
      <c r="J5620">
        <v>3.85</v>
      </c>
      <c r="K5620">
        <v>6.08</v>
      </c>
      <c r="L5620">
        <v>28.73</v>
      </c>
      <c r="M5620">
        <v>3.65</v>
      </c>
      <c r="N5620">
        <v>1827.45</v>
      </c>
    </row>
    <row r="5621" spans="1:14" x14ac:dyDescent="0.2">
      <c r="A5621" s="1">
        <v>45942</v>
      </c>
      <c r="B5621" s="2" t="s">
        <v>23</v>
      </c>
      <c r="C5621" s="2" t="s">
        <v>35</v>
      </c>
      <c r="D5621" s="2" t="s">
        <v>36</v>
      </c>
      <c r="E5621">
        <v>3740</v>
      </c>
      <c r="F5621">
        <v>67</v>
      </c>
      <c r="G5621">
        <v>6</v>
      </c>
      <c r="H5621">
        <v>971.93</v>
      </c>
      <c r="I5621">
        <v>1180.5</v>
      </c>
      <c r="J5621">
        <v>1.79</v>
      </c>
      <c r="K5621">
        <v>8.9600000000000009</v>
      </c>
      <c r="L5621">
        <v>161.99</v>
      </c>
      <c r="M5621">
        <v>1.21</v>
      </c>
      <c r="N5621">
        <v>208.57</v>
      </c>
    </row>
    <row r="5622" spans="1:14" x14ac:dyDescent="0.2">
      <c r="A5622" s="1">
        <v>45942</v>
      </c>
      <c r="B5622" s="2" t="s">
        <v>24</v>
      </c>
      <c r="C5622" s="2" t="s">
        <v>35</v>
      </c>
      <c r="D5622" s="2" t="s">
        <v>16</v>
      </c>
      <c r="E5622">
        <v>11330</v>
      </c>
      <c r="F5622">
        <v>2763</v>
      </c>
      <c r="G5622">
        <v>377</v>
      </c>
      <c r="H5622">
        <v>130.85</v>
      </c>
      <c r="I5622">
        <v>52023.66</v>
      </c>
      <c r="J5622">
        <v>24.39</v>
      </c>
      <c r="K5622">
        <v>13.64</v>
      </c>
      <c r="L5622">
        <v>0.35</v>
      </c>
      <c r="M5622">
        <v>397.58</v>
      </c>
      <c r="N5622">
        <v>51892.81</v>
      </c>
    </row>
    <row r="5623" spans="1:14" x14ac:dyDescent="0.2">
      <c r="A5623" s="1">
        <v>45942</v>
      </c>
      <c r="B5623" s="2" t="s">
        <v>26</v>
      </c>
      <c r="C5623" s="2" t="s">
        <v>18</v>
      </c>
      <c r="D5623" s="2" t="s">
        <v>16</v>
      </c>
      <c r="E5623">
        <v>14063</v>
      </c>
      <c r="F5623">
        <v>847</v>
      </c>
      <c r="G5623">
        <v>128</v>
      </c>
      <c r="H5623">
        <v>0</v>
      </c>
      <c r="I5623">
        <v>15867.2</v>
      </c>
      <c r="J5623">
        <v>6.02</v>
      </c>
      <c r="K5623">
        <v>15.11</v>
      </c>
      <c r="L5623">
        <v>0</v>
      </c>
      <c r="M5623">
        <v>0</v>
      </c>
      <c r="N5623">
        <v>15867.2</v>
      </c>
    </row>
    <row r="5624" spans="1:14" x14ac:dyDescent="0.2">
      <c r="A5624" s="1">
        <v>45942</v>
      </c>
      <c r="B5624" s="2" t="s">
        <v>27</v>
      </c>
      <c r="C5624" s="2" t="s">
        <v>18</v>
      </c>
      <c r="D5624" s="2" t="s">
        <v>16</v>
      </c>
      <c r="E5624">
        <v>22873</v>
      </c>
      <c r="F5624">
        <v>241</v>
      </c>
      <c r="G5624">
        <v>11</v>
      </c>
      <c r="H5624">
        <v>511.86</v>
      </c>
      <c r="I5624">
        <v>1344.05</v>
      </c>
      <c r="J5624">
        <v>1.05</v>
      </c>
      <c r="K5624">
        <v>4.5599999999999996</v>
      </c>
      <c r="L5624">
        <v>46.53</v>
      </c>
      <c r="M5624">
        <v>2.63</v>
      </c>
      <c r="N5624">
        <v>832.19</v>
      </c>
    </row>
    <row r="5625" spans="1:14" x14ac:dyDescent="0.2">
      <c r="A5625" s="1">
        <v>45942</v>
      </c>
      <c r="B5625" s="2" t="s">
        <v>29</v>
      </c>
      <c r="C5625" s="2" t="s">
        <v>28</v>
      </c>
      <c r="D5625" s="2" t="s">
        <v>25</v>
      </c>
      <c r="E5625">
        <v>12998</v>
      </c>
      <c r="F5625">
        <v>340</v>
      </c>
      <c r="G5625">
        <v>24</v>
      </c>
      <c r="H5625">
        <v>687.51</v>
      </c>
      <c r="I5625">
        <v>3034.64</v>
      </c>
      <c r="J5625">
        <v>2.62</v>
      </c>
      <c r="K5625">
        <v>7.06</v>
      </c>
      <c r="L5625">
        <v>28.65</v>
      </c>
      <c r="M5625">
        <v>4.41</v>
      </c>
      <c r="N5625">
        <v>2347.13</v>
      </c>
    </row>
    <row r="5626" spans="1:14" x14ac:dyDescent="0.2">
      <c r="A5626" s="1">
        <v>45942</v>
      </c>
      <c r="B5626" s="2" t="s">
        <v>30</v>
      </c>
      <c r="C5626" s="2" t="s">
        <v>21</v>
      </c>
      <c r="D5626" s="2" t="s">
        <v>16</v>
      </c>
      <c r="E5626">
        <v>9471</v>
      </c>
      <c r="F5626">
        <v>236</v>
      </c>
      <c r="G5626">
        <v>11</v>
      </c>
      <c r="H5626">
        <v>437.86</v>
      </c>
      <c r="I5626">
        <v>1281.32</v>
      </c>
      <c r="J5626">
        <v>2.4900000000000002</v>
      </c>
      <c r="K5626">
        <v>4.66</v>
      </c>
      <c r="L5626">
        <v>39.81</v>
      </c>
      <c r="M5626">
        <v>2.93</v>
      </c>
      <c r="N5626">
        <v>843.46</v>
      </c>
    </row>
    <row r="5627" spans="1:14" x14ac:dyDescent="0.2">
      <c r="A5627" s="1">
        <v>45942</v>
      </c>
      <c r="B5627" s="2" t="s">
        <v>31</v>
      </c>
      <c r="C5627" s="2" t="s">
        <v>32</v>
      </c>
      <c r="D5627" s="2" t="s">
        <v>25</v>
      </c>
      <c r="E5627">
        <v>19495</v>
      </c>
      <c r="F5627">
        <v>737</v>
      </c>
      <c r="G5627">
        <v>23</v>
      </c>
      <c r="H5627">
        <v>484.07</v>
      </c>
      <c r="I5627">
        <v>1886.33</v>
      </c>
      <c r="J5627">
        <v>3.78</v>
      </c>
      <c r="K5627">
        <v>3.12</v>
      </c>
      <c r="L5627">
        <v>21.05</v>
      </c>
      <c r="M5627">
        <v>3.9</v>
      </c>
      <c r="N5627">
        <v>1402.26</v>
      </c>
    </row>
    <row r="5628" spans="1:14" x14ac:dyDescent="0.2">
      <c r="A5628" s="1">
        <v>45942</v>
      </c>
      <c r="B5628" s="2" t="s">
        <v>33</v>
      </c>
      <c r="C5628" s="2" t="s">
        <v>32</v>
      </c>
      <c r="D5628" s="2" t="s">
        <v>36</v>
      </c>
      <c r="E5628">
        <v>4389</v>
      </c>
      <c r="F5628">
        <v>179</v>
      </c>
      <c r="G5628">
        <v>14</v>
      </c>
      <c r="H5628">
        <v>411.16</v>
      </c>
      <c r="I5628">
        <v>1575.34</v>
      </c>
      <c r="J5628">
        <v>4.08</v>
      </c>
      <c r="K5628">
        <v>7.82</v>
      </c>
      <c r="L5628">
        <v>29.37</v>
      </c>
      <c r="M5628">
        <v>3.83</v>
      </c>
      <c r="N5628">
        <v>1164.18</v>
      </c>
    </row>
    <row r="5629" spans="1:14" x14ac:dyDescent="0.2">
      <c r="A5629" s="1">
        <v>45942</v>
      </c>
      <c r="B5629" s="2" t="s">
        <v>34</v>
      </c>
      <c r="C5629" s="2" t="s">
        <v>35</v>
      </c>
      <c r="D5629" s="2" t="s">
        <v>16</v>
      </c>
      <c r="E5629">
        <v>3251</v>
      </c>
      <c r="F5629">
        <v>220</v>
      </c>
      <c r="G5629">
        <v>30</v>
      </c>
      <c r="H5629">
        <v>127.09</v>
      </c>
      <c r="I5629">
        <v>3664.19</v>
      </c>
      <c r="J5629">
        <v>6.77</v>
      </c>
      <c r="K5629">
        <v>13.64</v>
      </c>
      <c r="L5629">
        <v>4.24</v>
      </c>
      <c r="M5629">
        <v>28.83</v>
      </c>
      <c r="N5629">
        <v>3537.1</v>
      </c>
    </row>
    <row r="5630" spans="1:14" x14ac:dyDescent="0.2">
      <c r="A5630" s="1">
        <v>45943</v>
      </c>
      <c r="B5630" s="2" t="s">
        <v>14</v>
      </c>
      <c r="C5630" s="2" t="s">
        <v>32</v>
      </c>
      <c r="D5630" s="2" t="s">
        <v>22</v>
      </c>
      <c r="E5630">
        <v>13539</v>
      </c>
      <c r="F5630">
        <v>648</v>
      </c>
      <c r="G5630">
        <v>69</v>
      </c>
      <c r="H5630">
        <v>1309.3499999999999</v>
      </c>
      <c r="I5630">
        <v>8740.14</v>
      </c>
      <c r="J5630">
        <v>4.79</v>
      </c>
      <c r="K5630">
        <v>10.65</v>
      </c>
      <c r="L5630">
        <v>18.98</v>
      </c>
      <c r="M5630">
        <v>6.68</v>
      </c>
      <c r="N5630">
        <v>7430.79</v>
      </c>
    </row>
    <row r="5631" spans="1:14" x14ac:dyDescent="0.2">
      <c r="A5631" s="1">
        <v>45943</v>
      </c>
      <c r="B5631" s="2" t="s">
        <v>17</v>
      </c>
      <c r="C5631" s="2" t="s">
        <v>28</v>
      </c>
      <c r="D5631" s="2" t="s">
        <v>36</v>
      </c>
      <c r="E5631">
        <v>17561</v>
      </c>
      <c r="F5631">
        <v>695</v>
      </c>
      <c r="G5631">
        <v>57</v>
      </c>
      <c r="H5631">
        <v>1003.86</v>
      </c>
      <c r="I5631">
        <v>7153.42</v>
      </c>
      <c r="J5631">
        <v>3.96</v>
      </c>
      <c r="K5631">
        <v>8.1999999999999993</v>
      </c>
      <c r="L5631">
        <v>17.61</v>
      </c>
      <c r="M5631">
        <v>7.13</v>
      </c>
      <c r="N5631">
        <v>6149.56</v>
      </c>
    </row>
    <row r="5632" spans="1:14" x14ac:dyDescent="0.2">
      <c r="A5632" s="1">
        <v>45943</v>
      </c>
      <c r="B5632" s="2" t="s">
        <v>20</v>
      </c>
      <c r="C5632" s="2" t="s">
        <v>15</v>
      </c>
      <c r="D5632" s="2" t="s">
        <v>36</v>
      </c>
      <c r="E5632">
        <v>17547</v>
      </c>
      <c r="F5632">
        <v>493</v>
      </c>
      <c r="G5632">
        <v>27</v>
      </c>
      <c r="H5632">
        <v>587.47</v>
      </c>
      <c r="I5632">
        <v>2356.67</v>
      </c>
      <c r="J5632">
        <v>2.81</v>
      </c>
      <c r="K5632">
        <v>5.48</v>
      </c>
      <c r="L5632">
        <v>21.76</v>
      </c>
      <c r="M5632">
        <v>4.01</v>
      </c>
      <c r="N5632">
        <v>1769.2</v>
      </c>
    </row>
    <row r="5633" spans="1:14" x14ac:dyDescent="0.2">
      <c r="A5633" s="1">
        <v>45943</v>
      </c>
      <c r="B5633" s="2" t="s">
        <v>23</v>
      </c>
      <c r="C5633" s="2" t="s">
        <v>35</v>
      </c>
      <c r="D5633" s="2" t="s">
        <v>25</v>
      </c>
      <c r="E5633">
        <v>4754</v>
      </c>
      <c r="F5633">
        <v>139</v>
      </c>
      <c r="G5633">
        <v>17</v>
      </c>
      <c r="H5633">
        <v>1197.3499999999999</v>
      </c>
      <c r="I5633">
        <v>3621.33</v>
      </c>
      <c r="J5633">
        <v>2.92</v>
      </c>
      <c r="K5633">
        <v>12.23</v>
      </c>
      <c r="L5633">
        <v>70.430000000000007</v>
      </c>
      <c r="M5633">
        <v>3.02</v>
      </c>
      <c r="N5633">
        <v>2423.98</v>
      </c>
    </row>
    <row r="5634" spans="1:14" x14ac:dyDescent="0.2">
      <c r="A5634" s="1">
        <v>45943</v>
      </c>
      <c r="B5634" s="2" t="s">
        <v>24</v>
      </c>
      <c r="C5634" s="2" t="s">
        <v>21</v>
      </c>
      <c r="D5634" s="2" t="s">
        <v>16</v>
      </c>
      <c r="E5634">
        <v>16237</v>
      </c>
      <c r="F5634">
        <v>2752</v>
      </c>
      <c r="G5634">
        <v>273</v>
      </c>
      <c r="H5634">
        <v>109.9</v>
      </c>
      <c r="I5634">
        <v>38223.53</v>
      </c>
      <c r="J5634">
        <v>16.95</v>
      </c>
      <c r="K5634">
        <v>9.92</v>
      </c>
      <c r="L5634">
        <v>0.4</v>
      </c>
      <c r="M5634">
        <v>347.8</v>
      </c>
      <c r="N5634">
        <v>38113.629999999997</v>
      </c>
    </row>
    <row r="5635" spans="1:14" x14ac:dyDescent="0.2">
      <c r="A5635" s="1">
        <v>45943</v>
      </c>
      <c r="B5635" s="2" t="s">
        <v>26</v>
      </c>
      <c r="C5635" s="2" t="s">
        <v>35</v>
      </c>
      <c r="D5635" s="2" t="s">
        <v>16</v>
      </c>
      <c r="E5635">
        <v>23589</v>
      </c>
      <c r="F5635">
        <v>977</v>
      </c>
      <c r="G5635">
        <v>116</v>
      </c>
      <c r="H5635">
        <v>0</v>
      </c>
      <c r="I5635">
        <v>11897.24</v>
      </c>
      <c r="J5635">
        <v>4.1399999999999997</v>
      </c>
      <c r="K5635">
        <v>11.87</v>
      </c>
      <c r="L5635">
        <v>0</v>
      </c>
      <c r="M5635">
        <v>0</v>
      </c>
      <c r="N5635">
        <v>11897.24</v>
      </c>
    </row>
    <row r="5636" spans="1:14" x14ac:dyDescent="0.2">
      <c r="A5636" s="1">
        <v>45943</v>
      </c>
      <c r="B5636" s="2" t="s">
        <v>27</v>
      </c>
      <c r="C5636" s="2" t="s">
        <v>15</v>
      </c>
      <c r="D5636" s="2" t="s">
        <v>25</v>
      </c>
      <c r="E5636">
        <v>27730</v>
      </c>
      <c r="F5636">
        <v>398</v>
      </c>
      <c r="G5636">
        <v>12</v>
      </c>
      <c r="H5636">
        <v>771.34</v>
      </c>
      <c r="I5636">
        <v>1307.21</v>
      </c>
      <c r="J5636">
        <v>1.44</v>
      </c>
      <c r="K5636">
        <v>3.02</v>
      </c>
      <c r="L5636">
        <v>64.28</v>
      </c>
      <c r="M5636">
        <v>1.69</v>
      </c>
      <c r="N5636">
        <v>535.87</v>
      </c>
    </row>
    <row r="5637" spans="1:14" x14ac:dyDescent="0.2">
      <c r="A5637" s="1">
        <v>45943</v>
      </c>
      <c r="B5637" s="2" t="s">
        <v>29</v>
      </c>
      <c r="C5637" s="2" t="s">
        <v>21</v>
      </c>
      <c r="D5637" s="2" t="s">
        <v>36</v>
      </c>
      <c r="E5637">
        <v>21128</v>
      </c>
      <c r="F5637">
        <v>464</v>
      </c>
      <c r="G5637">
        <v>29</v>
      </c>
      <c r="H5637">
        <v>1390.06</v>
      </c>
      <c r="I5637">
        <v>3144.5</v>
      </c>
      <c r="J5637">
        <v>2.2000000000000002</v>
      </c>
      <c r="K5637">
        <v>6.25</v>
      </c>
      <c r="L5637">
        <v>47.93</v>
      </c>
      <c r="M5637">
        <v>2.2599999999999998</v>
      </c>
      <c r="N5637">
        <v>1754.44</v>
      </c>
    </row>
    <row r="5638" spans="1:14" x14ac:dyDescent="0.2">
      <c r="A5638" s="1">
        <v>45943</v>
      </c>
      <c r="B5638" s="2" t="s">
        <v>30</v>
      </c>
      <c r="C5638" s="2" t="s">
        <v>15</v>
      </c>
      <c r="D5638" s="2" t="s">
        <v>16</v>
      </c>
      <c r="E5638">
        <v>11596</v>
      </c>
      <c r="F5638">
        <v>352</v>
      </c>
      <c r="G5638">
        <v>17</v>
      </c>
      <c r="H5638">
        <v>459.53</v>
      </c>
      <c r="I5638">
        <v>1495.65</v>
      </c>
      <c r="J5638">
        <v>3.04</v>
      </c>
      <c r="K5638">
        <v>4.83</v>
      </c>
      <c r="L5638">
        <v>27.03</v>
      </c>
      <c r="M5638">
        <v>3.25</v>
      </c>
      <c r="N5638">
        <v>1036.1199999999999</v>
      </c>
    </row>
    <row r="5639" spans="1:14" x14ac:dyDescent="0.2">
      <c r="A5639" s="1">
        <v>45943</v>
      </c>
      <c r="B5639" s="2" t="s">
        <v>31</v>
      </c>
      <c r="C5639" s="2" t="s">
        <v>28</v>
      </c>
      <c r="D5639" s="2" t="s">
        <v>25</v>
      </c>
      <c r="E5639">
        <v>25344</v>
      </c>
      <c r="F5639">
        <v>979</v>
      </c>
      <c r="G5639">
        <v>62</v>
      </c>
      <c r="H5639">
        <v>753.23</v>
      </c>
      <c r="I5639">
        <v>5358.22</v>
      </c>
      <c r="J5639">
        <v>3.86</v>
      </c>
      <c r="K5639">
        <v>6.33</v>
      </c>
      <c r="L5639">
        <v>12.15</v>
      </c>
      <c r="M5639">
        <v>7.11</v>
      </c>
      <c r="N5639">
        <v>4604.99</v>
      </c>
    </row>
    <row r="5640" spans="1:14" x14ac:dyDescent="0.2">
      <c r="A5640" s="1">
        <v>45943</v>
      </c>
      <c r="B5640" s="2" t="s">
        <v>33</v>
      </c>
      <c r="C5640" s="2" t="s">
        <v>32</v>
      </c>
      <c r="D5640" s="2" t="s">
        <v>25</v>
      </c>
      <c r="E5640">
        <v>8506</v>
      </c>
      <c r="F5640">
        <v>457</v>
      </c>
      <c r="G5640">
        <v>41</v>
      </c>
      <c r="H5640">
        <v>384.67</v>
      </c>
      <c r="I5640">
        <v>5572.23</v>
      </c>
      <c r="J5640">
        <v>5.37</v>
      </c>
      <c r="K5640">
        <v>8.9700000000000006</v>
      </c>
      <c r="L5640">
        <v>9.3800000000000008</v>
      </c>
      <c r="M5640">
        <v>14.49</v>
      </c>
      <c r="N5640">
        <v>5187.5600000000004</v>
      </c>
    </row>
    <row r="5641" spans="1:14" x14ac:dyDescent="0.2">
      <c r="A5641" s="1">
        <v>45943</v>
      </c>
      <c r="B5641" s="2" t="s">
        <v>34</v>
      </c>
      <c r="C5641" s="2" t="s">
        <v>28</v>
      </c>
      <c r="D5641" s="2" t="s">
        <v>16</v>
      </c>
      <c r="E5641">
        <v>3827</v>
      </c>
      <c r="F5641">
        <v>197</v>
      </c>
      <c r="G5641">
        <v>33</v>
      </c>
      <c r="H5641">
        <v>164.97</v>
      </c>
      <c r="I5641">
        <v>4577.63</v>
      </c>
      <c r="J5641">
        <v>5.15</v>
      </c>
      <c r="K5641">
        <v>16.75</v>
      </c>
      <c r="L5641">
        <v>5</v>
      </c>
      <c r="M5641">
        <v>27.75</v>
      </c>
      <c r="N5641">
        <v>4412.66</v>
      </c>
    </row>
    <row r="5642" spans="1:14" x14ac:dyDescent="0.2">
      <c r="A5642" s="1">
        <v>45944</v>
      </c>
      <c r="B5642" s="2" t="s">
        <v>14</v>
      </c>
      <c r="C5642" s="2" t="s">
        <v>32</v>
      </c>
      <c r="D5642" s="2" t="s">
        <v>25</v>
      </c>
      <c r="E5642">
        <v>9825</v>
      </c>
      <c r="F5642">
        <v>460</v>
      </c>
      <c r="G5642">
        <v>46</v>
      </c>
      <c r="H5642">
        <v>1069.07</v>
      </c>
      <c r="I5642">
        <v>8381.41</v>
      </c>
      <c r="J5642">
        <v>4.68</v>
      </c>
      <c r="K5642">
        <v>10</v>
      </c>
      <c r="L5642">
        <v>23.24</v>
      </c>
      <c r="M5642">
        <v>7.84</v>
      </c>
      <c r="N5642">
        <v>7312.34</v>
      </c>
    </row>
    <row r="5643" spans="1:14" x14ac:dyDescent="0.2">
      <c r="A5643" s="1">
        <v>45944</v>
      </c>
      <c r="B5643" s="2" t="s">
        <v>17</v>
      </c>
      <c r="C5643" s="2" t="s">
        <v>32</v>
      </c>
      <c r="D5643" s="2" t="s">
        <v>16</v>
      </c>
      <c r="E5643">
        <v>15494</v>
      </c>
      <c r="F5643">
        <v>560</v>
      </c>
      <c r="G5643">
        <v>42</v>
      </c>
      <c r="H5643">
        <v>660.68</v>
      </c>
      <c r="I5643">
        <v>4435.0600000000004</v>
      </c>
      <c r="J5643">
        <v>3.61</v>
      </c>
      <c r="K5643">
        <v>7.5</v>
      </c>
      <c r="L5643">
        <v>15.73</v>
      </c>
      <c r="M5643">
        <v>6.71</v>
      </c>
      <c r="N5643">
        <v>3774.38</v>
      </c>
    </row>
    <row r="5644" spans="1:14" x14ac:dyDescent="0.2">
      <c r="A5644" s="1">
        <v>45944</v>
      </c>
      <c r="B5644" s="2" t="s">
        <v>20</v>
      </c>
      <c r="C5644" s="2" t="s">
        <v>21</v>
      </c>
      <c r="D5644" s="2" t="s">
        <v>16</v>
      </c>
      <c r="E5644">
        <v>15372</v>
      </c>
      <c r="F5644">
        <v>485</v>
      </c>
      <c r="G5644">
        <v>33</v>
      </c>
      <c r="H5644">
        <v>736</v>
      </c>
      <c r="I5644">
        <v>3459.81</v>
      </c>
      <c r="J5644">
        <v>3.16</v>
      </c>
      <c r="K5644">
        <v>6.8</v>
      </c>
      <c r="L5644">
        <v>22.3</v>
      </c>
      <c r="M5644">
        <v>4.7</v>
      </c>
      <c r="N5644">
        <v>2723.81</v>
      </c>
    </row>
    <row r="5645" spans="1:14" x14ac:dyDescent="0.2">
      <c r="A5645" s="1">
        <v>45944</v>
      </c>
      <c r="B5645" s="2" t="s">
        <v>23</v>
      </c>
      <c r="C5645" s="2" t="s">
        <v>21</v>
      </c>
      <c r="D5645" s="2" t="s">
        <v>25</v>
      </c>
      <c r="E5645">
        <v>3598</v>
      </c>
      <c r="F5645">
        <v>80</v>
      </c>
      <c r="G5645">
        <v>8</v>
      </c>
      <c r="H5645">
        <v>1756.19</v>
      </c>
      <c r="I5645">
        <v>2290.6</v>
      </c>
      <c r="J5645">
        <v>2.2200000000000002</v>
      </c>
      <c r="K5645">
        <v>10</v>
      </c>
      <c r="L5645">
        <v>219.52</v>
      </c>
      <c r="M5645">
        <v>1.3</v>
      </c>
      <c r="N5645">
        <v>534.41</v>
      </c>
    </row>
    <row r="5646" spans="1:14" x14ac:dyDescent="0.2">
      <c r="A5646" s="1">
        <v>45944</v>
      </c>
      <c r="B5646" s="2" t="s">
        <v>24</v>
      </c>
      <c r="C5646" s="2" t="s">
        <v>15</v>
      </c>
      <c r="D5646" s="2" t="s">
        <v>22</v>
      </c>
      <c r="E5646">
        <v>24314</v>
      </c>
      <c r="F5646">
        <v>4551</v>
      </c>
      <c r="G5646">
        <v>577</v>
      </c>
      <c r="H5646">
        <v>162.16</v>
      </c>
      <c r="I5646">
        <v>95304.9</v>
      </c>
      <c r="J5646">
        <v>18.72</v>
      </c>
      <c r="K5646">
        <v>12.68</v>
      </c>
      <c r="L5646">
        <v>0.28000000000000003</v>
      </c>
      <c r="M5646">
        <v>587.72</v>
      </c>
      <c r="N5646">
        <v>95142.74</v>
      </c>
    </row>
    <row r="5647" spans="1:14" x14ac:dyDescent="0.2">
      <c r="A5647" s="1">
        <v>45944</v>
      </c>
      <c r="B5647" s="2" t="s">
        <v>26</v>
      </c>
      <c r="C5647" s="2" t="s">
        <v>18</v>
      </c>
      <c r="D5647" s="2" t="s">
        <v>25</v>
      </c>
      <c r="E5647">
        <v>23003</v>
      </c>
      <c r="F5647">
        <v>1598</v>
      </c>
      <c r="G5647">
        <v>209</v>
      </c>
      <c r="H5647">
        <v>0</v>
      </c>
      <c r="I5647">
        <v>26864.68</v>
      </c>
      <c r="J5647">
        <v>6.95</v>
      </c>
      <c r="K5647">
        <v>13.08</v>
      </c>
      <c r="L5647">
        <v>0</v>
      </c>
      <c r="M5647">
        <v>0</v>
      </c>
      <c r="N5647">
        <v>26864.68</v>
      </c>
    </row>
    <row r="5648" spans="1:14" x14ac:dyDescent="0.2">
      <c r="A5648" s="1">
        <v>45944</v>
      </c>
      <c r="B5648" s="2" t="s">
        <v>27</v>
      </c>
      <c r="C5648" s="2" t="s">
        <v>28</v>
      </c>
      <c r="D5648" s="2" t="s">
        <v>19</v>
      </c>
      <c r="E5648">
        <v>37774</v>
      </c>
      <c r="F5648">
        <v>665</v>
      </c>
      <c r="G5648">
        <v>16</v>
      </c>
      <c r="H5648">
        <v>1085.0999999999999</v>
      </c>
      <c r="I5648">
        <v>2070.7399999999998</v>
      </c>
      <c r="J5648">
        <v>1.76</v>
      </c>
      <c r="K5648">
        <v>2.41</v>
      </c>
      <c r="L5648">
        <v>67.819999999999993</v>
      </c>
      <c r="M5648">
        <v>1.91</v>
      </c>
      <c r="N5648">
        <v>985.64</v>
      </c>
    </row>
    <row r="5649" spans="1:14" x14ac:dyDescent="0.2">
      <c r="A5649" s="1">
        <v>45944</v>
      </c>
      <c r="B5649" s="2" t="s">
        <v>29</v>
      </c>
      <c r="C5649" s="2" t="s">
        <v>18</v>
      </c>
      <c r="D5649" s="2" t="s">
        <v>16</v>
      </c>
      <c r="E5649">
        <v>24743</v>
      </c>
      <c r="F5649">
        <v>389</v>
      </c>
      <c r="G5649">
        <v>27</v>
      </c>
      <c r="H5649">
        <v>1000.89</v>
      </c>
      <c r="I5649">
        <v>3561.41</v>
      </c>
      <c r="J5649">
        <v>1.57</v>
      </c>
      <c r="K5649">
        <v>6.94</v>
      </c>
      <c r="L5649">
        <v>37.07</v>
      </c>
      <c r="M5649">
        <v>3.56</v>
      </c>
      <c r="N5649">
        <v>2560.52</v>
      </c>
    </row>
    <row r="5650" spans="1:14" x14ac:dyDescent="0.2">
      <c r="A5650" s="1">
        <v>45944</v>
      </c>
      <c r="B5650" s="2" t="s">
        <v>30</v>
      </c>
      <c r="C5650" s="2" t="s">
        <v>21</v>
      </c>
      <c r="D5650" s="2" t="s">
        <v>25</v>
      </c>
      <c r="E5650">
        <v>13697</v>
      </c>
      <c r="F5650">
        <v>477</v>
      </c>
      <c r="G5650">
        <v>26</v>
      </c>
      <c r="H5650">
        <v>583.16</v>
      </c>
      <c r="I5650">
        <v>2382.5</v>
      </c>
      <c r="J5650">
        <v>3.48</v>
      </c>
      <c r="K5650">
        <v>5.45</v>
      </c>
      <c r="L5650">
        <v>22.43</v>
      </c>
      <c r="M5650">
        <v>4.09</v>
      </c>
      <c r="N5650">
        <v>1799.34</v>
      </c>
    </row>
    <row r="5651" spans="1:14" x14ac:dyDescent="0.2">
      <c r="A5651" s="1">
        <v>45944</v>
      </c>
      <c r="B5651" s="2" t="s">
        <v>31</v>
      </c>
      <c r="C5651" s="2" t="s">
        <v>21</v>
      </c>
      <c r="D5651" s="2" t="s">
        <v>22</v>
      </c>
      <c r="E5651">
        <v>29255</v>
      </c>
      <c r="F5651">
        <v>1206</v>
      </c>
      <c r="G5651">
        <v>75</v>
      </c>
      <c r="H5651">
        <v>961.37</v>
      </c>
      <c r="I5651">
        <v>7223.96</v>
      </c>
      <c r="J5651">
        <v>4.12</v>
      </c>
      <c r="K5651">
        <v>6.22</v>
      </c>
      <c r="L5651">
        <v>12.82</v>
      </c>
      <c r="M5651">
        <v>7.51</v>
      </c>
      <c r="N5651">
        <v>6262.59</v>
      </c>
    </row>
    <row r="5652" spans="1:14" x14ac:dyDescent="0.2">
      <c r="A5652" s="1">
        <v>45944</v>
      </c>
      <c r="B5652" s="2" t="s">
        <v>33</v>
      </c>
      <c r="C5652" s="2" t="s">
        <v>18</v>
      </c>
      <c r="D5652" s="2" t="s">
        <v>25</v>
      </c>
      <c r="E5652">
        <v>9248</v>
      </c>
      <c r="F5652">
        <v>402</v>
      </c>
      <c r="G5652">
        <v>46</v>
      </c>
      <c r="H5652">
        <v>630.47</v>
      </c>
      <c r="I5652">
        <v>5537.58</v>
      </c>
      <c r="J5652">
        <v>4.3499999999999996</v>
      </c>
      <c r="K5652">
        <v>11.44</v>
      </c>
      <c r="L5652">
        <v>13.71</v>
      </c>
      <c r="M5652">
        <v>8.7799999999999994</v>
      </c>
      <c r="N5652">
        <v>4907.1099999999997</v>
      </c>
    </row>
    <row r="5653" spans="1:14" x14ac:dyDescent="0.2">
      <c r="A5653" s="1">
        <v>45944</v>
      </c>
      <c r="B5653" s="2" t="s">
        <v>34</v>
      </c>
      <c r="C5653" s="2" t="s">
        <v>35</v>
      </c>
      <c r="D5653" s="2" t="s">
        <v>16</v>
      </c>
      <c r="E5653">
        <v>4680</v>
      </c>
      <c r="F5653">
        <v>382</v>
      </c>
      <c r="G5653">
        <v>56</v>
      </c>
      <c r="H5653">
        <v>151.27000000000001</v>
      </c>
      <c r="I5653">
        <v>7869.65</v>
      </c>
      <c r="J5653">
        <v>8.16</v>
      </c>
      <c r="K5653">
        <v>14.66</v>
      </c>
      <c r="L5653">
        <v>2.7</v>
      </c>
      <c r="M5653">
        <v>52.02</v>
      </c>
      <c r="N5653">
        <v>7718.38</v>
      </c>
    </row>
    <row r="5654" spans="1:14" x14ac:dyDescent="0.2">
      <c r="A5654" s="1">
        <v>45945</v>
      </c>
      <c r="B5654" s="2" t="s">
        <v>14</v>
      </c>
      <c r="C5654" s="2" t="s">
        <v>18</v>
      </c>
      <c r="D5654" s="2" t="s">
        <v>16</v>
      </c>
      <c r="E5654">
        <v>11128</v>
      </c>
      <c r="F5654">
        <v>384</v>
      </c>
      <c r="G5654">
        <v>33</v>
      </c>
      <c r="H5654">
        <v>1486.41</v>
      </c>
      <c r="I5654">
        <v>3895.34</v>
      </c>
      <c r="J5654">
        <v>3.45</v>
      </c>
      <c r="K5654">
        <v>8.59</v>
      </c>
      <c r="L5654">
        <v>45.04</v>
      </c>
      <c r="M5654">
        <v>2.62</v>
      </c>
      <c r="N5654">
        <v>2408.9299999999998</v>
      </c>
    </row>
    <row r="5655" spans="1:14" x14ac:dyDescent="0.2">
      <c r="A5655" s="1">
        <v>45945</v>
      </c>
      <c r="B5655" s="2" t="s">
        <v>17</v>
      </c>
      <c r="C5655" s="2" t="s">
        <v>32</v>
      </c>
      <c r="D5655" s="2" t="s">
        <v>19</v>
      </c>
      <c r="E5655">
        <v>17971</v>
      </c>
      <c r="F5655">
        <v>514</v>
      </c>
      <c r="G5655">
        <v>27</v>
      </c>
      <c r="H5655">
        <v>737.74</v>
      </c>
      <c r="I5655">
        <v>3163.11</v>
      </c>
      <c r="J5655">
        <v>2.86</v>
      </c>
      <c r="K5655">
        <v>5.25</v>
      </c>
      <c r="L5655">
        <v>27.32</v>
      </c>
      <c r="M5655">
        <v>4.29</v>
      </c>
      <c r="N5655">
        <v>2425.37</v>
      </c>
    </row>
    <row r="5656" spans="1:14" x14ac:dyDescent="0.2">
      <c r="A5656" s="1">
        <v>45945</v>
      </c>
      <c r="B5656" s="2" t="s">
        <v>20</v>
      </c>
      <c r="C5656" s="2" t="s">
        <v>35</v>
      </c>
      <c r="D5656" s="2" t="s">
        <v>25</v>
      </c>
      <c r="E5656">
        <v>10527</v>
      </c>
      <c r="F5656">
        <v>457</v>
      </c>
      <c r="G5656">
        <v>31</v>
      </c>
      <c r="H5656">
        <v>891.19</v>
      </c>
      <c r="I5656">
        <v>3535.41</v>
      </c>
      <c r="J5656">
        <v>4.34</v>
      </c>
      <c r="K5656">
        <v>6.78</v>
      </c>
      <c r="L5656">
        <v>28.75</v>
      </c>
      <c r="M5656">
        <v>3.97</v>
      </c>
      <c r="N5656">
        <v>2644.22</v>
      </c>
    </row>
    <row r="5657" spans="1:14" x14ac:dyDescent="0.2">
      <c r="A5657" s="1">
        <v>45945</v>
      </c>
      <c r="B5657" s="2" t="s">
        <v>23</v>
      </c>
      <c r="C5657" s="2" t="s">
        <v>21</v>
      </c>
      <c r="D5657" s="2" t="s">
        <v>36</v>
      </c>
      <c r="E5657">
        <v>4895</v>
      </c>
      <c r="F5657">
        <v>97</v>
      </c>
      <c r="G5657">
        <v>10</v>
      </c>
      <c r="H5657">
        <v>1297.54</v>
      </c>
      <c r="I5657">
        <v>2826.68</v>
      </c>
      <c r="J5657">
        <v>1.98</v>
      </c>
      <c r="K5657">
        <v>10.31</v>
      </c>
      <c r="L5657">
        <v>129.75</v>
      </c>
      <c r="M5657">
        <v>2.1800000000000002</v>
      </c>
      <c r="N5657">
        <v>1529.14</v>
      </c>
    </row>
    <row r="5658" spans="1:14" x14ac:dyDescent="0.2">
      <c r="A5658" s="1">
        <v>45945</v>
      </c>
      <c r="B5658" s="2" t="s">
        <v>24</v>
      </c>
      <c r="C5658" s="2" t="s">
        <v>15</v>
      </c>
      <c r="D5658" s="2" t="s">
        <v>16</v>
      </c>
      <c r="E5658">
        <v>22250</v>
      </c>
      <c r="F5658">
        <v>5378</v>
      </c>
      <c r="G5658">
        <v>605</v>
      </c>
      <c r="H5658">
        <v>195.87</v>
      </c>
      <c r="I5658">
        <v>81760.850000000006</v>
      </c>
      <c r="J5658">
        <v>24.17</v>
      </c>
      <c r="K5658">
        <v>11.25</v>
      </c>
      <c r="L5658">
        <v>0.32</v>
      </c>
      <c r="M5658">
        <v>417.42</v>
      </c>
      <c r="N5658">
        <v>81564.98</v>
      </c>
    </row>
    <row r="5659" spans="1:14" x14ac:dyDescent="0.2">
      <c r="A5659" s="1">
        <v>45945</v>
      </c>
      <c r="B5659" s="2" t="s">
        <v>26</v>
      </c>
      <c r="C5659" s="2" t="s">
        <v>21</v>
      </c>
      <c r="D5659" s="2" t="s">
        <v>19</v>
      </c>
      <c r="E5659">
        <v>30489</v>
      </c>
      <c r="F5659">
        <v>1320</v>
      </c>
      <c r="G5659">
        <v>164</v>
      </c>
      <c r="H5659">
        <v>0</v>
      </c>
      <c r="I5659">
        <v>15878.27</v>
      </c>
      <c r="J5659">
        <v>4.33</v>
      </c>
      <c r="K5659">
        <v>12.42</v>
      </c>
      <c r="L5659">
        <v>0</v>
      </c>
      <c r="M5659">
        <v>0</v>
      </c>
      <c r="N5659">
        <v>15878.27</v>
      </c>
    </row>
    <row r="5660" spans="1:14" x14ac:dyDescent="0.2">
      <c r="A5660" s="1">
        <v>45945</v>
      </c>
      <c r="B5660" s="2" t="s">
        <v>27</v>
      </c>
      <c r="C5660" s="2" t="s">
        <v>18</v>
      </c>
      <c r="D5660" s="2" t="s">
        <v>25</v>
      </c>
      <c r="E5660">
        <v>39241</v>
      </c>
      <c r="F5660">
        <v>707</v>
      </c>
      <c r="G5660">
        <v>34</v>
      </c>
      <c r="H5660">
        <v>1104.3699999999999</v>
      </c>
      <c r="I5660">
        <v>4590.1499999999996</v>
      </c>
      <c r="J5660">
        <v>1.8</v>
      </c>
      <c r="K5660">
        <v>4.8099999999999996</v>
      </c>
      <c r="L5660">
        <v>32.479999999999997</v>
      </c>
      <c r="M5660">
        <v>4.16</v>
      </c>
      <c r="N5660">
        <v>3485.78</v>
      </c>
    </row>
    <row r="5661" spans="1:14" x14ac:dyDescent="0.2">
      <c r="A5661" s="1">
        <v>45945</v>
      </c>
      <c r="B5661" s="2" t="s">
        <v>29</v>
      </c>
      <c r="C5661" s="2" t="s">
        <v>35</v>
      </c>
      <c r="D5661" s="2" t="s">
        <v>25</v>
      </c>
      <c r="E5661">
        <v>24879</v>
      </c>
      <c r="F5661">
        <v>551</v>
      </c>
      <c r="G5661">
        <v>41</v>
      </c>
      <c r="H5661">
        <v>1177.3599999999999</v>
      </c>
      <c r="I5661">
        <v>5959.12</v>
      </c>
      <c r="J5661">
        <v>2.21</v>
      </c>
      <c r="K5661">
        <v>7.44</v>
      </c>
      <c r="L5661">
        <v>28.72</v>
      </c>
      <c r="M5661">
        <v>5.0599999999999996</v>
      </c>
      <c r="N5661">
        <v>4781.76</v>
      </c>
    </row>
    <row r="5662" spans="1:14" x14ac:dyDescent="0.2">
      <c r="A5662" s="1">
        <v>45945</v>
      </c>
      <c r="B5662" s="2" t="s">
        <v>30</v>
      </c>
      <c r="C5662" s="2" t="s">
        <v>28</v>
      </c>
      <c r="D5662" s="2" t="s">
        <v>22</v>
      </c>
      <c r="E5662">
        <v>13183</v>
      </c>
      <c r="F5662">
        <v>355</v>
      </c>
      <c r="G5662">
        <v>13</v>
      </c>
      <c r="H5662">
        <v>784.16</v>
      </c>
      <c r="I5662">
        <v>1269.48</v>
      </c>
      <c r="J5662">
        <v>2.69</v>
      </c>
      <c r="K5662">
        <v>3.66</v>
      </c>
      <c r="L5662">
        <v>60.32</v>
      </c>
      <c r="M5662">
        <v>1.62</v>
      </c>
      <c r="N5662">
        <v>485.32</v>
      </c>
    </row>
    <row r="5663" spans="1:14" x14ac:dyDescent="0.2">
      <c r="A5663" s="1">
        <v>45945</v>
      </c>
      <c r="B5663" s="2" t="s">
        <v>31</v>
      </c>
      <c r="C5663" s="2" t="s">
        <v>32</v>
      </c>
      <c r="D5663" s="2" t="s">
        <v>36</v>
      </c>
      <c r="E5663">
        <v>24489</v>
      </c>
      <c r="F5663">
        <v>669</v>
      </c>
      <c r="G5663">
        <v>39</v>
      </c>
      <c r="H5663">
        <v>854.38</v>
      </c>
      <c r="I5663">
        <v>3504.77</v>
      </c>
      <c r="J5663">
        <v>2.73</v>
      </c>
      <c r="K5663">
        <v>5.83</v>
      </c>
      <c r="L5663">
        <v>21.91</v>
      </c>
      <c r="M5663">
        <v>4.0999999999999996</v>
      </c>
      <c r="N5663">
        <v>2650.39</v>
      </c>
    </row>
    <row r="5664" spans="1:14" x14ac:dyDescent="0.2">
      <c r="A5664" s="1">
        <v>45945</v>
      </c>
      <c r="B5664" s="2" t="s">
        <v>33</v>
      </c>
      <c r="C5664" s="2" t="s">
        <v>15</v>
      </c>
      <c r="D5664" s="2" t="s">
        <v>19</v>
      </c>
      <c r="E5664">
        <v>6832</v>
      </c>
      <c r="F5664">
        <v>392</v>
      </c>
      <c r="G5664">
        <v>32</v>
      </c>
      <c r="H5664">
        <v>375.03</v>
      </c>
      <c r="I5664">
        <v>4521.3100000000004</v>
      </c>
      <c r="J5664">
        <v>5.74</v>
      </c>
      <c r="K5664">
        <v>8.16</v>
      </c>
      <c r="L5664">
        <v>11.72</v>
      </c>
      <c r="M5664">
        <v>12.06</v>
      </c>
      <c r="N5664">
        <v>4146.28</v>
      </c>
    </row>
    <row r="5665" spans="1:14" x14ac:dyDescent="0.2">
      <c r="A5665" s="1">
        <v>45945</v>
      </c>
      <c r="B5665" s="2" t="s">
        <v>34</v>
      </c>
      <c r="C5665" s="2" t="s">
        <v>32</v>
      </c>
      <c r="D5665" s="2" t="s">
        <v>19</v>
      </c>
      <c r="E5665">
        <v>3342</v>
      </c>
      <c r="F5665">
        <v>212</v>
      </c>
      <c r="G5665">
        <v>31</v>
      </c>
      <c r="H5665">
        <v>175.02</v>
      </c>
      <c r="I5665">
        <v>4619.57</v>
      </c>
      <c r="J5665">
        <v>6.34</v>
      </c>
      <c r="K5665">
        <v>14.62</v>
      </c>
      <c r="L5665">
        <v>5.65</v>
      </c>
      <c r="M5665">
        <v>26.39</v>
      </c>
      <c r="N5665">
        <v>4444.55</v>
      </c>
    </row>
    <row r="5666" spans="1:14" x14ac:dyDescent="0.2">
      <c r="A5666" s="1">
        <v>45946</v>
      </c>
      <c r="B5666" s="2" t="s">
        <v>14</v>
      </c>
      <c r="C5666" s="2" t="s">
        <v>32</v>
      </c>
      <c r="D5666" s="2" t="s">
        <v>25</v>
      </c>
      <c r="E5666">
        <v>12120</v>
      </c>
      <c r="F5666">
        <v>445</v>
      </c>
      <c r="G5666">
        <v>42</v>
      </c>
      <c r="H5666">
        <v>1348.7</v>
      </c>
      <c r="I5666">
        <v>4907.8500000000004</v>
      </c>
      <c r="J5666">
        <v>3.67</v>
      </c>
      <c r="K5666">
        <v>9.44</v>
      </c>
      <c r="L5666">
        <v>32.11</v>
      </c>
      <c r="M5666">
        <v>3.64</v>
      </c>
      <c r="N5666">
        <v>3559.15</v>
      </c>
    </row>
    <row r="5667" spans="1:14" x14ac:dyDescent="0.2">
      <c r="A5667" s="1">
        <v>45946</v>
      </c>
      <c r="B5667" s="2" t="s">
        <v>17</v>
      </c>
      <c r="C5667" s="2" t="s">
        <v>32</v>
      </c>
      <c r="D5667" s="2" t="s">
        <v>22</v>
      </c>
      <c r="E5667">
        <v>13688</v>
      </c>
      <c r="F5667">
        <v>457</v>
      </c>
      <c r="G5667">
        <v>39</v>
      </c>
      <c r="H5667">
        <v>625.26</v>
      </c>
      <c r="I5667">
        <v>3925.66</v>
      </c>
      <c r="J5667">
        <v>3.34</v>
      </c>
      <c r="K5667">
        <v>8.5299999999999994</v>
      </c>
      <c r="L5667">
        <v>16.03</v>
      </c>
      <c r="M5667">
        <v>6.28</v>
      </c>
      <c r="N5667">
        <v>3300.4</v>
      </c>
    </row>
    <row r="5668" spans="1:14" x14ac:dyDescent="0.2">
      <c r="A5668" s="1">
        <v>45946</v>
      </c>
      <c r="B5668" s="2" t="s">
        <v>20</v>
      </c>
      <c r="C5668" s="2" t="s">
        <v>15</v>
      </c>
      <c r="D5668" s="2" t="s">
        <v>16</v>
      </c>
      <c r="E5668">
        <v>14260</v>
      </c>
      <c r="F5668">
        <v>500</v>
      </c>
      <c r="G5668">
        <v>34</v>
      </c>
      <c r="H5668">
        <v>847.93</v>
      </c>
      <c r="I5668">
        <v>3492.96</v>
      </c>
      <c r="J5668">
        <v>3.51</v>
      </c>
      <c r="K5668">
        <v>6.8</v>
      </c>
      <c r="L5668">
        <v>24.94</v>
      </c>
      <c r="M5668">
        <v>4.12</v>
      </c>
      <c r="N5668">
        <v>2645.03</v>
      </c>
    </row>
    <row r="5669" spans="1:14" x14ac:dyDescent="0.2">
      <c r="A5669" s="1">
        <v>45946</v>
      </c>
      <c r="B5669" s="2" t="s">
        <v>23</v>
      </c>
      <c r="C5669" s="2" t="s">
        <v>15</v>
      </c>
      <c r="D5669" s="2" t="s">
        <v>16</v>
      </c>
      <c r="E5669">
        <v>5262</v>
      </c>
      <c r="F5669">
        <v>141</v>
      </c>
      <c r="G5669">
        <v>19</v>
      </c>
      <c r="H5669">
        <v>1631.09</v>
      </c>
      <c r="I5669">
        <v>4292.57</v>
      </c>
      <c r="J5669">
        <v>2.68</v>
      </c>
      <c r="K5669">
        <v>13.48</v>
      </c>
      <c r="L5669">
        <v>85.85</v>
      </c>
      <c r="M5669">
        <v>2.63</v>
      </c>
      <c r="N5669">
        <v>2661.48</v>
      </c>
    </row>
    <row r="5670" spans="1:14" x14ac:dyDescent="0.2">
      <c r="A5670" s="1">
        <v>45946</v>
      </c>
      <c r="B5670" s="2" t="s">
        <v>24</v>
      </c>
      <c r="C5670" s="2" t="s">
        <v>21</v>
      </c>
      <c r="D5670" s="2" t="s">
        <v>16</v>
      </c>
      <c r="E5670">
        <v>20907</v>
      </c>
      <c r="F5670">
        <v>4633</v>
      </c>
      <c r="G5670">
        <v>543</v>
      </c>
      <c r="H5670">
        <v>206.76</v>
      </c>
      <c r="I5670">
        <v>69032.320000000007</v>
      </c>
      <c r="J5670">
        <v>22.16</v>
      </c>
      <c r="K5670">
        <v>11.72</v>
      </c>
      <c r="L5670">
        <v>0.38</v>
      </c>
      <c r="M5670">
        <v>333.88</v>
      </c>
      <c r="N5670">
        <v>68825.56</v>
      </c>
    </row>
    <row r="5671" spans="1:14" x14ac:dyDescent="0.2">
      <c r="A5671" s="1">
        <v>45946</v>
      </c>
      <c r="B5671" s="2" t="s">
        <v>26</v>
      </c>
      <c r="C5671" s="2" t="s">
        <v>21</v>
      </c>
      <c r="D5671" s="2" t="s">
        <v>22</v>
      </c>
      <c r="E5671">
        <v>20275</v>
      </c>
      <c r="F5671">
        <v>1046</v>
      </c>
      <c r="G5671">
        <v>134</v>
      </c>
      <c r="H5671">
        <v>0</v>
      </c>
      <c r="I5671">
        <v>18371.16</v>
      </c>
      <c r="J5671">
        <v>5.16</v>
      </c>
      <c r="K5671">
        <v>12.81</v>
      </c>
      <c r="L5671">
        <v>0</v>
      </c>
      <c r="M5671">
        <v>0</v>
      </c>
      <c r="N5671">
        <v>18371.16</v>
      </c>
    </row>
    <row r="5672" spans="1:14" x14ac:dyDescent="0.2">
      <c r="A5672" s="1">
        <v>45946</v>
      </c>
      <c r="B5672" s="2" t="s">
        <v>27</v>
      </c>
      <c r="C5672" s="2" t="s">
        <v>35</v>
      </c>
      <c r="D5672" s="2" t="s">
        <v>22</v>
      </c>
      <c r="E5672">
        <v>36376</v>
      </c>
      <c r="F5672">
        <v>436</v>
      </c>
      <c r="G5672">
        <v>16</v>
      </c>
      <c r="H5672">
        <v>1214.6600000000001</v>
      </c>
      <c r="I5672">
        <v>1409.46</v>
      </c>
      <c r="J5672">
        <v>1.2</v>
      </c>
      <c r="K5672">
        <v>3.67</v>
      </c>
      <c r="L5672">
        <v>75.92</v>
      </c>
      <c r="M5672">
        <v>1.1599999999999999</v>
      </c>
      <c r="N5672">
        <v>194.8</v>
      </c>
    </row>
    <row r="5673" spans="1:14" x14ac:dyDescent="0.2">
      <c r="A5673" s="1">
        <v>45946</v>
      </c>
      <c r="B5673" s="2" t="s">
        <v>29</v>
      </c>
      <c r="C5673" s="2" t="s">
        <v>21</v>
      </c>
      <c r="D5673" s="2" t="s">
        <v>25</v>
      </c>
      <c r="E5673">
        <v>17591</v>
      </c>
      <c r="F5673">
        <v>388</v>
      </c>
      <c r="G5673">
        <v>16</v>
      </c>
      <c r="H5673">
        <v>1213.9000000000001</v>
      </c>
      <c r="I5673">
        <v>1523.9</v>
      </c>
      <c r="J5673">
        <v>2.21</v>
      </c>
      <c r="K5673">
        <v>4.12</v>
      </c>
      <c r="L5673">
        <v>75.87</v>
      </c>
      <c r="M5673">
        <v>1.26</v>
      </c>
      <c r="N5673">
        <v>310</v>
      </c>
    </row>
    <row r="5674" spans="1:14" x14ac:dyDescent="0.2">
      <c r="A5674" s="1">
        <v>45946</v>
      </c>
      <c r="B5674" s="2" t="s">
        <v>30</v>
      </c>
      <c r="C5674" s="2" t="s">
        <v>32</v>
      </c>
      <c r="D5674" s="2" t="s">
        <v>22</v>
      </c>
      <c r="E5674">
        <v>12248</v>
      </c>
      <c r="F5674">
        <v>358</v>
      </c>
      <c r="G5674">
        <v>19</v>
      </c>
      <c r="H5674">
        <v>544.59</v>
      </c>
      <c r="I5674">
        <v>1797.86</v>
      </c>
      <c r="J5674">
        <v>2.92</v>
      </c>
      <c r="K5674">
        <v>5.31</v>
      </c>
      <c r="L5674">
        <v>28.66</v>
      </c>
      <c r="M5674">
        <v>3.3</v>
      </c>
      <c r="N5674">
        <v>1253.27</v>
      </c>
    </row>
    <row r="5675" spans="1:14" x14ac:dyDescent="0.2">
      <c r="A5675" s="1">
        <v>45946</v>
      </c>
      <c r="B5675" s="2" t="s">
        <v>31</v>
      </c>
      <c r="C5675" s="2" t="s">
        <v>32</v>
      </c>
      <c r="D5675" s="2" t="s">
        <v>19</v>
      </c>
      <c r="E5675">
        <v>21348</v>
      </c>
      <c r="F5675">
        <v>708</v>
      </c>
      <c r="G5675">
        <v>35</v>
      </c>
      <c r="H5675">
        <v>649.09</v>
      </c>
      <c r="I5675">
        <v>2623.79</v>
      </c>
      <c r="J5675">
        <v>3.32</v>
      </c>
      <c r="K5675">
        <v>4.9400000000000004</v>
      </c>
      <c r="L5675">
        <v>18.55</v>
      </c>
      <c r="M5675">
        <v>4.04</v>
      </c>
      <c r="N5675">
        <v>1974.7</v>
      </c>
    </row>
    <row r="5676" spans="1:14" x14ac:dyDescent="0.2">
      <c r="A5676" s="1">
        <v>45946</v>
      </c>
      <c r="B5676" s="2" t="s">
        <v>33</v>
      </c>
      <c r="C5676" s="2" t="s">
        <v>35</v>
      </c>
      <c r="D5676" s="2" t="s">
        <v>22</v>
      </c>
      <c r="E5676">
        <v>8464</v>
      </c>
      <c r="F5676">
        <v>542</v>
      </c>
      <c r="G5676">
        <v>57</v>
      </c>
      <c r="H5676">
        <v>649.98</v>
      </c>
      <c r="I5676">
        <v>8076.12</v>
      </c>
      <c r="J5676">
        <v>6.4</v>
      </c>
      <c r="K5676">
        <v>10.52</v>
      </c>
      <c r="L5676">
        <v>11.4</v>
      </c>
      <c r="M5676">
        <v>12.43</v>
      </c>
      <c r="N5676">
        <v>7426.14</v>
      </c>
    </row>
    <row r="5677" spans="1:14" x14ac:dyDescent="0.2">
      <c r="A5677" s="1">
        <v>45946</v>
      </c>
      <c r="B5677" s="2" t="s">
        <v>34</v>
      </c>
      <c r="C5677" s="2" t="s">
        <v>15</v>
      </c>
      <c r="D5677" s="2" t="s">
        <v>25</v>
      </c>
      <c r="E5677">
        <v>3110</v>
      </c>
      <c r="F5677">
        <v>226</v>
      </c>
      <c r="G5677">
        <v>38</v>
      </c>
      <c r="H5677">
        <v>61.38</v>
      </c>
      <c r="I5677">
        <v>6288.03</v>
      </c>
      <c r="J5677">
        <v>7.27</v>
      </c>
      <c r="K5677">
        <v>16.809999999999999</v>
      </c>
      <c r="L5677">
        <v>1.62</v>
      </c>
      <c r="M5677">
        <v>102.44</v>
      </c>
      <c r="N5677">
        <v>6226.65</v>
      </c>
    </row>
    <row r="5678" spans="1:14" x14ac:dyDescent="0.2">
      <c r="A5678" s="1">
        <v>45947</v>
      </c>
      <c r="B5678" s="2" t="s">
        <v>14</v>
      </c>
      <c r="C5678" s="2" t="s">
        <v>28</v>
      </c>
      <c r="D5678" s="2" t="s">
        <v>16</v>
      </c>
      <c r="E5678">
        <v>12768</v>
      </c>
      <c r="F5678">
        <v>599</v>
      </c>
      <c r="G5678">
        <v>63</v>
      </c>
      <c r="H5678">
        <v>894.52</v>
      </c>
      <c r="I5678">
        <v>8624.75</v>
      </c>
      <c r="J5678">
        <v>4.6900000000000004</v>
      </c>
      <c r="K5678">
        <v>10.52</v>
      </c>
      <c r="L5678">
        <v>14.2</v>
      </c>
      <c r="M5678">
        <v>9.64</v>
      </c>
      <c r="N5678">
        <v>7730.23</v>
      </c>
    </row>
    <row r="5679" spans="1:14" x14ac:dyDescent="0.2">
      <c r="A5679" s="1">
        <v>45947</v>
      </c>
      <c r="B5679" s="2" t="s">
        <v>17</v>
      </c>
      <c r="C5679" s="2" t="s">
        <v>32</v>
      </c>
      <c r="D5679" s="2" t="s">
        <v>19</v>
      </c>
      <c r="E5679">
        <v>14186</v>
      </c>
      <c r="F5679">
        <v>505</v>
      </c>
      <c r="G5679">
        <v>41</v>
      </c>
      <c r="H5679">
        <v>676.43</v>
      </c>
      <c r="I5679">
        <v>5815.05</v>
      </c>
      <c r="J5679">
        <v>3.56</v>
      </c>
      <c r="K5679">
        <v>8.1199999999999992</v>
      </c>
      <c r="L5679">
        <v>16.5</v>
      </c>
      <c r="M5679">
        <v>8.6</v>
      </c>
      <c r="N5679">
        <v>5138.62</v>
      </c>
    </row>
    <row r="5680" spans="1:14" x14ac:dyDescent="0.2">
      <c r="A5680" s="1">
        <v>45947</v>
      </c>
      <c r="B5680" s="2" t="s">
        <v>20</v>
      </c>
      <c r="C5680" s="2" t="s">
        <v>35</v>
      </c>
      <c r="D5680" s="2" t="s">
        <v>36</v>
      </c>
      <c r="E5680">
        <v>13133</v>
      </c>
      <c r="F5680">
        <v>442</v>
      </c>
      <c r="G5680">
        <v>18</v>
      </c>
      <c r="H5680">
        <v>625.84</v>
      </c>
      <c r="I5680">
        <v>1906.55</v>
      </c>
      <c r="J5680">
        <v>3.37</v>
      </c>
      <c r="K5680">
        <v>4.07</v>
      </c>
      <c r="L5680">
        <v>34.770000000000003</v>
      </c>
      <c r="M5680">
        <v>3.05</v>
      </c>
      <c r="N5680">
        <v>1280.71</v>
      </c>
    </row>
    <row r="5681" spans="1:14" x14ac:dyDescent="0.2">
      <c r="A5681" s="1">
        <v>45947</v>
      </c>
      <c r="B5681" s="2" t="s">
        <v>23</v>
      </c>
      <c r="C5681" s="2" t="s">
        <v>15</v>
      </c>
      <c r="D5681" s="2" t="s">
        <v>22</v>
      </c>
      <c r="E5681">
        <v>3650</v>
      </c>
      <c r="F5681">
        <v>56</v>
      </c>
      <c r="G5681">
        <v>7</v>
      </c>
      <c r="H5681">
        <v>1496.84</v>
      </c>
      <c r="I5681">
        <v>2189.4499999999998</v>
      </c>
      <c r="J5681">
        <v>1.53</v>
      </c>
      <c r="K5681">
        <v>12.5</v>
      </c>
      <c r="L5681">
        <v>213.83</v>
      </c>
      <c r="M5681">
        <v>1.46</v>
      </c>
      <c r="N5681">
        <v>692.61</v>
      </c>
    </row>
    <row r="5682" spans="1:14" x14ac:dyDescent="0.2">
      <c r="A5682" s="1">
        <v>45947</v>
      </c>
      <c r="B5682" s="2" t="s">
        <v>24</v>
      </c>
      <c r="C5682" s="2" t="s">
        <v>28</v>
      </c>
      <c r="D5682" s="2" t="s">
        <v>36</v>
      </c>
      <c r="E5682">
        <v>19952</v>
      </c>
      <c r="F5682">
        <v>4299</v>
      </c>
      <c r="G5682">
        <v>428</v>
      </c>
      <c r="H5682">
        <v>198.3</v>
      </c>
      <c r="I5682">
        <v>52478.94</v>
      </c>
      <c r="J5682">
        <v>21.55</v>
      </c>
      <c r="K5682">
        <v>9.9600000000000009</v>
      </c>
      <c r="L5682">
        <v>0.46</v>
      </c>
      <c r="M5682">
        <v>264.64</v>
      </c>
      <c r="N5682">
        <v>52280.639999999999</v>
      </c>
    </row>
    <row r="5683" spans="1:14" x14ac:dyDescent="0.2">
      <c r="A5683" s="1">
        <v>45947</v>
      </c>
      <c r="B5683" s="2" t="s">
        <v>26</v>
      </c>
      <c r="C5683" s="2" t="s">
        <v>18</v>
      </c>
      <c r="D5683" s="2" t="s">
        <v>19</v>
      </c>
      <c r="E5683">
        <v>21144</v>
      </c>
      <c r="F5683">
        <v>943</v>
      </c>
      <c r="G5683">
        <v>115</v>
      </c>
      <c r="H5683">
        <v>0</v>
      </c>
      <c r="I5683">
        <v>13675.95</v>
      </c>
      <c r="J5683">
        <v>4.46</v>
      </c>
      <c r="K5683">
        <v>12.2</v>
      </c>
      <c r="L5683">
        <v>0</v>
      </c>
      <c r="M5683">
        <v>0</v>
      </c>
      <c r="N5683">
        <v>13675.95</v>
      </c>
    </row>
    <row r="5684" spans="1:14" x14ac:dyDescent="0.2">
      <c r="A5684" s="1">
        <v>45947</v>
      </c>
      <c r="B5684" s="2" t="s">
        <v>27</v>
      </c>
      <c r="C5684" s="2" t="s">
        <v>15</v>
      </c>
      <c r="D5684" s="2" t="s">
        <v>36</v>
      </c>
      <c r="E5684">
        <v>29583</v>
      </c>
      <c r="F5684">
        <v>297</v>
      </c>
      <c r="G5684">
        <v>8</v>
      </c>
      <c r="H5684">
        <v>1025.8800000000001</v>
      </c>
      <c r="I5684">
        <v>764.09</v>
      </c>
      <c r="J5684">
        <v>1</v>
      </c>
      <c r="K5684">
        <v>2.69</v>
      </c>
      <c r="L5684">
        <v>128.24</v>
      </c>
      <c r="M5684">
        <v>0.74</v>
      </c>
      <c r="N5684">
        <v>-261.79000000000002</v>
      </c>
    </row>
    <row r="5685" spans="1:14" x14ac:dyDescent="0.2">
      <c r="A5685" s="1">
        <v>45947</v>
      </c>
      <c r="B5685" s="2" t="s">
        <v>29</v>
      </c>
      <c r="C5685" s="2" t="s">
        <v>15</v>
      </c>
      <c r="D5685" s="2" t="s">
        <v>22</v>
      </c>
      <c r="E5685">
        <v>19616</v>
      </c>
      <c r="F5685">
        <v>517</v>
      </c>
      <c r="G5685">
        <v>39</v>
      </c>
      <c r="H5685">
        <v>1169.5899999999999</v>
      </c>
      <c r="I5685">
        <v>4732.9399999999996</v>
      </c>
      <c r="J5685">
        <v>2.64</v>
      </c>
      <c r="K5685">
        <v>7.54</v>
      </c>
      <c r="L5685">
        <v>29.99</v>
      </c>
      <c r="M5685">
        <v>4.05</v>
      </c>
      <c r="N5685">
        <v>3563.35</v>
      </c>
    </row>
    <row r="5686" spans="1:14" x14ac:dyDescent="0.2">
      <c r="A5686" s="1">
        <v>45947</v>
      </c>
      <c r="B5686" s="2" t="s">
        <v>30</v>
      </c>
      <c r="C5686" s="2" t="s">
        <v>32</v>
      </c>
      <c r="D5686" s="2" t="s">
        <v>22</v>
      </c>
      <c r="E5686">
        <v>9807</v>
      </c>
      <c r="F5686">
        <v>330</v>
      </c>
      <c r="G5686">
        <v>12</v>
      </c>
      <c r="H5686">
        <v>510.17</v>
      </c>
      <c r="I5686">
        <v>1428.6</v>
      </c>
      <c r="J5686">
        <v>3.36</v>
      </c>
      <c r="K5686">
        <v>3.64</v>
      </c>
      <c r="L5686">
        <v>42.51</v>
      </c>
      <c r="M5686">
        <v>2.8</v>
      </c>
      <c r="N5686">
        <v>918.43</v>
      </c>
    </row>
    <row r="5687" spans="1:14" x14ac:dyDescent="0.2">
      <c r="A5687" s="1">
        <v>45947</v>
      </c>
      <c r="B5687" s="2" t="s">
        <v>31</v>
      </c>
      <c r="C5687" s="2" t="s">
        <v>18</v>
      </c>
      <c r="D5687" s="2" t="s">
        <v>19</v>
      </c>
      <c r="E5687">
        <v>20496</v>
      </c>
      <c r="F5687">
        <v>753</v>
      </c>
      <c r="G5687">
        <v>43</v>
      </c>
      <c r="H5687">
        <v>845.68</v>
      </c>
      <c r="I5687">
        <v>3540.4</v>
      </c>
      <c r="J5687">
        <v>3.67</v>
      </c>
      <c r="K5687">
        <v>5.71</v>
      </c>
      <c r="L5687">
        <v>19.670000000000002</v>
      </c>
      <c r="M5687">
        <v>4.1900000000000004</v>
      </c>
      <c r="N5687">
        <v>2694.72</v>
      </c>
    </row>
    <row r="5688" spans="1:14" x14ac:dyDescent="0.2">
      <c r="A5688" s="1">
        <v>45947</v>
      </c>
      <c r="B5688" s="2" t="s">
        <v>33</v>
      </c>
      <c r="C5688" s="2" t="s">
        <v>15</v>
      </c>
      <c r="D5688" s="2" t="s">
        <v>22</v>
      </c>
      <c r="E5688">
        <v>7059</v>
      </c>
      <c r="F5688">
        <v>480</v>
      </c>
      <c r="G5688">
        <v>46</v>
      </c>
      <c r="H5688">
        <v>357.72</v>
      </c>
      <c r="I5688">
        <v>6481.53</v>
      </c>
      <c r="J5688">
        <v>6.8</v>
      </c>
      <c r="K5688">
        <v>9.58</v>
      </c>
      <c r="L5688">
        <v>7.78</v>
      </c>
      <c r="M5688">
        <v>18.12</v>
      </c>
      <c r="N5688">
        <v>6123.81</v>
      </c>
    </row>
    <row r="5689" spans="1:14" x14ac:dyDescent="0.2">
      <c r="A5689" s="1">
        <v>45947</v>
      </c>
      <c r="B5689" s="2" t="s">
        <v>34</v>
      </c>
      <c r="C5689" s="2" t="s">
        <v>15</v>
      </c>
      <c r="D5689" s="2" t="s">
        <v>19</v>
      </c>
      <c r="E5689">
        <v>6301</v>
      </c>
      <c r="F5689">
        <v>415</v>
      </c>
      <c r="G5689">
        <v>67</v>
      </c>
      <c r="H5689">
        <v>195.06</v>
      </c>
      <c r="I5689">
        <v>9220.2800000000007</v>
      </c>
      <c r="J5689">
        <v>6.59</v>
      </c>
      <c r="K5689">
        <v>16.14</v>
      </c>
      <c r="L5689">
        <v>2.91</v>
      </c>
      <c r="M5689">
        <v>47.27</v>
      </c>
      <c r="N5689">
        <v>9025.2199999999993</v>
      </c>
    </row>
    <row r="5690" spans="1:14" x14ac:dyDescent="0.2">
      <c r="A5690" s="1">
        <v>45948</v>
      </c>
      <c r="B5690" s="2" t="s">
        <v>14</v>
      </c>
      <c r="C5690" s="2" t="s">
        <v>32</v>
      </c>
      <c r="D5690" s="2" t="s">
        <v>25</v>
      </c>
      <c r="E5690">
        <v>10027</v>
      </c>
      <c r="F5690">
        <v>391</v>
      </c>
      <c r="G5690">
        <v>32</v>
      </c>
      <c r="H5690">
        <v>663.85</v>
      </c>
      <c r="I5690">
        <v>4212.3100000000004</v>
      </c>
      <c r="J5690">
        <v>3.9</v>
      </c>
      <c r="K5690">
        <v>8.18</v>
      </c>
      <c r="L5690">
        <v>20.75</v>
      </c>
      <c r="M5690">
        <v>6.35</v>
      </c>
      <c r="N5690">
        <v>3548.46</v>
      </c>
    </row>
    <row r="5691" spans="1:14" x14ac:dyDescent="0.2">
      <c r="A5691" s="1">
        <v>45948</v>
      </c>
      <c r="B5691" s="2" t="s">
        <v>17</v>
      </c>
      <c r="C5691" s="2" t="s">
        <v>32</v>
      </c>
      <c r="D5691" s="2" t="s">
        <v>22</v>
      </c>
      <c r="E5691">
        <v>8738</v>
      </c>
      <c r="F5691">
        <v>340</v>
      </c>
      <c r="G5691">
        <v>24</v>
      </c>
      <c r="H5691">
        <v>804.6</v>
      </c>
      <c r="I5691">
        <v>2508.36</v>
      </c>
      <c r="J5691">
        <v>3.89</v>
      </c>
      <c r="K5691">
        <v>7.06</v>
      </c>
      <c r="L5691">
        <v>33.520000000000003</v>
      </c>
      <c r="M5691">
        <v>3.12</v>
      </c>
      <c r="N5691">
        <v>1703.76</v>
      </c>
    </row>
    <row r="5692" spans="1:14" x14ac:dyDescent="0.2">
      <c r="A5692" s="1">
        <v>45948</v>
      </c>
      <c r="B5692" s="2" t="s">
        <v>20</v>
      </c>
      <c r="C5692" s="2" t="s">
        <v>28</v>
      </c>
      <c r="D5692" s="2" t="s">
        <v>22</v>
      </c>
      <c r="E5692">
        <v>11469</v>
      </c>
      <c r="F5692">
        <v>353</v>
      </c>
      <c r="G5692">
        <v>23</v>
      </c>
      <c r="H5692">
        <v>376.82</v>
      </c>
      <c r="I5692">
        <v>2838.44</v>
      </c>
      <c r="J5692">
        <v>3.08</v>
      </c>
      <c r="K5692">
        <v>6.52</v>
      </c>
      <c r="L5692">
        <v>16.38</v>
      </c>
      <c r="M5692">
        <v>7.53</v>
      </c>
      <c r="N5692">
        <v>2461.62</v>
      </c>
    </row>
    <row r="5693" spans="1:14" x14ac:dyDescent="0.2">
      <c r="A5693" s="1">
        <v>45948</v>
      </c>
      <c r="B5693" s="2" t="s">
        <v>23</v>
      </c>
      <c r="C5693" s="2" t="s">
        <v>35</v>
      </c>
      <c r="D5693" s="2" t="s">
        <v>36</v>
      </c>
      <c r="E5693">
        <v>2408</v>
      </c>
      <c r="F5693">
        <v>53</v>
      </c>
      <c r="G5693">
        <v>6</v>
      </c>
      <c r="H5693">
        <v>704.67</v>
      </c>
      <c r="I5693">
        <v>1336.45</v>
      </c>
      <c r="J5693">
        <v>2.2000000000000002</v>
      </c>
      <c r="K5693">
        <v>11.32</v>
      </c>
      <c r="L5693">
        <v>117.44</v>
      </c>
      <c r="M5693">
        <v>1.9</v>
      </c>
      <c r="N5693">
        <v>631.78</v>
      </c>
    </row>
    <row r="5694" spans="1:14" x14ac:dyDescent="0.2">
      <c r="A5694" s="1">
        <v>45948</v>
      </c>
      <c r="B5694" s="2" t="s">
        <v>24</v>
      </c>
      <c r="C5694" s="2" t="s">
        <v>28</v>
      </c>
      <c r="D5694" s="2" t="s">
        <v>16</v>
      </c>
      <c r="E5694">
        <v>10948</v>
      </c>
      <c r="F5694">
        <v>1787</v>
      </c>
      <c r="G5694">
        <v>225</v>
      </c>
      <c r="H5694">
        <v>152.83000000000001</v>
      </c>
      <c r="I5694">
        <v>35366.129999999997</v>
      </c>
      <c r="J5694">
        <v>16.32</v>
      </c>
      <c r="K5694">
        <v>12.59</v>
      </c>
      <c r="L5694">
        <v>0.68</v>
      </c>
      <c r="M5694">
        <v>231.41</v>
      </c>
      <c r="N5694">
        <v>35213.300000000003</v>
      </c>
    </row>
    <row r="5695" spans="1:14" x14ac:dyDescent="0.2">
      <c r="A5695" s="1">
        <v>45948</v>
      </c>
      <c r="B5695" s="2" t="s">
        <v>26</v>
      </c>
      <c r="C5695" s="2" t="s">
        <v>32</v>
      </c>
      <c r="D5695" s="2" t="s">
        <v>22</v>
      </c>
      <c r="E5695">
        <v>19655</v>
      </c>
      <c r="F5695">
        <v>1440</v>
      </c>
      <c r="G5695">
        <v>196</v>
      </c>
      <c r="H5695">
        <v>0</v>
      </c>
      <c r="I5695">
        <v>28735.13</v>
      </c>
      <c r="J5695">
        <v>7.33</v>
      </c>
      <c r="K5695">
        <v>13.61</v>
      </c>
      <c r="L5695">
        <v>0</v>
      </c>
      <c r="M5695">
        <v>0</v>
      </c>
      <c r="N5695">
        <v>28735.13</v>
      </c>
    </row>
    <row r="5696" spans="1:14" x14ac:dyDescent="0.2">
      <c r="A5696" s="1">
        <v>45948</v>
      </c>
      <c r="B5696" s="2" t="s">
        <v>27</v>
      </c>
      <c r="C5696" s="2" t="s">
        <v>18</v>
      </c>
      <c r="D5696" s="2" t="s">
        <v>19</v>
      </c>
      <c r="E5696">
        <v>18468</v>
      </c>
      <c r="F5696">
        <v>215</v>
      </c>
      <c r="G5696">
        <v>7</v>
      </c>
      <c r="H5696">
        <v>748.12</v>
      </c>
      <c r="I5696">
        <v>784.75</v>
      </c>
      <c r="J5696">
        <v>1.1599999999999999</v>
      </c>
      <c r="K5696">
        <v>3.26</v>
      </c>
      <c r="L5696">
        <v>106.87</v>
      </c>
      <c r="M5696">
        <v>1.05</v>
      </c>
      <c r="N5696">
        <v>36.630000000000003</v>
      </c>
    </row>
    <row r="5697" spans="1:14" x14ac:dyDescent="0.2">
      <c r="A5697" s="1">
        <v>45948</v>
      </c>
      <c r="B5697" s="2" t="s">
        <v>29</v>
      </c>
      <c r="C5697" s="2" t="s">
        <v>18</v>
      </c>
      <c r="D5697" s="2" t="s">
        <v>25</v>
      </c>
      <c r="E5697">
        <v>16513</v>
      </c>
      <c r="F5697">
        <v>373</v>
      </c>
      <c r="G5697">
        <v>21</v>
      </c>
      <c r="H5697">
        <v>795.63</v>
      </c>
      <c r="I5697">
        <v>2320.77</v>
      </c>
      <c r="J5697">
        <v>2.2599999999999998</v>
      </c>
      <c r="K5697">
        <v>5.63</v>
      </c>
      <c r="L5697">
        <v>37.89</v>
      </c>
      <c r="M5697">
        <v>2.92</v>
      </c>
      <c r="N5697">
        <v>1525.14</v>
      </c>
    </row>
    <row r="5698" spans="1:14" x14ac:dyDescent="0.2">
      <c r="A5698" s="1">
        <v>45948</v>
      </c>
      <c r="B5698" s="2" t="s">
        <v>30</v>
      </c>
      <c r="C5698" s="2" t="s">
        <v>18</v>
      </c>
      <c r="D5698" s="2" t="s">
        <v>25</v>
      </c>
      <c r="E5698">
        <v>5903</v>
      </c>
      <c r="F5698">
        <v>150</v>
      </c>
      <c r="G5698">
        <v>6</v>
      </c>
      <c r="H5698">
        <v>477.23</v>
      </c>
      <c r="I5698">
        <v>573.82000000000005</v>
      </c>
      <c r="J5698">
        <v>2.54</v>
      </c>
      <c r="K5698">
        <v>4</v>
      </c>
      <c r="L5698">
        <v>79.540000000000006</v>
      </c>
      <c r="M5698">
        <v>1.2</v>
      </c>
      <c r="N5698">
        <v>96.59</v>
      </c>
    </row>
    <row r="5699" spans="1:14" x14ac:dyDescent="0.2">
      <c r="A5699" s="1">
        <v>45948</v>
      </c>
      <c r="B5699" s="2" t="s">
        <v>31</v>
      </c>
      <c r="C5699" s="2" t="s">
        <v>28</v>
      </c>
      <c r="D5699" s="2" t="s">
        <v>16</v>
      </c>
      <c r="E5699">
        <v>12905</v>
      </c>
      <c r="F5699">
        <v>473</v>
      </c>
      <c r="G5699">
        <v>19</v>
      </c>
      <c r="H5699">
        <v>527.64</v>
      </c>
      <c r="I5699">
        <v>1612.55</v>
      </c>
      <c r="J5699">
        <v>3.67</v>
      </c>
      <c r="K5699">
        <v>4.0199999999999996</v>
      </c>
      <c r="L5699">
        <v>27.77</v>
      </c>
      <c r="M5699">
        <v>3.06</v>
      </c>
      <c r="N5699">
        <v>1084.9100000000001</v>
      </c>
    </row>
    <row r="5700" spans="1:14" x14ac:dyDescent="0.2">
      <c r="A5700" s="1">
        <v>45948</v>
      </c>
      <c r="B5700" s="2" t="s">
        <v>33</v>
      </c>
      <c r="C5700" s="2" t="s">
        <v>35</v>
      </c>
      <c r="D5700" s="2" t="s">
        <v>16</v>
      </c>
      <c r="E5700">
        <v>5135</v>
      </c>
      <c r="F5700">
        <v>216</v>
      </c>
      <c r="G5700">
        <v>21</v>
      </c>
      <c r="H5700">
        <v>339.93</v>
      </c>
      <c r="I5700">
        <v>2922.68</v>
      </c>
      <c r="J5700">
        <v>4.21</v>
      </c>
      <c r="K5700">
        <v>9.7200000000000006</v>
      </c>
      <c r="L5700">
        <v>16.190000000000001</v>
      </c>
      <c r="M5700">
        <v>8.6</v>
      </c>
      <c r="N5700">
        <v>2582.75</v>
      </c>
    </row>
    <row r="5701" spans="1:14" x14ac:dyDescent="0.2">
      <c r="A5701" s="1">
        <v>45948</v>
      </c>
      <c r="B5701" s="2" t="s">
        <v>34</v>
      </c>
      <c r="C5701" s="2" t="s">
        <v>35</v>
      </c>
      <c r="D5701" s="2" t="s">
        <v>19</v>
      </c>
      <c r="E5701">
        <v>3469</v>
      </c>
      <c r="F5701">
        <v>266</v>
      </c>
      <c r="G5701">
        <v>31</v>
      </c>
      <c r="H5701">
        <v>69.599999999999994</v>
      </c>
      <c r="I5701">
        <v>4964.3599999999997</v>
      </c>
      <c r="J5701">
        <v>7.67</v>
      </c>
      <c r="K5701">
        <v>11.65</v>
      </c>
      <c r="L5701">
        <v>2.25</v>
      </c>
      <c r="M5701">
        <v>71.33</v>
      </c>
      <c r="N5701">
        <v>4894.76</v>
      </c>
    </row>
    <row r="5702" spans="1:14" x14ac:dyDescent="0.2">
      <c r="A5702" s="1">
        <v>45949</v>
      </c>
      <c r="B5702" s="2" t="s">
        <v>14</v>
      </c>
      <c r="C5702" s="2" t="s">
        <v>35</v>
      </c>
      <c r="D5702" s="2" t="s">
        <v>22</v>
      </c>
      <c r="E5702">
        <v>6507</v>
      </c>
      <c r="F5702">
        <v>306</v>
      </c>
      <c r="G5702">
        <v>30</v>
      </c>
      <c r="H5702">
        <v>1040.22</v>
      </c>
      <c r="I5702">
        <v>4240.37</v>
      </c>
      <c r="J5702">
        <v>4.7</v>
      </c>
      <c r="K5702">
        <v>9.8000000000000007</v>
      </c>
      <c r="L5702">
        <v>34.67</v>
      </c>
      <c r="M5702">
        <v>4.08</v>
      </c>
      <c r="N5702">
        <v>3200.15</v>
      </c>
    </row>
    <row r="5703" spans="1:14" x14ac:dyDescent="0.2">
      <c r="A5703" s="1">
        <v>45949</v>
      </c>
      <c r="B5703" s="2" t="s">
        <v>17</v>
      </c>
      <c r="C5703" s="2" t="s">
        <v>21</v>
      </c>
      <c r="D5703" s="2" t="s">
        <v>19</v>
      </c>
      <c r="E5703">
        <v>12248</v>
      </c>
      <c r="F5703">
        <v>272</v>
      </c>
      <c r="G5703">
        <v>18</v>
      </c>
      <c r="H5703">
        <v>782.22</v>
      </c>
      <c r="I5703">
        <v>1682.32</v>
      </c>
      <c r="J5703">
        <v>2.2200000000000002</v>
      </c>
      <c r="K5703">
        <v>6.62</v>
      </c>
      <c r="L5703">
        <v>43.46</v>
      </c>
      <c r="M5703">
        <v>2.15</v>
      </c>
      <c r="N5703">
        <v>900.1</v>
      </c>
    </row>
    <row r="5704" spans="1:14" x14ac:dyDescent="0.2">
      <c r="A5704" s="1">
        <v>45949</v>
      </c>
      <c r="B5704" s="2" t="s">
        <v>20</v>
      </c>
      <c r="C5704" s="2" t="s">
        <v>18</v>
      </c>
      <c r="D5704" s="2" t="s">
        <v>16</v>
      </c>
      <c r="E5704">
        <v>12330</v>
      </c>
      <c r="F5704">
        <v>360</v>
      </c>
      <c r="G5704">
        <v>18</v>
      </c>
      <c r="H5704">
        <v>458.5</v>
      </c>
      <c r="I5704">
        <v>1708.23</v>
      </c>
      <c r="J5704">
        <v>2.92</v>
      </c>
      <c r="K5704">
        <v>5</v>
      </c>
      <c r="L5704">
        <v>25.47</v>
      </c>
      <c r="M5704">
        <v>3.73</v>
      </c>
      <c r="N5704">
        <v>1249.73</v>
      </c>
    </row>
    <row r="5705" spans="1:14" x14ac:dyDescent="0.2">
      <c r="A5705" s="1">
        <v>45949</v>
      </c>
      <c r="B5705" s="2" t="s">
        <v>23</v>
      </c>
      <c r="C5705" s="2" t="s">
        <v>28</v>
      </c>
      <c r="D5705" s="2" t="s">
        <v>22</v>
      </c>
      <c r="E5705">
        <v>3087</v>
      </c>
      <c r="F5705">
        <v>53</v>
      </c>
      <c r="G5705">
        <v>7</v>
      </c>
      <c r="H5705">
        <v>904.68</v>
      </c>
      <c r="I5705">
        <v>2587.85</v>
      </c>
      <c r="J5705">
        <v>1.72</v>
      </c>
      <c r="K5705">
        <v>13.21</v>
      </c>
      <c r="L5705">
        <v>129.24</v>
      </c>
      <c r="M5705">
        <v>2.86</v>
      </c>
      <c r="N5705">
        <v>1683.17</v>
      </c>
    </row>
    <row r="5706" spans="1:14" x14ac:dyDescent="0.2">
      <c r="A5706" s="1">
        <v>45949</v>
      </c>
      <c r="B5706" s="2" t="s">
        <v>24</v>
      </c>
      <c r="C5706" s="2" t="s">
        <v>28</v>
      </c>
      <c r="D5706" s="2" t="s">
        <v>16</v>
      </c>
      <c r="E5706">
        <v>12118</v>
      </c>
      <c r="F5706">
        <v>2336</v>
      </c>
      <c r="G5706">
        <v>190</v>
      </c>
      <c r="H5706">
        <v>183.51</v>
      </c>
      <c r="I5706">
        <v>24412.53</v>
      </c>
      <c r="J5706">
        <v>19.28</v>
      </c>
      <c r="K5706">
        <v>8.1300000000000008</v>
      </c>
      <c r="L5706">
        <v>0.97</v>
      </c>
      <c r="M5706">
        <v>133.03</v>
      </c>
      <c r="N5706">
        <v>24229.02</v>
      </c>
    </row>
    <row r="5707" spans="1:14" x14ac:dyDescent="0.2">
      <c r="A5707" s="1">
        <v>45949</v>
      </c>
      <c r="B5707" s="2" t="s">
        <v>26</v>
      </c>
      <c r="C5707" s="2" t="s">
        <v>18</v>
      </c>
      <c r="D5707" s="2" t="s">
        <v>22</v>
      </c>
      <c r="E5707">
        <v>15837</v>
      </c>
      <c r="F5707">
        <v>1189</v>
      </c>
      <c r="G5707">
        <v>119</v>
      </c>
      <c r="H5707">
        <v>0</v>
      </c>
      <c r="I5707">
        <v>12180.44</v>
      </c>
      <c r="J5707">
        <v>7.51</v>
      </c>
      <c r="K5707">
        <v>10.01</v>
      </c>
      <c r="L5707">
        <v>0</v>
      </c>
      <c r="M5707">
        <v>0</v>
      </c>
      <c r="N5707">
        <v>12180.44</v>
      </c>
    </row>
    <row r="5708" spans="1:14" x14ac:dyDescent="0.2">
      <c r="A5708" s="1">
        <v>45949</v>
      </c>
      <c r="B5708" s="2" t="s">
        <v>27</v>
      </c>
      <c r="C5708" s="2" t="s">
        <v>32</v>
      </c>
      <c r="D5708" s="2" t="s">
        <v>19</v>
      </c>
      <c r="E5708">
        <v>19925</v>
      </c>
      <c r="F5708">
        <v>284</v>
      </c>
      <c r="G5708">
        <v>12</v>
      </c>
      <c r="H5708">
        <v>829.3</v>
      </c>
      <c r="I5708">
        <v>1325.91</v>
      </c>
      <c r="J5708">
        <v>1.43</v>
      </c>
      <c r="K5708">
        <v>4.2300000000000004</v>
      </c>
      <c r="L5708">
        <v>69.11</v>
      </c>
      <c r="M5708">
        <v>1.6</v>
      </c>
      <c r="N5708">
        <v>496.61</v>
      </c>
    </row>
    <row r="5709" spans="1:14" x14ac:dyDescent="0.2">
      <c r="A5709" s="1">
        <v>45949</v>
      </c>
      <c r="B5709" s="2" t="s">
        <v>29</v>
      </c>
      <c r="C5709" s="2" t="s">
        <v>32</v>
      </c>
      <c r="D5709" s="2" t="s">
        <v>36</v>
      </c>
      <c r="E5709">
        <v>16459</v>
      </c>
      <c r="F5709">
        <v>384</v>
      </c>
      <c r="G5709">
        <v>28</v>
      </c>
      <c r="H5709">
        <v>706.46</v>
      </c>
      <c r="I5709">
        <v>3946.87</v>
      </c>
      <c r="J5709">
        <v>2.33</v>
      </c>
      <c r="K5709">
        <v>7.29</v>
      </c>
      <c r="L5709">
        <v>25.23</v>
      </c>
      <c r="M5709">
        <v>5.59</v>
      </c>
      <c r="N5709">
        <v>3240.41</v>
      </c>
    </row>
    <row r="5710" spans="1:14" x14ac:dyDescent="0.2">
      <c r="A5710" s="1">
        <v>45949</v>
      </c>
      <c r="B5710" s="2" t="s">
        <v>30</v>
      </c>
      <c r="C5710" s="2" t="s">
        <v>18</v>
      </c>
      <c r="D5710" s="2" t="s">
        <v>25</v>
      </c>
      <c r="E5710">
        <v>7478</v>
      </c>
      <c r="F5710">
        <v>247</v>
      </c>
      <c r="G5710">
        <v>10</v>
      </c>
      <c r="H5710">
        <v>304.92</v>
      </c>
      <c r="I5710">
        <v>893.41</v>
      </c>
      <c r="J5710">
        <v>3.3</v>
      </c>
      <c r="K5710">
        <v>4.05</v>
      </c>
      <c r="L5710">
        <v>30.49</v>
      </c>
      <c r="M5710">
        <v>2.93</v>
      </c>
      <c r="N5710">
        <v>588.49</v>
      </c>
    </row>
    <row r="5711" spans="1:14" x14ac:dyDescent="0.2">
      <c r="A5711" s="1">
        <v>45949</v>
      </c>
      <c r="B5711" s="2" t="s">
        <v>31</v>
      </c>
      <c r="C5711" s="2" t="s">
        <v>35</v>
      </c>
      <c r="D5711" s="2" t="s">
        <v>25</v>
      </c>
      <c r="E5711">
        <v>18671</v>
      </c>
      <c r="F5711">
        <v>604</v>
      </c>
      <c r="G5711">
        <v>25</v>
      </c>
      <c r="H5711">
        <v>666.42</v>
      </c>
      <c r="I5711">
        <v>2433.33</v>
      </c>
      <c r="J5711">
        <v>3.23</v>
      </c>
      <c r="K5711">
        <v>4.1399999999999997</v>
      </c>
      <c r="L5711">
        <v>26.66</v>
      </c>
      <c r="M5711">
        <v>3.65</v>
      </c>
      <c r="N5711">
        <v>1766.91</v>
      </c>
    </row>
    <row r="5712" spans="1:14" x14ac:dyDescent="0.2">
      <c r="A5712" s="1">
        <v>45949</v>
      </c>
      <c r="B5712" s="2" t="s">
        <v>33</v>
      </c>
      <c r="C5712" s="2" t="s">
        <v>35</v>
      </c>
      <c r="D5712" s="2" t="s">
        <v>25</v>
      </c>
      <c r="E5712">
        <v>6806</v>
      </c>
      <c r="F5712">
        <v>287</v>
      </c>
      <c r="G5712">
        <v>25</v>
      </c>
      <c r="H5712">
        <v>478.24</v>
      </c>
      <c r="I5712">
        <v>3278.64</v>
      </c>
      <c r="J5712">
        <v>4.22</v>
      </c>
      <c r="K5712">
        <v>8.7100000000000009</v>
      </c>
      <c r="L5712">
        <v>19.13</v>
      </c>
      <c r="M5712">
        <v>6.86</v>
      </c>
      <c r="N5712">
        <v>2800.4</v>
      </c>
    </row>
    <row r="5713" spans="1:14" x14ac:dyDescent="0.2">
      <c r="A5713" s="1">
        <v>45949</v>
      </c>
      <c r="B5713" s="2" t="s">
        <v>34</v>
      </c>
      <c r="C5713" s="2" t="s">
        <v>35</v>
      </c>
      <c r="D5713" s="2" t="s">
        <v>25</v>
      </c>
      <c r="E5713">
        <v>4642</v>
      </c>
      <c r="F5713">
        <v>429</v>
      </c>
      <c r="G5713">
        <v>58</v>
      </c>
      <c r="H5713">
        <v>105.96</v>
      </c>
      <c r="I5713">
        <v>6679.2</v>
      </c>
      <c r="J5713">
        <v>9.24</v>
      </c>
      <c r="K5713">
        <v>13.52</v>
      </c>
      <c r="L5713">
        <v>1.83</v>
      </c>
      <c r="M5713">
        <v>63.04</v>
      </c>
      <c r="N5713">
        <v>6573.24</v>
      </c>
    </row>
    <row r="5714" spans="1:14" x14ac:dyDescent="0.2">
      <c r="A5714" s="1">
        <v>45950</v>
      </c>
      <c r="B5714" s="2" t="s">
        <v>14</v>
      </c>
      <c r="C5714" s="2" t="s">
        <v>18</v>
      </c>
      <c r="D5714" s="2" t="s">
        <v>16</v>
      </c>
      <c r="E5714">
        <v>14240</v>
      </c>
      <c r="F5714">
        <v>657</v>
      </c>
      <c r="G5714">
        <v>77</v>
      </c>
      <c r="H5714">
        <v>811.43</v>
      </c>
      <c r="I5714">
        <v>10371.1</v>
      </c>
      <c r="J5714">
        <v>4.6100000000000003</v>
      </c>
      <c r="K5714">
        <v>11.72</v>
      </c>
      <c r="L5714">
        <v>10.54</v>
      </c>
      <c r="M5714">
        <v>12.78</v>
      </c>
      <c r="N5714">
        <v>9559.67</v>
      </c>
    </row>
    <row r="5715" spans="1:14" x14ac:dyDescent="0.2">
      <c r="A5715" s="1">
        <v>45950</v>
      </c>
      <c r="B5715" s="2" t="s">
        <v>17</v>
      </c>
      <c r="C5715" s="2" t="s">
        <v>21</v>
      </c>
      <c r="D5715" s="2" t="s">
        <v>19</v>
      </c>
      <c r="E5715">
        <v>14686</v>
      </c>
      <c r="F5715">
        <v>325</v>
      </c>
      <c r="G5715">
        <v>17</v>
      </c>
      <c r="H5715">
        <v>946.35</v>
      </c>
      <c r="I5715">
        <v>2265.9</v>
      </c>
      <c r="J5715">
        <v>2.21</v>
      </c>
      <c r="K5715">
        <v>5.23</v>
      </c>
      <c r="L5715">
        <v>55.67</v>
      </c>
      <c r="M5715">
        <v>2.39</v>
      </c>
      <c r="N5715">
        <v>1319.55</v>
      </c>
    </row>
    <row r="5716" spans="1:14" x14ac:dyDescent="0.2">
      <c r="A5716" s="1">
        <v>45950</v>
      </c>
      <c r="B5716" s="2" t="s">
        <v>20</v>
      </c>
      <c r="C5716" s="2" t="s">
        <v>28</v>
      </c>
      <c r="D5716" s="2" t="s">
        <v>22</v>
      </c>
      <c r="E5716">
        <v>17731</v>
      </c>
      <c r="F5716">
        <v>631</v>
      </c>
      <c r="G5716">
        <v>35</v>
      </c>
      <c r="H5716">
        <v>646.72</v>
      </c>
      <c r="I5716">
        <v>2701.2</v>
      </c>
      <c r="J5716">
        <v>3.56</v>
      </c>
      <c r="K5716">
        <v>5.55</v>
      </c>
      <c r="L5716">
        <v>18.48</v>
      </c>
      <c r="M5716">
        <v>4.18</v>
      </c>
      <c r="N5716">
        <v>2054.48</v>
      </c>
    </row>
    <row r="5717" spans="1:14" x14ac:dyDescent="0.2">
      <c r="A5717" s="1">
        <v>45950</v>
      </c>
      <c r="B5717" s="2" t="s">
        <v>23</v>
      </c>
      <c r="C5717" s="2" t="s">
        <v>35</v>
      </c>
      <c r="D5717" s="2" t="s">
        <v>25</v>
      </c>
      <c r="E5717">
        <v>5781</v>
      </c>
      <c r="F5717">
        <v>98</v>
      </c>
      <c r="G5717">
        <v>11</v>
      </c>
      <c r="H5717">
        <v>1072.01</v>
      </c>
      <c r="I5717">
        <v>2722.15</v>
      </c>
      <c r="J5717">
        <v>1.7</v>
      </c>
      <c r="K5717">
        <v>11.22</v>
      </c>
      <c r="L5717">
        <v>97.46</v>
      </c>
      <c r="M5717">
        <v>2.54</v>
      </c>
      <c r="N5717">
        <v>1650.14</v>
      </c>
    </row>
    <row r="5718" spans="1:14" x14ac:dyDescent="0.2">
      <c r="A5718" s="1">
        <v>45950</v>
      </c>
      <c r="B5718" s="2" t="s">
        <v>24</v>
      </c>
      <c r="C5718" s="2" t="s">
        <v>32</v>
      </c>
      <c r="D5718" s="2" t="s">
        <v>25</v>
      </c>
      <c r="E5718">
        <v>18310</v>
      </c>
      <c r="F5718">
        <v>3325</v>
      </c>
      <c r="G5718">
        <v>382</v>
      </c>
      <c r="H5718">
        <v>146.46</v>
      </c>
      <c r="I5718">
        <v>48207.93</v>
      </c>
      <c r="J5718">
        <v>18.16</v>
      </c>
      <c r="K5718">
        <v>11.49</v>
      </c>
      <c r="L5718">
        <v>0.38</v>
      </c>
      <c r="M5718">
        <v>329.15</v>
      </c>
      <c r="N5718">
        <v>48061.47</v>
      </c>
    </row>
    <row r="5719" spans="1:14" x14ac:dyDescent="0.2">
      <c r="A5719" s="1">
        <v>45950</v>
      </c>
      <c r="B5719" s="2" t="s">
        <v>26</v>
      </c>
      <c r="C5719" s="2" t="s">
        <v>28</v>
      </c>
      <c r="D5719" s="2" t="s">
        <v>36</v>
      </c>
      <c r="E5719">
        <v>24556</v>
      </c>
      <c r="F5719">
        <v>1133</v>
      </c>
      <c r="G5719">
        <v>120</v>
      </c>
      <c r="H5719">
        <v>0</v>
      </c>
      <c r="I5719">
        <v>17795.98</v>
      </c>
      <c r="J5719">
        <v>4.6100000000000003</v>
      </c>
      <c r="K5719">
        <v>10.59</v>
      </c>
      <c r="L5719">
        <v>0</v>
      </c>
      <c r="M5719">
        <v>0</v>
      </c>
      <c r="N5719">
        <v>17795.98</v>
      </c>
    </row>
    <row r="5720" spans="1:14" x14ac:dyDescent="0.2">
      <c r="A5720" s="1">
        <v>45950</v>
      </c>
      <c r="B5720" s="2" t="s">
        <v>27</v>
      </c>
      <c r="C5720" s="2" t="s">
        <v>32</v>
      </c>
      <c r="D5720" s="2" t="s">
        <v>22</v>
      </c>
      <c r="E5720">
        <v>25237</v>
      </c>
      <c r="F5720">
        <v>440</v>
      </c>
      <c r="G5720">
        <v>20</v>
      </c>
      <c r="H5720">
        <v>822.5</v>
      </c>
      <c r="I5720">
        <v>2208.0300000000002</v>
      </c>
      <c r="J5720">
        <v>1.74</v>
      </c>
      <c r="K5720">
        <v>4.55</v>
      </c>
      <c r="L5720">
        <v>41.12</v>
      </c>
      <c r="M5720">
        <v>2.68</v>
      </c>
      <c r="N5720">
        <v>1385.53</v>
      </c>
    </row>
    <row r="5721" spans="1:14" x14ac:dyDescent="0.2">
      <c r="A5721" s="1">
        <v>45950</v>
      </c>
      <c r="B5721" s="2" t="s">
        <v>29</v>
      </c>
      <c r="C5721" s="2" t="s">
        <v>35</v>
      </c>
      <c r="D5721" s="2" t="s">
        <v>16</v>
      </c>
      <c r="E5721">
        <v>17760</v>
      </c>
      <c r="F5721">
        <v>467</v>
      </c>
      <c r="G5721">
        <v>25</v>
      </c>
      <c r="H5721">
        <v>1350.27</v>
      </c>
      <c r="I5721">
        <v>2417.73</v>
      </c>
      <c r="J5721">
        <v>2.63</v>
      </c>
      <c r="K5721">
        <v>5.35</v>
      </c>
      <c r="L5721">
        <v>54.01</v>
      </c>
      <c r="M5721">
        <v>1.79</v>
      </c>
      <c r="N5721">
        <v>1067.46</v>
      </c>
    </row>
    <row r="5722" spans="1:14" x14ac:dyDescent="0.2">
      <c r="A5722" s="1">
        <v>45950</v>
      </c>
      <c r="B5722" s="2" t="s">
        <v>30</v>
      </c>
      <c r="C5722" s="2" t="s">
        <v>15</v>
      </c>
      <c r="D5722" s="2" t="s">
        <v>25</v>
      </c>
      <c r="E5722">
        <v>13929</v>
      </c>
      <c r="F5722">
        <v>389</v>
      </c>
      <c r="G5722">
        <v>19</v>
      </c>
      <c r="H5722">
        <v>642.89</v>
      </c>
      <c r="I5722">
        <v>1913.67</v>
      </c>
      <c r="J5722">
        <v>2.79</v>
      </c>
      <c r="K5722">
        <v>4.88</v>
      </c>
      <c r="L5722">
        <v>33.840000000000003</v>
      </c>
      <c r="M5722">
        <v>2.98</v>
      </c>
      <c r="N5722">
        <v>1270.78</v>
      </c>
    </row>
    <row r="5723" spans="1:14" x14ac:dyDescent="0.2">
      <c r="A5723" s="1">
        <v>45950</v>
      </c>
      <c r="B5723" s="2" t="s">
        <v>31</v>
      </c>
      <c r="C5723" s="2" t="s">
        <v>15</v>
      </c>
      <c r="D5723" s="2" t="s">
        <v>22</v>
      </c>
      <c r="E5723">
        <v>20445</v>
      </c>
      <c r="F5723">
        <v>696</v>
      </c>
      <c r="G5723">
        <v>26</v>
      </c>
      <c r="H5723">
        <v>848.32</v>
      </c>
      <c r="I5723">
        <v>2623.24</v>
      </c>
      <c r="J5723">
        <v>3.4</v>
      </c>
      <c r="K5723">
        <v>3.74</v>
      </c>
      <c r="L5723">
        <v>32.630000000000003</v>
      </c>
      <c r="M5723">
        <v>3.09</v>
      </c>
      <c r="N5723">
        <v>1774.92</v>
      </c>
    </row>
    <row r="5724" spans="1:14" x14ac:dyDescent="0.2">
      <c r="A5724" s="1">
        <v>45950</v>
      </c>
      <c r="B5724" s="2" t="s">
        <v>33</v>
      </c>
      <c r="C5724" s="2" t="s">
        <v>15</v>
      </c>
      <c r="D5724" s="2" t="s">
        <v>22</v>
      </c>
      <c r="E5724">
        <v>7642</v>
      </c>
      <c r="F5724">
        <v>509</v>
      </c>
      <c r="G5724">
        <v>57</v>
      </c>
      <c r="H5724">
        <v>625.65</v>
      </c>
      <c r="I5724">
        <v>6625.87</v>
      </c>
      <c r="J5724">
        <v>6.66</v>
      </c>
      <c r="K5724">
        <v>11.2</v>
      </c>
      <c r="L5724">
        <v>10.98</v>
      </c>
      <c r="M5724">
        <v>10.59</v>
      </c>
      <c r="N5724">
        <v>6000.22</v>
      </c>
    </row>
    <row r="5725" spans="1:14" x14ac:dyDescent="0.2">
      <c r="A5725" s="1">
        <v>45950</v>
      </c>
      <c r="B5725" s="2" t="s">
        <v>34</v>
      </c>
      <c r="C5725" s="2" t="s">
        <v>21</v>
      </c>
      <c r="D5725" s="2" t="s">
        <v>36</v>
      </c>
      <c r="E5725">
        <v>4233</v>
      </c>
      <c r="F5725">
        <v>214</v>
      </c>
      <c r="G5725">
        <v>27</v>
      </c>
      <c r="H5725">
        <v>53.3</v>
      </c>
      <c r="I5725">
        <v>4029.83</v>
      </c>
      <c r="J5725">
        <v>5.0599999999999996</v>
      </c>
      <c r="K5725">
        <v>12.62</v>
      </c>
      <c r="L5725">
        <v>1.97</v>
      </c>
      <c r="M5725">
        <v>75.61</v>
      </c>
      <c r="N5725">
        <v>3976.53</v>
      </c>
    </row>
    <row r="5726" spans="1:14" x14ac:dyDescent="0.2">
      <c r="A5726" s="1">
        <v>45951</v>
      </c>
      <c r="B5726" s="2" t="s">
        <v>14</v>
      </c>
      <c r="C5726" s="2" t="s">
        <v>32</v>
      </c>
      <c r="D5726" s="2" t="s">
        <v>19</v>
      </c>
      <c r="E5726">
        <v>10049</v>
      </c>
      <c r="F5726">
        <v>301</v>
      </c>
      <c r="G5726">
        <v>34</v>
      </c>
      <c r="H5726">
        <v>1121.48</v>
      </c>
      <c r="I5726">
        <v>4942.92</v>
      </c>
      <c r="J5726">
        <v>3</v>
      </c>
      <c r="K5726">
        <v>11.3</v>
      </c>
      <c r="L5726">
        <v>32.979999999999997</v>
      </c>
      <c r="M5726">
        <v>4.41</v>
      </c>
      <c r="N5726">
        <v>3821.44</v>
      </c>
    </row>
    <row r="5727" spans="1:14" x14ac:dyDescent="0.2">
      <c r="A5727" s="1">
        <v>45951</v>
      </c>
      <c r="B5727" s="2" t="s">
        <v>17</v>
      </c>
      <c r="C5727" s="2" t="s">
        <v>18</v>
      </c>
      <c r="D5727" s="2" t="s">
        <v>19</v>
      </c>
      <c r="E5727">
        <v>16672</v>
      </c>
      <c r="F5727">
        <v>607</v>
      </c>
      <c r="G5727">
        <v>52</v>
      </c>
      <c r="H5727">
        <v>1099.4100000000001</v>
      </c>
      <c r="I5727">
        <v>6050.78</v>
      </c>
      <c r="J5727">
        <v>3.64</v>
      </c>
      <c r="K5727">
        <v>8.57</v>
      </c>
      <c r="L5727">
        <v>21.14</v>
      </c>
      <c r="M5727">
        <v>5.5</v>
      </c>
      <c r="N5727">
        <v>4951.37</v>
      </c>
    </row>
    <row r="5728" spans="1:14" x14ac:dyDescent="0.2">
      <c r="A5728" s="1">
        <v>45951</v>
      </c>
      <c r="B5728" s="2" t="s">
        <v>20</v>
      </c>
      <c r="C5728" s="2" t="s">
        <v>15</v>
      </c>
      <c r="D5728" s="2" t="s">
        <v>22</v>
      </c>
      <c r="E5728">
        <v>17093</v>
      </c>
      <c r="F5728">
        <v>729</v>
      </c>
      <c r="G5728">
        <v>56</v>
      </c>
      <c r="H5728">
        <v>586.53</v>
      </c>
      <c r="I5728">
        <v>6137.84</v>
      </c>
      <c r="J5728">
        <v>4.26</v>
      </c>
      <c r="K5728">
        <v>7.68</v>
      </c>
      <c r="L5728">
        <v>10.47</v>
      </c>
      <c r="M5728">
        <v>10.46</v>
      </c>
      <c r="N5728">
        <v>5551.31</v>
      </c>
    </row>
    <row r="5729" spans="1:14" x14ac:dyDescent="0.2">
      <c r="A5729" s="1">
        <v>45951</v>
      </c>
      <c r="B5729" s="2" t="s">
        <v>23</v>
      </c>
      <c r="C5729" s="2" t="s">
        <v>15</v>
      </c>
      <c r="D5729" s="2" t="s">
        <v>25</v>
      </c>
      <c r="E5729">
        <v>4056</v>
      </c>
      <c r="F5729">
        <v>77</v>
      </c>
      <c r="G5729">
        <v>8</v>
      </c>
      <c r="H5729">
        <v>1610.79</v>
      </c>
      <c r="I5729">
        <v>2486.1799999999998</v>
      </c>
      <c r="J5729">
        <v>1.9</v>
      </c>
      <c r="K5729">
        <v>10.39</v>
      </c>
      <c r="L5729">
        <v>201.35</v>
      </c>
      <c r="M5729">
        <v>1.54</v>
      </c>
      <c r="N5729">
        <v>875.39</v>
      </c>
    </row>
    <row r="5730" spans="1:14" x14ac:dyDescent="0.2">
      <c r="A5730" s="1">
        <v>45951</v>
      </c>
      <c r="B5730" s="2" t="s">
        <v>24</v>
      </c>
      <c r="C5730" s="2" t="s">
        <v>28</v>
      </c>
      <c r="D5730" s="2" t="s">
        <v>36</v>
      </c>
      <c r="E5730">
        <v>16931</v>
      </c>
      <c r="F5730">
        <v>2998</v>
      </c>
      <c r="G5730">
        <v>290</v>
      </c>
      <c r="H5730">
        <v>217.89</v>
      </c>
      <c r="I5730">
        <v>36677.75</v>
      </c>
      <c r="J5730">
        <v>17.71</v>
      </c>
      <c r="K5730">
        <v>9.67</v>
      </c>
      <c r="L5730">
        <v>0.75</v>
      </c>
      <c r="M5730">
        <v>168.33</v>
      </c>
      <c r="N5730">
        <v>36459.86</v>
      </c>
    </row>
    <row r="5731" spans="1:14" x14ac:dyDescent="0.2">
      <c r="A5731" s="1">
        <v>45951</v>
      </c>
      <c r="B5731" s="2" t="s">
        <v>26</v>
      </c>
      <c r="C5731" s="2" t="s">
        <v>21</v>
      </c>
      <c r="D5731" s="2" t="s">
        <v>36</v>
      </c>
      <c r="E5731">
        <v>24740</v>
      </c>
      <c r="F5731">
        <v>1776</v>
      </c>
      <c r="G5731">
        <v>179</v>
      </c>
      <c r="H5731">
        <v>0</v>
      </c>
      <c r="I5731">
        <v>21554.58</v>
      </c>
      <c r="J5731">
        <v>7.18</v>
      </c>
      <c r="K5731">
        <v>10.08</v>
      </c>
      <c r="L5731">
        <v>0</v>
      </c>
      <c r="M5731">
        <v>0</v>
      </c>
      <c r="N5731">
        <v>21554.58</v>
      </c>
    </row>
    <row r="5732" spans="1:14" x14ac:dyDescent="0.2">
      <c r="A5732" s="1">
        <v>45951</v>
      </c>
      <c r="B5732" s="2" t="s">
        <v>27</v>
      </c>
      <c r="C5732" s="2" t="s">
        <v>35</v>
      </c>
      <c r="D5732" s="2" t="s">
        <v>36</v>
      </c>
      <c r="E5732">
        <v>37937</v>
      </c>
      <c r="F5732">
        <v>641</v>
      </c>
      <c r="G5732">
        <v>18</v>
      </c>
      <c r="H5732">
        <v>776.49</v>
      </c>
      <c r="I5732">
        <v>1951.58</v>
      </c>
      <c r="J5732">
        <v>1.69</v>
      </c>
      <c r="K5732">
        <v>2.81</v>
      </c>
      <c r="L5732">
        <v>43.14</v>
      </c>
      <c r="M5732">
        <v>2.5099999999999998</v>
      </c>
      <c r="N5732">
        <v>1175.0899999999999</v>
      </c>
    </row>
    <row r="5733" spans="1:14" x14ac:dyDescent="0.2">
      <c r="A5733" s="1">
        <v>45951</v>
      </c>
      <c r="B5733" s="2" t="s">
        <v>29</v>
      </c>
      <c r="C5733" s="2" t="s">
        <v>32</v>
      </c>
      <c r="D5733" s="2" t="s">
        <v>19</v>
      </c>
      <c r="E5733">
        <v>18890</v>
      </c>
      <c r="F5733">
        <v>304</v>
      </c>
      <c r="G5733">
        <v>12</v>
      </c>
      <c r="H5733">
        <v>1161.6600000000001</v>
      </c>
      <c r="I5733">
        <v>1613.26</v>
      </c>
      <c r="J5733">
        <v>1.61</v>
      </c>
      <c r="K5733">
        <v>3.95</v>
      </c>
      <c r="L5733">
        <v>96.8</v>
      </c>
      <c r="M5733">
        <v>1.39</v>
      </c>
      <c r="N5733">
        <v>451.6</v>
      </c>
    </row>
    <row r="5734" spans="1:14" x14ac:dyDescent="0.2">
      <c r="A5734" s="1">
        <v>45951</v>
      </c>
      <c r="B5734" s="2" t="s">
        <v>30</v>
      </c>
      <c r="C5734" s="2" t="s">
        <v>35</v>
      </c>
      <c r="D5734" s="2" t="s">
        <v>36</v>
      </c>
      <c r="E5734">
        <v>9802</v>
      </c>
      <c r="F5734">
        <v>240</v>
      </c>
      <c r="G5734">
        <v>13</v>
      </c>
      <c r="H5734">
        <v>746.54</v>
      </c>
      <c r="I5734">
        <v>1510.84</v>
      </c>
      <c r="J5734">
        <v>2.4500000000000002</v>
      </c>
      <c r="K5734">
        <v>5.42</v>
      </c>
      <c r="L5734">
        <v>57.43</v>
      </c>
      <c r="M5734">
        <v>2.02</v>
      </c>
      <c r="N5734">
        <v>764.3</v>
      </c>
    </row>
    <row r="5735" spans="1:14" x14ac:dyDescent="0.2">
      <c r="A5735" s="1">
        <v>45951</v>
      </c>
      <c r="B5735" s="2" t="s">
        <v>31</v>
      </c>
      <c r="C5735" s="2" t="s">
        <v>32</v>
      </c>
      <c r="D5735" s="2" t="s">
        <v>22</v>
      </c>
      <c r="E5735">
        <v>27918</v>
      </c>
      <c r="F5735">
        <v>1192</v>
      </c>
      <c r="G5735">
        <v>80</v>
      </c>
      <c r="H5735">
        <v>937.6</v>
      </c>
      <c r="I5735">
        <v>6765.28</v>
      </c>
      <c r="J5735">
        <v>4.2699999999999996</v>
      </c>
      <c r="K5735">
        <v>6.71</v>
      </c>
      <c r="L5735">
        <v>11.72</v>
      </c>
      <c r="M5735">
        <v>7.22</v>
      </c>
      <c r="N5735">
        <v>5827.68</v>
      </c>
    </row>
    <row r="5736" spans="1:14" x14ac:dyDescent="0.2">
      <c r="A5736" s="1">
        <v>45951</v>
      </c>
      <c r="B5736" s="2" t="s">
        <v>33</v>
      </c>
      <c r="C5736" s="2" t="s">
        <v>35</v>
      </c>
      <c r="D5736" s="2" t="s">
        <v>16</v>
      </c>
      <c r="E5736">
        <v>8257</v>
      </c>
      <c r="F5736">
        <v>491</v>
      </c>
      <c r="G5736">
        <v>59</v>
      </c>
      <c r="H5736">
        <v>655.97</v>
      </c>
      <c r="I5736">
        <v>6327.56</v>
      </c>
      <c r="J5736">
        <v>5.95</v>
      </c>
      <c r="K5736">
        <v>12.02</v>
      </c>
      <c r="L5736">
        <v>11.12</v>
      </c>
      <c r="M5736">
        <v>9.65</v>
      </c>
      <c r="N5736">
        <v>5671.59</v>
      </c>
    </row>
    <row r="5737" spans="1:14" x14ac:dyDescent="0.2">
      <c r="A5737" s="1">
        <v>45951</v>
      </c>
      <c r="B5737" s="2" t="s">
        <v>34</v>
      </c>
      <c r="C5737" s="2" t="s">
        <v>35</v>
      </c>
      <c r="D5737" s="2" t="s">
        <v>36</v>
      </c>
      <c r="E5737">
        <v>4762</v>
      </c>
      <c r="F5737">
        <v>460</v>
      </c>
      <c r="G5737">
        <v>68</v>
      </c>
      <c r="H5737">
        <v>147.71</v>
      </c>
      <c r="I5737">
        <v>11730.2</v>
      </c>
      <c r="J5737">
        <v>9.66</v>
      </c>
      <c r="K5737">
        <v>14.78</v>
      </c>
      <c r="L5737">
        <v>2.17</v>
      </c>
      <c r="M5737">
        <v>79.41</v>
      </c>
      <c r="N5737">
        <v>11582.49</v>
      </c>
    </row>
    <row r="5738" spans="1:14" x14ac:dyDescent="0.2">
      <c r="A5738" s="1">
        <v>45952</v>
      </c>
      <c r="B5738" s="2" t="s">
        <v>14</v>
      </c>
      <c r="C5738" s="2" t="s">
        <v>35</v>
      </c>
      <c r="D5738" s="2" t="s">
        <v>16</v>
      </c>
      <c r="E5738">
        <v>8556</v>
      </c>
      <c r="F5738">
        <v>420</v>
      </c>
      <c r="G5738">
        <v>43</v>
      </c>
      <c r="H5738">
        <v>994.96</v>
      </c>
      <c r="I5738">
        <v>6574.1</v>
      </c>
      <c r="J5738">
        <v>4.91</v>
      </c>
      <c r="K5738">
        <v>10.24</v>
      </c>
      <c r="L5738">
        <v>23.14</v>
      </c>
      <c r="M5738">
        <v>6.61</v>
      </c>
      <c r="N5738">
        <v>5579.14</v>
      </c>
    </row>
    <row r="5739" spans="1:14" x14ac:dyDescent="0.2">
      <c r="A5739" s="1">
        <v>45952</v>
      </c>
      <c r="B5739" s="2" t="s">
        <v>17</v>
      </c>
      <c r="C5739" s="2" t="s">
        <v>15</v>
      </c>
      <c r="D5739" s="2" t="s">
        <v>16</v>
      </c>
      <c r="E5739">
        <v>18105</v>
      </c>
      <c r="F5739">
        <v>538</v>
      </c>
      <c r="G5739">
        <v>36</v>
      </c>
      <c r="H5739">
        <v>671.25</v>
      </c>
      <c r="I5739">
        <v>4931.6400000000003</v>
      </c>
      <c r="J5739">
        <v>2.97</v>
      </c>
      <c r="K5739">
        <v>6.69</v>
      </c>
      <c r="L5739">
        <v>18.649999999999999</v>
      </c>
      <c r="M5739">
        <v>7.35</v>
      </c>
      <c r="N5739">
        <v>4260.3900000000003</v>
      </c>
    </row>
    <row r="5740" spans="1:14" x14ac:dyDescent="0.2">
      <c r="A5740" s="1">
        <v>45952</v>
      </c>
      <c r="B5740" s="2" t="s">
        <v>20</v>
      </c>
      <c r="C5740" s="2" t="s">
        <v>18</v>
      </c>
      <c r="D5740" s="2" t="s">
        <v>22</v>
      </c>
      <c r="E5740">
        <v>15395</v>
      </c>
      <c r="F5740">
        <v>673</v>
      </c>
      <c r="G5740">
        <v>37</v>
      </c>
      <c r="H5740">
        <v>789.37</v>
      </c>
      <c r="I5740">
        <v>3759.33</v>
      </c>
      <c r="J5740">
        <v>4.37</v>
      </c>
      <c r="K5740">
        <v>5.5</v>
      </c>
      <c r="L5740">
        <v>21.33</v>
      </c>
      <c r="M5740">
        <v>4.76</v>
      </c>
      <c r="N5740">
        <v>2969.96</v>
      </c>
    </row>
    <row r="5741" spans="1:14" x14ac:dyDescent="0.2">
      <c r="A5741" s="1">
        <v>45952</v>
      </c>
      <c r="B5741" s="2" t="s">
        <v>23</v>
      </c>
      <c r="C5741" s="2" t="s">
        <v>18</v>
      </c>
      <c r="D5741" s="2" t="s">
        <v>22</v>
      </c>
      <c r="E5741">
        <v>4676</v>
      </c>
      <c r="F5741">
        <v>71</v>
      </c>
      <c r="G5741">
        <v>7</v>
      </c>
      <c r="H5741">
        <v>945.87</v>
      </c>
      <c r="I5741">
        <v>1852.26</v>
      </c>
      <c r="J5741">
        <v>1.52</v>
      </c>
      <c r="K5741">
        <v>9.86</v>
      </c>
      <c r="L5741">
        <v>135.12</v>
      </c>
      <c r="M5741">
        <v>1.96</v>
      </c>
      <c r="N5741">
        <v>906.39</v>
      </c>
    </row>
    <row r="5742" spans="1:14" x14ac:dyDescent="0.2">
      <c r="A5742" s="1">
        <v>45952</v>
      </c>
      <c r="B5742" s="2" t="s">
        <v>24</v>
      </c>
      <c r="C5742" s="2" t="s">
        <v>32</v>
      </c>
      <c r="D5742" s="2" t="s">
        <v>16</v>
      </c>
      <c r="E5742">
        <v>17942</v>
      </c>
      <c r="F5742">
        <v>3806</v>
      </c>
      <c r="G5742">
        <v>336</v>
      </c>
      <c r="H5742">
        <v>295.38</v>
      </c>
      <c r="I5742">
        <v>48830.879999999997</v>
      </c>
      <c r="J5742">
        <v>21.21</v>
      </c>
      <c r="K5742">
        <v>8.83</v>
      </c>
      <c r="L5742">
        <v>0.88</v>
      </c>
      <c r="M5742">
        <v>165.32</v>
      </c>
      <c r="N5742">
        <v>48535.5</v>
      </c>
    </row>
    <row r="5743" spans="1:14" x14ac:dyDescent="0.2">
      <c r="A5743" s="1">
        <v>45952</v>
      </c>
      <c r="B5743" s="2" t="s">
        <v>26</v>
      </c>
      <c r="C5743" s="2" t="s">
        <v>18</v>
      </c>
      <c r="D5743" s="2" t="s">
        <v>19</v>
      </c>
      <c r="E5743">
        <v>27667</v>
      </c>
      <c r="F5743">
        <v>1531</v>
      </c>
      <c r="G5743">
        <v>160</v>
      </c>
      <c r="H5743">
        <v>0</v>
      </c>
      <c r="I5743">
        <v>18236.34</v>
      </c>
      <c r="J5743">
        <v>5.53</v>
      </c>
      <c r="K5743">
        <v>10.45</v>
      </c>
      <c r="L5743">
        <v>0</v>
      </c>
      <c r="M5743">
        <v>0</v>
      </c>
      <c r="N5743">
        <v>18236.34</v>
      </c>
    </row>
    <row r="5744" spans="1:14" x14ac:dyDescent="0.2">
      <c r="A5744" s="1">
        <v>45952</v>
      </c>
      <c r="B5744" s="2" t="s">
        <v>27</v>
      </c>
      <c r="C5744" s="2" t="s">
        <v>32</v>
      </c>
      <c r="D5744" s="2" t="s">
        <v>36</v>
      </c>
      <c r="E5744">
        <v>33893</v>
      </c>
      <c r="F5744">
        <v>396</v>
      </c>
      <c r="G5744">
        <v>14</v>
      </c>
      <c r="H5744">
        <v>1153.3499999999999</v>
      </c>
      <c r="I5744">
        <v>1251.72</v>
      </c>
      <c r="J5744">
        <v>1.17</v>
      </c>
      <c r="K5744">
        <v>3.54</v>
      </c>
      <c r="L5744">
        <v>82.38</v>
      </c>
      <c r="M5744">
        <v>1.0900000000000001</v>
      </c>
      <c r="N5744">
        <v>98.37</v>
      </c>
    </row>
    <row r="5745" spans="1:14" x14ac:dyDescent="0.2">
      <c r="A5745" s="1">
        <v>45952</v>
      </c>
      <c r="B5745" s="2" t="s">
        <v>29</v>
      </c>
      <c r="C5745" s="2" t="s">
        <v>18</v>
      </c>
      <c r="D5745" s="2" t="s">
        <v>36</v>
      </c>
      <c r="E5745">
        <v>16408</v>
      </c>
      <c r="F5745">
        <v>255</v>
      </c>
      <c r="G5745">
        <v>11</v>
      </c>
      <c r="H5745">
        <v>1268.52</v>
      </c>
      <c r="I5745">
        <v>1394.74</v>
      </c>
      <c r="J5745">
        <v>1.55</v>
      </c>
      <c r="K5745">
        <v>4.3099999999999996</v>
      </c>
      <c r="L5745">
        <v>115.32</v>
      </c>
      <c r="M5745">
        <v>1.1000000000000001</v>
      </c>
      <c r="N5745">
        <v>126.22</v>
      </c>
    </row>
    <row r="5746" spans="1:14" x14ac:dyDescent="0.2">
      <c r="A5746" s="1">
        <v>45952</v>
      </c>
      <c r="B5746" s="2" t="s">
        <v>30</v>
      </c>
      <c r="C5746" s="2" t="s">
        <v>15</v>
      </c>
      <c r="D5746" s="2" t="s">
        <v>25</v>
      </c>
      <c r="E5746">
        <v>10996</v>
      </c>
      <c r="F5746">
        <v>274</v>
      </c>
      <c r="G5746">
        <v>12</v>
      </c>
      <c r="H5746">
        <v>732.57</v>
      </c>
      <c r="I5746">
        <v>1244.82</v>
      </c>
      <c r="J5746">
        <v>2.4900000000000002</v>
      </c>
      <c r="K5746">
        <v>4.38</v>
      </c>
      <c r="L5746">
        <v>61.05</v>
      </c>
      <c r="M5746">
        <v>1.7</v>
      </c>
      <c r="N5746">
        <v>512.25</v>
      </c>
    </row>
    <row r="5747" spans="1:14" x14ac:dyDescent="0.2">
      <c r="A5747" s="1">
        <v>45952</v>
      </c>
      <c r="B5747" s="2" t="s">
        <v>31</v>
      </c>
      <c r="C5747" s="2" t="s">
        <v>15</v>
      </c>
      <c r="D5747" s="2" t="s">
        <v>22</v>
      </c>
      <c r="E5747">
        <v>19500</v>
      </c>
      <c r="F5747">
        <v>612</v>
      </c>
      <c r="G5747">
        <v>29</v>
      </c>
      <c r="H5747">
        <v>745.2</v>
      </c>
      <c r="I5747">
        <v>2647.79</v>
      </c>
      <c r="J5747">
        <v>3.14</v>
      </c>
      <c r="K5747">
        <v>4.74</v>
      </c>
      <c r="L5747">
        <v>25.7</v>
      </c>
      <c r="M5747">
        <v>3.55</v>
      </c>
      <c r="N5747">
        <v>1902.59</v>
      </c>
    </row>
    <row r="5748" spans="1:14" x14ac:dyDescent="0.2">
      <c r="A5748" s="1">
        <v>45952</v>
      </c>
      <c r="B5748" s="2" t="s">
        <v>33</v>
      </c>
      <c r="C5748" s="2" t="s">
        <v>28</v>
      </c>
      <c r="D5748" s="2" t="s">
        <v>36</v>
      </c>
      <c r="E5748">
        <v>9822</v>
      </c>
      <c r="F5748">
        <v>635</v>
      </c>
      <c r="G5748">
        <v>61</v>
      </c>
      <c r="H5748">
        <v>543.21</v>
      </c>
      <c r="I5748">
        <v>8701.14</v>
      </c>
      <c r="J5748">
        <v>6.47</v>
      </c>
      <c r="K5748">
        <v>9.61</v>
      </c>
      <c r="L5748">
        <v>8.91</v>
      </c>
      <c r="M5748">
        <v>16.02</v>
      </c>
      <c r="N5748">
        <v>8157.93</v>
      </c>
    </row>
    <row r="5749" spans="1:14" x14ac:dyDescent="0.2">
      <c r="A5749" s="1">
        <v>45952</v>
      </c>
      <c r="B5749" s="2" t="s">
        <v>34</v>
      </c>
      <c r="C5749" s="2" t="s">
        <v>32</v>
      </c>
      <c r="D5749" s="2" t="s">
        <v>25</v>
      </c>
      <c r="E5749">
        <v>3786</v>
      </c>
      <c r="F5749">
        <v>256</v>
      </c>
      <c r="G5749">
        <v>45</v>
      </c>
      <c r="H5749">
        <v>101.01</v>
      </c>
      <c r="I5749">
        <v>5865.12</v>
      </c>
      <c r="J5749">
        <v>6.76</v>
      </c>
      <c r="K5749">
        <v>17.579999999999998</v>
      </c>
      <c r="L5749">
        <v>2.2400000000000002</v>
      </c>
      <c r="M5749">
        <v>58.06</v>
      </c>
      <c r="N5749">
        <v>5764.11</v>
      </c>
    </row>
    <row r="5750" spans="1:14" x14ac:dyDescent="0.2">
      <c r="A5750" s="1">
        <v>45953</v>
      </c>
      <c r="B5750" s="2" t="s">
        <v>14</v>
      </c>
      <c r="C5750" s="2" t="s">
        <v>15</v>
      </c>
      <c r="D5750" s="2" t="s">
        <v>16</v>
      </c>
      <c r="E5750">
        <v>13814</v>
      </c>
      <c r="F5750">
        <v>557</v>
      </c>
      <c r="G5750">
        <v>58</v>
      </c>
      <c r="H5750">
        <v>910.23</v>
      </c>
      <c r="I5750">
        <v>9357.7199999999993</v>
      </c>
      <c r="J5750">
        <v>4.03</v>
      </c>
      <c r="K5750">
        <v>10.41</v>
      </c>
      <c r="L5750">
        <v>15.69</v>
      </c>
      <c r="M5750">
        <v>10.28</v>
      </c>
      <c r="N5750">
        <v>8447.49</v>
      </c>
    </row>
    <row r="5751" spans="1:14" x14ac:dyDescent="0.2">
      <c r="A5751" s="1">
        <v>45953</v>
      </c>
      <c r="B5751" s="2" t="s">
        <v>17</v>
      </c>
      <c r="C5751" s="2" t="s">
        <v>28</v>
      </c>
      <c r="D5751" s="2" t="s">
        <v>16</v>
      </c>
      <c r="E5751">
        <v>16183</v>
      </c>
      <c r="F5751">
        <v>559</v>
      </c>
      <c r="G5751">
        <v>33</v>
      </c>
      <c r="H5751">
        <v>624.86</v>
      </c>
      <c r="I5751">
        <v>3122.36</v>
      </c>
      <c r="J5751">
        <v>3.45</v>
      </c>
      <c r="K5751">
        <v>5.9</v>
      </c>
      <c r="L5751">
        <v>18.940000000000001</v>
      </c>
      <c r="M5751">
        <v>5</v>
      </c>
      <c r="N5751">
        <v>2497.5</v>
      </c>
    </row>
    <row r="5752" spans="1:14" x14ac:dyDescent="0.2">
      <c r="A5752" s="1">
        <v>45953</v>
      </c>
      <c r="B5752" s="2" t="s">
        <v>20</v>
      </c>
      <c r="C5752" s="2" t="s">
        <v>32</v>
      </c>
      <c r="D5752" s="2" t="s">
        <v>22</v>
      </c>
      <c r="E5752">
        <v>13105</v>
      </c>
      <c r="F5752">
        <v>584</v>
      </c>
      <c r="G5752">
        <v>34</v>
      </c>
      <c r="H5752">
        <v>515.69000000000005</v>
      </c>
      <c r="I5752">
        <v>3048.17</v>
      </c>
      <c r="J5752">
        <v>4.46</v>
      </c>
      <c r="K5752">
        <v>5.82</v>
      </c>
      <c r="L5752">
        <v>15.17</v>
      </c>
      <c r="M5752">
        <v>5.91</v>
      </c>
      <c r="N5752">
        <v>2532.48</v>
      </c>
    </row>
    <row r="5753" spans="1:14" x14ac:dyDescent="0.2">
      <c r="A5753" s="1">
        <v>45953</v>
      </c>
      <c r="B5753" s="2" t="s">
        <v>23</v>
      </c>
      <c r="C5753" s="2" t="s">
        <v>15</v>
      </c>
      <c r="D5753" s="2" t="s">
        <v>16</v>
      </c>
      <c r="E5753">
        <v>5632</v>
      </c>
      <c r="F5753">
        <v>130</v>
      </c>
      <c r="G5753">
        <v>15</v>
      </c>
      <c r="H5753">
        <v>1388.59</v>
      </c>
      <c r="I5753">
        <v>3180.66</v>
      </c>
      <c r="J5753">
        <v>2.31</v>
      </c>
      <c r="K5753">
        <v>11.54</v>
      </c>
      <c r="L5753">
        <v>92.57</v>
      </c>
      <c r="M5753">
        <v>2.29</v>
      </c>
      <c r="N5753">
        <v>1792.07</v>
      </c>
    </row>
    <row r="5754" spans="1:14" x14ac:dyDescent="0.2">
      <c r="A5754" s="1">
        <v>45953</v>
      </c>
      <c r="B5754" s="2" t="s">
        <v>24</v>
      </c>
      <c r="C5754" s="2" t="s">
        <v>15</v>
      </c>
      <c r="D5754" s="2" t="s">
        <v>36</v>
      </c>
      <c r="E5754">
        <v>20411</v>
      </c>
      <c r="F5754">
        <v>4597</v>
      </c>
      <c r="G5754">
        <v>432</v>
      </c>
      <c r="H5754">
        <v>120.78</v>
      </c>
      <c r="I5754">
        <v>52123.97</v>
      </c>
      <c r="J5754">
        <v>22.52</v>
      </c>
      <c r="K5754">
        <v>9.4</v>
      </c>
      <c r="L5754">
        <v>0.28000000000000003</v>
      </c>
      <c r="M5754">
        <v>431.56</v>
      </c>
      <c r="N5754">
        <v>52003.19</v>
      </c>
    </row>
    <row r="5755" spans="1:14" x14ac:dyDescent="0.2">
      <c r="A5755" s="1">
        <v>45953</v>
      </c>
      <c r="B5755" s="2" t="s">
        <v>26</v>
      </c>
      <c r="C5755" s="2" t="s">
        <v>15</v>
      </c>
      <c r="D5755" s="2" t="s">
        <v>25</v>
      </c>
      <c r="E5755">
        <v>31817</v>
      </c>
      <c r="F5755">
        <v>2353</v>
      </c>
      <c r="G5755">
        <v>306</v>
      </c>
      <c r="H5755">
        <v>0</v>
      </c>
      <c r="I5755">
        <v>40913.15</v>
      </c>
      <c r="J5755">
        <v>7.4</v>
      </c>
      <c r="K5755">
        <v>13</v>
      </c>
      <c r="L5755">
        <v>0</v>
      </c>
      <c r="M5755">
        <v>0</v>
      </c>
      <c r="N5755">
        <v>40913.15</v>
      </c>
    </row>
    <row r="5756" spans="1:14" x14ac:dyDescent="0.2">
      <c r="A5756" s="1">
        <v>45953</v>
      </c>
      <c r="B5756" s="2" t="s">
        <v>27</v>
      </c>
      <c r="C5756" s="2" t="s">
        <v>15</v>
      </c>
      <c r="D5756" s="2" t="s">
        <v>19</v>
      </c>
      <c r="E5756">
        <v>29479</v>
      </c>
      <c r="F5756">
        <v>429</v>
      </c>
      <c r="G5756">
        <v>18</v>
      </c>
      <c r="H5756">
        <v>1041.02</v>
      </c>
      <c r="I5756">
        <v>2073.66</v>
      </c>
      <c r="J5756">
        <v>1.46</v>
      </c>
      <c r="K5756">
        <v>4.2</v>
      </c>
      <c r="L5756">
        <v>57.83</v>
      </c>
      <c r="M5756">
        <v>1.99</v>
      </c>
      <c r="N5756">
        <v>1032.6400000000001</v>
      </c>
    </row>
    <row r="5757" spans="1:14" x14ac:dyDescent="0.2">
      <c r="A5757" s="1">
        <v>45953</v>
      </c>
      <c r="B5757" s="2" t="s">
        <v>29</v>
      </c>
      <c r="C5757" s="2" t="s">
        <v>21</v>
      </c>
      <c r="D5757" s="2" t="s">
        <v>25</v>
      </c>
      <c r="E5757">
        <v>21037</v>
      </c>
      <c r="F5757">
        <v>599</v>
      </c>
      <c r="G5757">
        <v>44</v>
      </c>
      <c r="H5757">
        <v>818.82</v>
      </c>
      <c r="I5757">
        <v>5512.9</v>
      </c>
      <c r="J5757">
        <v>2.85</v>
      </c>
      <c r="K5757">
        <v>7.35</v>
      </c>
      <c r="L5757">
        <v>18.61</v>
      </c>
      <c r="M5757">
        <v>6.73</v>
      </c>
      <c r="N5757">
        <v>4694.08</v>
      </c>
    </row>
    <row r="5758" spans="1:14" x14ac:dyDescent="0.2">
      <c r="A5758" s="1">
        <v>45953</v>
      </c>
      <c r="B5758" s="2" t="s">
        <v>30</v>
      </c>
      <c r="C5758" s="2" t="s">
        <v>15</v>
      </c>
      <c r="D5758" s="2" t="s">
        <v>25</v>
      </c>
      <c r="E5758">
        <v>9316</v>
      </c>
      <c r="F5758">
        <v>211</v>
      </c>
      <c r="G5758">
        <v>12</v>
      </c>
      <c r="H5758">
        <v>672.97</v>
      </c>
      <c r="I5758">
        <v>1240.22</v>
      </c>
      <c r="J5758">
        <v>2.2599999999999998</v>
      </c>
      <c r="K5758">
        <v>5.69</v>
      </c>
      <c r="L5758">
        <v>56.08</v>
      </c>
      <c r="M5758">
        <v>1.84</v>
      </c>
      <c r="N5758">
        <v>567.25</v>
      </c>
    </row>
    <row r="5759" spans="1:14" x14ac:dyDescent="0.2">
      <c r="A5759" s="1">
        <v>45953</v>
      </c>
      <c r="B5759" s="2" t="s">
        <v>31</v>
      </c>
      <c r="C5759" s="2" t="s">
        <v>18</v>
      </c>
      <c r="D5759" s="2" t="s">
        <v>25</v>
      </c>
      <c r="E5759">
        <v>26982</v>
      </c>
      <c r="F5759">
        <v>682</v>
      </c>
      <c r="G5759">
        <v>42</v>
      </c>
      <c r="H5759">
        <v>1085.27</v>
      </c>
      <c r="I5759">
        <v>4263.63</v>
      </c>
      <c r="J5759">
        <v>2.5299999999999998</v>
      </c>
      <c r="K5759">
        <v>6.16</v>
      </c>
      <c r="L5759">
        <v>25.84</v>
      </c>
      <c r="M5759">
        <v>3.93</v>
      </c>
      <c r="N5759">
        <v>3178.36</v>
      </c>
    </row>
    <row r="5760" spans="1:14" x14ac:dyDescent="0.2">
      <c r="A5760" s="1">
        <v>45953</v>
      </c>
      <c r="B5760" s="2" t="s">
        <v>33</v>
      </c>
      <c r="C5760" s="2" t="s">
        <v>28</v>
      </c>
      <c r="D5760" s="2" t="s">
        <v>22</v>
      </c>
      <c r="E5760">
        <v>8579</v>
      </c>
      <c r="F5760">
        <v>579</v>
      </c>
      <c r="G5760">
        <v>72</v>
      </c>
      <c r="H5760">
        <v>484.52</v>
      </c>
      <c r="I5760">
        <v>9710.5300000000007</v>
      </c>
      <c r="J5760">
        <v>6.75</v>
      </c>
      <c r="K5760">
        <v>12.44</v>
      </c>
      <c r="L5760">
        <v>6.73</v>
      </c>
      <c r="M5760">
        <v>20.04</v>
      </c>
      <c r="N5760">
        <v>9226.01</v>
      </c>
    </row>
    <row r="5761" spans="1:14" x14ac:dyDescent="0.2">
      <c r="A5761" s="1">
        <v>45953</v>
      </c>
      <c r="B5761" s="2" t="s">
        <v>34</v>
      </c>
      <c r="C5761" s="2" t="s">
        <v>15</v>
      </c>
      <c r="D5761" s="2" t="s">
        <v>25</v>
      </c>
      <c r="E5761">
        <v>6050</v>
      </c>
      <c r="F5761">
        <v>313</v>
      </c>
      <c r="G5761">
        <v>46</v>
      </c>
      <c r="H5761">
        <v>131.47</v>
      </c>
      <c r="I5761">
        <v>6362.64</v>
      </c>
      <c r="J5761">
        <v>5.17</v>
      </c>
      <c r="K5761">
        <v>14.7</v>
      </c>
      <c r="L5761">
        <v>2.86</v>
      </c>
      <c r="M5761">
        <v>48.4</v>
      </c>
      <c r="N5761">
        <v>6231.17</v>
      </c>
    </row>
    <row r="5762" spans="1:14" x14ac:dyDescent="0.2">
      <c r="A5762" s="1">
        <v>45954</v>
      </c>
      <c r="B5762" s="2" t="s">
        <v>14</v>
      </c>
      <c r="C5762" s="2" t="s">
        <v>21</v>
      </c>
      <c r="D5762" s="2" t="s">
        <v>22</v>
      </c>
      <c r="E5762">
        <v>9820</v>
      </c>
      <c r="F5762">
        <v>325</v>
      </c>
      <c r="G5762">
        <v>37</v>
      </c>
      <c r="H5762">
        <v>1007.9</v>
      </c>
      <c r="I5762">
        <v>4928.55</v>
      </c>
      <c r="J5762">
        <v>3.31</v>
      </c>
      <c r="K5762">
        <v>11.38</v>
      </c>
      <c r="L5762">
        <v>27.24</v>
      </c>
      <c r="M5762">
        <v>4.8899999999999997</v>
      </c>
      <c r="N5762">
        <v>3920.65</v>
      </c>
    </row>
    <row r="5763" spans="1:14" x14ac:dyDescent="0.2">
      <c r="A5763" s="1">
        <v>45954</v>
      </c>
      <c r="B5763" s="2" t="s">
        <v>17</v>
      </c>
      <c r="C5763" s="2" t="s">
        <v>18</v>
      </c>
      <c r="D5763" s="2" t="s">
        <v>19</v>
      </c>
      <c r="E5763">
        <v>12052</v>
      </c>
      <c r="F5763">
        <v>446</v>
      </c>
      <c r="G5763">
        <v>38</v>
      </c>
      <c r="H5763">
        <v>973.91</v>
      </c>
      <c r="I5763">
        <v>4837.2700000000004</v>
      </c>
      <c r="J5763">
        <v>3.7</v>
      </c>
      <c r="K5763">
        <v>8.52</v>
      </c>
      <c r="L5763">
        <v>25.63</v>
      </c>
      <c r="M5763">
        <v>4.97</v>
      </c>
      <c r="N5763">
        <v>3863.36</v>
      </c>
    </row>
    <row r="5764" spans="1:14" x14ac:dyDescent="0.2">
      <c r="A5764" s="1">
        <v>45954</v>
      </c>
      <c r="B5764" s="2" t="s">
        <v>20</v>
      </c>
      <c r="C5764" s="2" t="s">
        <v>21</v>
      </c>
      <c r="D5764" s="2" t="s">
        <v>25</v>
      </c>
      <c r="E5764">
        <v>14681</v>
      </c>
      <c r="F5764">
        <v>486</v>
      </c>
      <c r="G5764">
        <v>38</v>
      </c>
      <c r="H5764">
        <v>760.45</v>
      </c>
      <c r="I5764">
        <v>3022.2</v>
      </c>
      <c r="J5764">
        <v>3.31</v>
      </c>
      <c r="K5764">
        <v>7.82</v>
      </c>
      <c r="L5764">
        <v>20.010000000000002</v>
      </c>
      <c r="M5764">
        <v>3.97</v>
      </c>
      <c r="N5764">
        <v>2261.75</v>
      </c>
    </row>
    <row r="5765" spans="1:14" x14ac:dyDescent="0.2">
      <c r="A5765" s="1">
        <v>45954</v>
      </c>
      <c r="B5765" s="2" t="s">
        <v>23</v>
      </c>
      <c r="C5765" s="2" t="s">
        <v>35</v>
      </c>
      <c r="D5765" s="2" t="s">
        <v>16</v>
      </c>
      <c r="E5765">
        <v>5749</v>
      </c>
      <c r="F5765">
        <v>107</v>
      </c>
      <c r="G5765">
        <v>11</v>
      </c>
      <c r="H5765">
        <v>1552.55</v>
      </c>
      <c r="I5765">
        <v>2654.55</v>
      </c>
      <c r="J5765">
        <v>1.86</v>
      </c>
      <c r="K5765">
        <v>10.28</v>
      </c>
      <c r="L5765">
        <v>141.13999999999999</v>
      </c>
      <c r="M5765">
        <v>1.71</v>
      </c>
      <c r="N5765">
        <v>1102</v>
      </c>
    </row>
    <row r="5766" spans="1:14" x14ac:dyDescent="0.2">
      <c r="A5766" s="1">
        <v>45954</v>
      </c>
      <c r="B5766" s="2" t="s">
        <v>24</v>
      </c>
      <c r="C5766" s="2" t="s">
        <v>28</v>
      </c>
      <c r="D5766" s="2" t="s">
        <v>36</v>
      </c>
      <c r="E5766">
        <v>21497</v>
      </c>
      <c r="F5766">
        <v>5230</v>
      </c>
      <c r="G5766">
        <v>641</v>
      </c>
      <c r="H5766">
        <v>203</v>
      </c>
      <c r="I5766">
        <v>82896.34</v>
      </c>
      <c r="J5766">
        <v>24.33</v>
      </c>
      <c r="K5766">
        <v>12.26</v>
      </c>
      <c r="L5766">
        <v>0.32</v>
      </c>
      <c r="M5766">
        <v>408.36</v>
      </c>
      <c r="N5766">
        <v>82693.34</v>
      </c>
    </row>
    <row r="5767" spans="1:14" x14ac:dyDescent="0.2">
      <c r="A5767" s="1">
        <v>45954</v>
      </c>
      <c r="B5767" s="2" t="s">
        <v>26</v>
      </c>
      <c r="C5767" s="2" t="s">
        <v>28</v>
      </c>
      <c r="D5767" s="2" t="s">
        <v>22</v>
      </c>
      <c r="E5767">
        <v>33315</v>
      </c>
      <c r="F5767">
        <v>1385</v>
      </c>
      <c r="G5767">
        <v>216</v>
      </c>
      <c r="H5767">
        <v>0</v>
      </c>
      <c r="I5767">
        <v>29085.439999999999</v>
      </c>
      <c r="J5767">
        <v>4.16</v>
      </c>
      <c r="K5767">
        <v>15.6</v>
      </c>
      <c r="L5767">
        <v>0</v>
      </c>
      <c r="M5767">
        <v>0</v>
      </c>
      <c r="N5767">
        <v>29085.439999999999</v>
      </c>
    </row>
    <row r="5768" spans="1:14" x14ac:dyDescent="0.2">
      <c r="A5768" s="1">
        <v>45954</v>
      </c>
      <c r="B5768" s="2" t="s">
        <v>27</v>
      </c>
      <c r="C5768" s="2" t="s">
        <v>35</v>
      </c>
      <c r="D5768" s="2" t="s">
        <v>16</v>
      </c>
      <c r="E5768">
        <v>32205</v>
      </c>
      <c r="F5768">
        <v>359</v>
      </c>
      <c r="G5768">
        <v>8</v>
      </c>
      <c r="H5768">
        <v>1148.95</v>
      </c>
      <c r="I5768">
        <v>969.97</v>
      </c>
      <c r="J5768">
        <v>1.1100000000000001</v>
      </c>
      <c r="K5768">
        <v>2.23</v>
      </c>
      <c r="L5768">
        <v>143.62</v>
      </c>
      <c r="M5768">
        <v>0.84</v>
      </c>
      <c r="N5768">
        <v>-178.98</v>
      </c>
    </row>
    <row r="5769" spans="1:14" x14ac:dyDescent="0.2">
      <c r="A5769" s="1">
        <v>45954</v>
      </c>
      <c r="B5769" s="2" t="s">
        <v>29</v>
      </c>
      <c r="C5769" s="2" t="s">
        <v>35</v>
      </c>
      <c r="D5769" s="2" t="s">
        <v>22</v>
      </c>
      <c r="E5769">
        <v>23430</v>
      </c>
      <c r="F5769">
        <v>406</v>
      </c>
      <c r="G5769">
        <v>27</v>
      </c>
      <c r="H5769">
        <v>1052.3399999999999</v>
      </c>
      <c r="I5769">
        <v>2483.14</v>
      </c>
      <c r="J5769">
        <v>1.73</v>
      </c>
      <c r="K5769">
        <v>6.65</v>
      </c>
      <c r="L5769">
        <v>38.979999999999997</v>
      </c>
      <c r="M5769">
        <v>2.36</v>
      </c>
      <c r="N5769">
        <v>1430.8</v>
      </c>
    </row>
    <row r="5770" spans="1:14" x14ac:dyDescent="0.2">
      <c r="A5770" s="1">
        <v>45954</v>
      </c>
      <c r="B5770" s="2" t="s">
        <v>30</v>
      </c>
      <c r="C5770" s="2" t="s">
        <v>32</v>
      </c>
      <c r="D5770" s="2" t="s">
        <v>16</v>
      </c>
      <c r="E5770">
        <v>11021</v>
      </c>
      <c r="F5770">
        <v>318</v>
      </c>
      <c r="G5770">
        <v>15</v>
      </c>
      <c r="H5770">
        <v>611.03</v>
      </c>
      <c r="I5770">
        <v>1394.5</v>
      </c>
      <c r="J5770">
        <v>2.89</v>
      </c>
      <c r="K5770">
        <v>4.72</v>
      </c>
      <c r="L5770">
        <v>40.74</v>
      </c>
      <c r="M5770">
        <v>2.2799999999999998</v>
      </c>
      <c r="N5770">
        <v>783.47</v>
      </c>
    </row>
    <row r="5771" spans="1:14" x14ac:dyDescent="0.2">
      <c r="A5771" s="1">
        <v>45954</v>
      </c>
      <c r="B5771" s="2" t="s">
        <v>31</v>
      </c>
      <c r="C5771" s="2" t="s">
        <v>35</v>
      </c>
      <c r="D5771" s="2" t="s">
        <v>19</v>
      </c>
      <c r="E5771">
        <v>28393</v>
      </c>
      <c r="F5771">
        <v>977</v>
      </c>
      <c r="G5771">
        <v>42</v>
      </c>
      <c r="H5771">
        <v>628.4</v>
      </c>
      <c r="I5771">
        <v>3925.71</v>
      </c>
      <c r="J5771">
        <v>3.44</v>
      </c>
      <c r="K5771">
        <v>4.3</v>
      </c>
      <c r="L5771">
        <v>14.96</v>
      </c>
      <c r="M5771">
        <v>6.25</v>
      </c>
      <c r="N5771">
        <v>3297.31</v>
      </c>
    </row>
    <row r="5772" spans="1:14" x14ac:dyDescent="0.2">
      <c r="A5772" s="1">
        <v>45954</v>
      </c>
      <c r="B5772" s="2" t="s">
        <v>33</v>
      </c>
      <c r="C5772" s="2" t="s">
        <v>28</v>
      </c>
      <c r="D5772" s="2" t="s">
        <v>19</v>
      </c>
      <c r="E5772">
        <v>9500</v>
      </c>
      <c r="F5772">
        <v>579</v>
      </c>
      <c r="G5772">
        <v>59</v>
      </c>
      <c r="H5772">
        <v>685.34</v>
      </c>
      <c r="I5772">
        <v>6406.99</v>
      </c>
      <c r="J5772">
        <v>6.09</v>
      </c>
      <c r="K5772">
        <v>10.19</v>
      </c>
      <c r="L5772">
        <v>11.62</v>
      </c>
      <c r="M5772">
        <v>9.35</v>
      </c>
      <c r="N5772">
        <v>5721.65</v>
      </c>
    </row>
    <row r="5773" spans="1:14" x14ac:dyDescent="0.2">
      <c r="A5773" s="1">
        <v>45954</v>
      </c>
      <c r="B5773" s="2" t="s">
        <v>34</v>
      </c>
      <c r="C5773" s="2" t="s">
        <v>35</v>
      </c>
      <c r="D5773" s="2" t="s">
        <v>22</v>
      </c>
      <c r="E5773">
        <v>4646</v>
      </c>
      <c r="F5773">
        <v>269</v>
      </c>
      <c r="G5773">
        <v>47</v>
      </c>
      <c r="H5773">
        <v>50.27</v>
      </c>
      <c r="I5773">
        <v>7147.3</v>
      </c>
      <c r="J5773">
        <v>5.79</v>
      </c>
      <c r="K5773">
        <v>17.47</v>
      </c>
      <c r="L5773">
        <v>1.07</v>
      </c>
      <c r="M5773">
        <v>142.18</v>
      </c>
      <c r="N5773">
        <v>7097.03</v>
      </c>
    </row>
    <row r="5774" spans="1:14" x14ac:dyDescent="0.2">
      <c r="A5774" s="1">
        <v>45955</v>
      </c>
      <c r="B5774" s="2" t="s">
        <v>14</v>
      </c>
      <c r="C5774" s="2" t="s">
        <v>18</v>
      </c>
      <c r="D5774" s="2" t="s">
        <v>25</v>
      </c>
      <c r="E5774">
        <v>5702</v>
      </c>
      <c r="F5774">
        <v>201</v>
      </c>
      <c r="G5774">
        <v>19</v>
      </c>
      <c r="H5774">
        <v>753.77</v>
      </c>
      <c r="I5774">
        <v>3051.25</v>
      </c>
      <c r="J5774">
        <v>3.53</v>
      </c>
      <c r="K5774">
        <v>9.4499999999999993</v>
      </c>
      <c r="L5774">
        <v>39.67</v>
      </c>
      <c r="M5774">
        <v>4.05</v>
      </c>
      <c r="N5774">
        <v>2297.48</v>
      </c>
    </row>
    <row r="5775" spans="1:14" x14ac:dyDescent="0.2">
      <c r="A5775" s="1">
        <v>45955</v>
      </c>
      <c r="B5775" s="2" t="s">
        <v>17</v>
      </c>
      <c r="C5775" s="2" t="s">
        <v>28</v>
      </c>
      <c r="D5775" s="2" t="s">
        <v>22</v>
      </c>
      <c r="E5775">
        <v>12005</v>
      </c>
      <c r="F5775">
        <v>302</v>
      </c>
      <c r="G5775">
        <v>18</v>
      </c>
      <c r="H5775">
        <v>702.25</v>
      </c>
      <c r="I5775">
        <v>1876.16</v>
      </c>
      <c r="J5775">
        <v>2.52</v>
      </c>
      <c r="K5775">
        <v>5.96</v>
      </c>
      <c r="L5775">
        <v>39.01</v>
      </c>
      <c r="M5775">
        <v>2.67</v>
      </c>
      <c r="N5775">
        <v>1173.9100000000001</v>
      </c>
    </row>
    <row r="5776" spans="1:14" x14ac:dyDescent="0.2">
      <c r="A5776" s="1">
        <v>45955</v>
      </c>
      <c r="B5776" s="2" t="s">
        <v>20</v>
      </c>
      <c r="C5776" s="2" t="s">
        <v>35</v>
      </c>
      <c r="D5776" s="2" t="s">
        <v>25</v>
      </c>
      <c r="E5776">
        <v>9936</v>
      </c>
      <c r="F5776">
        <v>352</v>
      </c>
      <c r="G5776">
        <v>23</v>
      </c>
      <c r="H5776">
        <v>457.26</v>
      </c>
      <c r="I5776">
        <v>2399.0100000000002</v>
      </c>
      <c r="J5776">
        <v>3.54</v>
      </c>
      <c r="K5776">
        <v>6.53</v>
      </c>
      <c r="L5776">
        <v>19.88</v>
      </c>
      <c r="M5776">
        <v>5.25</v>
      </c>
      <c r="N5776">
        <v>1941.75</v>
      </c>
    </row>
    <row r="5777" spans="1:14" x14ac:dyDescent="0.2">
      <c r="A5777" s="1">
        <v>45955</v>
      </c>
      <c r="B5777" s="2" t="s">
        <v>23</v>
      </c>
      <c r="C5777" s="2" t="s">
        <v>18</v>
      </c>
      <c r="D5777" s="2" t="s">
        <v>36</v>
      </c>
      <c r="E5777">
        <v>3164</v>
      </c>
      <c r="F5777">
        <v>74</v>
      </c>
      <c r="G5777">
        <v>8</v>
      </c>
      <c r="H5777">
        <v>668.29</v>
      </c>
      <c r="I5777">
        <v>1784.92</v>
      </c>
      <c r="J5777">
        <v>2.34</v>
      </c>
      <c r="K5777">
        <v>10.81</v>
      </c>
      <c r="L5777">
        <v>83.54</v>
      </c>
      <c r="M5777">
        <v>2.67</v>
      </c>
      <c r="N5777">
        <v>1116.6300000000001</v>
      </c>
    </row>
    <row r="5778" spans="1:14" x14ac:dyDescent="0.2">
      <c r="A5778" s="1">
        <v>45955</v>
      </c>
      <c r="B5778" s="2" t="s">
        <v>24</v>
      </c>
      <c r="C5778" s="2" t="s">
        <v>32</v>
      </c>
      <c r="D5778" s="2" t="s">
        <v>36</v>
      </c>
      <c r="E5778">
        <v>12039</v>
      </c>
      <c r="F5778">
        <v>1917</v>
      </c>
      <c r="G5778">
        <v>261</v>
      </c>
      <c r="H5778">
        <v>114.16</v>
      </c>
      <c r="I5778">
        <v>38398.720000000001</v>
      </c>
      <c r="J5778">
        <v>15.92</v>
      </c>
      <c r="K5778">
        <v>13.62</v>
      </c>
      <c r="L5778">
        <v>0.44</v>
      </c>
      <c r="M5778">
        <v>336.36</v>
      </c>
      <c r="N5778">
        <v>38284.559999999998</v>
      </c>
    </row>
    <row r="5779" spans="1:14" x14ac:dyDescent="0.2">
      <c r="A5779" s="1">
        <v>45955</v>
      </c>
      <c r="B5779" s="2" t="s">
        <v>26</v>
      </c>
      <c r="C5779" s="2" t="s">
        <v>18</v>
      </c>
      <c r="D5779" s="2" t="s">
        <v>19</v>
      </c>
      <c r="E5779">
        <v>18802</v>
      </c>
      <c r="F5779">
        <v>780</v>
      </c>
      <c r="G5779">
        <v>120</v>
      </c>
      <c r="H5779">
        <v>0</v>
      </c>
      <c r="I5779">
        <v>15688.64</v>
      </c>
      <c r="J5779">
        <v>4.1500000000000004</v>
      </c>
      <c r="K5779">
        <v>15.38</v>
      </c>
      <c r="L5779">
        <v>0</v>
      </c>
      <c r="M5779">
        <v>0</v>
      </c>
      <c r="N5779">
        <v>15688.64</v>
      </c>
    </row>
    <row r="5780" spans="1:14" x14ac:dyDescent="0.2">
      <c r="A5780" s="1">
        <v>45955</v>
      </c>
      <c r="B5780" s="2" t="s">
        <v>27</v>
      </c>
      <c r="C5780" s="2" t="s">
        <v>18</v>
      </c>
      <c r="D5780" s="2" t="s">
        <v>25</v>
      </c>
      <c r="E5780">
        <v>20741</v>
      </c>
      <c r="F5780">
        <v>385</v>
      </c>
      <c r="G5780">
        <v>9</v>
      </c>
      <c r="H5780">
        <v>800.02</v>
      </c>
      <c r="I5780">
        <v>902.67</v>
      </c>
      <c r="J5780">
        <v>1.86</v>
      </c>
      <c r="K5780">
        <v>2.34</v>
      </c>
      <c r="L5780">
        <v>88.89</v>
      </c>
      <c r="M5780">
        <v>1.1299999999999999</v>
      </c>
      <c r="N5780">
        <v>102.65</v>
      </c>
    </row>
    <row r="5781" spans="1:14" x14ac:dyDescent="0.2">
      <c r="A5781" s="1">
        <v>45955</v>
      </c>
      <c r="B5781" s="2" t="s">
        <v>29</v>
      </c>
      <c r="C5781" s="2" t="s">
        <v>28</v>
      </c>
      <c r="D5781" s="2" t="s">
        <v>19</v>
      </c>
      <c r="E5781">
        <v>15543</v>
      </c>
      <c r="F5781">
        <v>271</v>
      </c>
      <c r="G5781">
        <v>10</v>
      </c>
      <c r="H5781">
        <v>906.01</v>
      </c>
      <c r="I5781">
        <v>1371.49</v>
      </c>
      <c r="J5781">
        <v>1.74</v>
      </c>
      <c r="K5781">
        <v>3.69</v>
      </c>
      <c r="L5781">
        <v>90.6</v>
      </c>
      <c r="M5781">
        <v>1.51</v>
      </c>
      <c r="N5781">
        <v>465.48</v>
      </c>
    </row>
    <row r="5782" spans="1:14" x14ac:dyDescent="0.2">
      <c r="A5782" s="1">
        <v>45955</v>
      </c>
      <c r="B5782" s="2" t="s">
        <v>30</v>
      </c>
      <c r="C5782" s="2" t="s">
        <v>35</v>
      </c>
      <c r="D5782" s="2" t="s">
        <v>19</v>
      </c>
      <c r="E5782">
        <v>8993</v>
      </c>
      <c r="F5782">
        <v>199</v>
      </c>
      <c r="G5782">
        <v>6</v>
      </c>
      <c r="H5782">
        <v>350.88</v>
      </c>
      <c r="I5782">
        <v>475.39</v>
      </c>
      <c r="J5782">
        <v>2.21</v>
      </c>
      <c r="K5782">
        <v>3.02</v>
      </c>
      <c r="L5782">
        <v>58.48</v>
      </c>
      <c r="M5782">
        <v>1.35</v>
      </c>
      <c r="N5782">
        <v>124.51</v>
      </c>
    </row>
    <row r="5783" spans="1:14" x14ac:dyDescent="0.2">
      <c r="A5783" s="1">
        <v>45955</v>
      </c>
      <c r="B5783" s="2" t="s">
        <v>31</v>
      </c>
      <c r="C5783" s="2" t="s">
        <v>18</v>
      </c>
      <c r="D5783" s="2" t="s">
        <v>16</v>
      </c>
      <c r="E5783">
        <v>14111</v>
      </c>
      <c r="F5783">
        <v>541</v>
      </c>
      <c r="G5783">
        <v>35</v>
      </c>
      <c r="H5783">
        <v>464.78</v>
      </c>
      <c r="I5783">
        <v>2463.67</v>
      </c>
      <c r="J5783">
        <v>3.83</v>
      </c>
      <c r="K5783">
        <v>6.47</v>
      </c>
      <c r="L5783">
        <v>13.28</v>
      </c>
      <c r="M5783">
        <v>5.3</v>
      </c>
      <c r="N5783">
        <v>1998.89</v>
      </c>
    </row>
    <row r="5784" spans="1:14" x14ac:dyDescent="0.2">
      <c r="A5784" s="1">
        <v>45955</v>
      </c>
      <c r="B5784" s="2" t="s">
        <v>33</v>
      </c>
      <c r="C5784" s="2" t="s">
        <v>35</v>
      </c>
      <c r="D5784" s="2" t="s">
        <v>22</v>
      </c>
      <c r="E5784">
        <v>6946</v>
      </c>
      <c r="F5784">
        <v>378</v>
      </c>
      <c r="G5784">
        <v>35</v>
      </c>
      <c r="H5784">
        <v>433.41</v>
      </c>
      <c r="I5784">
        <v>3462.41</v>
      </c>
      <c r="J5784">
        <v>5.44</v>
      </c>
      <c r="K5784">
        <v>9.26</v>
      </c>
      <c r="L5784">
        <v>12.38</v>
      </c>
      <c r="M5784">
        <v>7.99</v>
      </c>
      <c r="N5784">
        <v>3029</v>
      </c>
    </row>
    <row r="5785" spans="1:14" x14ac:dyDescent="0.2">
      <c r="A5785" s="1">
        <v>45955</v>
      </c>
      <c r="B5785" s="2" t="s">
        <v>34</v>
      </c>
      <c r="C5785" s="2" t="s">
        <v>28</v>
      </c>
      <c r="D5785" s="2" t="s">
        <v>19</v>
      </c>
      <c r="E5785">
        <v>2413</v>
      </c>
      <c r="F5785">
        <v>239</v>
      </c>
      <c r="G5785">
        <v>40</v>
      </c>
      <c r="H5785">
        <v>136.19</v>
      </c>
      <c r="I5785">
        <v>5263.19</v>
      </c>
      <c r="J5785">
        <v>9.9</v>
      </c>
      <c r="K5785">
        <v>16.739999999999998</v>
      </c>
      <c r="L5785">
        <v>3.4</v>
      </c>
      <c r="M5785">
        <v>38.65</v>
      </c>
      <c r="N5785">
        <v>5127</v>
      </c>
    </row>
    <row r="5786" spans="1:14" x14ac:dyDescent="0.2">
      <c r="A5786" s="1">
        <v>45956</v>
      </c>
      <c r="B5786" s="2" t="s">
        <v>14</v>
      </c>
      <c r="C5786" s="2" t="s">
        <v>18</v>
      </c>
      <c r="D5786" s="2" t="s">
        <v>16</v>
      </c>
      <c r="E5786">
        <v>7518</v>
      </c>
      <c r="F5786">
        <v>301</v>
      </c>
      <c r="G5786">
        <v>30</v>
      </c>
      <c r="H5786">
        <v>704.02</v>
      </c>
      <c r="I5786">
        <v>5004.2</v>
      </c>
      <c r="J5786">
        <v>4</v>
      </c>
      <c r="K5786">
        <v>9.9700000000000006</v>
      </c>
      <c r="L5786">
        <v>23.47</v>
      </c>
      <c r="M5786">
        <v>7.11</v>
      </c>
      <c r="N5786">
        <v>4300.18</v>
      </c>
    </row>
    <row r="5787" spans="1:14" x14ac:dyDescent="0.2">
      <c r="A5787" s="1">
        <v>45956</v>
      </c>
      <c r="B5787" s="2" t="s">
        <v>17</v>
      </c>
      <c r="C5787" s="2" t="s">
        <v>28</v>
      </c>
      <c r="D5787" s="2" t="s">
        <v>36</v>
      </c>
      <c r="E5787">
        <v>11832</v>
      </c>
      <c r="F5787">
        <v>275</v>
      </c>
      <c r="G5787">
        <v>23</v>
      </c>
      <c r="H5787">
        <v>561.66999999999996</v>
      </c>
      <c r="I5787">
        <v>3328.42</v>
      </c>
      <c r="J5787">
        <v>2.3199999999999998</v>
      </c>
      <c r="K5787">
        <v>8.36</v>
      </c>
      <c r="L5787">
        <v>24.42</v>
      </c>
      <c r="M5787">
        <v>5.93</v>
      </c>
      <c r="N5787">
        <v>2766.75</v>
      </c>
    </row>
    <row r="5788" spans="1:14" x14ac:dyDescent="0.2">
      <c r="A5788" s="1">
        <v>45956</v>
      </c>
      <c r="B5788" s="2" t="s">
        <v>20</v>
      </c>
      <c r="C5788" s="2" t="s">
        <v>21</v>
      </c>
      <c r="D5788" s="2" t="s">
        <v>16</v>
      </c>
      <c r="E5788">
        <v>9561</v>
      </c>
      <c r="F5788">
        <v>406</v>
      </c>
      <c r="G5788">
        <v>18</v>
      </c>
      <c r="H5788">
        <v>478.96</v>
      </c>
      <c r="I5788">
        <v>1336.3</v>
      </c>
      <c r="J5788">
        <v>4.25</v>
      </c>
      <c r="K5788">
        <v>4.43</v>
      </c>
      <c r="L5788">
        <v>26.61</v>
      </c>
      <c r="M5788">
        <v>2.79</v>
      </c>
      <c r="N5788">
        <v>857.34</v>
      </c>
    </row>
    <row r="5789" spans="1:14" x14ac:dyDescent="0.2">
      <c r="A5789" s="1">
        <v>45956</v>
      </c>
      <c r="B5789" s="2" t="s">
        <v>23</v>
      </c>
      <c r="C5789" s="2" t="s">
        <v>32</v>
      </c>
      <c r="D5789" s="2" t="s">
        <v>25</v>
      </c>
      <c r="E5789">
        <v>2163</v>
      </c>
      <c r="F5789">
        <v>58</v>
      </c>
      <c r="G5789">
        <v>7</v>
      </c>
      <c r="H5789">
        <v>913.96</v>
      </c>
      <c r="I5789">
        <v>1616.64</v>
      </c>
      <c r="J5789">
        <v>2.68</v>
      </c>
      <c r="K5789">
        <v>12.07</v>
      </c>
      <c r="L5789">
        <v>130.57</v>
      </c>
      <c r="M5789">
        <v>1.77</v>
      </c>
      <c r="N5789">
        <v>702.68</v>
      </c>
    </row>
    <row r="5790" spans="1:14" x14ac:dyDescent="0.2">
      <c r="A5790" s="1">
        <v>45956</v>
      </c>
      <c r="B5790" s="2" t="s">
        <v>24</v>
      </c>
      <c r="C5790" s="2" t="s">
        <v>21</v>
      </c>
      <c r="D5790" s="2" t="s">
        <v>36</v>
      </c>
      <c r="E5790">
        <v>10656</v>
      </c>
      <c r="F5790">
        <v>1777</v>
      </c>
      <c r="G5790">
        <v>247</v>
      </c>
      <c r="H5790">
        <v>192.9</v>
      </c>
      <c r="I5790">
        <v>37241.269999999997</v>
      </c>
      <c r="J5790">
        <v>16.68</v>
      </c>
      <c r="K5790">
        <v>13.9</v>
      </c>
      <c r="L5790">
        <v>0.78</v>
      </c>
      <c r="M5790">
        <v>193.06</v>
      </c>
      <c r="N5790">
        <v>37048.370000000003</v>
      </c>
    </row>
    <row r="5791" spans="1:14" x14ac:dyDescent="0.2">
      <c r="A5791" s="1">
        <v>45956</v>
      </c>
      <c r="B5791" s="2" t="s">
        <v>26</v>
      </c>
      <c r="C5791" s="2" t="s">
        <v>18</v>
      </c>
      <c r="D5791" s="2" t="s">
        <v>36</v>
      </c>
      <c r="E5791">
        <v>20326</v>
      </c>
      <c r="F5791">
        <v>956</v>
      </c>
      <c r="G5791">
        <v>123</v>
      </c>
      <c r="H5791">
        <v>0</v>
      </c>
      <c r="I5791">
        <v>15973.26</v>
      </c>
      <c r="J5791">
        <v>4.7</v>
      </c>
      <c r="K5791">
        <v>12.87</v>
      </c>
      <c r="L5791">
        <v>0</v>
      </c>
      <c r="M5791">
        <v>0</v>
      </c>
      <c r="N5791">
        <v>15973.26</v>
      </c>
    </row>
    <row r="5792" spans="1:14" x14ac:dyDescent="0.2">
      <c r="A5792" s="1">
        <v>45956</v>
      </c>
      <c r="B5792" s="2" t="s">
        <v>27</v>
      </c>
      <c r="C5792" s="2" t="s">
        <v>18</v>
      </c>
      <c r="D5792" s="2" t="s">
        <v>22</v>
      </c>
      <c r="E5792">
        <v>22182</v>
      </c>
      <c r="F5792">
        <v>400</v>
      </c>
      <c r="G5792">
        <v>11</v>
      </c>
      <c r="H5792">
        <v>593.46</v>
      </c>
      <c r="I5792">
        <v>1148.9000000000001</v>
      </c>
      <c r="J5792">
        <v>1.8</v>
      </c>
      <c r="K5792">
        <v>2.75</v>
      </c>
      <c r="L5792">
        <v>53.95</v>
      </c>
      <c r="M5792">
        <v>1.94</v>
      </c>
      <c r="N5792">
        <v>555.44000000000005</v>
      </c>
    </row>
    <row r="5793" spans="1:14" x14ac:dyDescent="0.2">
      <c r="A5793" s="1">
        <v>45956</v>
      </c>
      <c r="B5793" s="2" t="s">
        <v>29</v>
      </c>
      <c r="C5793" s="2" t="s">
        <v>15</v>
      </c>
      <c r="D5793" s="2" t="s">
        <v>19</v>
      </c>
      <c r="E5793">
        <v>16043</v>
      </c>
      <c r="F5793">
        <v>244</v>
      </c>
      <c r="G5793">
        <v>15</v>
      </c>
      <c r="H5793">
        <v>893.51</v>
      </c>
      <c r="I5793">
        <v>2074.1799999999998</v>
      </c>
      <c r="J5793">
        <v>1.52</v>
      </c>
      <c r="K5793">
        <v>6.15</v>
      </c>
      <c r="L5793">
        <v>59.57</v>
      </c>
      <c r="M5793">
        <v>2.3199999999999998</v>
      </c>
      <c r="N5793">
        <v>1180.67</v>
      </c>
    </row>
    <row r="5794" spans="1:14" x14ac:dyDescent="0.2">
      <c r="A5794" s="1">
        <v>45956</v>
      </c>
      <c r="B5794" s="2" t="s">
        <v>30</v>
      </c>
      <c r="C5794" s="2" t="s">
        <v>21</v>
      </c>
      <c r="D5794" s="2" t="s">
        <v>36</v>
      </c>
      <c r="E5794">
        <v>8245</v>
      </c>
      <c r="F5794">
        <v>259</v>
      </c>
      <c r="G5794">
        <v>7</v>
      </c>
      <c r="H5794">
        <v>291.83</v>
      </c>
      <c r="I5794">
        <v>688.22</v>
      </c>
      <c r="J5794">
        <v>3.14</v>
      </c>
      <c r="K5794">
        <v>2.7</v>
      </c>
      <c r="L5794">
        <v>41.69</v>
      </c>
      <c r="M5794">
        <v>2.36</v>
      </c>
      <c r="N5794">
        <v>396.39</v>
      </c>
    </row>
    <row r="5795" spans="1:14" x14ac:dyDescent="0.2">
      <c r="A5795" s="1">
        <v>45956</v>
      </c>
      <c r="B5795" s="2" t="s">
        <v>31</v>
      </c>
      <c r="C5795" s="2" t="s">
        <v>28</v>
      </c>
      <c r="D5795" s="2" t="s">
        <v>19</v>
      </c>
      <c r="E5795">
        <v>14548</v>
      </c>
      <c r="F5795">
        <v>617</v>
      </c>
      <c r="G5795">
        <v>25</v>
      </c>
      <c r="H5795">
        <v>602.49</v>
      </c>
      <c r="I5795">
        <v>2275.34</v>
      </c>
      <c r="J5795">
        <v>4.24</v>
      </c>
      <c r="K5795">
        <v>4.05</v>
      </c>
      <c r="L5795">
        <v>24.1</v>
      </c>
      <c r="M5795">
        <v>3.78</v>
      </c>
      <c r="N5795">
        <v>1672.85</v>
      </c>
    </row>
    <row r="5796" spans="1:14" x14ac:dyDescent="0.2">
      <c r="A5796" s="1">
        <v>45956</v>
      </c>
      <c r="B5796" s="2" t="s">
        <v>33</v>
      </c>
      <c r="C5796" s="2" t="s">
        <v>35</v>
      </c>
      <c r="D5796" s="2" t="s">
        <v>19</v>
      </c>
      <c r="E5796">
        <v>6252</v>
      </c>
      <c r="F5796">
        <v>343</v>
      </c>
      <c r="G5796">
        <v>31</v>
      </c>
      <c r="H5796">
        <v>333.28</v>
      </c>
      <c r="I5796">
        <v>3289.21</v>
      </c>
      <c r="J5796">
        <v>5.49</v>
      </c>
      <c r="K5796">
        <v>9.0399999999999991</v>
      </c>
      <c r="L5796">
        <v>10.75</v>
      </c>
      <c r="M5796">
        <v>9.8699999999999992</v>
      </c>
      <c r="N5796">
        <v>2955.93</v>
      </c>
    </row>
    <row r="5797" spans="1:14" x14ac:dyDescent="0.2">
      <c r="A5797" s="1">
        <v>45956</v>
      </c>
      <c r="B5797" s="2" t="s">
        <v>34</v>
      </c>
      <c r="C5797" s="2" t="s">
        <v>28</v>
      </c>
      <c r="D5797" s="2" t="s">
        <v>22</v>
      </c>
      <c r="E5797">
        <v>3397</v>
      </c>
      <c r="F5797">
        <v>333</v>
      </c>
      <c r="G5797">
        <v>51</v>
      </c>
      <c r="H5797">
        <v>99.49</v>
      </c>
      <c r="I5797">
        <v>8052.16</v>
      </c>
      <c r="J5797">
        <v>9.8000000000000007</v>
      </c>
      <c r="K5797">
        <v>15.32</v>
      </c>
      <c r="L5797">
        <v>1.95</v>
      </c>
      <c r="M5797">
        <v>80.930000000000007</v>
      </c>
      <c r="N5797">
        <v>7952.67</v>
      </c>
    </row>
    <row r="5798" spans="1:14" x14ac:dyDescent="0.2">
      <c r="A5798" s="1">
        <v>45957</v>
      </c>
      <c r="B5798" s="2" t="s">
        <v>14</v>
      </c>
      <c r="C5798" s="2" t="s">
        <v>32</v>
      </c>
      <c r="D5798" s="2" t="s">
        <v>19</v>
      </c>
      <c r="E5798">
        <v>14453</v>
      </c>
      <c r="F5798">
        <v>497</v>
      </c>
      <c r="G5798">
        <v>47</v>
      </c>
      <c r="H5798">
        <v>1190.56</v>
      </c>
      <c r="I5798">
        <v>6057.59</v>
      </c>
      <c r="J5798">
        <v>3.44</v>
      </c>
      <c r="K5798">
        <v>9.4600000000000009</v>
      </c>
      <c r="L5798">
        <v>25.33</v>
      </c>
      <c r="M5798">
        <v>5.09</v>
      </c>
      <c r="N5798">
        <v>4867.03</v>
      </c>
    </row>
    <row r="5799" spans="1:14" x14ac:dyDescent="0.2">
      <c r="A5799" s="1">
        <v>45957</v>
      </c>
      <c r="B5799" s="2" t="s">
        <v>17</v>
      </c>
      <c r="C5799" s="2" t="s">
        <v>18</v>
      </c>
      <c r="D5799" s="2" t="s">
        <v>36</v>
      </c>
      <c r="E5799">
        <v>19003</v>
      </c>
      <c r="F5799">
        <v>591</v>
      </c>
      <c r="G5799">
        <v>52</v>
      </c>
      <c r="H5799">
        <v>1034.3</v>
      </c>
      <c r="I5799">
        <v>5954.19</v>
      </c>
      <c r="J5799">
        <v>3.11</v>
      </c>
      <c r="K5799">
        <v>8.8000000000000007</v>
      </c>
      <c r="L5799">
        <v>19.89</v>
      </c>
      <c r="M5799">
        <v>5.76</v>
      </c>
      <c r="N5799">
        <v>4919.8900000000003</v>
      </c>
    </row>
    <row r="5800" spans="1:14" x14ac:dyDescent="0.2">
      <c r="A5800" s="1">
        <v>45957</v>
      </c>
      <c r="B5800" s="2" t="s">
        <v>20</v>
      </c>
      <c r="C5800" s="2" t="s">
        <v>15</v>
      </c>
      <c r="D5800" s="2" t="s">
        <v>36</v>
      </c>
      <c r="E5800">
        <v>12128</v>
      </c>
      <c r="F5800">
        <v>481</v>
      </c>
      <c r="G5800">
        <v>19</v>
      </c>
      <c r="H5800">
        <v>572.98</v>
      </c>
      <c r="I5800">
        <v>1892.64</v>
      </c>
      <c r="J5800">
        <v>3.97</v>
      </c>
      <c r="K5800">
        <v>3.95</v>
      </c>
      <c r="L5800">
        <v>30.16</v>
      </c>
      <c r="M5800">
        <v>3.3</v>
      </c>
      <c r="N5800">
        <v>1319.66</v>
      </c>
    </row>
    <row r="5801" spans="1:14" x14ac:dyDescent="0.2">
      <c r="A5801" s="1">
        <v>45957</v>
      </c>
      <c r="B5801" s="2" t="s">
        <v>23</v>
      </c>
      <c r="C5801" s="2" t="s">
        <v>21</v>
      </c>
      <c r="D5801" s="2" t="s">
        <v>22</v>
      </c>
      <c r="E5801">
        <v>4665</v>
      </c>
      <c r="F5801">
        <v>86</v>
      </c>
      <c r="G5801">
        <v>10</v>
      </c>
      <c r="H5801">
        <v>1584.96</v>
      </c>
      <c r="I5801">
        <v>2880.86</v>
      </c>
      <c r="J5801">
        <v>1.84</v>
      </c>
      <c r="K5801">
        <v>11.63</v>
      </c>
      <c r="L5801">
        <v>158.5</v>
      </c>
      <c r="M5801">
        <v>1.82</v>
      </c>
      <c r="N5801">
        <v>1295.9000000000001</v>
      </c>
    </row>
    <row r="5802" spans="1:14" x14ac:dyDescent="0.2">
      <c r="A5802" s="1">
        <v>45957</v>
      </c>
      <c r="B5802" s="2" t="s">
        <v>24</v>
      </c>
      <c r="C5802" s="2" t="s">
        <v>35</v>
      </c>
      <c r="D5802" s="2" t="s">
        <v>36</v>
      </c>
      <c r="E5802">
        <v>22123</v>
      </c>
      <c r="F5802">
        <v>3478</v>
      </c>
      <c r="G5802">
        <v>326</v>
      </c>
      <c r="H5802">
        <v>189.82</v>
      </c>
      <c r="I5802">
        <v>48682.2</v>
      </c>
      <c r="J5802">
        <v>15.72</v>
      </c>
      <c r="K5802">
        <v>9.3699999999999992</v>
      </c>
      <c r="L5802">
        <v>0.57999999999999996</v>
      </c>
      <c r="M5802">
        <v>256.47000000000003</v>
      </c>
      <c r="N5802">
        <v>48492.38</v>
      </c>
    </row>
    <row r="5803" spans="1:14" x14ac:dyDescent="0.2">
      <c r="A5803" s="1">
        <v>45957</v>
      </c>
      <c r="B5803" s="2" t="s">
        <v>26</v>
      </c>
      <c r="C5803" s="2" t="s">
        <v>18</v>
      </c>
      <c r="D5803" s="2" t="s">
        <v>19</v>
      </c>
      <c r="E5803">
        <v>24370</v>
      </c>
      <c r="F5803">
        <v>1513</v>
      </c>
      <c r="G5803">
        <v>201</v>
      </c>
      <c r="H5803">
        <v>0</v>
      </c>
      <c r="I5803">
        <v>31772.19</v>
      </c>
      <c r="J5803">
        <v>6.21</v>
      </c>
      <c r="K5803">
        <v>13.28</v>
      </c>
      <c r="L5803">
        <v>0</v>
      </c>
      <c r="M5803">
        <v>0</v>
      </c>
      <c r="N5803">
        <v>31772.19</v>
      </c>
    </row>
    <row r="5804" spans="1:14" x14ac:dyDescent="0.2">
      <c r="A5804" s="1">
        <v>45957</v>
      </c>
      <c r="B5804" s="2" t="s">
        <v>27</v>
      </c>
      <c r="C5804" s="2" t="s">
        <v>15</v>
      </c>
      <c r="D5804" s="2" t="s">
        <v>22</v>
      </c>
      <c r="E5804">
        <v>38217</v>
      </c>
      <c r="F5804">
        <v>563</v>
      </c>
      <c r="G5804">
        <v>27</v>
      </c>
      <c r="H5804">
        <v>976.17</v>
      </c>
      <c r="I5804">
        <v>2907.64</v>
      </c>
      <c r="J5804">
        <v>1.47</v>
      </c>
      <c r="K5804">
        <v>4.8</v>
      </c>
      <c r="L5804">
        <v>36.15</v>
      </c>
      <c r="M5804">
        <v>2.98</v>
      </c>
      <c r="N5804">
        <v>1931.47</v>
      </c>
    </row>
    <row r="5805" spans="1:14" x14ac:dyDescent="0.2">
      <c r="A5805" s="1">
        <v>45957</v>
      </c>
      <c r="B5805" s="2" t="s">
        <v>29</v>
      </c>
      <c r="C5805" s="2" t="s">
        <v>18</v>
      </c>
      <c r="D5805" s="2" t="s">
        <v>22</v>
      </c>
      <c r="E5805">
        <v>24164</v>
      </c>
      <c r="F5805">
        <v>466</v>
      </c>
      <c r="G5805">
        <v>35</v>
      </c>
      <c r="H5805">
        <v>1201.43</v>
      </c>
      <c r="I5805">
        <v>4603.92</v>
      </c>
      <c r="J5805">
        <v>1.93</v>
      </c>
      <c r="K5805">
        <v>7.51</v>
      </c>
      <c r="L5805">
        <v>34.33</v>
      </c>
      <c r="M5805">
        <v>3.83</v>
      </c>
      <c r="N5805">
        <v>3402.49</v>
      </c>
    </row>
    <row r="5806" spans="1:14" x14ac:dyDescent="0.2">
      <c r="A5806" s="1">
        <v>45957</v>
      </c>
      <c r="B5806" s="2" t="s">
        <v>30</v>
      </c>
      <c r="C5806" s="2" t="s">
        <v>35</v>
      </c>
      <c r="D5806" s="2" t="s">
        <v>16</v>
      </c>
      <c r="E5806">
        <v>13210</v>
      </c>
      <c r="F5806">
        <v>408</v>
      </c>
      <c r="G5806">
        <v>23</v>
      </c>
      <c r="H5806">
        <v>465.37</v>
      </c>
      <c r="I5806">
        <v>2566.85</v>
      </c>
      <c r="J5806">
        <v>3.09</v>
      </c>
      <c r="K5806">
        <v>5.64</v>
      </c>
      <c r="L5806">
        <v>20.23</v>
      </c>
      <c r="M5806">
        <v>5.52</v>
      </c>
      <c r="N5806">
        <v>2101.48</v>
      </c>
    </row>
    <row r="5807" spans="1:14" x14ac:dyDescent="0.2">
      <c r="A5807" s="1">
        <v>45957</v>
      </c>
      <c r="B5807" s="2" t="s">
        <v>31</v>
      </c>
      <c r="C5807" s="2" t="s">
        <v>21</v>
      </c>
      <c r="D5807" s="2" t="s">
        <v>36</v>
      </c>
      <c r="E5807">
        <v>20857</v>
      </c>
      <c r="F5807">
        <v>917</v>
      </c>
      <c r="G5807">
        <v>59</v>
      </c>
      <c r="H5807">
        <v>949.5</v>
      </c>
      <c r="I5807">
        <v>5568.97</v>
      </c>
      <c r="J5807">
        <v>4.4000000000000004</v>
      </c>
      <c r="K5807">
        <v>6.43</v>
      </c>
      <c r="L5807">
        <v>16.09</v>
      </c>
      <c r="M5807">
        <v>5.87</v>
      </c>
      <c r="N5807">
        <v>4619.47</v>
      </c>
    </row>
    <row r="5808" spans="1:14" x14ac:dyDescent="0.2">
      <c r="A5808" s="1">
        <v>45957</v>
      </c>
      <c r="B5808" s="2" t="s">
        <v>33</v>
      </c>
      <c r="C5808" s="2" t="s">
        <v>28</v>
      </c>
      <c r="D5808" s="2" t="s">
        <v>19</v>
      </c>
      <c r="E5808">
        <v>5739</v>
      </c>
      <c r="F5808">
        <v>375</v>
      </c>
      <c r="G5808">
        <v>44</v>
      </c>
      <c r="H5808">
        <v>437.21</v>
      </c>
      <c r="I5808">
        <v>5240.78</v>
      </c>
      <c r="J5808">
        <v>6.53</v>
      </c>
      <c r="K5808">
        <v>11.73</v>
      </c>
      <c r="L5808">
        <v>9.94</v>
      </c>
      <c r="M5808">
        <v>11.99</v>
      </c>
      <c r="N5808">
        <v>4803.57</v>
      </c>
    </row>
    <row r="5809" spans="1:14" x14ac:dyDescent="0.2">
      <c r="A5809" s="1">
        <v>45957</v>
      </c>
      <c r="B5809" s="2" t="s">
        <v>34</v>
      </c>
      <c r="C5809" s="2" t="s">
        <v>18</v>
      </c>
      <c r="D5809" s="2" t="s">
        <v>22</v>
      </c>
      <c r="E5809">
        <v>3430</v>
      </c>
      <c r="F5809">
        <v>205</v>
      </c>
      <c r="G5809">
        <v>25</v>
      </c>
      <c r="H5809">
        <v>138.38</v>
      </c>
      <c r="I5809">
        <v>4268.0200000000004</v>
      </c>
      <c r="J5809">
        <v>5.98</v>
      </c>
      <c r="K5809">
        <v>12.2</v>
      </c>
      <c r="L5809">
        <v>5.54</v>
      </c>
      <c r="M5809">
        <v>30.84</v>
      </c>
      <c r="N5809">
        <v>4129.6400000000003</v>
      </c>
    </row>
    <row r="5810" spans="1:14" x14ac:dyDescent="0.2">
      <c r="A5810" s="1">
        <v>45958</v>
      </c>
      <c r="B5810" s="2" t="s">
        <v>14</v>
      </c>
      <c r="C5810" s="2" t="s">
        <v>15</v>
      </c>
      <c r="D5810" s="2" t="s">
        <v>22</v>
      </c>
      <c r="E5810">
        <v>13956</v>
      </c>
      <c r="F5810">
        <v>636</v>
      </c>
      <c r="G5810">
        <v>62</v>
      </c>
      <c r="H5810">
        <v>1083.52</v>
      </c>
      <c r="I5810">
        <v>10970.52</v>
      </c>
      <c r="J5810">
        <v>4.5599999999999996</v>
      </c>
      <c r="K5810">
        <v>9.75</v>
      </c>
      <c r="L5810">
        <v>17.48</v>
      </c>
      <c r="M5810">
        <v>10.119999999999999</v>
      </c>
      <c r="N5810">
        <v>9887</v>
      </c>
    </row>
    <row r="5811" spans="1:14" x14ac:dyDescent="0.2">
      <c r="A5811" s="1">
        <v>45958</v>
      </c>
      <c r="B5811" s="2" t="s">
        <v>17</v>
      </c>
      <c r="C5811" s="2" t="s">
        <v>28</v>
      </c>
      <c r="D5811" s="2" t="s">
        <v>19</v>
      </c>
      <c r="E5811">
        <v>12740</v>
      </c>
      <c r="F5811">
        <v>407</v>
      </c>
      <c r="G5811">
        <v>35</v>
      </c>
      <c r="H5811">
        <v>602.12</v>
      </c>
      <c r="I5811">
        <v>3960.55</v>
      </c>
      <c r="J5811">
        <v>3.19</v>
      </c>
      <c r="K5811">
        <v>8.6</v>
      </c>
      <c r="L5811">
        <v>17.2</v>
      </c>
      <c r="M5811">
        <v>6.58</v>
      </c>
      <c r="N5811">
        <v>3358.43</v>
      </c>
    </row>
    <row r="5812" spans="1:14" x14ac:dyDescent="0.2">
      <c r="A5812" s="1">
        <v>45958</v>
      </c>
      <c r="B5812" s="2" t="s">
        <v>20</v>
      </c>
      <c r="C5812" s="2" t="s">
        <v>18</v>
      </c>
      <c r="D5812" s="2" t="s">
        <v>36</v>
      </c>
      <c r="E5812">
        <v>16816</v>
      </c>
      <c r="F5812">
        <v>567</v>
      </c>
      <c r="G5812">
        <v>39</v>
      </c>
      <c r="H5812">
        <v>575.97</v>
      </c>
      <c r="I5812">
        <v>4398.47</v>
      </c>
      <c r="J5812">
        <v>3.37</v>
      </c>
      <c r="K5812">
        <v>6.88</v>
      </c>
      <c r="L5812">
        <v>14.77</v>
      </c>
      <c r="M5812">
        <v>7.64</v>
      </c>
      <c r="N5812">
        <v>3822.5</v>
      </c>
    </row>
    <row r="5813" spans="1:14" x14ac:dyDescent="0.2">
      <c r="A5813" s="1">
        <v>45958</v>
      </c>
      <c r="B5813" s="2" t="s">
        <v>23</v>
      </c>
      <c r="C5813" s="2" t="s">
        <v>28</v>
      </c>
      <c r="D5813" s="2" t="s">
        <v>25</v>
      </c>
      <c r="E5813">
        <v>3049</v>
      </c>
      <c r="F5813">
        <v>55</v>
      </c>
      <c r="G5813">
        <v>6</v>
      </c>
      <c r="H5813">
        <v>1415.92</v>
      </c>
      <c r="I5813">
        <v>1636.18</v>
      </c>
      <c r="J5813">
        <v>1.8</v>
      </c>
      <c r="K5813">
        <v>10.91</v>
      </c>
      <c r="L5813">
        <v>235.99</v>
      </c>
      <c r="M5813">
        <v>1.1599999999999999</v>
      </c>
      <c r="N5813">
        <v>220.26</v>
      </c>
    </row>
    <row r="5814" spans="1:14" x14ac:dyDescent="0.2">
      <c r="A5814" s="1">
        <v>45958</v>
      </c>
      <c r="B5814" s="2" t="s">
        <v>24</v>
      </c>
      <c r="C5814" s="2" t="s">
        <v>28</v>
      </c>
      <c r="D5814" s="2" t="s">
        <v>22</v>
      </c>
      <c r="E5814">
        <v>17976</v>
      </c>
      <c r="F5814">
        <v>2845</v>
      </c>
      <c r="G5814">
        <v>255</v>
      </c>
      <c r="H5814">
        <v>285.95</v>
      </c>
      <c r="I5814">
        <v>38109.58</v>
      </c>
      <c r="J5814">
        <v>15.83</v>
      </c>
      <c r="K5814">
        <v>8.9600000000000009</v>
      </c>
      <c r="L5814">
        <v>1.1200000000000001</v>
      </c>
      <c r="M5814">
        <v>133.27000000000001</v>
      </c>
      <c r="N5814">
        <v>37823.629999999997</v>
      </c>
    </row>
    <row r="5815" spans="1:14" x14ac:dyDescent="0.2">
      <c r="A5815" s="1">
        <v>45958</v>
      </c>
      <c r="B5815" s="2" t="s">
        <v>26</v>
      </c>
      <c r="C5815" s="2" t="s">
        <v>35</v>
      </c>
      <c r="D5815" s="2" t="s">
        <v>36</v>
      </c>
      <c r="E5815">
        <v>22436</v>
      </c>
      <c r="F5815">
        <v>1159</v>
      </c>
      <c r="G5815">
        <v>147</v>
      </c>
      <c r="H5815">
        <v>0</v>
      </c>
      <c r="I5815">
        <v>23200.55</v>
      </c>
      <c r="J5815">
        <v>5.17</v>
      </c>
      <c r="K5815">
        <v>12.68</v>
      </c>
      <c r="L5815">
        <v>0</v>
      </c>
      <c r="M5815">
        <v>0</v>
      </c>
      <c r="N5815">
        <v>23200.55</v>
      </c>
    </row>
    <row r="5816" spans="1:14" x14ac:dyDescent="0.2">
      <c r="A5816" s="1">
        <v>45958</v>
      </c>
      <c r="B5816" s="2" t="s">
        <v>27</v>
      </c>
      <c r="C5816" s="2" t="s">
        <v>32</v>
      </c>
      <c r="D5816" s="2" t="s">
        <v>36</v>
      </c>
      <c r="E5816">
        <v>37531</v>
      </c>
      <c r="F5816">
        <v>456</v>
      </c>
      <c r="G5816">
        <v>13</v>
      </c>
      <c r="H5816">
        <v>1126.9000000000001</v>
      </c>
      <c r="I5816">
        <v>1434.12</v>
      </c>
      <c r="J5816">
        <v>1.21</v>
      </c>
      <c r="K5816">
        <v>2.85</v>
      </c>
      <c r="L5816">
        <v>86.68</v>
      </c>
      <c r="M5816">
        <v>1.27</v>
      </c>
      <c r="N5816">
        <v>307.22000000000003</v>
      </c>
    </row>
    <row r="5817" spans="1:14" x14ac:dyDescent="0.2">
      <c r="A5817" s="1">
        <v>45958</v>
      </c>
      <c r="B5817" s="2" t="s">
        <v>29</v>
      </c>
      <c r="C5817" s="2" t="s">
        <v>21</v>
      </c>
      <c r="D5817" s="2" t="s">
        <v>16</v>
      </c>
      <c r="E5817">
        <v>20973</v>
      </c>
      <c r="F5817">
        <v>554</v>
      </c>
      <c r="G5817">
        <v>24</v>
      </c>
      <c r="H5817">
        <v>850.81</v>
      </c>
      <c r="I5817">
        <v>2531.2800000000002</v>
      </c>
      <c r="J5817">
        <v>2.64</v>
      </c>
      <c r="K5817">
        <v>4.33</v>
      </c>
      <c r="L5817">
        <v>35.450000000000003</v>
      </c>
      <c r="M5817">
        <v>2.98</v>
      </c>
      <c r="N5817">
        <v>1680.47</v>
      </c>
    </row>
    <row r="5818" spans="1:14" x14ac:dyDescent="0.2">
      <c r="A5818" s="1">
        <v>45958</v>
      </c>
      <c r="B5818" s="2" t="s">
        <v>30</v>
      </c>
      <c r="C5818" s="2" t="s">
        <v>18</v>
      </c>
      <c r="D5818" s="2" t="s">
        <v>16</v>
      </c>
      <c r="E5818">
        <v>8347</v>
      </c>
      <c r="F5818">
        <v>257</v>
      </c>
      <c r="G5818">
        <v>9</v>
      </c>
      <c r="H5818">
        <v>429.53</v>
      </c>
      <c r="I5818">
        <v>911.08</v>
      </c>
      <c r="J5818">
        <v>3.08</v>
      </c>
      <c r="K5818">
        <v>3.5</v>
      </c>
      <c r="L5818">
        <v>47.73</v>
      </c>
      <c r="M5818">
        <v>2.12</v>
      </c>
      <c r="N5818">
        <v>481.55</v>
      </c>
    </row>
    <row r="5819" spans="1:14" x14ac:dyDescent="0.2">
      <c r="A5819" s="1">
        <v>45958</v>
      </c>
      <c r="B5819" s="2" t="s">
        <v>31</v>
      </c>
      <c r="C5819" s="2" t="s">
        <v>21</v>
      </c>
      <c r="D5819" s="2" t="s">
        <v>22</v>
      </c>
      <c r="E5819">
        <v>21531</v>
      </c>
      <c r="F5819">
        <v>884</v>
      </c>
      <c r="G5819">
        <v>61</v>
      </c>
      <c r="H5819">
        <v>772.02</v>
      </c>
      <c r="I5819">
        <v>6055.48</v>
      </c>
      <c r="J5819">
        <v>4.1100000000000003</v>
      </c>
      <c r="K5819">
        <v>6.9</v>
      </c>
      <c r="L5819">
        <v>12.66</v>
      </c>
      <c r="M5819">
        <v>7.84</v>
      </c>
      <c r="N5819">
        <v>5283.46</v>
      </c>
    </row>
    <row r="5820" spans="1:14" x14ac:dyDescent="0.2">
      <c r="A5820" s="1">
        <v>45958</v>
      </c>
      <c r="B5820" s="2" t="s">
        <v>33</v>
      </c>
      <c r="C5820" s="2" t="s">
        <v>35</v>
      </c>
      <c r="D5820" s="2" t="s">
        <v>25</v>
      </c>
      <c r="E5820">
        <v>9274</v>
      </c>
      <c r="F5820">
        <v>600</v>
      </c>
      <c r="G5820">
        <v>53</v>
      </c>
      <c r="H5820">
        <v>331.87</v>
      </c>
      <c r="I5820">
        <v>7130.03</v>
      </c>
      <c r="J5820">
        <v>6.47</v>
      </c>
      <c r="K5820">
        <v>8.83</v>
      </c>
      <c r="L5820">
        <v>6.26</v>
      </c>
      <c r="M5820">
        <v>21.48</v>
      </c>
      <c r="N5820">
        <v>6798.16</v>
      </c>
    </row>
    <row r="5821" spans="1:14" x14ac:dyDescent="0.2">
      <c r="A5821" s="1">
        <v>45958</v>
      </c>
      <c r="B5821" s="2" t="s">
        <v>34</v>
      </c>
      <c r="C5821" s="2" t="s">
        <v>18</v>
      </c>
      <c r="D5821" s="2" t="s">
        <v>22</v>
      </c>
      <c r="E5821">
        <v>3439</v>
      </c>
      <c r="F5821">
        <v>172</v>
      </c>
      <c r="G5821">
        <v>23</v>
      </c>
      <c r="H5821">
        <v>127.42</v>
      </c>
      <c r="I5821">
        <v>3140.8</v>
      </c>
      <c r="J5821">
        <v>5</v>
      </c>
      <c r="K5821">
        <v>13.37</v>
      </c>
      <c r="L5821">
        <v>5.54</v>
      </c>
      <c r="M5821">
        <v>24.65</v>
      </c>
      <c r="N5821">
        <v>3013.38</v>
      </c>
    </row>
    <row r="5822" spans="1:14" x14ac:dyDescent="0.2">
      <c r="A5822" s="1">
        <v>45959</v>
      </c>
      <c r="B5822" s="2" t="s">
        <v>14</v>
      </c>
      <c r="C5822" s="2" t="s">
        <v>18</v>
      </c>
      <c r="D5822" s="2" t="s">
        <v>19</v>
      </c>
      <c r="E5822">
        <v>9480</v>
      </c>
      <c r="F5822">
        <v>418</v>
      </c>
      <c r="G5822">
        <v>49</v>
      </c>
      <c r="H5822">
        <v>1407.55</v>
      </c>
      <c r="I5822">
        <v>7072.74</v>
      </c>
      <c r="J5822">
        <v>4.41</v>
      </c>
      <c r="K5822">
        <v>11.72</v>
      </c>
      <c r="L5822">
        <v>28.73</v>
      </c>
      <c r="M5822">
        <v>5.0199999999999996</v>
      </c>
      <c r="N5822">
        <v>5665.19</v>
      </c>
    </row>
    <row r="5823" spans="1:14" x14ac:dyDescent="0.2">
      <c r="A5823" s="1">
        <v>45959</v>
      </c>
      <c r="B5823" s="2" t="s">
        <v>17</v>
      </c>
      <c r="C5823" s="2" t="s">
        <v>28</v>
      </c>
      <c r="D5823" s="2" t="s">
        <v>25</v>
      </c>
      <c r="E5823">
        <v>16528</v>
      </c>
      <c r="F5823">
        <v>515</v>
      </c>
      <c r="G5823">
        <v>44</v>
      </c>
      <c r="H5823">
        <v>1099.32</v>
      </c>
      <c r="I5823">
        <v>4058.41</v>
      </c>
      <c r="J5823">
        <v>3.12</v>
      </c>
      <c r="K5823">
        <v>8.5399999999999991</v>
      </c>
      <c r="L5823">
        <v>24.98</v>
      </c>
      <c r="M5823">
        <v>3.69</v>
      </c>
      <c r="N5823">
        <v>2959.09</v>
      </c>
    </row>
    <row r="5824" spans="1:14" x14ac:dyDescent="0.2">
      <c r="A5824" s="1">
        <v>45959</v>
      </c>
      <c r="B5824" s="2" t="s">
        <v>20</v>
      </c>
      <c r="C5824" s="2" t="s">
        <v>15</v>
      </c>
      <c r="D5824" s="2" t="s">
        <v>16</v>
      </c>
      <c r="E5824">
        <v>16056</v>
      </c>
      <c r="F5824">
        <v>626</v>
      </c>
      <c r="G5824">
        <v>25</v>
      </c>
      <c r="H5824">
        <v>919.89</v>
      </c>
      <c r="I5824">
        <v>2475.4899999999998</v>
      </c>
      <c r="J5824">
        <v>3.9</v>
      </c>
      <c r="K5824">
        <v>3.99</v>
      </c>
      <c r="L5824">
        <v>36.799999999999997</v>
      </c>
      <c r="M5824">
        <v>2.69</v>
      </c>
      <c r="N5824">
        <v>1555.6</v>
      </c>
    </row>
    <row r="5825" spans="1:14" x14ac:dyDescent="0.2">
      <c r="A5825" s="1">
        <v>45959</v>
      </c>
      <c r="B5825" s="2" t="s">
        <v>23</v>
      </c>
      <c r="C5825" s="2" t="s">
        <v>28</v>
      </c>
      <c r="D5825" s="2" t="s">
        <v>36</v>
      </c>
      <c r="E5825">
        <v>3150</v>
      </c>
      <c r="F5825">
        <v>84</v>
      </c>
      <c r="G5825">
        <v>10</v>
      </c>
      <c r="H5825">
        <v>1242.8499999999999</v>
      </c>
      <c r="I5825">
        <v>1994.15</v>
      </c>
      <c r="J5825">
        <v>2.67</v>
      </c>
      <c r="K5825">
        <v>11.9</v>
      </c>
      <c r="L5825">
        <v>124.28</v>
      </c>
      <c r="M5825">
        <v>1.6</v>
      </c>
      <c r="N5825">
        <v>751.3</v>
      </c>
    </row>
    <row r="5826" spans="1:14" x14ac:dyDescent="0.2">
      <c r="A5826" s="1">
        <v>45959</v>
      </c>
      <c r="B5826" s="2" t="s">
        <v>24</v>
      </c>
      <c r="C5826" s="2" t="s">
        <v>35</v>
      </c>
      <c r="D5826" s="2" t="s">
        <v>19</v>
      </c>
      <c r="E5826">
        <v>22889</v>
      </c>
      <c r="F5826">
        <v>4917</v>
      </c>
      <c r="G5826">
        <v>433</v>
      </c>
      <c r="H5826">
        <v>257.42</v>
      </c>
      <c r="I5826">
        <v>66271.37</v>
      </c>
      <c r="J5826">
        <v>21.48</v>
      </c>
      <c r="K5826">
        <v>8.81</v>
      </c>
      <c r="L5826">
        <v>0.59</v>
      </c>
      <c r="M5826">
        <v>257.44</v>
      </c>
      <c r="N5826">
        <v>66013.95</v>
      </c>
    </row>
    <row r="5827" spans="1:14" x14ac:dyDescent="0.2">
      <c r="A5827" s="1">
        <v>45959</v>
      </c>
      <c r="B5827" s="2" t="s">
        <v>26</v>
      </c>
      <c r="C5827" s="2" t="s">
        <v>28</v>
      </c>
      <c r="D5827" s="2" t="s">
        <v>16</v>
      </c>
      <c r="E5827">
        <v>23430</v>
      </c>
      <c r="F5827">
        <v>1857</v>
      </c>
      <c r="G5827">
        <v>265</v>
      </c>
      <c r="H5827">
        <v>0</v>
      </c>
      <c r="I5827">
        <v>36251.019999999997</v>
      </c>
      <c r="J5827">
        <v>7.93</v>
      </c>
      <c r="K5827">
        <v>14.27</v>
      </c>
      <c r="L5827">
        <v>0</v>
      </c>
      <c r="M5827">
        <v>0</v>
      </c>
      <c r="N5827">
        <v>36251.019999999997</v>
      </c>
    </row>
    <row r="5828" spans="1:14" x14ac:dyDescent="0.2">
      <c r="A5828" s="1">
        <v>45959</v>
      </c>
      <c r="B5828" s="2" t="s">
        <v>27</v>
      </c>
      <c r="C5828" s="2" t="s">
        <v>28</v>
      </c>
      <c r="D5828" s="2" t="s">
        <v>22</v>
      </c>
      <c r="E5828">
        <v>29013</v>
      </c>
      <c r="F5828">
        <v>436</v>
      </c>
      <c r="G5828">
        <v>13</v>
      </c>
      <c r="H5828">
        <v>973.45</v>
      </c>
      <c r="I5828">
        <v>1527.87</v>
      </c>
      <c r="J5828">
        <v>1.5</v>
      </c>
      <c r="K5828">
        <v>2.98</v>
      </c>
      <c r="L5828">
        <v>74.88</v>
      </c>
      <c r="M5828">
        <v>1.57</v>
      </c>
      <c r="N5828">
        <v>554.41999999999996</v>
      </c>
    </row>
    <row r="5829" spans="1:14" x14ac:dyDescent="0.2">
      <c r="A5829" s="1">
        <v>45959</v>
      </c>
      <c r="B5829" s="2" t="s">
        <v>29</v>
      </c>
      <c r="C5829" s="2" t="s">
        <v>32</v>
      </c>
      <c r="D5829" s="2" t="s">
        <v>22</v>
      </c>
      <c r="E5829">
        <v>15161</v>
      </c>
      <c r="F5829">
        <v>429</v>
      </c>
      <c r="G5829">
        <v>29</v>
      </c>
      <c r="H5829">
        <v>1179.68</v>
      </c>
      <c r="I5829">
        <v>3899.6</v>
      </c>
      <c r="J5829">
        <v>2.83</v>
      </c>
      <c r="K5829">
        <v>6.76</v>
      </c>
      <c r="L5829">
        <v>40.68</v>
      </c>
      <c r="M5829">
        <v>3.31</v>
      </c>
      <c r="N5829">
        <v>2719.92</v>
      </c>
    </row>
    <row r="5830" spans="1:14" x14ac:dyDescent="0.2">
      <c r="A5830" s="1">
        <v>45959</v>
      </c>
      <c r="B5830" s="2" t="s">
        <v>30</v>
      </c>
      <c r="C5830" s="2" t="s">
        <v>15</v>
      </c>
      <c r="D5830" s="2" t="s">
        <v>25</v>
      </c>
      <c r="E5830">
        <v>13726</v>
      </c>
      <c r="F5830">
        <v>310</v>
      </c>
      <c r="G5830">
        <v>12</v>
      </c>
      <c r="H5830">
        <v>615.85</v>
      </c>
      <c r="I5830">
        <v>1182.8599999999999</v>
      </c>
      <c r="J5830">
        <v>2.2599999999999998</v>
      </c>
      <c r="K5830">
        <v>3.87</v>
      </c>
      <c r="L5830">
        <v>51.32</v>
      </c>
      <c r="M5830">
        <v>1.92</v>
      </c>
      <c r="N5830">
        <v>567.01</v>
      </c>
    </row>
    <row r="5831" spans="1:14" x14ac:dyDescent="0.2">
      <c r="A5831" s="1">
        <v>45959</v>
      </c>
      <c r="B5831" s="2" t="s">
        <v>31</v>
      </c>
      <c r="C5831" s="2" t="s">
        <v>21</v>
      </c>
      <c r="D5831" s="2" t="s">
        <v>22</v>
      </c>
      <c r="E5831">
        <v>24665</v>
      </c>
      <c r="F5831">
        <v>760</v>
      </c>
      <c r="G5831">
        <v>41</v>
      </c>
      <c r="H5831">
        <v>852.68</v>
      </c>
      <c r="I5831">
        <v>3274.29</v>
      </c>
      <c r="J5831">
        <v>3.08</v>
      </c>
      <c r="K5831">
        <v>5.39</v>
      </c>
      <c r="L5831">
        <v>20.8</v>
      </c>
      <c r="M5831">
        <v>3.84</v>
      </c>
      <c r="N5831">
        <v>2421.61</v>
      </c>
    </row>
    <row r="5832" spans="1:14" x14ac:dyDescent="0.2">
      <c r="A5832" s="1">
        <v>45959</v>
      </c>
      <c r="B5832" s="2" t="s">
        <v>33</v>
      </c>
      <c r="C5832" s="2" t="s">
        <v>35</v>
      </c>
      <c r="D5832" s="2" t="s">
        <v>16</v>
      </c>
      <c r="E5832">
        <v>5481</v>
      </c>
      <c r="F5832">
        <v>285</v>
      </c>
      <c r="G5832">
        <v>32</v>
      </c>
      <c r="H5832">
        <v>381.41</v>
      </c>
      <c r="I5832">
        <v>4375.01</v>
      </c>
      <c r="J5832">
        <v>5.2</v>
      </c>
      <c r="K5832">
        <v>11.23</v>
      </c>
      <c r="L5832">
        <v>11.92</v>
      </c>
      <c r="M5832">
        <v>11.47</v>
      </c>
      <c r="N5832">
        <v>3993.6</v>
      </c>
    </row>
    <row r="5833" spans="1:14" x14ac:dyDescent="0.2">
      <c r="A5833" s="1">
        <v>45959</v>
      </c>
      <c r="B5833" s="2" t="s">
        <v>34</v>
      </c>
      <c r="C5833" s="2" t="s">
        <v>35</v>
      </c>
      <c r="D5833" s="2" t="s">
        <v>22</v>
      </c>
      <c r="E5833">
        <v>6827</v>
      </c>
      <c r="F5833">
        <v>373</v>
      </c>
      <c r="G5833">
        <v>49</v>
      </c>
      <c r="H5833">
        <v>192.32</v>
      </c>
      <c r="I5833">
        <v>7460.24</v>
      </c>
      <c r="J5833">
        <v>5.46</v>
      </c>
      <c r="K5833">
        <v>13.14</v>
      </c>
      <c r="L5833">
        <v>3.92</v>
      </c>
      <c r="M5833">
        <v>38.79</v>
      </c>
      <c r="N5833">
        <v>7267.92</v>
      </c>
    </row>
    <row r="5834" spans="1:14" x14ac:dyDescent="0.2">
      <c r="A5834" s="1">
        <v>45960</v>
      </c>
      <c r="B5834" s="2" t="s">
        <v>14</v>
      </c>
      <c r="C5834" s="2" t="s">
        <v>15</v>
      </c>
      <c r="D5834" s="2" t="s">
        <v>36</v>
      </c>
      <c r="E5834">
        <v>12901</v>
      </c>
      <c r="F5834">
        <v>604</v>
      </c>
      <c r="G5834">
        <v>52</v>
      </c>
      <c r="H5834">
        <v>1233</v>
      </c>
      <c r="I5834">
        <v>9505.08</v>
      </c>
      <c r="J5834">
        <v>4.68</v>
      </c>
      <c r="K5834">
        <v>8.61</v>
      </c>
      <c r="L5834">
        <v>23.71</v>
      </c>
      <c r="M5834">
        <v>7.71</v>
      </c>
      <c r="N5834">
        <v>8272.08</v>
      </c>
    </row>
    <row r="5835" spans="1:14" x14ac:dyDescent="0.2">
      <c r="A5835" s="1">
        <v>45960</v>
      </c>
      <c r="B5835" s="2" t="s">
        <v>17</v>
      </c>
      <c r="C5835" s="2" t="s">
        <v>21</v>
      </c>
      <c r="D5835" s="2" t="s">
        <v>36</v>
      </c>
      <c r="E5835">
        <v>19180</v>
      </c>
      <c r="F5835">
        <v>665</v>
      </c>
      <c r="G5835">
        <v>53</v>
      </c>
      <c r="H5835">
        <v>831.39</v>
      </c>
      <c r="I5835">
        <v>6474.61</v>
      </c>
      <c r="J5835">
        <v>3.47</v>
      </c>
      <c r="K5835">
        <v>7.97</v>
      </c>
      <c r="L5835">
        <v>15.69</v>
      </c>
      <c r="M5835">
        <v>7.79</v>
      </c>
      <c r="N5835">
        <v>5643.22</v>
      </c>
    </row>
    <row r="5836" spans="1:14" x14ac:dyDescent="0.2">
      <c r="A5836" s="1">
        <v>45960</v>
      </c>
      <c r="B5836" s="2" t="s">
        <v>20</v>
      </c>
      <c r="C5836" s="2" t="s">
        <v>15</v>
      </c>
      <c r="D5836" s="2" t="s">
        <v>16</v>
      </c>
      <c r="E5836">
        <v>15453</v>
      </c>
      <c r="F5836">
        <v>593</v>
      </c>
      <c r="G5836">
        <v>25</v>
      </c>
      <c r="H5836">
        <v>552.66</v>
      </c>
      <c r="I5836">
        <v>1917.21</v>
      </c>
      <c r="J5836">
        <v>3.84</v>
      </c>
      <c r="K5836">
        <v>4.22</v>
      </c>
      <c r="L5836">
        <v>22.11</v>
      </c>
      <c r="M5836">
        <v>3.47</v>
      </c>
      <c r="N5836">
        <v>1364.55</v>
      </c>
    </row>
    <row r="5837" spans="1:14" x14ac:dyDescent="0.2">
      <c r="A5837" s="1">
        <v>45960</v>
      </c>
      <c r="B5837" s="2" t="s">
        <v>23</v>
      </c>
      <c r="C5837" s="2" t="s">
        <v>15</v>
      </c>
      <c r="D5837" s="2" t="s">
        <v>25</v>
      </c>
      <c r="E5837">
        <v>4845</v>
      </c>
      <c r="F5837">
        <v>134</v>
      </c>
      <c r="G5837">
        <v>19</v>
      </c>
      <c r="H5837">
        <v>1017.51</v>
      </c>
      <c r="I5837">
        <v>6219.48</v>
      </c>
      <c r="J5837">
        <v>2.77</v>
      </c>
      <c r="K5837">
        <v>14.18</v>
      </c>
      <c r="L5837">
        <v>53.55</v>
      </c>
      <c r="M5837">
        <v>6.11</v>
      </c>
      <c r="N5837">
        <v>5201.97</v>
      </c>
    </row>
    <row r="5838" spans="1:14" x14ac:dyDescent="0.2">
      <c r="A5838" s="1">
        <v>45960</v>
      </c>
      <c r="B5838" s="2" t="s">
        <v>24</v>
      </c>
      <c r="C5838" s="2" t="s">
        <v>32</v>
      </c>
      <c r="D5838" s="2" t="s">
        <v>22</v>
      </c>
      <c r="E5838">
        <v>18645</v>
      </c>
      <c r="F5838">
        <v>3673</v>
      </c>
      <c r="G5838">
        <v>300</v>
      </c>
      <c r="H5838">
        <v>250.27</v>
      </c>
      <c r="I5838">
        <v>36585.43</v>
      </c>
      <c r="J5838">
        <v>19.7</v>
      </c>
      <c r="K5838">
        <v>8.17</v>
      </c>
      <c r="L5838">
        <v>0.83</v>
      </c>
      <c r="M5838">
        <v>146.18</v>
      </c>
      <c r="N5838">
        <v>36335.160000000003</v>
      </c>
    </row>
    <row r="5839" spans="1:14" x14ac:dyDescent="0.2">
      <c r="A5839" s="1">
        <v>45960</v>
      </c>
      <c r="B5839" s="2" t="s">
        <v>26</v>
      </c>
      <c r="C5839" s="2" t="s">
        <v>21</v>
      </c>
      <c r="D5839" s="2" t="s">
        <v>25</v>
      </c>
      <c r="E5839">
        <v>23868</v>
      </c>
      <c r="F5839">
        <v>1496</v>
      </c>
      <c r="G5839">
        <v>182</v>
      </c>
      <c r="H5839">
        <v>0</v>
      </c>
      <c r="I5839">
        <v>23942.11</v>
      </c>
      <c r="J5839">
        <v>6.27</v>
      </c>
      <c r="K5839">
        <v>12.17</v>
      </c>
      <c r="L5839">
        <v>0</v>
      </c>
      <c r="M5839">
        <v>0</v>
      </c>
      <c r="N5839">
        <v>23942.11</v>
      </c>
    </row>
    <row r="5840" spans="1:14" x14ac:dyDescent="0.2">
      <c r="A5840" s="1">
        <v>45960</v>
      </c>
      <c r="B5840" s="2" t="s">
        <v>27</v>
      </c>
      <c r="C5840" s="2" t="s">
        <v>15</v>
      </c>
      <c r="D5840" s="2" t="s">
        <v>22</v>
      </c>
      <c r="E5840">
        <v>28735</v>
      </c>
      <c r="F5840">
        <v>308</v>
      </c>
      <c r="G5840">
        <v>9</v>
      </c>
      <c r="H5840">
        <v>1084.1600000000001</v>
      </c>
      <c r="I5840">
        <v>1000.37</v>
      </c>
      <c r="J5840">
        <v>1.07</v>
      </c>
      <c r="K5840">
        <v>2.92</v>
      </c>
      <c r="L5840">
        <v>120.46</v>
      </c>
      <c r="M5840">
        <v>0.92</v>
      </c>
      <c r="N5840">
        <v>-83.79</v>
      </c>
    </row>
    <row r="5841" spans="1:14" x14ac:dyDescent="0.2">
      <c r="A5841" s="1">
        <v>45960</v>
      </c>
      <c r="B5841" s="2" t="s">
        <v>29</v>
      </c>
      <c r="C5841" s="2" t="s">
        <v>21</v>
      </c>
      <c r="D5841" s="2" t="s">
        <v>16</v>
      </c>
      <c r="E5841">
        <v>18260</v>
      </c>
      <c r="F5841">
        <v>532</v>
      </c>
      <c r="G5841">
        <v>36</v>
      </c>
      <c r="H5841">
        <v>801.14</v>
      </c>
      <c r="I5841">
        <v>4281.59</v>
      </c>
      <c r="J5841">
        <v>2.91</v>
      </c>
      <c r="K5841">
        <v>6.77</v>
      </c>
      <c r="L5841">
        <v>22.25</v>
      </c>
      <c r="M5841">
        <v>5.34</v>
      </c>
      <c r="N5841">
        <v>3480.45</v>
      </c>
    </row>
    <row r="5842" spans="1:14" x14ac:dyDescent="0.2">
      <c r="A5842" s="1">
        <v>45960</v>
      </c>
      <c r="B5842" s="2" t="s">
        <v>30</v>
      </c>
      <c r="C5842" s="2" t="s">
        <v>21</v>
      </c>
      <c r="D5842" s="2" t="s">
        <v>36</v>
      </c>
      <c r="E5842">
        <v>12220</v>
      </c>
      <c r="F5842">
        <v>272</v>
      </c>
      <c r="G5842">
        <v>13</v>
      </c>
      <c r="H5842">
        <v>429.96</v>
      </c>
      <c r="I5842">
        <v>1045.72</v>
      </c>
      <c r="J5842">
        <v>2.23</v>
      </c>
      <c r="K5842">
        <v>4.78</v>
      </c>
      <c r="L5842">
        <v>33.07</v>
      </c>
      <c r="M5842">
        <v>2.4300000000000002</v>
      </c>
      <c r="N5842">
        <v>615.76</v>
      </c>
    </row>
    <row r="5843" spans="1:14" x14ac:dyDescent="0.2">
      <c r="A5843" s="1">
        <v>45960</v>
      </c>
      <c r="B5843" s="2" t="s">
        <v>31</v>
      </c>
      <c r="C5843" s="2" t="s">
        <v>18</v>
      </c>
      <c r="D5843" s="2" t="s">
        <v>19</v>
      </c>
      <c r="E5843">
        <v>20014</v>
      </c>
      <c r="F5843">
        <v>658</v>
      </c>
      <c r="G5843">
        <v>43</v>
      </c>
      <c r="H5843">
        <v>636.66</v>
      </c>
      <c r="I5843">
        <v>3248.39</v>
      </c>
      <c r="J5843">
        <v>3.29</v>
      </c>
      <c r="K5843">
        <v>6.53</v>
      </c>
      <c r="L5843">
        <v>14.81</v>
      </c>
      <c r="M5843">
        <v>5.0999999999999996</v>
      </c>
      <c r="N5843">
        <v>2611.73</v>
      </c>
    </row>
    <row r="5844" spans="1:14" x14ac:dyDescent="0.2">
      <c r="A5844" s="1">
        <v>45960</v>
      </c>
      <c r="B5844" s="2" t="s">
        <v>33</v>
      </c>
      <c r="C5844" s="2" t="s">
        <v>21</v>
      </c>
      <c r="D5844" s="2" t="s">
        <v>22</v>
      </c>
      <c r="E5844">
        <v>5684</v>
      </c>
      <c r="F5844">
        <v>249</v>
      </c>
      <c r="G5844">
        <v>27</v>
      </c>
      <c r="H5844">
        <v>638.88</v>
      </c>
      <c r="I5844">
        <v>3110.89</v>
      </c>
      <c r="J5844">
        <v>4.38</v>
      </c>
      <c r="K5844">
        <v>10.84</v>
      </c>
      <c r="L5844">
        <v>23.66</v>
      </c>
      <c r="M5844">
        <v>4.87</v>
      </c>
      <c r="N5844">
        <v>2472.0100000000002</v>
      </c>
    </row>
    <row r="5845" spans="1:14" x14ac:dyDescent="0.2">
      <c r="A5845" s="1">
        <v>45960</v>
      </c>
      <c r="B5845" s="2" t="s">
        <v>34</v>
      </c>
      <c r="C5845" s="2" t="s">
        <v>28</v>
      </c>
      <c r="D5845" s="2" t="s">
        <v>16</v>
      </c>
      <c r="E5845">
        <v>4149</v>
      </c>
      <c r="F5845">
        <v>381</v>
      </c>
      <c r="G5845">
        <v>61</v>
      </c>
      <c r="H5845">
        <v>62.67</v>
      </c>
      <c r="I5845">
        <v>7980.65</v>
      </c>
      <c r="J5845">
        <v>9.18</v>
      </c>
      <c r="K5845">
        <v>16.010000000000002</v>
      </c>
      <c r="L5845">
        <v>1.03</v>
      </c>
      <c r="M5845">
        <v>127.34</v>
      </c>
      <c r="N5845">
        <v>7917.98</v>
      </c>
    </row>
    <row r="5846" spans="1:14" x14ac:dyDescent="0.2">
      <c r="A5846" s="1">
        <v>45961</v>
      </c>
      <c r="B5846" s="2" t="s">
        <v>14</v>
      </c>
      <c r="C5846" s="2" t="s">
        <v>32</v>
      </c>
      <c r="D5846" s="2" t="s">
        <v>22</v>
      </c>
      <c r="E5846">
        <v>11406</v>
      </c>
      <c r="F5846">
        <v>535</v>
      </c>
      <c r="G5846">
        <v>56</v>
      </c>
      <c r="H5846">
        <v>1431.16</v>
      </c>
      <c r="I5846">
        <v>9870.59</v>
      </c>
      <c r="J5846">
        <v>4.6900000000000004</v>
      </c>
      <c r="K5846">
        <v>10.47</v>
      </c>
      <c r="L5846">
        <v>25.56</v>
      </c>
      <c r="M5846">
        <v>6.9</v>
      </c>
      <c r="N5846">
        <v>8439.43</v>
      </c>
    </row>
    <row r="5847" spans="1:14" x14ac:dyDescent="0.2">
      <c r="A5847" s="1">
        <v>45961</v>
      </c>
      <c r="B5847" s="2" t="s">
        <v>17</v>
      </c>
      <c r="C5847" s="2" t="s">
        <v>18</v>
      </c>
      <c r="D5847" s="2" t="s">
        <v>16</v>
      </c>
      <c r="E5847">
        <v>18536</v>
      </c>
      <c r="F5847">
        <v>588</v>
      </c>
      <c r="G5847">
        <v>45</v>
      </c>
      <c r="H5847">
        <v>728.46</v>
      </c>
      <c r="I5847">
        <v>5920.02</v>
      </c>
      <c r="J5847">
        <v>3.17</v>
      </c>
      <c r="K5847">
        <v>7.65</v>
      </c>
      <c r="L5847">
        <v>16.190000000000001</v>
      </c>
      <c r="M5847">
        <v>8.1300000000000008</v>
      </c>
      <c r="N5847">
        <v>5191.5600000000004</v>
      </c>
    </row>
    <row r="5848" spans="1:14" x14ac:dyDescent="0.2">
      <c r="A5848" s="1">
        <v>45961</v>
      </c>
      <c r="B5848" s="2" t="s">
        <v>20</v>
      </c>
      <c r="C5848" s="2" t="s">
        <v>28</v>
      </c>
      <c r="D5848" s="2" t="s">
        <v>36</v>
      </c>
      <c r="E5848">
        <v>16057</v>
      </c>
      <c r="F5848">
        <v>586</v>
      </c>
      <c r="G5848">
        <v>34</v>
      </c>
      <c r="H5848">
        <v>618.91</v>
      </c>
      <c r="I5848">
        <v>3016.92</v>
      </c>
      <c r="J5848">
        <v>3.65</v>
      </c>
      <c r="K5848">
        <v>5.8</v>
      </c>
      <c r="L5848">
        <v>18.2</v>
      </c>
      <c r="M5848">
        <v>4.87</v>
      </c>
      <c r="N5848">
        <v>2398.0100000000002</v>
      </c>
    </row>
    <row r="5849" spans="1:14" x14ac:dyDescent="0.2">
      <c r="A5849" s="1">
        <v>45961</v>
      </c>
      <c r="B5849" s="2" t="s">
        <v>23</v>
      </c>
      <c r="C5849" s="2" t="s">
        <v>32</v>
      </c>
      <c r="D5849" s="2" t="s">
        <v>19</v>
      </c>
      <c r="E5849">
        <v>3107</v>
      </c>
      <c r="F5849">
        <v>67</v>
      </c>
      <c r="G5849">
        <v>8</v>
      </c>
      <c r="H5849">
        <v>1722.93</v>
      </c>
      <c r="I5849">
        <v>1936.55</v>
      </c>
      <c r="J5849">
        <v>2.16</v>
      </c>
      <c r="K5849">
        <v>11.94</v>
      </c>
      <c r="L5849">
        <v>215.37</v>
      </c>
      <c r="M5849">
        <v>1.1200000000000001</v>
      </c>
      <c r="N5849">
        <v>213.62</v>
      </c>
    </row>
    <row r="5850" spans="1:14" x14ac:dyDescent="0.2">
      <c r="A5850" s="1">
        <v>45961</v>
      </c>
      <c r="B5850" s="2" t="s">
        <v>24</v>
      </c>
      <c r="C5850" s="2" t="s">
        <v>15</v>
      </c>
      <c r="D5850" s="2" t="s">
        <v>22</v>
      </c>
      <c r="E5850">
        <v>21758</v>
      </c>
      <c r="F5850">
        <v>4156</v>
      </c>
      <c r="G5850">
        <v>570</v>
      </c>
      <c r="H5850">
        <v>145.4</v>
      </c>
      <c r="I5850">
        <v>63921.04</v>
      </c>
      <c r="J5850">
        <v>19.100000000000001</v>
      </c>
      <c r="K5850">
        <v>13.72</v>
      </c>
      <c r="L5850">
        <v>0.26</v>
      </c>
      <c r="M5850">
        <v>439.62</v>
      </c>
      <c r="N5850">
        <v>63775.64</v>
      </c>
    </row>
    <row r="5851" spans="1:14" x14ac:dyDescent="0.2">
      <c r="A5851" s="1">
        <v>45961</v>
      </c>
      <c r="B5851" s="2" t="s">
        <v>26</v>
      </c>
      <c r="C5851" s="2" t="s">
        <v>21</v>
      </c>
      <c r="D5851" s="2" t="s">
        <v>19</v>
      </c>
      <c r="E5851">
        <v>28946</v>
      </c>
      <c r="F5851">
        <v>2227</v>
      </c>
      <c r="G5851">
        <v>290</v>
      </c>
      <c r="H5851">
        <v>0</v>
      </c>
      <c r="I5851">
        <v>30446.17</v>
      </c>
      <c r="J5851">
        <v>7.69</v>
      </c>
      <c r="K5851">
        <v>13.02</v>
      </c>
      <c r="L5851">
        <v>0</v>
      </c>
      <c r="M5851">
        <v>0</v>
      </c>
      <c r="N5851">
        <v>30446.17</v>
      </c>
    </row>
    <row r="5852" spans="1:14" x14ac:dyDescent="0.2">
      <c r="A5852" s="1">
        <v>45961</v>
      </c>
      <c r="B5852" s="2" t="s">
        <v>27</v>
      </c>
      <c r="C5852" s="2" t="s">
        <v>28</v>
      </c>
      <c r="D5852" s="2" t="s">
        <v>36</v>
      </c>
      <c r="E5852">
        <v>26304</v>
      </c>
      <c r="F5852">
        <v>391</v>
      </c>
      <c r="G5852">
        <v>12</v>
      </c>
      <c r="H5852">
        <v>708.16</v>
      </c>
      <c r="I5852">
        <v>1410.53</v>
      </c>
      <c r="J5852">
        <v>1.49</v>
      </c>
      <c r="K5852">
        <v>3.07</v>
      </c>
      <c r="L5852">
        <v>59.01</v>
      </c>
      <c r="M5852">
        <v>1.99</v>
      </c>
      <c r="N5852">
        <v>702.37</v>
      </c>
    </row>
    <row r="5853" spans="1:14" x14ac:dyDescent="0.2">
      <c r="A5853" s="1">
        <v>45961</v>
      </c>
      <c r="B5853" s="2" t="s">
        <v>29</v>
      </c>
      <c r="C5853" s="2" t="s">
        <v>18</v>
      </c>
      <c r="D5853" s="2" t="s">
        <v>25</v>
      </c>
      <c r="E5853">
        <v>18549</v>
      </c>
      <c r="F5853">
        <v>315</v>
      </c>
      <c r="G5853">
        <v>16</v>
      </c>
      <c r="H5853">
        <v>936.93</v>
      </c>
      <c r="I5853">
        <v>1610.14</v>
      </c>
      <c r="J5853">
        <v>1.7</v>
      </c>
      <c r="K5853">
        <v>5.08</v>
      </c>
      <c r="L5853">
        <v>58.56</v>
      </c>
      <c r="M5853">
        <v>1.72</v>
      </c>
      <c r="N5853">
        <v>673.21</v>
      </c>
    </row>
    <row r="5854" spans="1:14" x14ac:dyDescent="0.2">
      <c r="A5854" s="1">
        <v>45961</v>
      </c>
      <c r="B5854" s="2" t="s">
        <v>30</v>
      </c>
      <c r="C5854" s="2" t="s">
        <v>28</v>
      </c>
      <c r="D5854" s="2" t="s">
        <v>16</v>
      </c>
      <c r="E5854">
        <v>9532</v>
      </c>
      <c r="F5854">
        <v>299</v>
      </c>
      <c r="G5854">
        <v>13</v>
      </c>
      <c r="H5854">
        <v>457.96</v>
      </c>
      <c r="I5854">
        <v>1094.8900000000001</v>
      </c>
      <c r="J5854">
        <v>3.14</v>
      </c>
      <c r="K5854">
        <v>4.3499999999999996</v>
      </c>
      <c r="L5854">
        <v>35.229999999999997</v>
      </c>
      <c r="M5854">
        <v>2.39</v>
      </c>
      <c r="N5854">
        <v>636.92999999999995</v>
      </c>
    </row>
    <row r="5855" spans="1:14" x14ac:dyDescent="0.2">
      <c r="A5855" s="1">
        <v>45961</v>
      </c>
      <c r="B5855" s="2" t="s">
        <v>31</v>
      </c>
      <c r="C5855" s="2" t="s">
        <v>35</v>
      </c>
      <c r="D5855" s="2" t="s">
        <v>16</v>
      </c>
      <c r="E5855">
        <v>19532</v>
      </c>
      <c r="F5855">
        <v>657</v>
      </c>
      <c r="G5855">
        <v>33</v>
      </c>
      <c r="H5855">
        <v>848.96</v>
      </c>
      <c r="I5855">
        <v>2883.34</v>
      </c>
      <c r="J5855">
        <v>3.36</v>
      </c>
      <c r="K5855">
        <v>5.0199999999999996</v>
      </c>
      <c r="L5855">
        <v>25.73</v>
      </c>
      <c r="M5855">
        <v>3.4</v>
      </c>
      <c r="N5855">
        <v>2034.38</v>
      </c>
    </row>
    <row r="5856" spans="1:14" x14ac:dyDescent="0.2">
      <c r="A5856" s="1">
        <v>45961</v>
      </c>
      <c r="B5856" s="2" t="s">
        <v>33</v>
      </c>
      <c r="C5856" s="2" t="s">
        <v>35</v>
      </c>
      <c r="D5856" s="2" t="s">
        <v>19</v>
      </c>
      <c r="E5856">
        <v>7082</v>
      </c>
      <c r="F5856">
        <v>338</v>
      </c>
      <c r="G5856">
        <v>38</v>
      </c>
      <c r="H5856">
        <v>681.41</v>
      </c>
      <c r="I5856">
        <v>5108.01</v>
      </c>
      <c r="J5856">
        <v>4.7699999999999996</v>
      </c>
      <c r="K5856">
        <v>11.24</v>
      </c>
      <c r="L5856">
        <v>17.93</v>
      </c>
      <c r="M5856">
        <v>7.5</v>
      </c>
      <c r="N5856">
        <v>4426.6000000000004</v>
      </c>
    </row>
    <row r="5857" spans="1:14" x14ac:dyDescent="0.2">
      <c r="A5857" s="1">
        <v>45961</v>
      </c>
      <c r="B5857" s="2" t="s">
        <v>34</v>
      </c>
      <c r="C5857" s="2" t="s">
        <v>35</v>
      </c>
      <c r="D5857" s="2" t="s">
        <v>19</v>
      </c>
      <c r="E5857">
        <v>5541</v>
      </c>
      <c r="F5857">
        <v>318</v>
      </c>
      <c r="G5857">
        <v>50</v>
      </c>
      <c r="H5857">
        <v>52.8</v>
      </c>
      <c r="I5857">
        <v>6925.5</v>
      </c>
      <c r="J5857">
        <v>5.74</v>
      </c>
      <c r="K5857">
        <v>15.72</v>
      </c>
      <c r="L5857">
        <v>1.06</v>
      </c>
      <c r="M5857">
        <v>131.16</v>
      </c>
      <c r="N5857">
        <v>6872.7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BB4D-17CA-BF49-9F1F-EAD1898DBA8E}">
  <dimension ref="A1:G13"/>
  <sheetViews>
    <sheetView workbookViewId="0">
      <selection activeCell="I30" sqref="I30"/>
    </sheetView>
  </sheetViews>
  <sheetFormatPr baseColWidth="10" defaultRowHeight="16" x14ac:dyDescent="0.2"/>
  <cols>
    <col min="1" max="1" width="17" customWidth="1"/>
    <col min="2" max="2" width="12" customWidth="1"/>
    <col min="3" max="3" width="14.5" customWidth="1"/>
    <col min="4" max="4" width="12.6640625" customWidth="1"/>
    <col min="7" max="7" width="17.83203125" customWidth="1"/>
  </cols>
  <sheetData>
    <row r="1" spans="1:7" x14ac:dyDescent="0.2">
      <c r="A1" s="53" t="s">
        <v>37</v>
      </c>
      <c r="B1" s="54" t="s">
        <v>38</v>
      </c>
      <c r="C1" s="54" t="s">
        <v>39</v>
      </c>
      <c r="D1" s="54" t="s">
        <v>40</v>
      </c>
      <c r="E1" s="54" t="s">
        <v>41</v>
      </c>
      <c r="F1" s="54" t="s">
        <v>42</v>
      </c>
      <c r="G1" s="55" t="s">
        <v>43</v>
      </c>
    </row>
    <row r="2" spans="1:7" x14ac:dyDescent="0.2">
      <c r="A2" s="56" t="s">
        <v>24</v>
      </c>
      <c r="B2" s="57">
        <f>SUMIF('Raw Data'!B:B,A2,'Raw Data'!H:H)</f>
        <v>92890.460000000036</v>
      </c>
      <c r="C2" s="57">
        <f>SUMIF('Raw Data'!B:B,A2,'Raw Data'!I:I)</f>
        <v>26805521.879999965</v>
      </c>
      <c r="D2" s="58">
        <f>SUMIF('Raw Data'!B:B,A2,'Raw Data'!G:G)</f>
        <v>199147</v>
      </c>
      <c r="E2" s="57">
        <f>IF(D2=0,0,B2/D2)</f>
        <v>0.46644167373849488</v>
      </c>
      <c r="F2" s="59">
        <f>IF(B2=0,0,C2/B2)</f>
        <v>288.57131162877175</v>
      </c>
      <c r="G2" s="60" t="str">
        <f>IF(F2&gt;=50,"⭐⭐⭐⭐⭐",IF(F2&gt;=10,"⭐⭐⭐⭐",IF(F2&gt;=5,"⭐⭐⭐",IF(F2&gt;=2,"⭐⭐","⭐"))))</f>
        <v>⭐⭐⭐⭐⭐</v>
      </c>
    </row>
    <row r="3" spans="1:7" x14ac:dyDescent="0.2">
      <c r="A3" s="56" t="s">
        <v>34</v>
      </c>
      <c r="B3" s="57">
        <f>SUMIF('Raw Data'!B:B,A3,'Raw Data'!H:H)</f>
        <v>57305.139999999963</v>
      </c>
      <c r="C3" s="57">
        <f>SUMIF('Raw Data'!B:B,A3,'Raw Data'!I:I)</f>
        <v>3690163.96</v>
      </c>
      <c r="D3" s="58">
        <f>SUMIF('Raw Data'!B:B,A3,'Raw Data'!G:G)</f>
        <v>24720</v>
      </c>
      <c r="E3" s="57">
        <f>IF(D3=0,0,B3/D3)</f>
        <v>2.318169093851131</v>
      </c>
      <c r="F3" s="59">
        <f>IF(B3=0,0,C3/B3)</f>
        <v>64.394990746030857</v>
      </c>
      <c r="G3" s="60" t="str">
        <f>IF(F3&gt;=50,"⭐⭐⭐⭐⭐",IF(F3&gt;=10,"⭐⭐⭐⭐",IF(F3&gt;=5,"⭐⭐⭐",IF(F3&gt;=2,"⭐⭐","⭐"))))</f>
        <v>⭐⭐⭐⭐⭐</v>
      </c>
    </row>
    <row r="4" spans="1:7" x14ac:dyDescent="0.2">
      <c r="A4" s="56" t="s">
        <v>33</v>
      </c>
      <c r="B4" s="57">
        <f>SUMIF('Raw Data'!B:B,A4,'Raw Data'!H:H)</f>
        <v>224387.66000000021</v>
      </c>
      <c r="C4" s="57">
        <f>SUMIF('Raw Data'!B:B,A4,'Raw Data'!I:I)</f>
        <v>2497211.8000000026</v>
      </c>
      <c r="D4" s="58">
        <f>SUMIF('Raw Data'!B:B,A4,'Raw Data'!G:G)</f>
        <v>19848</v>
      </c>
      <c r="E4" s="57">
        <f>IF(D4=0,0,B4/D4)</f>
        <v>11.305303305118914</v>
      </c>
      <c r="F4" s="59">
        <f>IF(B4=0,0,C4/B4)</f>
        <v>11.129006826846005</v>
      </c>
      <c r="G4" s="60" t="str">
        <f>IF(F4&gt;=50,"⭐⭐⭐⭐⭐",IF(F4&gt;=10,"⭐⭐⭐⭐",IF(F4&gt;=5,"⭐⭐⭐",IF(F4&gt;=2,"⭐⭐","⭐"))))</f>
        <v>⭐⭐⭐⭐</v>
      </c>
    </row>
    <row r="5" spans="1:7" x14ac:dyDescent="0.2">
      <c r="A5" s="56" t="s">
        <v>14</v>
      </c>
      <c r="B5" s="57">
        <f>SUMIF('Raw Data'!B:B,A5,'Raw Data'!H:H)</f>
        <v>517449.9200000001</v>
      </c>
      <c r="C5" s="57">
        <f>SUMIF('Raw Data'!B:B,A5,'Raw Data'!I:I)</f>
        <v>3152699.2500000019</v>
      </c>
      <c r="D5" s="58">
        <f>SUMIF('Raw Data'!B:B,A5,'Raw Data'!G:G)</f>
        <v>21070</v>
      </c>
      <c r="E5" s="57">
        <f>IF(D5=0,0,B5/D5)</f>
        <v>24.558610346464171</v>
      </c>
      <c r="F5" s="59">
        <f>IF(B5=0,0,C5/B5)</f>
        <v>6.0927620783089527</v>
      </c>
      <c r="G5" s="60" t="str">
        <f>IF(F5&gt;=50,"⭐⭐⭐⭐⭐",IF(F5&gt;=10,"⭐⭐⭐⭐",IF(F5&gt;=5,"⭐⭐⭐",IF(F5&gt;=2,"⭐⭐","⭐"))))</f>
        <v>⭐⭐⭐</v>
      </c>
    </row>
    <row r="6" spans="1:7" x14ac:dyDescent="0.2">
      <c r="A6" s="56" t="s">
        <v>31</v>
      </c>
      <c r="B6" s="57">
        <f>SUMIF('Raw Data'!B:B,A6,'Raw Data'!H:H)</f>
        <v>386848.85000000038</v>
      </c>
      <c r="C6" s="57">
        <f>SUMIF('Raw Data'!B:B,A6,'Raw Data'!I:I)</f>
        <v>1698171.5200000003</v>
      </c>
      <c r="D6" s="58">
        <f>SUMIF('Raw Data'!B:B,A6,'Raw Data'!G:G)</f>
        <v>19019</v>
      </c>
      <c r="E6" s="57">
        <f>IF(D6=0,0,B6/D6)</f>
        <v>20.340125663809893</v>
      </c>
      <c r="F6" s="59">
        <f>IF(B6=0,0,C6/B6)</f>
        <v>4.3897546031221202</v>
      </c>
      <c r="G6" s="60" t="str">
        <f>IF(F6&gt;=50,"⭐⭐⭐⭐⭐",IF(F6&gt;=10,"⭐⭐⭐⭐",IF(F6&gt;=5,"⭐⭐⭐",IF(F6&gt;=2,"⭐⭐","⭐"))))</f>
        <v>⭐⭐</v>
      </c>
    </row>
    <row r="7" spans="1:7" x14ac:dyDescent="0.2">
      <c r="A7" s="56" t="s">
        <v>17</v>
      </c>
      <c r="B7" s="57">
        <f>SUMIF('Raw Data'!B:B,A7,'Raw Data'!H:H)</f>
        <v>418177.83000000025</v>
      </c>
      <c r="C7" s="57">
        <f>SUMIF('Raw Data'!B:B,A7,'Raw Data'!I:I)</f>
        <v>1747828.6200000006</v>
      </c>
      <c r="D7" s="58">
        <f>SUMIF('Raw Data'!B:B,A7,'Raw Data'!G:G)</f>
        <v>15198</v>
      </c>
      <c r="E7" s="57">
        <f>IF(D7=0,0,B7/D7)</f>
        <v>27.515319778918297</v>
      </c>
      <c r="F7" s="59">
        <f>IF(B7=0,0,C7/B7)</f>
        <v>4.1796300392108297</v>
      </c>
      <c r="G7" s="60" t="str">
        <f>IF(F7&gt;=50,"⭐⭐⭐⭐⭐",IF(F7&gt;=10,"⭐⭐⭐⭐",IF(F7&gt;=5,"⭐⭐⭐",IF(F7&gt;=2,"⭐⭐","⭐"))))</f>
        <v>⭐⭐</v>
      </c>
    </row>
    <row r="8" spans="1:7" x14ac:dyDescent="0.2">
      <c r="A8" s="56" t="s">
        <v>20</v>
      </c>
      <c r="B8" s="57">
        <f>SUMIF('Raw Data'!B:B,A8,'Raw Data'!H:H)</f>
        <v>342496.56000000011</v>
      </c>
      <c r="C8" s="57">
        <f>SUMIF('Raw Data'!B:B,A8,'Raw Data'!I:I)</f>
        <v>1315383.4599999993</v>
      </c>
      <c r="D8" s="58">
        <f>SUMIF('Raw Data'!B:B,A8,'Raw Data'!G:G)</f>
        <v>13271</v>
      </c>
      <c r="E8" s="57">
        <f>IF(D8=0,0,B8/D8)</f>
        <v>25.807893904001215</v>
      </c>
      <c r="F8" s="59">
        <f>IF(B8=0,0,C8/B8)</f>
        <v>3.8405742235775997</v>
      </c>
      <c r="G8" s="60" t="str">
        <f>IF(F8&gt;=50,"⭐⭐⭐⭐⭐",IF(F8&gt;=10,"⭐⭐⭐⭐",IF(F8&gt;=5,"⭐⭐⭐",IF(F8&gt;=2,"⭐⭐","⭐"))))</f>
        <v>⭐⭐</v>
      </c>
    </row>
    <row r="9" spans="1:7" x14ac:dyDescent="0.2">
      <c r="A9" s="56" t="s">
        <v>29</v>
      </c>
      <c r="B9" s="57">
        <f>SUMIF('Raw Data'!B:B,A9,'Raw Data'!H:H)</f>
        <v>504658.7099999999</v>
      </c>
      <c r="C9" s="57">
        <f>SUMIF('Raw Data'!B:B,A9,'Raw Data'!I:I)</f>
        <v>1405833.3399999975</v>
      </c>
      <c r="D9" s="58">
        <f>SUMIF('Raw Data'!B:B,A9,'Raw Data'!G:G)</f>
        <v>11871</v>
      </c>
      <c r="E9" s="57">
        <f>IF(D9=0,0,B9/D9)</f>
        <v>42.511895375284297</v>
      </c>
      <c r="F9" s="59">
        <f>IF(B9=0,0,C9/B9)</f>
        <v>2.7857110402394478</v>
      </c>
      <c r="G9" s="60" t="str">
        <f>IF(F9&gt;=50,"⭐⭐⭐⭐⭐",IF(F9&gt;=10,"⭐⭐⭐⭐",IF(F9&gt;=5,"⭐⭐⭐",IF(F9&gt;=2,"⭐⭐","⭐"))))</f>
        <v>⭐⭐</v>
      </c>
    </row>
    <row r="10" spans="1:7" x14ac:dyDescent="0.2">
      <c r="A10" s="56" t="s">
        <v>23</v>
      </c>
      <c r="B10" s="57">
        <f>SUMIF('Raw Data'!B:B,A10,'Raw Data'!H:H)</f>
        <v>612392.92000000051</v>
      </c>
      <c r="C10" s="57">
        <f>SUMIF('Raw Data'!B:B,A10,'Raw Data'!I:I)</f>
        <v>1456583.2899999982</v>
      </c>
      <c r="D10" s="58">
        <f>SUMIF('Raw Data'!B:B,A10,'Raw Data'!G:G)</f>
        <v>5360</v>
      </c>
      <c r="E10" s="57">
        <f>IF(D10=0,0,B10/D10)</f>
        <v>114.25241044776129</v>
      </c>
      <c r="F10" s="59">
        <f>IF(B10=0,0,C10/B10)</f>
        <v>2.3785109893171152</v>
      </c>
      <c r="G10" s="60" t="str">
        <f>IF(F10&gt;=50,"⭐⭐⭐⭐⭐",IF(F10&gt;=10,"⭐⭐⭐⭐",IF(F10&gt;=5,"⭐⭐⭐",IF(F10&gt;=2,"⭐⭐","⭐"))))</f>
        <v>⭐⭐</v>
      </c>
    </row>
    <row r="11" spans="1:7" x14ac:dyDescent="0.2">
      <c r="A11" s="56" t="s">
        <v>30</v>
      </c>
      <c r="B11" s="57">
        <f>SUMIF('Raw Data'!B:B,A11,'Raw Data'!H:H)</f>
        <v>270659.75</v>
      </c>
      <c r="C11" s="57">
        <f>SUMIF('Raw Data'!B:B,A11,'Raw Data'!I:I)</f>
        <v>570018.99000000022</v>
      </c>
      <c r="D11" s="58">
        <f>SUMIF('Raw Data'!B:B,A11,'Raw Data'!G:G)</f>
        <v>5914</v>
      </c>
      <c r="E11" s="57">
        <f>IF(D11=0,0,B11/D11)</f>
        <v>45.765936760229962</v>
      </c>
      <c r="F11" s="59">
        <f>IF(B11=0,0,C11/B11)</f>
        <v>2.1060353081682823</v>
      </c>
      <c r="G11" s="60" t="str">
        <f>IF(F11&gt;=50,"⭐⭐⭐⭐⭐",IF(F11&gt;=10,"⭐⭐⭐⭐",IF(F11&gt;=5,"⭐⭐⭐",IF(F11&gt;=2,"⭐⭐","⭐"))))</f>
        <v>⭐⭐</v>
      </c>
    </row>
    <row r="12" spans="1:7" x14ac:dyDescent="0.2">
      <c r="A12" s="56" t="s">
        <v>27</v>
      </c>
      <c r="B12" s="57">
        <f>SUMIF('Raw Data'!B:B,A12,'Raw Data'!H:H)</f>
        <v>458688.41999999975</v>
      </c>
      <c r="C12" s="57">
        <f>SUMIF('Raw Data'!B:B,A12,'Raw Data'!I:I)</f>
        <v>796447.3899999999</v>
      </c>
      <c r="D12" s="58">
        <f>SUMIF('Raw Data'!B:B,A12,'Raw Data'!G:G)</f>
        <v>7419</v>
      </c>
      <c r="E12" s="57">
        <f>IF(D12=0,0,B12/D12)</f>
        <v>61.826178730287069</v>
      </c>
      <c r="F12" s="59">
        <f>IF(B12=0,0,C12/B12)</f>
        <v>1.7363581796985421</v>
      </c>
      <c r="G12" s="60" t="str">
        <f>IF(F12&gt;=50,"⭐⭐⭐⭐⭐",IF(F12&gt;=10,"⭐⭐⭐⭐",IF(F12&gt;=5,"⭐⭐⭐",IF(F12&gt;=2,"⭐⭐","⭐"))))</f>
        <v>⭐</v>
      </c>
    </row>
    <row r="13" spans="1:7" ht="17" thickBot="1" x14ac:dyDescent="0.25">
      <c r="A13" s="61" t="s">
        <v>26</v>
      </c>
      <c r="B13" s="62">
        <f>SUMIF('Raw Data'!B:B,A13,'Raw Data'!H:H)</f>
        <v>0</v>
      </c>
      <c r="C13" s="62">
        <f>SUMIF('Raw Data'!B:B,A13,'Raw Data'!I:I)</f>
        <v>12448363.690000003</v>
      </c>
      <c r="D13" s="63">
        <f>SUMIF('Raw Data'!B:B,A13,'Raw Data'!G:G)</f>
        <v>98565</v>
      </c>
      <c r="E13" s="62">
        <f>IF(D13=0,0,B13/D13)</f>
        <v>0</v>
      </c>
      <c r="F13" s="64">
        <f>IF(B13=0,0,C13/B13)</f>
        <v>0</v>
      </c>
      <c r="G13" s="65" t="str">
        <f>IF(F13&gt;=50,"⭐⭐⭐⭐⭐",IF(F13&gt;=10,"⭐⭐⭐⭐",IF(F13&gt;=5,"⭐⭐⭐",IF(F13&gt;=2,"⭐⭐","⭐"))))</f>
        <v>⭐</v>
      </c>
    </row>
  </sheetData>
  <sortState xmlns:xlrd2="http://schemas.microsoft.com/office/spreadsheetml/2017/richdata2" ref="A2:G13">
    <sortCondition descending="1" ref="F2:F13"/>
  </sortState>
  <conditionalFormatting sqref="F2:F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6AC6-388C-6146-87ED-30A2E7121237}">
  <dimension ref="A5:E24"/>
  <sheetViews>
    <sheetView topLeftCell="A3" zoomScale="90" workbookViewId="0">
      <selection activeCell="C24" sqref="C24"/>
    </sheetView>
  </sheetViews>
  <sheetFormatPr baseColWidth="10" defaultRowHeight="16" x14ac:dyDescent="0.2"/>
  <cols>
    <col min="1" max="1" width="13.5" bestFit="1" customWidth="1"/>
    <col min="2" max="2" width="14" bestFit="1" customWidth="1"/>
    <col min="3" max="3" width="15.1640625" bestFit="1" customWidth="1"/>
    <col min="4" max="4" width="16.5" bestFit="1" customWidth="1"/>
    <col min="5" max="5" width="7.1640625" bestFit="1" customWidth="1"/>
  </cols>
  <sheetData>
    <row r="5" spans="1:5" x14ac:dyDescent="0.2">
      <c r="A5" s="5" t="s">
        <v>44</v>
      </c>
      <c r="B5" t="s">
        <v>60</v>
      </c>
      <c r="C5" t="s">
        <v>61</v>
      </c>
      <c r="D5" t="s">
        <v>62</v>
      </c>
      <c r="E5" t="s">
        <v>63</v>
      </c>
    </row>
    <row r="6" spans="1:5" x14ac:dyDescent="0.2">
      <c r="A6" s="6" t="s">
        <v>46</v>
      </c>
      <c r="B6" s="3">
        <v>1548599.3900000006</v>
      </c>
      <c r="C6" s="3">
        <v>22674386.02</v>
      </c>
      <c r="D6" s="8">
        <v>174363</v>
      </c>
      <c r="E6" s="4">
        <v>14.641866816181516</v>
      </c>
    </row>
    <row r="7" spans="1:5" x14ac:dyDescent="0.2">
      <c r="A7" s="7" t="s">
        <v>48</v>
      </c>
      <c r="B7" s="3">
        <v>205218.28000000009</v>
      </c>
      <c r="C7" s="3">
        <v>3126015.0100000007</v>
      </c>
      <c r="D7" s="8">
        <v>23698</v>
      </c>
      <c r="E7" s="4">
        <v>15.23263429554131</v>
      </c>
    </row>
    <row r="8" spans="1:5" x14ac:dyDescent="0.2">
      <c r="A8" s="7" t="s">
        <v>49</v>
      </c>
      <c r="B8" s="3">
        <v>202474.78000000003</v>
      </c>
      <c r="C8" s="3">
        <v>2985192.9699999997</v>
      </c>
      <c r="D8" s="8">
        <v>22714</v>
      </c>
      <c r="E8" s="4">
        <v>14.743529885549199</v>
      </c>
    </row>
    <row r="9" spans="1:5" x14ac:dyDescent="0.2">
      <c r="A9" s="7" t="s">
        <v>50</v>
      </c>
      <c r="B9" s="3">
        <v>232918.78</v>
      </c>
      <c r="C9" s="3">
        <v>3444765.8</v>
      </c>
      <c r="D9" s="8">
        <v>26588</v>
      </c>
      <c r="E9" s="4">
        <v>14.789557973813876</v>
      </c>
    </row>
    <row r="10" spans="1:5" x14ac:dyDescent="0.2">
      <c r="A10" s="7" t="s">
        <v>57</v>
      </c>
      <c r="B10" s="3">
        <v>246299.58000000007</v>
      </c>
      <c r="C10" s="3">
        <v>3609058.9999999986</v>
      </c>
      <c r="D10" s="8">
        <v>27525</v>
      </c>
      <c r="E10" s="4">
        <v>14.653126895303668</v>
      </c>
    </row>
    <row r="11" spans="1:5" x14ac:dyDescent="0.2">
      <c r="A11" s="7" t="s">
        <v>58</v>
      </c>
      <c r="B11" s="3">
        <v>325426.99</v>
      </c>
      <c r="C11" s="3">
        <v>4695012.8400000026</v>
      </c>
      <c r="D11" s="8">
        <v>36583</v>
      </c>
      <c r="E11" s="4">
        <v>14.427238625782092</v>
      </c>
    </row>
    <row r="12" spans="1:5" x14ac:dyDescent="0.2">
      <c r="A12" s="7" t="s">
        <v>59</v>
      </c>
      <c r="B12" s="3">
        <v>336260.98000000039</v>
      </c>
      <c r="C12" s="3">
        <v>4814340.3999999994</v>
      </c>
      <c r="D12" s="8">
        <v>37255</v>
      </c>
      <c r="E12" s="4">
        <v>14.317273446357035</v>
      </c>
    </row>
    <row r="13" spans="1:5" x14ac:dyDescent="0.2">
      <c r="A13" s="6" t="s">
        <v>47</v>
      </c>
      <c r="B13" s="3">
        <v>2337356.83</v>
      </c>
      <c r="C13" s="3">
        <v>34909841.170000002</v>
      </c>
      <c r="D13" s="8">
        <v>267039</v>
      </c>
      <c r="E13" s="4">
        <v>14.935606203525186</v>
      </c>
    </row>
    <row r="14" spans="1:5" x14ac:dyDescent="0.2">
      <c r="A14" s="7" t="s">
        <v>51</v>
      </c>
      <c r="B14" s="3">
        <v>290322.4600000002</v>
      </c>
      <c r="C14" s="3">
        <v>4594857.8400000008</v>
      </c>
      <c r="D14" s="8">
        <v>35238</v>
      </c>
      <c r="E14" s="4">
        <v>15.826739136889367</v>
      </c>
    </row>
    <row r="15" spans="1:5" x14ac:dyDescent="0.2">
      <c r="A15" s="7" t="s">
        <v>52</v>
      </c>
      <c r="B15" s="3">
        <v>258866.52</v>
      </c>
      <c r="C15" s="3">
        <v>3975006.399999998</v>
      </c>
      <c r="D15" s="8">
        <v>30276</v>
      </c>
      <c r="E15" s="4">
        <v>15.355428736014213</v>
      </c>
    </row>
    <row r="16" spans="1:5" x14ac:dyDescent="0.2">
      <c r="A16" s="7" t="s">
        <v>53</v>
      </c>
      <c r="B16" s="3">
        <v>241106.26000000004</v>
      </c>
      <c r="C16" s="3">
        <v>3590119.3899999978</v>
      </c>
      <c r="D16" s="8">
        <v>27458</v>
      </c>
      <c r="E16" s="4">
        <v>14.890195675549847</v>
      </c>
    </row>
    <row r="17" spans="1:5" x14ac:dyDescent="0.2">
      <c r="A17" s="7" t="s">
        <v>54</v>
      </c>
      <c r="B17" s="3">
        <v>233586.71000000008</v>
      </c>
      <c r="C17" s="3">
        <v>3379318.3800000008</v>
      </c>
      <c r="D17" s="8">
        <v>25592</v>
      </c>
      <c r="E17" s="4">
        <v>14.467083251440117</v>
      </c>
    </row>
    <row r="18" spans="1:5" x14ac:dyDescent="0.2">
      <c r="A18" s="7" t="s">
        <v>55</v>
      </c>
      <c r="B18" s="3">
        <v>239702.29</v>
      </c>
      <c r="C18" s="3">
        <v>3615132.1300000008</v>
      </c>
      <c r="D18" s="8">
        <v>27377</v>
      </c>
      <c r="E18" s="4">
        <v>15.081758835094988</v>
      </c>
    </row>
    <row r="19" spans="1:5" x14ac:dyDescent="0.2">
      <c r="A19" s="7" t="s">
        <v>56</v>
      </c>
      <c r="B19" s="3">
        <v>193320.36</v>
      </c>
      <c r="C19" s="3">
        <v>2883557.8400000008</v>
      </c>
      <c r="D19" s="8">
        <v>21938</v>
      </c>
      <c r="E19" s="4">
        <v>14.915955256859656</v>
      </c>
    </row>
    <row r="20" spans="1:5" x14ac:dyDescent="0.2">
      <c r="A20" s="7" t="s">
        <v>48</v>
      </c>
      <c r="B20" s="3">
        <v>206678.69</v>
      </c>
      <c r="C20" s="3">
        <v>2986022.5700000003</v>
      </c>
      <c r="D20" s="8">
        <v>23310</v>
      </c>
      <c r="E20" s="4">
        <v>14.447655779122657</v>
      </c>
    </row>
    <row r="21" spans="1:5" x14ac:dyDescent="0.2">
      <c r="A21" s="7" t="s">
        <v>49</v>
      </c>
      <c r="B21" s="3">
        <v>199387.91</v>
      </c>
      <c r="C21" s="3">
        <v>2909839.9700000011</v>
      </c>
      <c r="D21" s="8">
        <v>22553</v>
      </c>
      <c r="E21" s="4">
        <v>14.593863639976973</v>
      </c>
    </row>
    <row r="22" spans="1:5" x14ac:dyDescent="0.2">
      <c r="A22" s="7" t="s">
        <v>50</v>
      </c>
      <c r="B22" s="3">
        <v>232891.93999999992</v>
      </c>
      <c r="C22" s="3">
        <v>3489568.8600000022</v>
      </c>
      <c r="D22" s="8">
        <v>26706</v>
      </c>
      <c r="E22" s="4">
        <v>14.983639450983162</v>
      </c>
    </row>
    <row r="23" spans="1:5" x14ac:dyDescent="0.2">
      <c r="A23" s="7" t="s">
        <v>57</v>
      </c>
      <c r="B23" s="3">
        <v>241493.69000000003</v>
      </c>
      <c r="C23" s="3">
        <v>3486417.7900000024</v>
      </c>
      <c r="D23" s="8">
        <v>26591</v>
      </c>
      <c r="E23" s="4">
        <v>14.436889800309077</v>
      </c>
    </row>
    <row r="24" spans="1:5" x14ac:dyDescent="0.2">
      <c r="A24" s="6" t="s">
        <v>45</v>
      </c>
      <c r="B24" s="3">
        <v>3885956.2200000007</v>
      </c>
      <c r="C24" s="3">
        <v>57584227.190000005</v>
      </c>
      <c r="D24" s="8">
        <v>441402</v>
      </c>
      <c r="E24" s="4">
        <v>14.818547592901059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6B3B-AD9E-B143-BF19-A79B311B3CB1}">
  <dimension ref="A1:G31"/>
  <sheetViews>
    <sheetView zoomScaleNormal="100" workbookViewId="0">
      <selection activeCell="J31" sqref="J31"/>
    </sheetView>
  </sheetViews>
  <sheetFormatPr baseColWidth="10" defaultRowHeight="16" x14ac:dyDescent="0.2"/>
  <cols>
    <col min="1" max="1" width="19.1640625" customWidth="1"/>
    <col min="2" max="2" width="18.1640625" customWidth="1"/>
    <col min="3" max="3" width="27.33203125" customWidth="1"/>
    <col min="4" max="4" width="17.33203125" customWidth="1"/>
    <col min="5" max="5" width="15.1640625" customWidth="1"/>
    <col min="6" max="6" width="17.5" customWidth="1"/>
    <col min="7" max="7" width="14.83203125" customWidth="1"/>
  </cols>
  <sheetData>
    <row r="1" spans="1:7" x14ac:dyDescent="0.2">
      <c r="A1" t="s">
        <v>37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">
      <c r="A2" s="9" t="s">
        <v>27</v>
      </c>
      <c r="B2" s="3">
        <v>458688.42</v>
      </c>
      <c r="C2" s="4">
        <v>1.74</v>
      </c>
      <c r="D2" t="s">
        <v>70</v>
      </c>
      <c r="E2" s="3">
        <f>IF(ISNUMBER(SEARCH("CUT",D2)),B2*0.5,IF(ISNUMBER(SEARCH("MAINTAIN",D2)),B2,IF(ISNUMBER(SEARCH("INCREASE 50%",D2)),B2*1.5,IF(ISNUMBER(SEARCH("INCREASE 100%",D2)),B2*2,B2))))</f>
        <v>229344.21</v>
      </c>
      <c r="F2" s="3">
        <f>E2-B2</f>
        <v>-229344.21</v>
      </c>
      <c r="G2">
        <v>796447.39</v>
      </c>
    </row>
    <row r="3" spans="1:7" x14ac:dyDescent="0.2">
      <c r="A3" s="9" t="s">
        <v>30</v>
      </c>
      <c r="B3" s="3">
        <v>270659.75</v>
      </c>
      <c r="C3" s="4">
        <v>2.11</v>
      </c>
      <c r="D3" t="s">
        <v>71</v>
      </c>
      <c r="E3" s="3">
        <f t="shared" ref="E3:E12" si="0">IF(ISNUMBER(SEARCH("CUT",D3)),B3*0.5,IF(ISNUMBER(SEARCH("MAINTAIN",D3)),B3,IF(ISNUMBER(SEARCH("INCREASE 50%",D3)),B3*1.5,IF(ISNUMBER(SEARCH("INCREASE 100%",D3)),B3*2,B3))))</f>
        <v>270659.75</v>
      </c>
      <c r="F3" s="3">
        <f t="shared" ref="F3:F12" si="1">E3-B3</f>
        <v>0</v>
      </c>
      <c r="G3">
        <v>570018.99</v>
      </c>
    </row>
    <row r="4" spans="1:7" x14ac:dyDescent="0.2">
      <c r="A4" s="10" t="s">
        <v>23</v>
      </c>
      <c r="B4" s="3">
        <v>612392.92000000004</v>
      </c>
      <c r="C4" s="4">
        <v>2.38</v>
      </c>
      <c r="D4" t="s">
        <v>71</v>
      </c>
      <c r="E4" s="3">
        <f t="shared" si="0"/>
        <v>612392.92000000004</v>
      </c>
      <c r="F4" s="3">
        <f t="shared" si="1"/>
        <v>0</v>
      </c>
      <c r="G4">
        <v>1456583.29</v>
      </c>
    </row>
    <row r="5" spans="1:7" x14ac:dyDescent="0.2">
      <c r="A5" t="s">
        <v>29</v>
      </c>
      <c r="B5" s="3">
        <v>504658.71</v>
      </c>
      <c r="C5" s="4">
        <v>2.79</v>
      </c>
      <c r="D5" t="s">
        <v>71</v>
      </c>
      <c r="E5" s="3">
        <f t="shared" si="0"/>
        <v>504658.71</v>
      </c>
      <c r="F5" s="3">
        <f t="shared" si="1"/>
        <v>0</v>
      </c>
      <c r="G5">
        <v>1405833.34</v>
      </c>
    </row>
    <row r="6" spans="1:7" x14ac:dyDescent="0.2">
      <c r="A6" s="10" t="s">
        <v>20</v>
      </c>
      <c r="B6" s="3">
        <v>342496.56</v>
      </c>
      <c r="C6" s="4">
        <v>3.84</v>
      </c>
      <c r="D6" t="s">
        <v>71</v>
      </c>
      <c r="E6" s="3">
        <f t="shared" si="0"/>
        <v>342496.56</v>
      </c>
      <c r="F6" s="3">
        <f t="shared" si="1"/>
        <v>0</v>
      </c>
      <c r="G6">
        <v>1315383.46</v>
      </c>
    </row>
    <row r="7" spans="1:7" x14ac:dyDescent="0.2">
      <c r="A7" s="10" t="s">
        <v>17</v>
      </c>
      <c r="B7" s="3">
        <v>418177.83</v>
      </c>
      <c r="C7" s="4">
        <v>4.18</v>
      </c>
      <c r="D7" t="s">
        <v>71</v>
      </c>
      <c r="E7" s="3">
        <f t="shared" si="0"/>
        <v>418177.83</v>
      </c>
      <c r="F7" s="3">
        <f t="shared" si="1"/>
        <v>0</v>
      </c>
      <c r="G7">
        <v>1747828.62</v>
      </c>
    </row>
    <row r="8" spans="1:7" x14ac:dyDescent="0.2">
      <c r="A8" s="10" t="s">
        <v>31</v>
      </c>
      <c r="B8" s="3">
        <v>386848.85</v>
      </c>
      <c r="C8" s="4">
        <v>4.3899999999999997</v>
      </c>
      <c r="D8" t="s">
        <v>71</v>
      </c>
      <c r="E8" s="3">
        <f t="shared" si="0"/>
        <v>386848.85</v>
      </c>
      <c r="F8" s="3">
        <f t="shared" si="1"/>
        <v>0</v>
      </c>
      <c r="G8">
        <v>1698171.52</v>
      </c>
    </row>
    <row r="9" spans="1:7" x14ac:dyDescent="0.2">
      <c r="A9" s="10" t="s">
        <v>14</v>
      </c>
      <c r="B9" s="3">
        <v>517449.92</v>
      </c>
      <c r="C9" s="4">
        <v>6.09</v>
      </c>
      <c r="D9" t="s">
        <v>71</v>
      </c>
      <c r="E9" s="3">
        <f t="shared" si="0"/>
        <v>517449.92</v>
      </c>
      <c r="F9" s="3">
        <f t="shared" si="1"/>
        <v>0</v>
      </c>
      <c r="G9">
        <v>3152699.25</v>
      </c>
    </row>
    <row r="10" spans="1:7" x14ac:dyDescent="0.2">
      <c r="A10" s="10" t="s">
        <v>33</v>
      </c>
      <c r="B10" s="3">
        <v>224387.66</v>
      </c>
      <c r="C10" s="4">
        <v>11.13</v>
      </c>
      <c r="D10" t="s">
        <v>72</v>
      </c>
      <c r="E10" s="3">
        <f t="shared" si="0"/>
        <v>336581.49</v>
      </c>
      <c r="F10" s="3">
        <f t="shared" si="1"/>
        <v>112193.82999999999</v>
      </c>
      <c r="G10">
        <v>2497211.7999999998</v>
      </c>
    </row>
    <row r="11" spans="1:7" x14ac:dyDescent="0.2">
      <c r="A11" s="10" t="s">
        <v>34</v>
      </c>
      <c r="B11" s="3">
        <v>57305.14</v>
      </c>
      <c r="C11" s="4">
        <v>64.39</v>
      </c>
      <c r="D11" t="s">
        <v>73</v>
      </c>
      <c r="E11" s="3">
        <f t="shared" si="0"/>
        <v>114610.28</v>
      </c>
      <c r="F11" s="3">
        <f t="shared" si="1"/>
        <v>57305.14</v>
      </c>
      <c r="G11">
        <v>3690163.96</v>
      </c>
    </row>
    <row r="12" spans="1:7" x14ac:dyDescent="0.2">
      <c r="A12" s="10" t="s">
        <v>24</v>
      </c>
      <c r="B12" s="3">
        <v>92890.46</v>
      </c>
      <c r="C12" s="4">
        <v>288.57</v>
      </c>
      <c r="D12" t="s">
        <v>73</v>
      </c>
      <c r="E12" s="3">
        <f t="shared" si="0"/>
        <v>185780.92</v>
      </c>
      <c r="F12" s="3">
        <f t="shared" si="1"/>
        <v>92890.46</v>
      </c>
      <c r="G12">
        <v>26805521.879999999</v>
      </c>
    </row>
    <row r="15" spans="1:7" x14ac:dyDescent="0.2">
      <c r="A15" s="12" t="s">
        <v>74</v>
      </c>
      <c r="B15" s="12"/>
      <c r="C15" s="3"/>
    </row>
    <row r="16" spans="1:7" x14ac:dyDescent="0.2">
      <c r="A16" s="12"/>
      <c r="B16" s="12"/>
    </row>
    <row r="17" spans="1:3" x14ac:dyDescent="0.2">
      <c r="A17" s="12" t="s">
        <v>75</v>
      </c>
      <c r="B17" s="12" t="s">
        <v>76</v>
      </c>
    </row>
    <row r="18" spans="1:3" x14ac:dyDescent="0.2">
      <c r="A18" s="12" t="s">
        <v>77</v>
      </c>
      <c r="B18" s="13">
        <f>SUMIF(F2:F12,"&lt;0",F2:F12)</f>
        <v>-229344.21</v>
      </c>
    </row>
    <row r="19" spans="1:3" x14ac:dyDescent="0.2">
      <c r="A19" s="12" t="s">
        <v>78</v>
      </c>
      <c r="B19" s="13">
        <f>SUMIF(F2:F12,"&gt;0",F2:F12)</f>
        <v>262389.43</v>
      </c>
    </row>
    <row r="20" spans="1:3" x14ac:dyDescent="0.2">
      <c r="A20" s="12" t="s">
        <v>79</v>
      </c>
      <c r="B20" s="13">
        <f>SUM(F2:F12)</f>
        <v>33045.22</v>
      </c>
    </row>
    <row r="21" spans="1:3" x14ac:dyDescent="0.2">
      <c r="A21" s="12" t="s">
        <v>80</v>
      </c>
      <c r="B21" s="12" cm="1">
        <f t="array" ref="B21">SUMPRODUCT((E2:E12-B2:B12),C2:C12)</f>
        <v>31344936.409300003</v>
      </c>
    </row>
    <row r="22" spans="1:3" x14ac:dyDescent="0.2">
      <c r="A22" s="12" t="s">
        <v>81</v>
      </c>
      <c r="B22" s="14">
        <v>0.15</v>
      </c>
    </row>
    <row r="23" spans="1:3" x14ac:dyDescent="0.2">
      <c r="A23" s="12" t="s">
        <v>82</v>
      </c>
      <c r="B23" s="12" t="s">
        <v>83</v>
      </c>
    </row>
    <row r="25" spans="1:3" ht="29" customHeight="1" x14ac:dyDescent="0.2"/>
    <row r="26" spans="1:3" x14ac:dyDescent="0.2">
      <c r="A26" s="11"/>
      <c r="B26" s="15"/>
      <c r="C26" s="15"/>
    </row>
    <row r="27" spans="1:3" x14ac:dyDescent="0.2">
      <c r="A27" s="15"/>
      <c r="B27" s="15"/>
      <c r="C27" s="15"/>
    </row>
    <row r="28" spans="1:3" x14ac:dyDescent="0.2">
      <c r="A28" s="15"/>
      <c r="B28" s="15"/>
      <c r="C28" s="15"/>
    </row>
    <row r="29" spans="1:3" x14ac:dyDescent="0.2">
      <c r="A29" s="15"/>
      <c r="B29" s="15"/>
      <c r="C29" s="15"/>
    </row>
    <row r="30" spans="1:3" x14ac:dyDescent="0.2">
      <c r="A30" s="15"/>
      <c r="B30" s="15"/>
      <c r="C30" s="15"/>
    </row>
    <row r="31" spans="1:3" ht="29" customHeight="1" x14ac:dyDescent="0.2">
      <c r="A31" s="15"/>
      <c r="B31" s="15"/>
      <c r="C31" s="15"/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4286-01B1-BD4A-BB59-496CF35BED04}">
  <sheetPr>
    <tabColor theme="9" tint="0.39997558519241921"/>
  </sheetPr>
  <dimension ref="A1:L49"/>
  <sheetViews>
    <sheetView zoomScale="75" workbookViewId="0">
      <selection activeCell="W31" sqref="W31"/>
    </sheetView>
  </sheetViews>
  <sheetFormatPr baseColWidth="10" defaultRowHeight="16" x14ac:dyDescent="0.2"/>
  <cols>
    <col min="9" max="9" width="18" customWidth="1"/>
  </cols>
  <sheetData>
    <row r="1" spans="1:12" ht="16" customHeight="1" x14ac:dyDescent="0.2">
      <c r="A1" s="19" t="s">
        <v>38</v>
      </c>
      <c r="B1" s="20"/>
      <c r="C1" s="21"/>
      <c r="D1" s="16" t="s">
        <v>84</v>
      </c>
      <c r="E1" s="17"/>
      <c r="F1" s="17"/>
      <c r="G1" s="28" t="s">
        <v>85</v>
      </c>
      <c r="H1" s="28"/>
      <c r="I1" s="28"/>
      <c r="J1" s="36" t="s">
        <v>86</v>
      </c>
      <c r="K1" s="36"/>
      <c r="L1" s="36"/>
    </row>
    <row r="2" spans="1:12" ht="16" customHeight="1" x14ac:dyDescent="0.2">
      <c r="A2" s="22"/>
      <c r="B2" s="23"/>
      <c r="C2" s="24"/>
      <c r="D2" s="18"/>
      <c r="E2" s="17"/>
      <c r="F2" s="17"/>
      <c r="G2" s="28"/>
      <c r="H2" s="28"/>
      <c r="I2" s="28"/>
      <c r="J2" s="36"/>
      <c r="K2" s="36"/>
      <c r="L2" s="36"/>
    </row>
    <row r="3" spans="1:12" ht="16" customHeight="1" x14ac:dyDescent="0.2">
      <c r="A3" s="22"/>
      <c r="B3" s="23"/>
      <c r="C3" s="24"/>
      <c r="D3" s="18"/>
      <c r="E3" s="17"/>
      <c r="F3" s="17"/>
      <c r="G3" s="28"/>
      <c r="H3" s="28"/>
      <c r="I3" s="28"/>
      <c r="J3" s="36"/>
      <c r="K3" s="36"/>
      <c r="L3" s="36"/>
    </row>
    <row r="4" spans="1:12" ht="16" customHeight="1" x14ac:dyDescent="0.2">
      <c r="A4" s="22"/>
      <c r="B4" s="23"/>
      <c r="C4" s="24"/>
      <c r="D4" s="18"/>
      <c r="E4" s="17"/>
      <c r="F4" s="17"/>
      <c r="G4" s="28"/>
      <c r="H4" s="28"/>
      <c r="I4" s="28"/>
      <c r="J4" s="36"/>
      <c r="K4" s="36"/>
      <c r="L4" s="36"/>
    </row>
    <row r="5" spans="1:12" ht="32" customHeight="1" thickBot="1" x14ac:dyDescent="0.25">
      <c r="A5" s="25"/>
      <c r="B5" s="26"/>
      <c r="C5" s="27"/>
      <c r="D5" s="18"/>
      <c r="E5" s="17"/>
      <c r="F5" s="17"/>
      <c r="G5" s="28"/>
      <c r="H5" s="28"/>
      <c r="I5" s="28"/>
      <c r="J5" s="36"/>
      <c r="K5" s="36"/>
      <c r="L5" s="36"/>
    </row>
    <row r="6" spans="1:12" ht="41" customHeight="1" thickBot="1" x14ac:dyDescent="0.5">
      <c r="A6" s="29">
        <f>SUM('Raw Data'!H:H)</f>
        <v>3885956.2199999928</v>
      </c>
      <c r="B6" s="30"/>
      <c r="C6" s="31"/>
      <c r="D6" s="32">
        <f>SUM('Raw Data'!I:I)</f>
        <v>57584227.189999789</v>
      </c>
      <c r="E6" s="33"/>
      <c r="F6" s="33"/>
      <c r="G6" s="34">
        <f>SUM('Raw Data'!I:I)/SUM('Raw Data'!H:H)</f>
        <v>14.818547592901059</v>
      </c>
      <c r="H6" s="34"/>
      <c r="I6" s="34"/>
      <c r="J6" s="35">
        <f>SUM('Raw Data'!G:G)</f>
        <v>441402</v>
      </c>
      <c r="K6" s="35"/>
      <c r="L6" s="35"/>
    </row>
    <row r="39" spans="1:12" ht="17" thickBot="1" x14ac:dyDescent="0.25"/>
    <row r="40" spans="1:12" ht="16" customHeight="1" x14ac:dyDescent="0.2">
      <c r="A40" s="38" t="s">
        <v>87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</row>
    <row r="41" spans="1:12" ht="16" customHeight="1" x14ac:dyDescent="0.2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3"/>
    </row>
    <row r="42" spans="1:12" ht="16" customHeight="1" x14ac:dyDescent="0.2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ht="16" customHeight="1" x14ac:dyDescent="0.2">
      <c r="A43" s="44" t="s">
        <v>88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ht="16" customHeight="1" x14ac:dyDescent="0.2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ht="16" customHeight="1" x14ac:dyDescent="0.2">
      <c r="A45" s="47" t="s">
        <v>89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9"/>
    </row>
    <row r="46" spans="1:12" ht="16" customHeight="1" x14ac:dyDescent="0.2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</row>
    <row r="47" spans="1:12" ht="16" customHeight="1" x14ac:dyDescent="0.2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</row>
    <row r="48" spans="1:12" ht="16" customHeight="1" thickBot="1" x14ac:dyDescent="0.25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2"/>
    </row>
    <row r="49" spans="1:12" ht="16" customHeight="1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</sheetData>
  <mergeCells count="11">
    <mergeCell ref="A40:L42"/>
    <mergeCell ref="A43:L44"/>
    <mergeCell ref="A45:L48"/>
    <mergeCell ref="A6:C6"/>
    <mergeCell ref="D1:F5"/>
    <mergeCell ref="D6:F6"/>
    <mergeCell ref="G1:I5"/>
    <mergeCell ref="G6:I6"/>
    <mergeCell ref="J1:L5"/>
    <mergeCell ref="J6:L6"/>
    <mergeCell ref="A1:C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98EB5-49C2-0844-A1B3-ADAFBFAF7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Channel Analysis</vt:lpstr>
      <vt:lpstr>Monthly Trends</vt:lpstr>
      <vt:lpstr>Budget optimizer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Isweisa</dc:creator>
  <cp:lastModifiedBy>Abdelrahman Isweisa</cp:lastModifiedBy>
  <dcterms:created xsi:type="dcterms:W3CDTF">2025-11-12T19:50:47Z</dcterms:created>
  <dcterms:modified xsi:type="dcterms:W3CDTF">2025-11-17T18:25:02Z</dcterms:modified>
</cp:coreProperties>
</file>